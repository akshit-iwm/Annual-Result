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5BDF01B-7B2A-4E89-ADD6-81E917E5405B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31" i="1" l="1"/>
  <c r="CL79" i="1"/>
  <c r="CL80" i="1"/>
  <c r="CL81" i="1"/>
  <c r="CL84" i="1"/>
  <c r="CL85" i="1"/>
  <c r="CL86" i="1"/>
  <c r="CL89" i="1"/>
  <c r="CL91" i="1"/>
  <c r="CL92" i="1"/>
  <c r="CL93" i="1"/>
  <c r="CL66" i="1"/>
  <c r="CL64" i="1" s="1"/>
  <c r="CL58" i="1"/>
  <c r="CL52" i="1"/>
  <c r="CL32" i="1"/>
  <c r="CL33" i="1"/>
  <c r="CL34" i="1"/>
  <c r="CL35" i="1"/>
  <c r="CL38" i="1"/>
  <c r="CL39" i="1"/>
  <c r="CL40" i="1"/>
  <c r="CL43" i="1"/>
  <c r="CL45" i="1"/>
  <c r="CL46" i="1"/>
  <c r="CL47" i="1"/>
  <c r="CL48" i="1"/>
  <c r="CL25" i="1"/>
  <c r="CL331" i="1"/>
  <c r="AB7" i="1"/>
  <c r="CO18" i="1"/>
  <c r="CS18" i="1" s="1"/>
  <c r="CW18" i="1" s="1"/>
  <c r="DA18" i="1" s="1"/>
  <c r="CN18" i="1"/>
  <c r="CR18" i="1" s="1"/>
  <c r="CV18" i="1" s="1"/>
  <c r="CZ18" i="1" s="1"/>
  <c r="CM18" i="1"/>
  <c r="CO22" i="1"/>
  <c r="CS22" i="1" s="1"/>
  <c r="CW22" i="1" s="1"/>
  <c r="DA22" i="1" s="1"/>
  <c r="CN22" i="1"/>
  <c r="CR22" i="1" s="1"/>
  <c r="CV22" i="1" s="1"/>
  <c r="CZ22" i="1" s="1"/>
  <c r="CM22" i="1"/>
  <c r="CP21" i="1"/>
  <c r="CT21" i="1" s="1"/>
  <c r="CX21" i="1" s="1"/>
  <c r="DB21" i="1" s="1"/>
  <c r="CO21" i="1"/>
  <c r="CS21" i="1" s="1"/>
  <c r="CW21" i="1" s="1"/>
  <c r="DA21" i="1" s="1"/>
  <c r="CN21" i="1"/>
  <c r="CR21" i="1" s="1"/>
  <c r="CV21" i="1" s="1"/>
  <c r="CZ21" i="1" s="1"/>
  <c r="CM21" i="1"/>
  <c r="CO20" i="1"/>
  <c r="CS20" i="1" s="1"/>
  <c r="CW20" i="1" s="1"/>
  <c r="DA20" i="1" s="1"/>
  <c r="CN20" i="1"/>
  <c r="CR20" i="1" s="1"/>
  <c r="CV20" i="1" s="1"/>
  <c r="CZ20" i="1" s="1"/>
  <c r="CM20" i="1"/>
  <c r="CP20" i="1"/>
  <c r="CT20" i="1" s="1"/>
  <c r="CX20" i="1" s="1"/>
  <c r="DB20" i="1" s="1"/>
  <c r="AA21" i="1"/>
  <c r="CK48" i="1"/>
  <c r="CJ48" i="1"/>
  <c r="CI48" i="1"/>
  <c r="CH48" i="1"/>
  <c r="CG48" i="1"/>
  <c r="CF48" i="1"/>
  <c r="CE48" i="1"/>
  <c r="CD48" i="1"/>
  <c r="CC48" i="1"/>
  <c r="CB48" i="1"/>
  <c r="CA48" i="1"/>
  <c r="CK47" i="1"/>
  <c r="CJ47" i="1"/>
  <c r="CI47" i="1"/>
  <c r="CH47" i="1"/>
  <c r="CG47" i="1"/>
  <c r="CF47" i="1"/>
  <c r="CE47" i="1"/>
  <c r="CD47" i="1"/>
  <c r="CC47" i="1"/>
  <c r="CB47" i="1"/>
  <c r="CA47" i="1"/>
  <c r="CK46" i="1"/>
  <c r="CJ46" i="1"/>
  <c r="CI46" i="1"/>
  <c r="CH46" i="1"/>
  <c r="CG46" i="1"/>
  <c r="CF46" i="1"/>
  <c r="CE46" i="1"/>
  <c r="CD46" i="1"/>
  <c r="CC46" i="1"/>
  <c r="CB46" i="1"/>
  <c r="CA46" i="1"/>
  <c r="CK45" i="1"/>
  <c r="CJ45" i="1"/>
  <c r="CI45" i="1"/>
  <c r="CH45" i="1"/>
  <c r="CG45" i="1"/>
  <c r="CF45" i="1"/>
  <c r="CE45" i="1"/>
  <c r="CD45" i="1"/>
  <c r="CC45" i="1"/>
  <c r="CB45" i="1"/>
  <c r="CA45" i="1"/>
  <c r="CK43" i="1"/>
  <c r="CJ43" i="1"/>
  <c r="CI43" i="1"/>
  <c r="CH43" i="1"/>
  <c r="CG43" i="1"/>
  <c r="CF43" i="1"/>
  <c r="CE43" i="1"/>
  <c r="CD43" i="1"/>
  <c r="CC43" i="1"/>
  <c r="CB43" i="1"/>
  <c r="CA43" i="1"/>
  <c r="CO35" i="1"/>
  <c r="CN35" i="1"/>
  <c r="CK35" i="1"/>
  <c r="CJ35" i="1"/>
  <c r="CI35" i="1"/>
  <c r="CH35" i="1"/>
  <c r="CG35" i="1"/>
  <c r="CF35" i="1"/>
  <c r="CE35" i="1"/>
  <c r="CD35" i="1"/>
  <c r="CC35" i="1"/>
  <c r="CB35" i="1"/>
  <c r="CA35" i="1"/>
  <c r="CK34" i="1"/>
  <c r="CJ34" i="1"/>
  <c r="CI34" i="1"/>
  <c r="CH34" i="1"/>
  <c r="CG34" i="1"/>
  <c r="CF34" i="1"/>
  <c r="CE34" i="1"/>
  <c r="CD34" i="1"/>
  <c r="CC34" i="1"/>
  <c r="CB34" i="1"/>
  <c r="CA34" i="1"/>
  <c r="CK33" i="1"/>
  <c r="CJ33" i="1"/>
  <c r="CI33" i="1"/>
  <c r="CH33" i="1"/>
  <c r="CG33" i="1"/>
  <c r="CF33" i="1"/>
  <c r="CE33" i="1"/>
  <c r="CD33" i="1"/>
  <c r="CC33" i="1"/>
  <c r="CB33" i="1"/>
  <c r="CA33" i="1"/>
  <c r="CK32" i="1"/>
  <c r="CJ32" i="1"/>
  <c r="CI32" i="1"/>
  <c r="CH32" i="1"/>
  <c r="CG32" i="1"/>
  <c r="CF32" i="1"/>
  <c r="CE32" i="1"/>
  <c r="CD32" i="1"/>
  <c r="CC32" i="1"/>
  <c r="CB32" i="1"/>
  <c r="CA32" i="1"/>
  <c r="CO14" i="1"/>
  <c r="CS14" i="1" s="1"/>
  <c r="CW14" i="1" s="1"/>
  <c r="DA14" i="1" s="1"/>
  <c r="CN14" i="1"/>
  <c r="CR14" i="1" s="1"/>
  <c r="CV14" i="1" s="1"/>
  <c r="CZ14" i="1" s="1"/>
  <c r="CM14" i="1"/>
  <c r="CP14" i="1"/>
  <c r="CO13" i="1"/>
  <c r="CS13" i="1" s="1"/>
  <c r="CW13" i="1" s="1"/>
  <c r="DA13" i="1" s="1"/>
  <c r="CN13" i="1"/>
  <c r="CM13" i="1"/>
  <c r="CQ13" i="1" s="1"/>
  <c r="CP13" i="1"/>
  <c r="CO12" i="1"/>
  <c r="CN12" i="1"/>
  <c r="CR12" i="1" s="1"/>
  <c r="CV12" i="1" s="1"/>
  <c r="CM12" i="1"/>
  <c r="CQ12" i="1" s="1"/>
  <c r="CU12" i="1" s="1"/>
  <c r="CP12" i="1"/>
  <c r="CK40" i="1"/>
  <c r="CJ40" i="1"/>
  <c r="CI40" i="1"/>
  <c r="CH40" i="1"/>
  <c r="CG40" i="1"/>
  <c r="CF40" i="1"/>
  <c r="CE40" i="1"/>
  <c r="CD40" i="1"/>
  <c r="CC40" i="1"/>
  <c r="CB40" i="1"/>
  <c r="CA40" i="1"/>
  <c r="CK39" i="1"/>
  <c r="CJ39" i="1"/>
  <c r="CI39" i="1"/>
  <c r="CH39" i="1"/>
  <c r="CG39" i="1"/>
  <c r="CF39" i="1"/>
  <c r="CE39" i="1"/>
  <c r="CD39" i="1"/>
  <c r="CC39" i="1"/>
  <c r="CB39" i="1"/>
  <c r="CA39" i="1"/>
  <c r="CK38" i="1"/>
  <c r="CJ38" i="1"/>
  <c r="CI38" i="1"/>
  <c r="CH38" i="1"/>
  <c r="CG38" i="1"/>
  <c r="CF38" i="1"/>
  <c r="CE38" i="1"/>
  <c r="CD38" i="1"/>
  <c r="CC38" i="1"/>
  <c r="CB38" i="1"/>
  <c r="CA38" i="1"/>
  <c r="CS9" i="1"/>
  <c r="CW9" i="1" s="1"/>
  <c r="CR9" i="1"/>
  <c r="CV9" i="1" s="1"/>
  <c r="CZ9" i="1" s="1"/>
  <c r="CZ35" i="1" s="1"/>
  <c r="CO8" i="1"/>
  <c r="CS8" i="1" s="1"/>
  <c r="CN8" i="1"/>
  <c r="CR8" i="1" s="1"/>
  <c r="CM8" i="1"/>
  <c r="CQ8" i="1" s="1"/>
  <c r="AA8" i="1"/>
  <c r="CO7" i="1"/>
  <c r="CS7" i="1" s="1"/>
  <c r="CN7" i="1"/>
  <c r="CR7" i="1" s="1"/>
  <c r="CM7" i="1"/>
  <c r="CQ7" i="1" s="1"/>
  <c r="CP7" i="1"/>
  <c r="CT7" i="1" s="1"/>
  <c r="CX7" i="1" s="1"/>
  <c r="DB7" i="1" s="1"/>
  <c r="DB33" i="1" s="1"/>
  <c r="CO6" i="1"/>
  <c r="CN6" i="1"/>
  <c r="CM6" i="1"/>
  <c r="AA26" i="1"/>
  <c r="AA14" i="1"/>
  <c r="AA13" i="1"/>
  <c r="AA12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Z72" i="1"/>
  <c r="Y72" i="1"/>
  <c r="X72" i="1"/>
  <c r="Z70" i="1"/>
  <c r="Y70" i="1"/>
  <c r="X70" i="1"/>
  <c r="Z69" i="1"/>
  <c r="Y69" i="1"/>
  <c r="X69" i="1"/>
  <c r="Z68" i="1"/>
  <c r="Y68" i="1"/>
  <c r="X68" i="1"/>
  <c r="Z67" i="1"/>
  <c r="Y67" i="1"/>
  <c r="X67" i="1"/>
  <c r="Z65" i="1"/>
  <c r="Y65" i="1"/>
  <c r="X65" i="1"/>
  <c r="Z62" i="1"/>
  <c r="Y62" i="1"/>
  <c r="X62" i="1"/>
  <c r="Z61" i="1"/>
  <c r="Y61" i="1"/>
  <c r="X61" i="1"/>
  <c r="Z60" i="1"/>
  <c r="Y60" i="1"/>
  <c r="X60" i="1"/>
  <c r="Z59" i="1"/>
  <c r="Y59" i="1"/>
  <c r="X59" i="1"/>
  <c r="Z56" i="1"/>
  <c r="Y56" i="1"/>
  <c r="X56" i="1"/>
  <c r="Z55" i="1"/>
  <c r="Y55" i="1"/>
  <c r="X55" i="1"/>
  <c r="Z54" i="1"/>
  <c r="Y54" i="1"/>
  <c r="X54" i="1"/>
  <c r="Z53" i="1"/>
  <c r="Y53" i="1"/>
  <c r="X53" i="1"/>
  <c r="Z26" i="1"/>
  <c r="Y26" i="1"/>
  <c r="X26" i="1"/>
  <c r="Z25" i="1"/>
  <c r="Y25" i="1"/>
  <c r="X25" i="1"/>
  <c r="Z23" i="1"/>
  <c r="Y23" i="1"/>
  <c r="X23" i="1"/>
  <c r="Z22" i="1"/>
  <c r="Y22" i="1"/>
  <c r="X22" i="1"/>
  <c r="Z21" i="1"/>
  <c r="Y21" i="1"/>
  <c r="X21" i="1"/>
  <c r="Z20" i="1"/>
  <c r="Y20" i="1"/>
  <c r="X20" i="1"/>
  <c r="Z18" i="1"/>
  <c r="Y18" i="1"/>
  <c r="X18" i="1"/>
  <c r="Z15" i="1"/>
  <c r="Y15" i="1"/>
  <c r="X15" i="1"/>
  <c r="Z14" i="1"/>
  <c r="Y14" i="1"/>
  <c r="X14" i="1"/>
  <c r="Z13" i="1"/>
  <c r="Y13" i="1"/>
  <c r="X13" i="1"/>
  <c r="Z12" i="1"/>
  <c r="Y12" i="1"/>
  <c r="X12" i="1"/>
  <c r="Z9" i="1"/>
  <c r="Z8" i="1"/>
  <c r="Z7" i="1"/>
  <c r="Z6" i="1"/>
  <c r="Y9" i="1"/>
  <c r="Y8" i="1"/>
  <c r="Y7" i="1"/>
  <c r="Y6" i="1"/>
  <c r="X9" i="1"/>
  <c r="X8" i="1"/>
  <c r="X7" i="1"/>
  <c r="X6" i="1"/>
  <c r="CK66" i="1"/>
  <c r="CK64" i="1" s="1"/>
  <c r="CK58" i="1"/>
  <c r="CJ58" i="1"/>
  <c r="CJ66" i="1"/>
  <c r="CJ64" i="1" s="1"/>
  <c r="CF58" i="1"/>
  <c r="CK52" i="1"/>
  <c r="CJ52" i="1"/>
  <c r="AE111" i="1"/>
  <c r="AD111" i="1"/>
  <c r="AC111" i="1"/>
  <c r="AB111" i="1"/>
  <c r="AA25" i="1" l="1"/>
  <c r="AA34" i="1"/>
  <c r="AA40" i="1"/>
  <c r="AA39" i="1"/>
  <c r="AA38" i="1"/>
  <c r="CL74" i="1"/>
  <c r="AA46" i="1"/>
  <c r="Z48" i="1"/>
  <c r="Y48" i="1"/>
  <c r="Z47" i="1"/>
  <c r="Y47" i="1"/>
  <c r="Z46" i="1"/>
  <c r="Y46" i="1"/>
  <c r="Z45" i="1"/>
  <c r="Y45" i="1"/>
  <c r="Z43" i="1"/>
  <c r="Y43" i="1"/>
  <c r="Z40" i="1"/>
  <c r="Y40" i="1"/>
  <c r="Z39" i="1"/>
  <c r="Y39" i="1"/>
  <c r="Z38" i="1"/>
  <c r="Y38" i="1"/>
  <c r="Z35" i="1"/>
  <c r="Y35" i="1"/>
  <c r="Z34" i="1"/>
  <c r="Y34" i="1"/>
  <c r="Z33" i="1"/>
  <c r="Y33" i="1"/>
  <c r="Z32" i="1"/>
  <c r="Y32" i="1"/>
  <c r="AC7" i="1"/>
  <c r="AC33" i="1" s="1"/>
  <c r="CQ18" i="1"/>
  <c r="AA18" i="1"/>
  <c r="CP18" i="1"/>
  <c r="CQ22" i="1"/>
  <c r="CQ21" i="1"/>
  <c r="AB21" i="1"/>
  <c r="AB46" i="1" s="1"/>
  <c r="CQ20" i="1"/>
  <c r="AB20" i="1"/>
  <c r="AA22" i="1"/>
  <c r="AA47" i="1" s="1"/>
  <c r="CP22" i="1"/>
  <c r="AB14" i="1"/>
  <c r="AB40" i="1" s="1"/>
  <c r="CT14" i="1"/>
  <c r="CX14" i="1" s="1"/>
  <c r="DB14" i="1" s="1"/>
  <c r="CU13" i="1"/>
  <c r="AB13" i="1"/>
  <c r="AB39" i="1" s="1"/>
  <c r="CT13" i="1"/>
  <c r="CX13" i="1" s="1"/>
  <c r="DB13" i="1" s="1"/>
  <c r="AB12" i="1"/>
  <c r="CT12" i="1"/>
  <c r="CX12" i="1" s="1"/>
  <c r="CT9" i="1"/>
  <c r="CP35" i="1"/>
  <c r="DA9" i="1"/>
  <c r="DA35" i="1" s="1"/>
  <c r="CW35" i="1"/>
  <c r="CW8" i="1"/>
  <c r="DA8" i="1" s="1"/>
  <c r="DA34" i="1" s="1"/>
  <c r="CS34" i="1"/>
  <c r="CV8" i="1"/>
  <c r="CZ8" i="1" s="1"/>
  <c r="CZ34" i="1" s="1"/>
  <c r="CR34" i="1"/>
  <c r="CU8" i="1"/>
  <c r="CY8" i="1" s="1"/>
  <c r="CY34" i="1" s="1"/>
  <c r="CQ34" i="1"/>
  <c r="CW7" i="1"/>
  <c r="DA7" i="1" s="1"/>
  <c r="DA33" i="1" s="1"/>
  <c r="CS33" i="1"/>
  <c r="CV7" i="1"/>
  <c r="CZ7" i="1" s="1"/>
  <c r="CZ33" i="1" s="1"/>
  <c r="CR33" i="1"/>
  <c r="CU7" i="1"/>
  <c r="CY7" i="1" s="1"/>
  <c r="CY33" i="1" s="1"/>
  <c r="CQ33" i="1"/>
  <c r="CS6" i="1"/>
  <c r="CO32" i="1"/>
  <c r="CR6" i="1"/>
  <c r="CN32" i="1"/>
  <c r="CQ6" i="1"/>
  <c r="CU6" i="1" s="1"/>
  <c r="CM32" i="1"/>
  <c r="CP6" i="1"/>
  <c r="CP32" i="1" s="1"/>
  <c r="AA20" i="1"/>
  <c r="AA45" i="1" s="1"/>
  <c r="CN5" i="1"/>
  <c r="CM33" i="1"/>
  <c r="CV33" i="1"/>
  <c r="CM34" i="1"/>
  <c r="CU34" i="1"/>
  <c r="CT35" i="1"/>
  <c r="CQ5" i="1"/>
  <c r="CO33" i="1"/>
  <c r="CW33" i="1"/>
  <c r="CN34" i="1"/>
  <c r="CV34" i="1"/>
  <c r="CL5" i="1"/>
  <c r="CT33" i="1"/>
  <c r="CR35" i="1"/>
  <c r="CO5" i="1"/>
  <c r="CU33" i="1"/>
  <c r="CS35" i="1"/>
  <c r="CN33" i="1"/>
  <c r="CR5" i="1"/>
  <c r="CQ32" i="1"/>
  <c r="CP33" i="1"/>
  <c r="CX33" i="1"/>
  <c r="CO34" i="1"/>
  <c r="CW34" i="1"/>
  <c r="CV35" i="1"/>
  <c r="CY12" i="1"/>
  <c r="CZ12" i="1"/>
  <c r="CS12" i="1"/>
  <c r="CR13" i="1"/>
  <c r="CQ14" i="1"/>
  <c r="AA9" i="1"/>
  <c r="AA35" i="1" s="1"/>
  <c r="Z85" i="1"/>
  <c r="X93" i="1"/>
  <c r="Y93" i="1"/>
  <c r="Z80" i="1"/>
  <c r="AA6" i="1"/>
  <c r="X80" i="1"/>
  <c r="CP8" i="1"/>
  <c r="AB8" i="1" s="1"/>
  <c r="X89" i="1"/>
  <c r="Z92" i="1"/>
  <c r="Y84" i="1"/>
  <c r="Z91" i="1"/>
  <c r="X81" i="1"/>
  <c r="Z58" i="1"/>
  <c r="X92" i="1"/>
  <c r="X85" i="1"/>
  <c r="Y92" i="1"/>
  <c r="Y85" i="1"/>
  <c r="Y79" i="1"/>
  <c r="AA7" i="1"/>
  <c r="X79" i="1"/>
  <c r="Z79" i="1"/>
  <c r="Y81" i="1"/>
  <c r="X86" i="1"/>
  <c r="Z89" i="1"/>
  <c r="X91" i="1"/>
  <c r="Z81" i="1"/>
  <c r="Y86" i="1"/>
  <c r="Z93" i="1"/>
  <c r="Y89" i="1"/>
  <c r="Y80" i="1"/>
  <c r="X84" i="1"/>
  <c r="Z86" i="1"/>
  <c r="Y91" i="1"/>
  <c r="CM9" i="1"/>
  <c r="AB9" i="1" s="1"/>
  <c r="Z84" i="1"/>
  <c r="Y19" i="1"/>
  <c r="X66" i="1"/>
  <c r="Z52" i="1"/>
  <c r="Z66" i="1"/>
  <c r="X58" i="1"/>
  <c r="Y66" i="1"/>
  <c r="Y58" i="1"/>
  <c r="Z19" i="1"/>
  <c r="Y5" i="1"/>
  <c r="X19" i="1"/>
  <c r="X17" i="1" s="1"/>
  <c r="Y52" i="1"/>
  <c r="X52" i="1"/>
  <c r="X11" i="1"/>
  <c r="Y11" i="1"/>
  <c r="Z11" i="1"/>
  <c r="Z37" i="1" s="1"/>
  <c r="X5" i="1"/>
  <c r="Z5" i="1"/>
  <c r="Z31" i="1" s="1"/>
  <c r="CJ74" i="1"/>
  <c r="CK74" i="1"/>
  <c r="AB113" i="1"/>
  <c r="AC113" i="1"/>
  <c r="AD113" i="1"/>
  <c r="AE113" i="1"/>
  <c r="AB114" i="1"/>
  <c r="AC114" i="1"/>
  <c r="AD114" i="1"/>
  <c r="AE114" i="1"/>
  <c r="AB116" i="1"/>
  <c r="AC116" i="1"/>
  <c r="AD116" i="1"/>
  <c r="AE11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CI58" i="1"/>
  <c r="CH58" i="1"/>
  <c r="CG58" i="1"/>
  <c r="CE58" i="1"/>
  <c r="CD58" i="1"/>
  <c r="CC58" i="1"/>
  <c r="CB58" i="1"/>
  <c r="CA58" i="1"/>
  <c r="BZ58" i="1"/>
  <c r="BY58" i="1"/>
  <c r="BX58" i="1"/>
  <c r="BW58" i="1"/>
  <c r="CI52" i="1"/>
  <c r="CH52" i="1"/>
  <c r="CG52" i="1"/>
  <c r="CF52" i="1"/>
  <c r="CE52" i="1"/>
  <c r="CD52" i="1"/>
  <c r="CC52" i="1"/>
  <c r="CB52" i="1"/>
  <c r="CA52" i="1"/>
  <c r="BY52" i="1"/>
  <c r="BX52" i="1"/>
  <c r="BW52" i="1"/>
  <c r="CK19" i="1"/>
  <c r="CJ19" i="1"/>
  <c r="CK11" i="1"/>
  <c r="CJ11" i="1"/>
  <c r="CK5" i="1"/>
  <c r="CJ5" i="1"/>
  <c r="CI19" i="1"/>
  <c r="CH19" i="1"/>
  <c r="CG19" i="1"/>
  <c r="CF19" i="1"/>
  <c r="CE19" i="1"/>
  <c r="CD19" i="1"/>
  <c r="CC19" i="1"/>
  <c r="CB19" i="1"/>
  <c r="CA19" i="1"/>
  <c r="BZ19" i="1"/>
  <c r="BY19" i="1"/>
  <c r="BY17" i="1" s="1"/>
  <c r="BX19" i="1"/>
  <c r="BX17" i="1" s="1"/>
  <c r="BW19" i="1"/>
  <c r="BW17" i="1" s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CN129" i="1"/>
  <c r="CO129" i="1" s="1"/>
  <c r="CP129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228" i="1"/>
  <c r="AB100" i="1"/>
  <c r="AC100" i="1"/>
  <c r="AD100" i="1"/>
  <c r="AE100" i="1"/>
  <c r="AJ301" i="1"/>
  <c r="AD28" i="2"/>
  <c r="AC11" i="2"/>
  <c r="AD9" i="2"/>
  <c r="AF67" i="2"/>
  <c r="AF99" i="2"/>
  <c r="AE29" i="2"/>
  <c r="AE94" i="2"/>
  <c r="AD79" i="2"/>
  <c r="AB13" i="2"/>
  <c r="AA111" i="1" s="1"/>
  <c r="AB48" i="2"/>
  <c r="AA217" i="1" s="1"/>
  <c r="AE36" i="2"/>
  <c r="AB45" i="2"/>
  <c r="AA214" i="1" s="1"/>
  <c r="AD84" i="2"/>
  <c r="AF10" i="2"/>
  <c r="AC57" i="2"/>
  <c r="AB24" i="2"/>
  <c r="AB96" i="2"/>
  <c r="AD69" i="2"/>
  <c r="AE85" i="2"/>
  <c r="AB23" i="2"/>
  <c r="AA127" i="1" s="1"/>
  <c r="AD70" i="2"/>
  <c r="AE13" i="2"/>
  <c r="AB104" i="2"/>
  <c r="AC66" i="2"/>
  <c r="AB34" i="2"/>
  <c r="AC105" i="2"/>
  <c r="AE88" i="2"/>
  <c r="AC92" i="2"/>
  <c r="AF25" i="2"/>
  <c r="AE21" i="2"/>
  <c r="AC74" i="2"/>
  <c r="AE80" i="2"/>
  <c r="AF5" i="2"/>
  <c r="AF40" i="2"/>
  <c r="AC25" i="2"/>
  <c r="AF28" i="2"/>
  <c r="AB77" i="2"/>
  <c r="AA237" i="1" s="1"/>
  <c r="AF113" i="2"/>
  <c r="AE33" i="2"/>
  <c r="AE98" i="2"/>
  <c r="AF82" i="2"/>
  <c r="AE7" i="2"/>
  <c r="AC62" i="2"/>
  <c r="AD30" i="2"/>
  <c r="AE14" i="2"/>
  <c r="AD13" i="2"/>
  <c r="AF69" i="2"/>
  <c r="AF105" i="2"/>
  <c r="AC10" i="2"/>
  <c r="AE84" i="2"/>
  <c r="AD67" i="2"/>
  <c r="AC84" i="2"/>
  <c r="AB15" i="2"/>
  <c r="AA115" i="1" s="1"/>
  <c r="AC42" i="2"/>
  <c r="AB49" i="2"/>
  <c r="AA255" i="1" s="1"/>
  <c r="AF53" i="2"/>
  <c r="AB84" i="2"/>
  <c r="AC36" i="2"/>
  <c r="AD51" i="2"/>
  <c r="AD6" i="2"/>
  <c r="AC12" i="2"/>
  <c r="AC70" i="2"/>
  <c r="AE57" i="2"/>
  <c r="AD59" i="2"/>
  <c r="AF17" i="2"/>
  <c r="AE95" i="2"/>
  <c r="AB36" i="2"/>
  <c r="AB82" i="2"/>
  <c r="AE40" i="2"/>
  <c r="AF106" i="2"/>
  <c r="AC56" i="2"/>
  <c r="AF95" i="2"/>
  <c r="AF76" i="2"/>
  <c r="AF26" i="2"/>
  <c r="AF20" i="2"/>
  <c r="AC77" i="2"/>
  <c r="AE109" i="2"/>
  <c r="AF15" i="2"/>
  <c r="AF50" i="2"/>
  <c r="AE43" i="2"/>
  <c r="AF51" i="2"/>
  <c r="AB87" i="2"/>
  <c r="AA218" i="1" s="1"/>
  <c r="AB20" i="2"/>
  <c r="AE62" i="2"/>
  <c r="AD35" i="2"/>
  <c r="AC88" i="2"/>
  <c r="AD17" i="2"/>
  <c r="AD58" i="2"/>
  <c r="AF41" i="2"/>
  <c r="AF112" i="2"/>
  <c r="AB18" i="2"/>
  <c r="AA116" i="1" s="1"/>
  <c r="AC26" i="2"/>
  <c r="AE97" i="2"/>
  <c r="AF55" i="2"/>
  <c r="AC65" i="2"/>
  <c r="AB9" i="2"/>
  <c r="AB97" i="2"/>
  <c r="AF94" i="2"/>
  <c r="AF9" i="2"/>
  <c r="AD34" i="2"/>
  <c r="AE20" i="2"/>
  <c r="AD21" i="2"/>
  <c r="AF73" i="2"/>
  <c r="AF109" i="2"/>
  <c r="AC22" i="2"/>
  <c r="AE90" i="2"/>
  <c r="AD75" i="2"/>
  <c r="AC96" i="2"/>
  <c r="AE11" i="2"/>
  <c r="AB19" i="2"/>
  <c r="AA114" i="1" s="1"/>
  <c r="AB54" i="2"/>
  <c r="AA245" i="1" s="1"/>
  <c r="AC48" i="2"/>
  <c r="AB57" i="2"/>
  <c r="AA247" i="1" s="1"/>
  <c r="AD90" i="2"/>
  <c r="AF34" i="2"/>
  <c r="AC67" i="2"/>
  <c r="AB51" i="2"/>
  <c r="AA242" i="1" s="1"/>
  <c r="AD81" i="2"/>
  <c r="AC106" i="2"/>
  <c r="AF46" i="2"/>
  <c r="AE34" i="2"/>
  <c r="AB99" i="2"/>
  <c r="AE81" i="2"/>
  <c r="AB66" i="2"/>
  <c r="AF8" i="2"/>
  <c r="AC82" i="2"/>
  <c r="AE22" i="2"/>
  <c r="AB64" i="2"/>
  <c r="AA225" i="1" s="1"/>
  <c r="AD36" i="2"/>
  <c r="AC23" i="2"/>
  <c r="AD25" i="2"/>
  <c r="AF75" i="2"/>
  <c r="AD7" i="2"/>
  <c r="AE56" i="2"/>
  <c r="AF22" i="2"/>
  <c r="AD95" i="2"/>
  <c r="AB21" i="2"/>
  <c r="AB56" i="2"/>
  <c r="AA219" i="1" s="1"/>
  <c r="AE51" i="2"/>
  <c r="AD60" i="2"/>
  <c r="AD92" i="2"/>
  <c r="AF45" i="2"/>
  <c r="AE70" i="2"/>
  <c r="AF60" i="2"/>
  <c r="AC32" i="2"/>
  <c r="AD85" i="2"/>
  <c r="AF72" i="2"/>
  <c r="AB42" i="2"/>
  <c r="AA210" i="1" s="1"/>
  <c r="AD94" i="2"/>
  <c r="AC61" i="2"/>
  <c r="AE87" i="2"/>
  <c r="AD24" i="2"/>
  <c r="AD72" i="2"/>
  <c r="AC18" i="2"/>
  <c r="AB43" i="2"/>
  <c r="AA211" i="1" s="1"/>
  <c r="AC55" i="2"/>
  <c r="AC31" i="2"/>
  <c r="AF74" i="2"/>
  <c r="AF24" i="2"/>
  <c r="AD54" i="2"/>
  <c r="AF13" i="2"/>
  <c r="AF48" i="2"/>
  <c r="AC40" i="2"/>
  <c r="AF47" i="2"/>
  <c r="AB85" i="2"/>
  <c r="AA262" i="1" s="1"/>
  <c r="AB12" i="2"/>
  <c r="AA106" i="1" s="1"/>
  <c r="AC59" i="2"/>
  <c r="AD27" i="2"/>
  <c r="AF98" i="2"/>
  <c r="AB70" i="2"/>
  <c r="AC86" i="2"/>
  <c r="AD41" i="2"/>
  <c r="AE26" i="2"/>
  <c r="AD29" i="2"/>
  <c r="AF77" i="2"/>
  <c r="AC93" i="2"/>
  <c r="AC34" i="2"/>
  <c r="AC99" i="2"/>
  <c r="AD83" i="2"/>
  <c r="AC20" i="2"/>
  <c r="AB31" i="2"/>
  <c r="AC54" i="2"/>
  <c r="AD78" i="2"/>
  <c r="AC73" i="2"/>
  <c r="AD73" i="2"/>
  <c r="AB74" i="2"/>
  <c r="AC29" i="2"/>
  <c r="AC17" i="2"/>
  <c r="AD87" i="2"/>
  <c r="AB33" i="2"/>
  <c r="AA138" i="1" s="1"/>
  <c r="AB53" i="2"/>
  <c r="AC45" i="2"/>
  <c r="AC7" i="2"/>
  <c r="AB78" i="2"/>
  <c r="AA252" i="1" s="1"/>
  <c r="AE68" i="2"/>
  <c r="AC43" i="2"/>
  <c r="AB32" i="2"/>
  <c r="AA137" i="1" s="1"/>
  <c r="AB90" i="2"/>
  <c r="AD52" i="2"/>
  <c r="AD23" i="2"/>
  <c r="AB25" i="2"/>
  <c r="AA128" i="1" s="1"/>
  <c r="AE15" i="2"/>
  <c r="AB65" i="2"/>
  <c r="AD46" i="2"/>
  <c r="AF84" i="2"/>
  <c r="AF23" i="2"/>
  <c r="AF58" i="2"/>
  <c r="AE55" i="2"/>
  <c r="AB63" i="2"/>
  <c r="AA224" i="1" s="1"/>
  <c r="AB95" i="2"/>
  <c r="AA263" i="1" s="1"/>
  <c r="AB55" i="2"/>
  <c r="AE74" i="2"/>
  <c r="AD65" i="2"/>
  <c r="AE69" i="2"/>
  <c r="AF79" i="2"/>
  <c r="AC63" i="2"/>
  <c r="AD71" i="2"/>
  <c r="AC94" i="2"/>
  <c r="AD11" i="2"/>
  <c r="AE92" i="2"/>
  <c r="AF52" i="2"/>
  <c r="AB109" i="2"/>
  <c r="AC89" i="2"/>
  <c r="AB8" i="2"/>
  <c r="AF43" i="2"/>
  <c r="AC104" i="2"/>
  <c r="AD10" i="2"/>
  <c r="AD45" i="2"/>
  <c r="AE32" i="2"/>
  <c r="AD40" i="2"/>
  <c r="AF81" i="2"/>
  <c r="AC109" i="2"/>
  <c r="AC49" i="2"/>
  <c r="AF14" i="2"/>
  <c r="AD91" i="2"/>
  <c r="AC60" i="2"/>
  <c r="AE77" i="2"/>
  <c r="AB27" i="2"/>
  <c r="AA124" i="1" s="1"/>
  <c r="AC9" i="2"/>
  <c r="AB6" i="2"/>
  <c r="AA99" i="1" s="1"/>
  <c r="AD66" i="2"/>
  <c r="AD98" i="2"/>
  <c r="AD63" i="2"/>
  <c r="AC79" i="2"/>
  <c r="AC47" i="2"/>
  <c r="AE75" i="2"/>
  <c r="AD97" i="2"/>
  <c r="AF19" i="2"/>
  <c r="AF54" i="2"/>
  <c r="AE49" i="2"/>
  <c r="AF6" i="2"/>
  <c r="AE107" i="2"/>
  <c r="AE19" i="2"/>
  <c r="AC24" i="2"/>
  <c r="AE10" i="2"/>
  <c r="AF104" i="2"/>
  <c r="AE52" i="2"/>
  <c r="AE63" i="2"/>
  <c r="AB75" i="2"/>
  <c r="AA251" i="1" s="1"/>
  <c r="AA253" i="1" s="1"/>
  <c r="AF11" i="2"/>
  <c r="AD12" i="2"/>
  <c r="AD47" i="2"/>
  <c r="AC35" i="2"/>
  <c r="AD44" i="2"/>
  <c r="AF83" i="2"/>
  <c r="AD42" i="2"/>
  <c r="AC69" i="2"/>
  <c r="AF57" i="2"/>
  <c r="AF68" i="2"/>
  <c r="AB29" i="2"/>
  <c r="AA139" i="1" s="1"/>
  <c r="AE12" i="2"/>
  <c r="AB10" i="2"/>
  <c r="AD68" i="2"/>
  <c r="AD104" i="2"/>
  <c r="AC6" i="2"/>
  <c r="AE82" i="2"/>
  <c r="AC64" i="2"/>
  <c r="AC80" i="2"/>
  <c r="AD105" i="2"/>
  <c r="AF108" i="2"/>
  <c r="AB50" i="2"/>
  <c r="AA241" i="1" s="1"/>
  <c r="AE96" i="2"/>
  <c r="AC85" i="2"/>
  <c r="AE23" i="2"/>
  <c r="AC5" i="2"/>
  <c r="AC113" i="2" s="1"/>
  <c r="AD96" i="2"/>
  <c r="AE64" i="2"/>
  <c r="AB88" i="2"/>
  <c r="AD77" i="2"/>
  <c r="AB73" i="2"/>
  <c r="AA235" i="1" s="1"/>
  <c r="AE58" i="2"/>
  <c r="AB59" i="2"/>
  <c r="AC16" i="2"/>
  <c r="AF21" i="2"/>
  <c r="AF56" i="2"/>
  <c r="AC52" i="2"/>
  <c r="AB61" i="2"/>
  <c r="AB93" i="2"/>
  <c r="AA264" i="1" s="1"/>
  <c r="AB47" i="2"/>
  <c r="AA216" i="1" s="1"/>
  <c r="AA220" i="1" s="1"/>
  <c r="AC71" i="2"/>
  <c r="AD61" i="2"/>
  <c r="AE35" i="2"/>
  <c r="AB86" i="2"/>
  <c r="AA227" i="1" s="1"/>
  <c r="AD14" i="2"/>
  <c r="AD49" i="2"/>
  <c r="AE41" i="2"/>
  <c r="AD48" i="2"/>
  <c r="AF85" i="2"/>
  <c r="AD15" i="2"/>
  <c r="AE60" i="2"/>
  <c r="AF30" i="2"/>
  <c r="AD99" i="2"/>
  <c r="AF88" i="2"/>
  <c r="AB58" i="2"/>
  <c r="AB14" i="2"/>
  <c r="AA112" i="1" s="1"/>
  <c r="AD86" i="2"/>
  <c r="AE106" i="2"/>
  <c r="AC90" i="2"/>
  <c r="AB110" i="2"/>
  <c r="AA159" i="1" s="1"/>
  <c r="AD33" i="2"/>
  <c r="AE44" i="2"/>
  <c r="AD107" i="2"/>
  <c r="AB52" i="2"/>
  <c r="AA243" i="1" s="1"/>
  <c r="AD80" i="2"/>
  <c r="AB72" i="2"/>
  <c r="AA234" i="1" s="1"/>
  <c r="AC58" i="2"/>
  <c r="AC98" i="2"/>
  <c r="AD19" i="2"/>
  <c r="AB7" i="2"/>
  <c r="AA100" i="1" s="1"/>
  <c r="AE54" i="2"/>
  <c r="AE93" i="2"/>
  <c r="AF63" i="2"/>
  <c r="AE17" i="2"/>
  <c r="AE45" i="2"/>
  <c r="AD93" i="2"/>
  <c r="AB81" i="2"/>
  <c r="AF90" i="2"/>
  <c r="AC110" i="2"/>
  <c r="AF31" i="2"/>
  <c r="AE16" i="2"/>
  <c r="AF16" i="2"/>
  <c r="AB71" i="2"/>
  <c r="AA232" i="1" s="1"/>
  <c r="AB107" i="2"/>
  <c r="AA170" i="1" s="1"/>
  <c r="AC14" i="2"/>
  <c r="AE86" i="2"/>
  <c r="AF70" i="2"/>
  <c r="AD32" i="2"/>
  <c r="AF107" i="2"/>
  <c r="AC75" i="2"/>
  <c r="AE67" i="2"/>
  <c r="AB17" i="2"/>
  <c r="AA113" i="1" s="1"/>
  <c r="AE71" i="2"/>
  <c r="AD8" i="2"/>
  <c r="AC19" i="2"/>
  <c r="AB60" i="2"/>
  <c r="AC28" i="2"/>
  <c r="AF33" i="2"/>
  <c r="AB98" i="2"/>
  <c r="AD18" i="2"/>
  <c r="AD53" i="2"/>
  <c r="AE47" i="2"/>
  <c r="AD56" i="2"/>
  <c r="AF89" i="2"/>
  <c r="AD31" i="2"/>
  <c r="AE66" i="2"/>
  <c r="AF49" i="2"/>
  <c r="AF80" i="2"/>
  <c r="AE105" i="2"/>
  <c r="AB35" i="2"/>
  <c r="AA143" i="1" s="1"/>
  <c r="AC21" i="2"/>
  <c r="AB22" i="2"/>
  <c r="AD74" i="2"/>
  <c r="AD110" i="2"/>
  <c r="AE25" i="2"/>
  <c r="AC91" i="2"/>
  <c r="AB76" i="2"/>
  <c r="AA236" i="1" s="1"/>
  <c r="AA271" i="1" s="1"/>
  <c r="AE99" i="2"/>
  <c r="AF27" i="2"/>
  <c r="AF78" i="2"/>
  <c r="AD82" i="2"/>
  <c r="AB92" i="2"/>
  <c r="AC78" i="2"/>
  <c r="AC76" i="2"/>
  <c r="AD20" i="2"/>
  <c r="AD55" i="2"/>
  <c r="AC50" i="2"/>
  <c r="AF59" i="2"/>
  <c r="AF91" i="2"/>
  <c r="AE5" i="2"/>
  <c r="AC81" i="2"/>
  <c r="AE59" i="2"/>
  <c r="AB5" i="2"/>
  <c r="AB40" i="2"/>
  <c r="AE24" i="2"/>
  <c r="AB26" i="2"/>
  <c r="AD76" i="2"/>
  <c r="AB113" i="2"/>
  <c r="AA166" i="1" s="1"/>
  <c r="AC30" i="2"/>
  <c r="AC95" i="2"/>
  <c r="AB80" i="2"/>
  <c r="AA239" i="1" s="1"/>
  <c r="AC108" i="2"/>
  <c r="AE46" i="2"/>
  <c r="AE89" i="2"/>
  <c r="AC15" i="2"/>
  <c r="AF18" i="2"/>
  <c r="AB68" i="2"/>
  <c r="AA228" i="1" s="1"/>
  <c r="AD89" i="2"/>
  <c r="AE6" i="2"/>
  <c r="AD108" i="2"/>
  <c r="AE76" i="2"/>
  <c r="AC68" i="2"/>
  <c r="AE73" i="2"/>
  <c r="AB89" i="2"/>
  <c r="AB94" i="2"/>
  <c r="AB91" i="2"/>
  <c r="AE27" i="2"/>
  <c r="AF29" i="2"/>
  <c r="AC13" i="2"/>
  <c r="AF12" i="2"/>
  <c r="AB69" i="2"/>
  <c r="AB105" i="2"/>
  <c r="AE9" i="2"/>
  <c r="AC83" i="2"/>
  <c r="AF66" i="2"/>
  <c r="AE83" i="2"/>
  <c r="AB106" i="2"/>
  <c r="AA169" i="1" s="1"/>
  <c r="AD22" i="2"/>
  <c r="AD57" i="2"/>
  <c r="AE53" i="2"/>
  <c r="AF61" i="2"/>
  <c r="AF93" i="2"/>
  <c r="AD50" i="2"/>
  <c r="AE72" i="2"/>
  <c r="AB62" i="2"/>
  <c r="AC51" i="2"/>
  <c r="AE65" i="2"/>
  <c r="AC27" i="2"/>
  <c r="AB30" i="2"/>
  <c r="AA131" i="1" s="1"/>
  <c r="AD106" i="2"/>
  <c r="AF64" i="2"/>
  <c r="AE61" i="2"/>
  <c r="AD16" i="2"/>
  <c r="AF87" i="2"/>
  <c r="AC87" i="2"/>
  <c r="AF92" i="2"/>
  <c r="AE30" i="2"/>
  <c r="AD88" i="2"/>
  <c r="AB108" i="2"/>
  <c r="AA171" i="1" s="1"/>
  <c r="AB28" i="2"/>
  <c r="AB67" i="2"/>
  <c r="AA229" i="1" s="1"/>
  <c r="AE50" i="2"/>
  <c r="AD62" i="2"/>
  <c r="AD109" i="2"/>
  <c r="AD43" i="2"/>
  <c r="AF71" i="2"/>
  <c r="AE91" i="2"/>
  <c r="AD64" i="2"/>
  <c r="AF44" i="2"/>
  <c r="AE108" i="2"/>
  <c r="AC8" i="2"/>
  <c r="AF7" i="2"/>
  <c r="AF42" i="2"/>
  <c r="AE28" i="2"/>
  <c r="AF32" i="2"/>
  <c r="AB79" i="2"/>
  <c r="AA238" i="1" s="1"/>
  <c r="AC97" i="2"/>
  <c r="AC41" i="2"/>
  <c r="AC107" i="2"/>
  <c r="AF86" i="2"/>
  <c r="AC44" i="2"/>
  <c r="AE104" i="2"/>
  <c r="AE110" i="2"/>
  <c r="AE42" i="2"/>
  <c r="AB44" i="2"/>
  <c r="AB83" i="2"/>
  <c r="AA256" i="1" s="1"/>
  <c r="AE18" i="2"/>
  <c r="AC46" i="2"/>
  <c r="AE48" i="2"/>
  <c r="AF110" i="2"/>
  <c r="AF36" i="2"/>
  <c r="AC53" i="2"/>
  <c r="AE79" i="2"/>
  <c r="AD26" i="2"/>
  <c r="AE8" i="2"/>
  <c r="AD5" i="2"/>
  <c r="AF65" i="2"/>
  <c r="AF97" i="2"/>
  <c r="AF62" i="2"/>
  <c r="AE78" i="2"/>
  <c r="AE31" i="2"/>
  <c r="AC72" i="2"/>
  <c r="AF96" i="2"/>
  <c r="AB11" i="2"/>
  <c r="AA104" i="1" s="1"/>
  <c r="AB46" i="2"/>
  <c r="AC33" i="2"/>
  <c r="AB41" i="2"/>
  <c r="AA209" i="1" s="1"/>
  <c r="AB16" i="2"/>
  <c r="AF35" i="2"/>
  <c r="AB111" i="2"/>
  <c r="AB112" i="2"/>
  <c r="AA165" i="1" s="1"/>
  <c r="AA212" i="1" l="1"/>
  <c r="CL78" i="1"/>
  <c r="AD7" i="1"/>
  <c r="AD33" i="1" s="1"/>
  <c r="AE7" i="1"/>
  <c r="AE33" i="1" s="1"/>
  <c r="CK44" i="1"/>
  <c r="CJ44" i="1"/>
  <c r="CX9" i="1"/>
  <c r="AC9" i="1"/>
  <c r="CL31" i="1"/>
  <c r="AA246" i="1"/>
  <c r="AA129" i="1"/>
  <c r="AA344" i="1"/>
  <c r="AA286" i="1"/>
  <c r="AA345" i="1"/>
  <c r="AA101" i="1"/>
  <c r="AA323" i="1"/>
  <c r="AA275" i="1"/>
  <c r="AA240" i="1"/>
  <c r="AA272" i="1"/>
  <c r="AA265" i="1"/>
  <c r="AA248" i="1"/>
  <c r="AA223" i="1"/>
  <c r="AA226" i="1" s="1"/>
  <c r="AA230" i="1" s="1"/>
  <c r="AA118" i="1"/>
  <c r="AA340" i="1"/>
  <c r="AA249" i="1"/>
  <c r="AA274" i="1"/>
  <c r="AA221" i="1"/>
  <c r="AA260" i="1"/>
  <c r="AA201" i="1" s="1"/>
  <c r="AA277" i="1"/>
  <c r="AA276" i="1" s="1"/>
  <c r="AA107" i="1"/>
  <c r="AA190" i="1"/>
  <c r="AA336" i="1"/>
  <c r="AA119" i="1"/>
  <c r="AA267" i="1"/>
  <c r="AC12" i="1"/>
  <c r="AC38" i="1" s="1"/>
  <c r="AC14" i="1"/>
  <c r="AC40" i="1" s="1"/>
  <c r="AC13" i="1"/>
  <c r="AC39" i="1" s="1"/>
  <c r="CT6" i="1"/>
  <c r="AC6" i="1" s="1"/>
  <c r="AB6" i="1"/>
  <c r="AB5" i="1" s="1"/>
  <c r="AD113" i="2"/>
  <c r="AD111" i="2"/>
  <c r="CU18" i="1"/>
  <c r="AA43" i="1"/>
  <c r="CU22" i="1"/>
  <c r="AC21" i="1"/>
  <c r="AC46" i="1" s="1"/>
  <c r="CU21" i="1"/>
  <c r="AC20" i="1"/>
  <c r="CU20" i="1"/>
  <c r="AB45" i="1"/>
  <c r="CY13" i="1"/>
  <c r="AB38" i="1"/>
  <c r="CS5" i="1"/>
  <c r="CS32" i="1"/>
  <c r="CW6" i="1"/>
  <c r="CW5" i="1" s="1"/>
  <c r="CW31" i="1" s="1"/>
  <c r="CR32" i="1"/>
  <c r="CV6" i="1"/>
  <c r="CV5" i="1" s="1"/>
  <c r="CU32" i="1"/>
  <c r="CY6" i="1"/>
  <c r="CY32" i="1" s="1"/>
  <c r="CN31" i="1"/>
  <c r="CI37" i="1"/>
  <c r="CH37" i="1"/>
  <c r="CC37" i="1"/>
  <c r="CB37" i="1"/>
  <c r="CA37" i="1"/>
  <c r="CH31" i="1"/>
  <c r="CG31" i="1"/>
  <c r="CF31" i="1"/>
  <c r="CE31" i="1"/>
  <c r="CT18" i="1"/>
  <c r="CX18" i="1" s="1"/>
  <c r="DB18" i="1" s="1"/>
  <c r="AB18" i="1"/>
  <c r="CT22" i="1"/>
  <c r="CX22" i="1" s="1"/>
  <c r="DB22" i="1" s="1"/>
  <c r="AB22" i="1"/>
  <c r="AB47" i="1" s="1"/>
  <c r="AA5" i="1"/>
  <c r="AA31" i="1" s="1"/>
  <c r="AA32" i="1"/>
  <c r="AB34" i="1"/>
  <c r="AB33" i="1"/>
  <c r="AA33" i="1"/>
  <c r="AB35" i="1"/>
  <c r="Y17" i="1"/>
  <c r="Y44" i="1"/>
  <c r="Z17" i="1"/>
  <c r="Z44" i="1"/>
  <c r="CI17" i="1"/>
  <c r="CI44" i="1"/>
  <c r="CH17" i="1"/>
  <c r="CH44" i="1"/>
  <c r="CG17" i="1"/>
  <c r="CG44" i="1"/>
  <c r="CF17" i="1"/>
  <c r="CF44" i="1"/>
  <c r="CE17" i="1"/>
  <c r="CE44" i="1"/>
  <c r="CD17" i="1"/>
  <c r="CD44" i="1"/>
  <c r="CC17" i="1"/>
  <c r="CC42" i="1" s="1"/>
  <c r="CC44" i="1"/>
  <c r="CB17" i="1"/>
  <c r="CB42" i="1" s="1"/>
  <c r="CB44" i="1"/>
  <c r="CA17" i="1"/>
  <c r="CA42" i="1" s="1"/>
  <c r="CA44" i="1"/>
  <c r="CK78" i="1"/>
  <c r="CK31" i="1"/>
  <c r="CK83" i="1"/>
  <c r="CO31" i="1"/>
  <c r="CU9" i="1"/>
  <c r="CQ35" i="1"/>
  <c r="CM35" i="1"/>
  <c r="CA31" i="1"/>
  <c r="CI31" i="1"/>
  <c r="CD37" i="1"/>
  <c r="CR31" i="1"/>
  <c r="CB31" i="1"/>
  <c r="CE37" i="1"/>
  <c r="CC31" i="1"/>
  <c r="CF83" i="1"/>
  <c r="CF37" i="1"/>
  <c r="CJ83" i="1"/>
  <c r="CJ37" i="1"/>
  <c r="CD31" i="1"/>
  <c r="CG37" i="1"/>
  <c r="CJ78" i="1"/>
  <c r="CJ31" i="1"/>
  <c r="CT8" i="1"/>
  <c r="AC8" i="1" s="1"/>
  <c r="CP34" i="1"/>
  <c r="CP5" i="1"/>
  <c r="CP31" i="1" s="1"/>
  <c r="CM5" i="1"/>
  <c r="CM31" i="1" s="1"/>
  <c r="CS31" i="1"/>
  <c r="DB12" i="1"/>
  <c r="CU14" i="1"/>
  <c r="AD14" i="1" s="1"/>
  <c r="CV13" i="1"/>
  <c r="AD13" i="1" s="1"/>
  <c r="CW12" i="1"/>
  <c r="AD12" i="1" s="1"/>
  <c r="Y78" i="1"/>
  <c r="Z78" i="1"/>
  <c r="Y83" i="1"/>
  <c r="Z83" i="1"/>
  <c r="X78" i="1"/>
  <c r="Z90" i="1"/>
  <c r="X64" i="1"/>
  <c r="X88" i="1" s="1"/>
  <c r="X90" i="1"/>
  <c r="Z64" i="1"/>
  <c r="Y64" i="1"/>
  <c r="Y90" i="1"/>
  <c r="X83" i="1"/>
  <c r="BW64" i="1"/>
  <c r="BW88" i="1" s="1"/>
  <c r="BW90" i="1"/>
  <c r="CG64" i="1"/>
  <c r="CG88" i="1" s="1"/>
  <c r="CG90" i="1"/>
  <c r="BZ64" i="1"/>
  <c r="BZ90" i="1"/>
  <c r="CH64" i="1"/>
  <c r="CH88" i="1" s="1"/>
  <c r="CH90" i="1"/>
  <c r="CA64" i="1"/>
  <c r="CA88" i="1" s="1"/>
  <c r="CA90" i="1"/>
  <c r="CI64" i="1"/>
  <c r="CI88" i="1" s="1"/>
  <c r="CI90" i="1"/>
  <c r="CB64" i="1"/>
  <c r="CB88" i="1" s="1"/>
  <c r="CB90" i="1"/>
  <c r="CJ17" i="1"/>
  <c r="CJ42" i="1" s="1"/>
  <c r="CJ90" i="1"/>
  <c r="CC64" i="1"/>
  <c r="CC88" i="1" s="1"/>
  <c r="CC90" i="1"/>
  <c r="CE64" i="1"/>
  <c r="CE88" i="1" s="1"/>
  <c r="CE90" i="1"/>
  <c r="BX64" i="1"/>
  <c r="BX88" i="1" s="1"/>
  <c r="BX90" i="1"/>
  <c r="CF64" i="1"/>
  <c r="CF88" i="1" s="1"/>
  <c r="CF90" i="1"/>
  <c r="BY64" i="1"/>
  <c r="BY88" i="1" s="1"/>
  <c r="BY90" i="1"/>
  <c r="CK17" i="1"/>
  <c r="CK90" i="1"/>
  <c r="CD64" i="1"/>
  <c r="CD88" i="1" s="1"/>
  <c r="CD90" i="1"/>
  <c r="CA83" i="1"/>
  <c r="CB83" i="1"/>
  <c r="CC83" i="1"/>
  <c r="CD83" i="1"/>
  <c r="BW83" i="1"/>
  <c r="CE83" i="1"/>
  <c r="BX83" i="1"/>
  <c r="CG83" i="1"/>
  <c r="BY83" i="1"/>
  <c r="CH83" i="1"/>
  <c r="BZ83" i="1"/>
  <c r="CI83" i="1"/>
  <c r="Y37" i="1"/>
  <c r="BW78" i="1"/>
  <c r="CF78" i="1"/>
  <c r="CE78" i="1"/>
  <c r="BX78" i="1"/>
  <c r="CG78" i="1"/>
  <c r="BY78" i="1"/>
  <c r="CH78" i="1"/>
  <c r="CA78" i="1"/>
  <c r="CI78" i="1"/>
  <c r="CB78" i="1"/>
  <c r="CC78" i="1"/>
  <c r="CD78" i="1"/>
  <c r="CK37" i="1"/>
  <c r="Y31" i="1"/>
  <c r="X27" i="1"/>
  <c r="CF27" i="1"/>
  <c r="BX27" i="1"/>
  <c r="CH27" i="1"/>
  <c r="BZ52" i="1"/>
  <c r="BZ78" i="1" s="1"/>
  <c r="BW27" i="1"/>
  <c r="CE27" i="1"/>
  <c r="BY27" i="1"/>
  <c r="CG27" i="1"/>
  <c r="CA27" i="1"/>
  <c r="CI27" i="1"/>
  <c r="CB27" i="1"/>
  <c r="CC27" i="1"/>
  <c r="CD27" i="1"/>
  <c r="BZ17" i="1"/>
  <c r="BZ27" i="1" s="1"/>
  <c r="CR129" i="1"/>
  <c r="CS129" i="1" s="1"/>
  <c r="CT129" i="1" s="1"/>
  <c r="CU129" i="1" s="1"/>
  <c r="CV129" i="1" s="1"/>
  <c r="CW129" i="1" s="1"/>
  <c r="CX129" i="1" s="1"/>
  <c r="CY129" i="1" s="1"/>
  <c r="CZ129" i="1" s="1"/>
  <c r="DA129" i="1" s="1"/>
  <c r="DB129" i="1" s="1"/>
  <c r="B1" i="9"/>
  <c r="AE111" i="2"/>
  <c r="AC111" i="2"/>
  <c r="AD112" i="2"/>
  <c r="AE113" i="2"/>
  <c r="A1" i="9"/>
  <c r="AC112" i="2"/>
  <c r="AE112" i="2"/>
  <c r="L1" i="9"/>
  <c r="AF111" i="2"/>
  <c r="CX35" i="1" l="1"/>
  <c r="DB9" i="1"/>
  <c r="DB35" i="1" s="1"/>
  <c r="CT32" i="1"/>
  <c r="CX6" i="1"/>
  <c r="AB32" i="1"/>
  <c r="AC35" i="1"/>
  <c r="AD9" i="1"/>
  <c r="AD35" i="1" s="1"/>
  <c r="AD40" i="1"/>
  <c r="Y88" i="1"/>
  <c r="Z42" i="1"/>
  <c r="Y42" i="1"/>
  <c r="Y27" i="1"/>
  <c r="Z27" i="1"/>
  <c r="AA257" i="1"/>
  <c r="CG42" i="1"/>
  <c r="CH42" i="1"/>
  <c r="CE42" i="1"/>
  <c r="CI42" i="1"/>
  <c r="CF42" i="1"/>
  <c r="CV31" i="1"/>
  <c r="AA338" i="1"/>
  <c r="AA125" i="1"/>
  <c r="AA273" i="1"/>
  <c r="AA278" i="1"/>
  <c r="AA120" i="1"/>
  <c r="AA108" i="1"/>
  <c r="AA258" i="1"/>
  <c r="AC18" i="1"/>
  <c r="AD39" i="1"/>
  <c r="AB31" i="1"/>
  <c r="AC32" i="1"/>
  <c r="AC22" i="1"/>
  <c r="AC47" i="1" s="1"/>
  <c r="DB6" i="1"/>
  <c r="AD6" i="1"/>
  <c r="AD32" i="1" s="1"/>
  <c r="CX32" i="1"/>
  <c r="AC43" i="1"/>
  <c r="AD18" i="1"/>
  <c r="CY18" i="1"/>
  <c r="AE18" i="1" s="1"/>
  <c r="AD22" i="1"/>
  <c r="CY22" i="1"/>
  <c r="AE22" i="1" s="1"/>
  <c r="AE47" i="1" s="1"/>
  <c r="AD21" i="1"/>
  <c r="AD46" i="1" s="1"/>
  <c r="CY21" i="1"/>
  <c r="AE21" i="1" s="1"/>
  <c r="AE46" i="1" s="1"/>
  <c r="AC45" i="1"/>
  <c r="AD20" i="1"/>
  <c r="CY20" i="1"/>
  <c r="AE20" i="1" s="1"/>
  <c r="CW32" i="1"/>
  <c r="DA6" i="1"/>
  <c r="CV32" i="1"/>
  <c r="CZ6" i="1"/>
  <c r="AB43" i="1"/>
  <c r="CD42" i="1"/>
  <c r="AC5" i="1"/>
  <c r="AC31" i="1" s="1"/>
  <c r="AC34" i="1"/>
  <c r="AD38" i="1"/>
  <c r="CY9" i="1"/>
  <c r="AE9" i="1" s="1"/>
  <c r="AE35" i="1" s="1"/>
  <c r="CU35" i="1"/>
  <c r="CU5" i="1"/>
  <c r="CU31" i="1" s="1"/>
  <c r="AA15" i="1"/>
  <c r="AA11" i="1" s="1"/>
  <c r="AA37" i="1" s="1"/>
  <c r="CL11" i="1"/>
  <c r="CQ31" i="1"/>
  <c r="CJ88" i="1"/>
  <c r="CK88" i="1"/>
  <c r="CK42" i="1"/>
  <c r="CX8" i="1"/>
  <c r="AD8" i="1" s="1"/>
  <c r="CT34" i="1"/>
  <c r="CT5" i="1"/>
  <c r="CT31" i="1" s="1"/>
  <c r="CY14" i="1"/>
  <c r="AE14" i="1" s="1"/>
  <c r="AE40" i="1" s="1"/>
  <c r="CZ13" i="1"/>
  <c r="AE13" i="1" s="1"/>
  <c r="AE39" i="1" s="1"/>
  <c r="DA12" i="1"/>
  <c r="AE12" i="1" s="1"/>
  <c r="CG74" i="1"/>
  <c r="X74" i="1"/>
  <c r="Z74" i="1"/>
  <c r="Z88" i="1"/>
  <c r="Y74" i="1"/>
  <c r="BX74" i="1"/>
  <c r="CE74" i="1"/>
  <c r="CC74" i="1"/>
  <c r="BY74" i="1"/>
  <c r="BW74" i="1"/>
  <c r="CA74" i="1"/>
  <c r="BZ88" i="1"/>
  <c r="CK27" i="1"/>
  <c r="CB74" i="1"/>
  <c r="CD74" i="1"/>
  <c r="CH74" i="1"/>
  <c r="CF74" i="1"/>
  <c r="CI74" i="1"/>
  <c r="CJ27" i="1"/>
  <c r="BZ74" i="1"/>
  <c r="DB331" i="1"/>
  <c r="DA331" i="1"/>
  <c r="CZ331" i="1"/>
  <c r="CY331" i="1"/>
  <c r="CX331" i="1"/>
  <c r="CW331" i="1"/>
  <c r="CV331" i="1"/>
  <c r="CU331" i="1"/>
  <c r="CT331" i="1"/>
  <c r="CS331" i="1"/>
  <c r="CR331" i="1"/>
  <c r="CQ331" i="1"/>
  <c r="CP331" i="1"/>
  <c r="CO331" i="1"/>
  <c r="CN331" i="1"/>
  <c r="CM331" i="1"/>
  <c r="CK331" i="1"/>
  <c r="CK228" i="1"/>
  <c r="CM228" i="1" s="1"/>
  <c r="CN228" i="1" s="1"/>
  <c r="CO228" i="1" s="1"/>
  <c r="CP228" i="1" s="1"/>
  <c r="CQ228" i="1" s="1"/>
  <c r="CR228" i="1" s="1"/>
  <c r="CS228" i="1" s="1"/>
  <c r="CT228" i="1" s="1"/>
  <c r="CU228" i="1" s="1"/>
  <c r="CV228" i="1" s="1"/>
  <c r="CW228" i="1" s="1"/>
  <c r="CX228" i="1" s="1"/>
  <c r="CY228" i="1" s="1"/>
  <c r="CZ228" i="1" s="1"/>
  <c r="DA228" i="1" s="1"/>
  <c r="DB228" i="1" s="1"/>
  <c r="CH244" i="1"/>
  <c r="CJ331" i="1"/>
  <c r="Z331" i="1"/>
  <c r="CL37" i="1" l="1"/>
  <c r="CL83" i="1"/>
  <c r="AA126" i="1"/>
  <c r="AA121" i="1"/>
  <c r="AA204" i="1"/>
  <c r="AA324" i="1"/>
  <c r="AA325" i="1" s="1"/>
  <c r="AD47" i="1"/>
  <c r="DB32" i="1"/>
  <c r="AE6" i="1"/>
  <c r="AE32" i="1" s="1"/>
  <c r="AD43" i="1"/>
  <c r="AE43" i="1"/>
  <c r="AD45" i="1"/>
  <c r="AE45" i="1"/>
  <c r="DA32" i="1"/>
  <c r="DA5" i="1"/>
  <c r="DA31" i="1" s="1"/>
  <c r="CZ32" i="1"/>
  <c r="CZ5" i="1"/>
  <c r="CZ31" i="1" s="1"/>
  <c r="AD5" i="1"/>
  <c r="AD31" i="1" s="1"/>
  <c r="AD34" i="1"/>
  <c r="AE38" i="1"/>
  <c r="CM15" i="1"/>
  <c r="DB8" i="1"/>
  <c r="AE8" i="1" s="1"/>
  <c r="CX34" i="1"/>
  <c r="CX5" i="1"/>
  <c r="CX31" i="1" s="1"/>
  <c r="CY35" i="1"/>
  <c r="CY5" i="1"/>
  <c r="CY31" i="1" s="1"/>
  <c r="CI331" i="1"/>
  <c r="CG228" i="1"/>
  <c r="CG331" i="1"/>
  <c r="CH331" i="1"/>
  <c r="AB104" i="1"/>
  <c r="AC104" i="1"/>
  <c r="AD104" i="1"/>
  <c r="AE104" i="1"/>
  <c r="AB105" i="1"/>
  <c r="AC105" i="1"/>
  <c r="AD105" i="1"/>
  <c r="AE105" i="1"/>
  <c r="AB139" i="1"/>
  <c r="AC139" i="1"/>
  <c r="AD139" i="1"/>
  <c r="AE139" i="1"/>
  <c r="AB251" i="1"/>
  <c r="AC251" i="1"/>
  <c r="AD251" i="1"/>
  <c r="AE251" i="1"/>
  <c r="AB265" i="1"/>
  <c r="AC265" i="1"/>
  <c r="AD265" i="1"/>
  <c r="AE265" i="1"/>
  <c r="CE228" i="1"/>
  <c r="CE331" i="1"/>
  <c r="CF331" i="1"/>
  <c r="AI289" i="1"/>
  <c r="AI294" i="1"/>
  <c r="AI298" i="1"/>
  <c r="AI301" i="1"/>
  <c r="AI331" i="1"/>
  <c r="Y331" i="1"/>
  <c r="AM228" i="1"/>
  <c r="AO228" i="1"/>
  <c r="AQ228" i="1"/>
  <c r="AS228" i="1"/>
  <c r="AU228" i="1"/>
  <c r="AW228" i="1"/>
  <c r="AY228" i="1"/>
  <c r="BA228" i="1"/>
  <c r="BC228" i="1"/>
  <c r="BE228" i="1"/>
  <c r="BG228" i="1"/>
  <c r="BI228" i="1"/>
  <c r="BK228" i="1"/>
  <c r="BM228" i="1"/>
  <c r="BO228" i="1"/>
  <c r="BQ228" i="1"/>
  <c r="BS228" i="1"/>
  <c r="BU228" i="1"/>
  <c r="BW228" i="1"/>
  <c r="BY228" i="1"/>
  <c r="CA228" i="1"/>
  <c r="CC228" i="1"/>
  <c r="CD331" i="1"/>
  <c r="CC331" i="1"/>
  <c r="AJ331" i="1"/>
  <c r="AK331" i="1"/>
  <c r="AL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30" i="1" l="1"/>
  <c r="AA147" i="1"/>
  <c r="CM11" i="1"/>
  <c r="CM37" i="1" s="1"/>
  <c r="AE5" i="1"/>
  <c r="AE31" i="1" s="1"/>
  <c r="AE34" i="1"/>
  <c r="DB34" i="1"/>
  <c r="DB5" i="1"/>
  <c r="DB31" i="1" s="1"/>
  <c r="Y1" i="1"/>
  <c r="Z1" i="1" s="1"/>
  <c r="AA132" i="1" l="1"/>
  <c r="AA133" i="1"/>
  <c r="CN15" i="1"/>
  <c r="CN11" i="1" s="1"/>
  <c r="CN37" i="1" s="1"/>
  <c r="AA1" i="1"/>
  <c r="AB1" i="1" s="1"/>
  <c r="AC1" i="1" s="1"/>
  <c r="AD1" i="1" s="1"/>
  <c r="AE1" i="1" s="1"/>
  <c r="AA326" i="1" l="1"/>
  <c r="AA140" i="1"/>
  <c r="AA134" i="1"/>
  <c r="AA337" i="1" s="1"/>
  <c r="CO15" i="1"/>
  <c r="CO11" i="1" s="1"/>
  <c r="CP15" i="1" s="1"/>
  <c r="A1" i="3"/>
  <c r="AA144" i="1" l="1"/>
  <c r="AA146" i="1"/>
  <c r="AA285" i="1"/>
  <c r="AA287" i="1" s="1"/>
  <c r="CO37" i="1"/>
  <c r="CP11" i="1"/>
  <c r="CQ15" i="1" s="1"/>
  <c r="AB15" i="1"/>
  <c r="AB11" i="1" s="1"/>
  <c r="AB37" i="1" s="1"/>
  <c r="AY14" i="3"/>
  <c r="AY12" i="3"/>
  <c r="CP37" i="1"/>
  <c r="A1" i="6"/>
  <c r="A1" i="4"/>
  <c r="BQ17" i="3"/>
  <c r="BQ41" i="3"/>
  <c r="BT26" i="3"/>
  <c r="BK13" i="3"/>
  <c r="BV23" i="3"/>
  <c r="BS7" i="3"/>
  <c r="BS31" i="3"/>
  <c r="BF11" i="3"/>
  <c r="BL5" i="3"/>
  <c r="BM9" i="3"/>
  <c r="BI45" i="3"/>
  <c r="BE42" i="3"/>
  <c r="BJ14" i="3"/>
  <c r="BG40" i="3"/>
  <c r="BI26" i="3"/>
  <c r="Y76" i="2"/>
  <c r="AA94" i="2"/>
  <c r="BB41" i="3"/>
  <c r="Z11" i="2"/>
  <c r="BD10" i="3"/>
  <c r="Z31" i="2"/>
  <c r="Y30" i="2"/>
  <c r="Z16" i="2"/>
  <c r="Y95" i="2"/>
  <c r="AA59" i="2"/>
  <c r="Z74" i="2"/>
  <c r="FA6" i="4" a="1"/>
  <c r="FD11" i="4" a="1"/>
  <c r="FD13" i="4" a="1"/>
  <c r="BN25" i="3"/>
  <c r="BJ46" i="3"/>
  <c r="BJ16" i="3"/>
  <c r="BU23" i="3"/>
  <c r="BV6" i="3"/>
  <c r="BM33" i="3"/>
  <c r="BI36" i="3"/>
  <c r="BR30" i="3"/>
  <c r="BO14" i="3"/>
  <c r="BO41" i="3"/>
  <c r="BL36" i="3"/>
  <c r="BT36" i="3"/>
  <c r="BE15" i="3"/>
  <c r="CK111" i="1" s="1"/>
  <c r="BJ23" i="3"/>
  <c r="BJ29" i="3"/>
  <c r="BH35" i="3"/>
  <c r="BL18" i="3"/>
  <c r="BJ8" i="3"/>
  <c r="V6" i="2"/>
  <c r="BC20" i="3"/>
  <c r="BD36" i="3"/>
  <c r="Z81" i="2"/>
  <c r="BD30" i="3"/>
  <c r="Y56" i="2"/>
  <c r="BB11" i="3"/>
  <c r="BC25" i="3"/>
  <c r="Z14" i="2"/>
  <c r="BB14" i="3"/>
  <c r="BQ12" i="3"/>
  <c r="BQ36" i="3"/>
  <c r="BT5" i="3"/>
  <c r="BJ35" i="3"/>
  <c r="BV18" i="3"/>
  <c r="BV42" i="3"/>
  <c r="BS26" i="3"/>
  <c r="BE33" i="3"/>
  <c r="BK37" i="3"/>
  <c r="BK10" i="3"/>
  <c r="BF5" i="3"/>
  <c r="BN14" i="3"/>
  <c r="BH27" i="3"/>
  <c r="BG42" i="3"/>
  <c r="BM28" i="3"/>
  <c r="AA110" i="2"/>
  <c r="Z9" i="2"/>
  <c r="BA19" i="3"/>
  <c r="Z53" i="2"/>
  <c r="BD11" i="3"/>
  <c r="AA5" i="2"/>
  <c r="Z99" i="2"/>
  <c r="AA23" i="2"/>
  <c r="AA83" i="2"/>
  <c r="BD20" i="3"/>
  <c r="FD12" i="4" a="1"/>
  <c r="FD9" i="4" a="1"/>
  <c r="BM15" i="3"/>
  <c r="BE29" i="3"/>
  <c r="BD42" i="3"/>
  <c r="BU6" i="3"/>
  <c r="BU30" i="3"/>
  <c r="BV13" i="3"/>
  <c r="BN17" i="3"/>
  <c r="BN32" i="3"/>
  <c r="BR37" i="3"/>
  <c r="BO21" i="3"/>
  <c r="BP10" i="3"/>
  <c r="BJ26" i="3"/>
  <c r="AA44" i="2"/>
  <c r="BQ19" i="3"/>
  <c r="BQ45" i="3"/>
  <c r="BP24" i="3"/>
  <c r="BM20" i="3"/>
  <c r="BV25" i="3"/>
  <c r="BS9" i="3"/>
  <c r="BS33" i="3"/>
  <c r="BJ17" i="3"/>
  <c r="BH31" i="3"/>
  <c r="BI11" i="3"/>
  <c r="BH8" i="3"/>
  <c r="BL27" i="3"/>
  <c r="BF40" i="3"/>
  <c r="BJ5" i="3"/>
  <c r="BK31" i="3"/>
  <c r="BU7" i="3"/>
  <c r="BU31" i="3"/>
  <c r="BS36" i="3"/>
  <c r="BF21" i="3"/>
  <c r="CL114" i="1" s="1"/>
  <c r="BR14" i="3"/>
  <c r="BR38" i="3"/>
  <c r="BO22" i="3"/>
  <c r="BP22" i="3"/>
  <c r="BM22" i="3"/>
  <c r="BP27" i="3"/>
  <c r="BI21" i="3"/>
  <c r="BE10" i="3"/>
  <c r="BF30" i="3"/>
  <c r="BT42" i="3"/>
  <c r="BL40" i="3"/>
  <c r="Y13" i="2"/>
  <c r="BQ26" i="3"/>
  <c r="BU14" i="3"/>
  <c r="BU38" i="3"/>
  <c r="BT35" i="3"/>
  <c r="BJ45" i="3"/>
  <c r="BR21" i="3"/>
  <c r="BO5" i="3"/>
  <c r="BO29" i="3"/>
  <c r="BE41" i="3"/>
  <c r="BF18" i="3"/>
  <c r="BM7" i="3"/>
  <c r="BE35" i="3"/>
  <c r="BK33" i="3"/>
  <c r="BL25" i="3"/>
  <c r="BI33" i="3"/>
  <c r="BK19" i="3"/>
  <c r="AA61" i="2"/>
  <c r="AA105" i="2"/>
  <c r="BC27" i="3"/>
  <c r="AA79" i="2"/>
  <c r="BC28" i="3"/>
  <c r="Y96" i="2"/>
  <c r="Y90" i="2"/>
  <c r="Z65" i="2"/>
  <c r="Y27" i="2"/>
  <c r="Y63" i="2"/>
  <c r="EX13" i="4" a="1"/>
  <c r="FC15" i="4" a="1"/>
  <c r="AA78" i="2"/>
  <c r="BB37" i="3"/>
  <c r="Y61" i="2"/>
  <c r="AA88" i="2"/>
  <c r="AA13" i="2"/>
  <c r="BQ21" i="3"/>
  <c r="BK26" i="3"/>
  <c r="BG27" i="3"/>
  <c r="BV27" i="3"/>
  <c r="BS11" i="3"/>
  <c r="BO36" i="3"/>
  <c r="BF27" i="3"/>
  <c r="BT16" i="3"/>
  <c r="BE13" i="3"/>
  <c r="BF15" i="3"/>
  <c r="CL111" i="1" s="1"/>
  <c r="BH15" i="3"/>
  <c r="BN36" i="3"/>
  <c r="BJ11" i="3"/>
  <c r="BH45" i="3"/>
  <c r="Z108" i="2"/>
  <c r="BU9" i="3"/>
  <c r="BU33" i="3"/>
  <c r="BS40" i="3"/>
  <c r="BL26" i="3"/>
  <c r="BR16" i="3"/>
  <c r="BR40" i="3"/>
  <c r="BO24" i="3"/>
  <c r="BG29" i="3"/>
  <c r="BP29" i="3"/>
  <c r="BE23" i="3"/>
  <c r="BI16" i="3"/>
  <c r="BJ36" i="3"/>
  <c r="BP26" i="3"/>
  <c r="BI6" i="3"/>
  <c r="Z66" i="2"/>
  <c r="AA51" i="2"/>
  <c r="BD21" i="3"/>
  <c r="W6" i="2"/>
  <c r="Z12" i="2"/>
  <c r="Z6" i="2"/>
  <c r="BU22" i="3"/>
  <c r="BV5" i="3"/>
  <c r="BM31" i="3"/>
  <c r="BM32" i="3"/>
  <c r="BR29" i="3"/>
  <c r="BO13" i="3"/>
  <c r="BS39" i="3"/>
  <c r="BF33" i="3"/>
  <c r="BT28" i="3"/>
  <c r="BG14" i="3"/>
  <c r="BH20" i="3"/>
  <c r="BF36" i="3"/>
  <c r="BJ22" i="3"/>
  <c r="BJ15" i="3"/>
  <c r="BM40" i="3"/>
  <c r="Y36" i="2"/>
  <c r="BC38" i="3"/>
  <c r="BC15" i="3"/>
  <c r="CI111" i="1" s="1"/>
  <c r="Z77" i="2"/>
  <c r="BC39" i="3"/>
  <c r="Z85" i="2"/>
  <c r="Y74" i="2"/>
  <c r="BA11" i="3"/>
  <c r="BD15" i="3"/>
  <c r="CJ111" i="1" s="1"/>
  <c r="Y87" i="2"/>
  <c r="FF9" i="4" a="1"/>
  <c r="FE15" i="4" a="1"/>
  <c r="FF11" i="4" a="1"/>
  <c r="AA74" i="2"/>
  <c r="BB10" i="3"/>
  <c r="Y14" i="2"/>
  <c r="C5" i="2"/>
  <c r="BS6" i="3"/>
  <c r="BM38" i="3"/>
  <c r="AA29" i="2"/>
  <c r="Z139" i="1" s="1"/>
  <c r="BA15" i="3"/>
  <c r="CG111" i="1" s="1"/>
  <c r="BC31" i="3"/>
  <c r="Z97" i="2"/>
  <c r="FF15" i="4" a="1"/>
  <c r="BS10" i="3"/>
  <c r="BF42" i="3"/>
  <c r="CL143" i="1" s="1"/>
  <c r="Z50" i="2"/>
  <c r="BC17" i="3"/>
  <c r="BA14" i="3"/>
  <c r="FE8" i="4" a="1"/>
  <c r="BP38" i="3"/>
  <c r="BV16" i="3"/>
  <c r="BI23" i="3"/>
  <c r="AA72" i="2"/>
  <c r="Y98" i="2"/>
  <c r="AA89" i="2"/>
  <c r="BC5" i="3"/>
  <c r="FE5" i="4" a="1"/>
  <c r="EX12" i="4" a="1"/>
  <c r="Z79" i="2"/>
  <c r="BQ34" i="3"/>
  <c r="BI39" i="3"/>
  <c r="BG32" i="3"/>
  <c r="BS18" i="3"/>
  <c r="BN18" i="3"/>
  <c r="Z13" i="2"/>
  <c r="BA32" i="3"/>
  <c r="BD9" i="3"/>
  <c r="Z8" i="2"/>
  <c r="BV26" i="3"/>
  <c r="BN11" i="3"/>
  <c r="Z72" i="2"/>
  <c r="BB19" i="3"/>
  <c r="BD46" i="3"/>
  <c r="BA25" i="3"/>
  <c r="EX5" i="4" a="1"/>
  <c r="Y15" i="2"/>
  <c r="BD7" i="3"/>
  <c r="EZ12" i="4" a="1"/>
  <c r="Z82" i="2"/>
  <c r="FC13" i="4" a="1"/>
  <c r="FB8" i="4" a="1"/>
  <c r="BV28" i="3"/>
  <c r="BH18" i="3"/>
  <c r="BD32" i="3"/>
  <c r="BC22" i="3"/>
  <c r="FD5" i="4" a="1"/>
  <c r="FB7" i="4" a="1"/>
  <c r="BR9" i="3"/>
  <c r="BL46" i="3"/>
  <c r="BF25" i="3"/>
  <c r="CL128" i="1" s="1"/>
  <c r="BD23" i="3"/>
  <c r="Z18" i="2"/>
  <c r="Z88" i="2"/>
  <c r="Z43" i="2"/>
  <c r="FE14" i="4" a="1"/>
  <c r="BC6" i="3"/>
  <c r="FB16" i="4" a="1"/>
  <c r="BA35" i="3"/>
  <c r="FA11" i="4" a="1"/>
  <c r="FA9" i="4" a="1"/>
  <c r="BA30" i="3"/>
  <c r="BI10" i="3"/>
  <c r="BE9" i="3"/>
  <c r="Y83" i="2"/>
  <c r="AA30" i="2"/>
  <c r="AA99" i="2"/>
  <c r="BI24" i="3"/>
  <c r="BG12" i="3"/>
  <c r="Y22" i="2"/>
  <c r="Y33" i="2"/>
  <c r="AA65" i="2"/>
  <c r="BA23" i="3"/>
  <c r="Y97" i="2"/>
  <c r="EX14" i="4" a="1"/>
  <c r="Y86" i="2"/>
  <c r="BV40" i="3"/>
  <c r="BI18" i="3"/>
  <c r="Z109" i="2"/>
  <c r="Z68" i="2"/>
  <c r="Z7" i="2"/>
  <c r="Y78" i="2"/>
  <c r="BB7" i="3"/>
  <c r="Z41" i="2"/>
  <c r="FD14" i="4" a="1"/>
  <c r="BD31" i="3"/>
  <c r="BT29" i="3"/>
  <c r="BL11" i="3"/>
  <c r="BE18" i="3"/>
  <c r="Y32" i="2"/>
  <c r="BF10" i="3"/>
  <c r="CL104" i="1" s="1"/>
  <c r="AA19" i="2"/>
  <c r="FB12" i="4" a="1"/>
  <c r="BC24" i="3"/>
  <c r="Z17" i="2"/>
  <c r="FB15" i="4" a="1"/>
  <c r="BE46" i="3"/>
  <c r="BA41" i="3"/>
  <c r="BA5" i="3"/>
  <c r="BB8" i="3"/>
  <c r="FD8" i="4" a="1"/>
  <c r="BM30" i="3"/>
  <c r="FE16" i="4" a="1"/>
  <c r="FB14" i="4" a="1"/>
  <c r="BV46" i="3"/>
  <c r="BD37" i="3"/>
  <c r="FF14" i="4" a="1"/>
  <c r="BC30" i="3"/>
  <c r="BN38" i="3"/>
  <c r="Y62" i="2"/>
  <c r="BM21" i="3"/>
  <c r="Y18" i="2"/>
  <c r="BT24" i="3"/>
  <c r="FF8" i="4" a="1"/>
  <c r="BV22" i="3"/>
  <c r="BP35" i="3"/>
  <c r="AA69" i="2"/>
  <c r="AA34" i="2"/>
  <c r="AA45" i="2"/>
  <c r="BP7" i="3"/>
  <c r="EX6" i="4" a="1"/>
  <c r="BB12" i="3"/>
  <c r="Z84" i="2"/>
  <c r="BC12" i="3"/>
  <c r="BE24" i="3"/>
  <c r="Z35" i="2"/>
  <c r="EY12" i="4" a="1"/>
  <c r="BG31" i="3"/>
  <c r="BD5" i="3"/>
  <c r="BQ23" i="3"/>
  <c r="BR6" i="3"/>
  <c r="BK32" i="3"/>
  <c r="BE34" i="3"/>
  <c r="BV29" i="3"/>
  <c r="BS13" i="3"/>
  <c r="BO40" i="3"/>
  <c r="BL34" i="3"/>
  <c r="BT32" i="3"/>
  <c r="BK14" i="3"/>
  <c r="BN21" i="3"/>
  <c r="BJ42" i="3"/>
  <c r="BN28" i="3"/>
  <c r="BF17" i="3"/>
  <c r="CL113" i="1" s="1"/>
  <c r="BI42" i="3"/>
  <c r="Y75" i="2"/>
  <c r="BB24" i="3"/>
  <c r="BD13" i="3"/>
  <c r="Y91" i="2"/>
  <c r="BB5" i="3"/>
  <c r="Y92" i="2"/>
  <c r="BB13" i="3"/>
  <c r="BB31" i="3"/>
  <c r="BC26" i="3"/>
  <c r="FA16" i="4" a="1"/>
  <c r="BD41" i="3"/>
  <c r="FE12" i="4" a="1"/>
  <c r="FB5" i="4" a="1"/>
  <c r="BG34" i="3"/>
  <c r="BE6" i="3"/>
  <c r="BH11" i="3"/>
  <c r="BU5" i="3"/>
  <c r="BU29" i="3"/>
  <c r="BV12" i="3"/>
  <c r="BL14" i="3"/>
  <c r="BF20" i="3"/>
  <c r="CL100" i="1" s="1"/>
  <c r="BR36" i="3"/>
  <c r="BO20" i="3"/>
  <c r="BT22" i="3"/>
  <c r="BE16" i="3"/>
  <c r="BP39" i="3"/>
  <c r="BM19" i="3"/>
  <c r="BL42" i="3"/>
  <c r="BL23" i="3"/>
  <c r="BT45" i="3"/>
  <c r="BF35" i="3"/>
  <c r="CL138" i="1" s="1"/>
  <c r="BF28" i="3"/>
  <c r="CL124" i="1" s="1"/>
  <c r="Y21" i="2"/>
  <c r="BA26" i="3"/>
  <c r="AA106" i="2"/>
  <c r="Y106" i="2"/>
  <c r="BB18" i="3"/>
  <c r="Y89" i="2"/>
  <c r="BT18" i="3"/>
  <c r="BC11" i="3"/>
  <c r="AA91" i="2"/>
  <c r="BA27" i="3"/>
  <c r="BQ18" i="3"/>
  <c r="BQ42" i="3"/>
  <c r="BP12" i="3"/>
  <c r="BG17" i="3"/>
  <c r="BV24" i="3"/>
  <c r="BS8" i="3"/>
  <c r="BS32" i="3"/>
  <c r="BH14" i="3"/>
  <c r="BJ18" i="3"/>
  <c r="BI15" i="3"/>
  <c r="BL24" i="3"/>
  <c r="BF6" i="3"/>
  <c r="CL99" i="1" s="1"/>
  <c r="BL41" i="3"/>
  <c r="BJ19" i="3"/>
  <c r="BH13" i="3"/>
  <c r="Z89" i="2"/>
  <c r="BB20" i="3"/>
  <c r="Y6" i="2"/>
  <c r="AA6" i="2"/>
  <c r="BA37" i="3"/>
  <c r="Z10" i="2"/>
  <c r="BA12" i="3"/>
  <c r="BA13" i="3"/>
  <c r="BA46" i="3"/>
  <c r="BB34" i="3"/>
  <c r="FB9" i="4" a="1"/>
  <c r="BN15" i="3"/>
  <c r="BH21" i="3"/>
  <c r="BL20" i="3"/>
  <c r="AA11" i="2"/>
  <c r="BU12" i="3"/>
  <c r="BU36" i="3"/>
  <c r="BT7" i="3"/>
  <c r="BF37" i="3"/>
  <c r="BR19" i="3"/>
  <c r="BR45" i="3"/>
  <c r="BO27" i="3"/>
  <c r="BH40" i="3"/>
  <c r="BG6" i="3"/>
  <c r="Z75" i="2"/>
  <c r="BQ25" i="3"/>
  <c r="BR8" i="3"/>
  <c r="BE39" i="3"/>
  <c r="BG41" i="3"/>
  <c r="BV31" i="3"/>
  <c r="BS15" i="3"/>
  <c r="BS46" i="3"/>
  <c r="BJ41" i="3"/>
  <c r="BP9" i="3"/>
  <c r="BG16" i="3"/>
  <c r="BN27" i="3"/>
  <c r="BH9" i="3"/>
  <c r="BJ30" i="3"/>
  <c r="BH22" i="3"/>
  <c r="BN22" i="3"/>
  <c r="BU13" i="3"/>
  <c r="BU37" i="3"/>
  <c r="BT23" i="3"/>
  <c r="BN39" i="3"/>
  <c r="BR20" i="3"/>
  <c r="BR46" i="3"/>
  <c r="BO28" i="3"/>
  <c r="BM37" i="3"/>
  <c r="BH5" i="3"/>
  <c r="BE7" i="3"/>
  <c r="BK28" i="3"/>
  <c r="BE30" i="3"/>
  <c r="BN12" i="3"/>
  <c r="BE31" i="3"/>
  <c r="BM16" i="3"/>
  <c r="BQ8" i="3"/>
  <c r="BQ32" i="3"/>
  <c r="BU20" i="3"/>
  <c r="BU46" i="3"/>
  <c r="BP46" i="3"/>
  <c r="BE26" i="3"/>
  <c r="BR27" i="3"/>
  <c r="BO11" i="3"/>
  <c r="BO35" i="3"/>
  <c r="BF23" i="3"/>
  <c r="CL127" i="1" s="1"/>
  <c r="BT12" i="3"/>
  <c r="BK12" i="3"/>
  <c r="BJ13" i="3"/>
  <c r="BN8" i="3"/>
  <c r="BF24" i="3"/>
  <c r="BN9" i="3"/>
  <c r="BK35" i="3"/>
  <c r="AA17" i="2"/>
  <c r="Z64" i="2"/>
  <c r="BB15" i="3"/>
  <c r="CH111" i="1" s="1"/>
  <c r="AA86" i="2"/>
  <c r="BC7" i="3"/>
  <c r="Y8" i="2"/>
  <c r="Z105" i="2"/>
  <c r="BD16" i="3"/>
  <c r="Y79" i="2"/>
  <c r="Y53" i="2"/>
  <c r="FC16" i="4" a="1"/>
  <c r="FF5" i="4" a="1"/>
  <c r="AA47" i="2"/>
  <c r="Y19" i="2"/>
  <c r="BC13" i="3"/>
  <c r="AA20" i="2"/>
  <c r="AA32" i="2"/>
  <c r="BQ27" i="3"/>
  <c r="BR10" i="3"/>
  <c r="BN5" i="3"/>
  <c r="BJ24" i="3"/>
  <c r="BV33" i="3"/>
  <c r="BS17" i="3"/>
  <c r="BT21" i="3"/>
  <c r="BM6" i="3"/>
  <c r="BP41" i="3"/>
  <c r="BM17" i="3"/>
  <c r="BH34" i="3"/>
  <c r="BL15" i="3"/>
  <c r="BT13" i="3"/>
  <c r="BK5" i="3"/>
  <c r="AA40" i="2"/>
  <c r="BD39" i="3"/>
  <c r="BU15" i="3"/>
  <c r="BU39" i="3"/>
  <c r="BM8" i="3"/>
  <c r="BR22" i="3"/>
  <c r="BO6" i="3"/>
  <c r="BO30" i="3"/>
  <c r="BH6" i="3"/>
  <c r="BN30" i="3"/>
  <c r="BK8" i="3"/>
  <c r="BG38" i="3"/>
  <c r="BM36" i="3"/>
  <c r="BJ38" i="3"/>
  <c r="BM35" i="3"/>
  <c r="BE22" i="3"/>
  <c r="Z76" i="2"/>
  <c r="Y99" i="2"/>
  <c r="BA16" i="3"/>
  <c r="Y80" i="2"/>
  <c r="BB16" i="3"/>
  <c r="BQ10" i="3"/>
  <c r="BU28" i="3"/>
  <c r="BV11" i="3"/>
  <c r="BL10" i="3"/>
  <c r="BF46" i="3"/>
  <c r="CL156" i="1" s="1"/>
  <c r="BR35" i="3"/>
  <c r="BO19" i="3"/>
  <c r="BT39" i="3"/>
  <c r="BI12" i="3"/>
  <c r="BP15" i="3"/>
  <c r="BE19" i="3"/>
  <c r="BJ39" i="3"/>
  <c r="BJ20" i="3"/>
  <c r="BT31" i="3"/>
  <c r="BH32" i="3"/>
  <c r="BN16" i="3"/>
  <c r="Z36" i="2"/>
  <c r="BA20" i="3"/>
  <c r="Y20" i="2"/>
  <c r="Z95" i="2"/>
  <c r="BD35" i="3"/>
  <c r="AA12" i="2"/>
  <c r="BA7" i="3"/>
  <c r="BA34" i="3"/>
  <c r="AA75" i="2"/>
  <c r="FD7" i="4" a="1"/>
  <c r="FF12" i="4" a="1"/>
  <c r="BC46" i="3"/>
  <c r="FF6" i="4" a="1"/>
  <c r="AA70" i="2"/>
  <c r="Z34" i="2"/>
  <c r="AA68" i="2"/>
  <c r="BQ16" i="3"/>
  <c r="BT33" i="3"/>
  <c r="BT25" i="3"/>
  <c r="BD18" i="3"/>
  <c r="BC45" i="3"/>
  <c r="BA24" i="3"/>
  <c r="BB28" i="3"/>
  <c r="FD6" i="4" a="1"/>
  <c r="BP32" i="3"/>
  <c r="BP8" i="3"/>
  <c r="BC41" i="3"/>
  <c r="AA28" i="2"/>
  <c r="Y93" i="2"/>
  <c r="Z42" i="2"/>
  <c r="BV14" i="3"/>
  <c r="BS12" i="3"/>
  <c r="BL29" i="3"/>
  <c r="AA93" i="2"/>
  <c r="BC14" i="3"/>
  <c r="BB33" i="3"/>
  <c r="Y107" i="2"/>
  <c r="FD15" i="4" a="1"/>
  <c r="BL35" i="3"/>
  <c r="Y5" i="2"/>
  <c r="BK42" i="3"/>
  <c r="BP25" i="3"/>
  <c r="BQ40" i="3"/>
  <c r="BN7" i="3"/>
  <c r="BE37" i="3"/>
  <c r="BB30" i="3"/>
  <c r="Z23" i="2"/>
  <c r="AA97" i="2"/>
  <c r="EZ16" i="4" a="1"/>
  <c r="BS22" i="3"/>
  <c r="BL31" i="3"/>
  <c r="BA29" i="3"/>
  <c r="AA42" i="2"/>
  <c r="Z83" i="2"/>
  <c r="BC35" i="3"/>
  <c r="FE6" i="4" a="1"/>
  <c r="Z59" i="2"/>
  <c r="Y67" i="2"/>
  <c r="FE9" i="4" a="1"/>
  <c r="EX11" i="4" a="1"/>
  <c r="Z25" i="2"/>
  <c r="BD34" i="3"/>
  <c r="BS24" i="3"/>
  <c r="BF38" i="3"/>
  <c r="BA22" i="3"/>
  <c r="Z28" i="2"/>
  <c r="BB36" i="3"/>
  <c r="FB6" i="4" a="1"/>
  <c r="BN41" i="3"/>
  <c r="BI7" i="3"/>
  <c r="AA109" i="2"/>
  <c r="AA8" i="2"/>
  <c r="Y45" i="2"/>
  <c r="BA10" i="3"/>
  <c r="AA57" i="2"/>
  <c r="FE7" i="4" a="1"/>
  <c r="AA15" i="2"/>
  <c r="BD27" i="3"/>
  <c r="Z24" i="2"/>
  <c r="Z71" i="2"/>
  <c r="EZ13" i="4" a="1"/>
  <c r="EZ9" i="4" a="1"/>
  <c r="BV34" i="3"/>
  <c r="BN37" i="3"/>
  <c r="C4" i="2"/>
  <c r="AA58" i="2"/>
  <c r="AA82" i="2"/>
  <c r="BV38" i="3"/>
  <c r="BK11" i="3"/>
  <c r="AA7" i="2"/>
  <c r="Z21" i="2"/>
  <c r="X6" i="2"/>
  <c r="Y52" i="2"/>
  <c r="EY7" i="4" a="1"/>
  <c r="EY6" i="4" a="1"/>
  <c r="Y70" i="2"/>
  <c r="BS38" i="3"/>
  <c r="BF16" i="3"/>
  <c r="CL112" i="1" s="1"/>
  <c r="BA31" i="3"/>
  <c r="BD45" i="3"/>
  <c r="EZ7" i="4" a="1"/>
  <c r="AA85" i="2"/>
  <c r="Y66" i="2"/>
  <c r="EX15" i="4" a="1"/>
  <c r="FC12" i="4" a="1"/>
  <c r="BE17" i="3"/>
  <c r="FE13" i="4" a="1"/>
  <c r="Y72" i="2"/>
  <c r="BD6" i="3"/>
  <c r="BS30" i="3"/>
  <c r="BA45" i="3"/>
  <c r="BC9" i="3"/>
  <c r="BS34" i="3"/>
  <c r="BA17" i="3"/>
  <c r="BS41" i="3"/>
  <c r="BK7" i="3"/>
  <c r="AA22" i="2"/>
  <c r="AA49" i="2"/>
  <c r="Z57" i="2"/>
  <c r="BE32" i="3"/>
  <c r="Y109" i="2"/>
  <c r="FC7" i="4" a="1"/>
  <c r="BI25" i="3"/>
  <c r="AY29" i="3"/>
  <c r="Y88" i="2"/>
  <c r="AA43" i="2"/>
  <c r="EZ5" i="4" a="1"/>
  <c r="Y51" i="2"/>
  <c r="Y42" i="2"/>
  <c r="Y44" i="2"/>
  <c r="BJ12" i="3"/>
  <c r="Y28" i="2"/>
  <c r="AA52" i="2"/>
  <c r="FF7" i="4" a="1"/>
  <c r="Z26" i="2"/>
  <c r="Y68" i="2"/>
  <c r="FA15" i="4" a="1"/>
  <c r="BH19" i="3"/>
  <c r="BD14" i="3"/>
  <c r="EY13" i="4" a="1"/>
  <c r="FA5" i="4" a="1"/>
  <c r="BK9" i="3"/>
  <c r="AA104" i="2"/>
  <c r="BB38" i="3"/>
  <c r="Z87" i="2"/>
  <c r="BM13" i="3"/>
  <c r="BB17" i="3"/>
  <c r="AA25" i="2"/>
  <c r="BT11" i="3"/>
  <c r="BQ5" i="3"/>
  <c r="BQ56" i="3" s="1"/>
  <c r="BQ29" i="3"/>
  <c r="BR12" i="3"/>
  <c r="BH12" i="3"/>
  <c r="BJ10" i="3"/>
  <c r="BV35" i="3"/>
  <c r="BS19" i="3"/>
  <c r="BT10" i="3"/>
  <c r="BE14" i="3"/>
  <c r="BP31" i="3"/>
  <c r="BI19" i="3"/>
  <c r="BF41" i="3"/>
  <c r="BF22" i="3"/>
  <c r="BT37" i="3"/>
  <c r="BN33" i="3"/>
  <c r="BH23" i="3"/>
  <c r="Z104" i="2"/>
  <c r="BD26" i="3"/>
  <c r="Y9" i="2"/>
  <c r="Z80" i="2"/>
  <c r="BB21" i="3"/>
  <c r="Y55" i="2"/>
  <c r="BB27" i="3"/>
  <c r="BD12" i="3"/>
  <c r="Z78" i="2"/>
  <c r="FA14" i="4" a="1"/>
  <c r="Z32" i="2"/>
  <c r="FC5" i="4" a="1"/>
  <c r="EX8" i="4" a="1"/>
  <c r="BE11" i="3"/>
  <c r="BM26" i="3"/>
  <c r="BM45" i="3"/>
  <c r="BU11" i="3"/>
  <c r="BU35" i="3"/>
  <c r="BO46" i="3"/>
  <c r="BJ33" i="3"/>
  <c r="BR18" i="3"/>
  <c r="BR42" i="3"/>
  <c r="BO26" i="3"/>
  <c r="BI31" i="3"/>
  <c r="BE36" i="3"/>
  <c r="BI5" i="3"/>
  <c r="BK24" i="3"/>
  <c r="BG23" i="3"/>
  <c r="BN42" i="3"/>
  <c r="BM25" i="3"/>
  <c r="BG11" i="3"/>
  <c r="AA54" i="2"/>
  <c r="Z54" i="2"/>
  <c r="BC8" i="3"/>
  <c r="AA10" i="2"/>
  <c r="Y25" i="2"/>
  <c r="AA73" i="2"/>
  <c r="Z51" i="2"/>
  <c r="BI14" i="3"/>
  <c r="AA62" i="2"/>
  <c r="Z91" i="2"/>
  <c r="Y16" i="2"/>
  <c r="BQ24" i="3"/>
  <c r="BR7" i="3"/>
  <c r="BI35" i="3"/>
  <c r="BE38" i="3"/>
  <c r="BV30" i="3"/>
  <c r="BS14" i="3"/>
  <c r="BO42" i="3"/>
  <c r="BL38" i="3"/>
  <c r="BT40" i="3"/>
  <c r="BG20" i="3"/>
  <c r="BH46" i="3"/>
  <c r="BH25" i="3"/>
  <c r="BT8" i="3"/>
  <c r="BH36" i="3"/>
  <c r="BJ34" i="3"/>
  <c r="Y26" i="2"/>
  <c r="BB9" i="3"/>
  <c r="Z110" i="2"/>
  <c r="Y50" i="2"/>
  <c r="BD19" i="3"/>
  <c r="AA71" i="2"/>
  <c r="BC21" i="3"/>
  <c r="Y59" i="2"/>
  <c r="Z60" i="2"/>
  <c r="FC9" i="4" a="1"/>
  <c r="EZ15" i="4" a="1"/>
  <c r="BT46" i="3"/>
  <c r="BL7" i="3"/>
  <c r="BI30" i="3"/>
  <c r="BC19" i="3"/>
  <c r="BU18" i="3"/>
  <c r="BU42" i="3"/>
  <c r="BP18" i="3"/>
  <c r="BG19" i="3"/>
  <c r="BR25" i="3"/>
  <c r="BO9" i="3"/>
  <c r="BO33" i="3"/>
  <c r="BM18" i="3"/>
  <c r="BL6" i="3"/>
  <c r="BQ7" i="3"/>
  <c r="BQ31" i="3"/>
  <c r="BS35" i="3"/>
  <c r="BF19" i="3"/>
  <c r="BH39" i="3"/>
  <c r="BV37" i="3"/>
  <c r="BS21" i="3"/>
  <c r="BP16" i="3"/>
  <c r="BI20" i="3"/>
  <c r="BP19" i="3"/>
  <c r="BE21" i="3"/>
  <c r="BE8" i="3"/>
  <c r="BJ28" i="3"/>
  <c r="BT30" i="3"/>
  <c r="BF39" i="3"/>
  <c r="BK45" i="3"/>
  <c r="BU19" i="3"/>
  <c r="BU45" i="3"/>
  <c r="BP30" i="3"/>
  <c r="BI22" i="3"/>
  <c r="BR26" i="3"/>
  <c r="BO10" i="3"/>
  <c r="BO34" i="3"/>
  <c r="BN19" i="3"/>
  <c r="BL37" i="3"/>
  <c r="BM11" i="3"/>
  <c r="BH10" i="3"/>
  <c r="BF34" i="3"/>
  <c r="CL137" i="1" s="1"/>
  <c r="BM46" i="3"/>
  <c r="BF7" i="3"/>
  <c r="BG33" i="3"/>
  <c r="BQ14" i="3"/>
  <c r="BQ38" i="3"/>
  <c r="BU26" i="3"/>
  <c r="BV9" i="3"/>
  <c r="BG46" i="3"/>
  <c r="BL19" i="3"/>
  <c r="BR33" i="3"/>
  <c r="BO17" i="3"/>
  <c r="BT17" i="3"/>
  <c r="BG5" i="3"/>
  <c r="BP33" i="3"/>
  <c r="BI17" i="3"/>
  <c r="BL32" i="3"/>
  <c r="BF14" i="3"/>
  <c r="CL115" i="1" s="1"/>
  <c r="BT9" i="3"/>
  <c r="BH26" i="3"/>
  <c r="BJ40" i="3"/>
  <c r="Y46" i="2"/>
  <c r="BC18" i="3"/>
  <c r="Z107" i="2"/>
  <c r="AA63" i="2"/>
  <c r="BC29" i="3"/>
  <c r="AA98" i="2"/>
  <c r="BA8" i="3"/>
  <c r="BD38" i="3"/>
  <c r="BC40" i="3"/>
  <c r="FC14" i="4" a="1"/>
  <c r="EX9" i="4" a="1"/>
  <c r="BJ27" i="3"/>
  <c r="BC37" i="3"/>
  <c r="Z5" i="2"/>
  <c r="BA36" i="3"/>
  <c r="Y47" i="2"/>
  <c r="BQ9" i="3"/>
  <c r="BQ33" i="3"/>
  <c r="BO39" i="3"/>
  <c r="BJ25" i="3"/>
  <c r="BV15" i="3"/>
  <c r="BV39" i="3"/>
  <c r="BS23" i="3"/>
  <c r="BP42" i="3"/>
  <c r="BK27" i="3"/>
  <c r="BP13" i="3"/>
  <c r="BK22" i="3"/>
  <c r="BM14" i="3"/>
  <c r="BN34" i="3"/>
  <c r="BP20" i="3"/>
  <c r="BG21" i="3"/>
  <c r="Y94" i="2"/>
  <c r="Z20" i="2"/>
  <c r="BU21" i="3"/>
  <c r="BG28" i="3"/>
  <c r="BK29" i="3"/>
  <c r="BR28" i="3"/>
  <c r="BO12" i="3"/>
  <c r="BO37" i="3"/>
  <c r="BF29" i="3"/>
  <c r="CL131" i="1" s="1"/>
  <c r="BT20" i="3"/>
  <c r="BI13" i="3"/>
  <c r="BL16" i="3"/>
  <c r="BL21" i="3"/>
  <c r="BL9" i="3"/>
  <c r="BF13" i="3"/>
  <c r="BI38" i="3"/>
  <c r="Y104" i="2"/>
  <c r="Y35" i="2"/>
  <c r="BD29" i="3"/>
  <c r="AA81" i="2"/>
  <c r="BD8" i="3"/>
  <c r="BU10" i="3"/>
  <c r="BU34" i="3"/>
  <c r="BS42" i="3"/>
  <c r="BH30" i="3"/>
  <c r="BR17" i="3"/>
  <c r="BR41" i="3"/>
  <c r="BO25" i="3"/>
  <c r="BM27" i="3"/>
  <c r="BI32" i="3"/>
  <c r="BP23" i="3"/>
  <c r="BM23" i="3"/>
  <c r="BE20" i="3"/>
  <c r="BL39" i="3"/>
  <c r="BP34" i="3"/>
  <c r="BG9" i="3"/>
  <c r="Y85" i="2"/>
  <c r="Z22" i="2"/>
  <c r="BC16" i="3"/>
  <c r="Y58" i="2"/>
  <c r="Z29" i="2"/>
  <c r="Y139" i="1" s="1"/>
  <c r="Z73" i="2"/>
  <c r="Y57" i="2"/>
  <c r="BC23" i="3"/>
  <c r="BD24" i="3"/>
  <c r="Y54" i="2"/>
  <c r="EX16" i="4" a="1"/>
  <c r="FD16" i="4" a="1"/>
  <c r="EY14" i="4" a="1"/>
  <c r="FB11" i="4" a="1"/>
  <c r="BB26" i="3"/>
  <c r="BB39" i="3"/>
  <c r="Y24" i="2"/>
  <c r="BT6" i="3"/>
  <c r="BH37" i="3"/>
  <c r="BK23" i="3"/>
  <c r="AA87" i="2"/>
  <c r="Y11" i="2"/>
  <c r="BC33" i="3"/>
  <c r="Y41" i="2"/>
  <c r="EX7" i="4" a="1"/>
  <c r="BI46" i="3"/>
  <c r="BI34" i="3"/>
  <c r="Y17" i="2"/>
  <c r="Z46" i="2"/>
  <c r="BC34" i="3"/>
  <c r="FA8" i="4" a="1"/>
  <c r="BQ28" i="3"/>
  <c r="BG26" i="3"/>
  <c r="BP28" i="3"/>
  <c r="BA9" i="3"/>
  <c r="AA108" i="2"/>
  <c r="AA31" i="2"/>
  <c r="Y40" i="2"/>
  <c r="FB13" i="4" a="1"/>
  <c r="AA77" i="2"/>
  <c r="Y7" i="2"/>
  <c r="BV20" i="3"/>
  <c r="BK30" i="3"/>
  <c r="BF9" i="3"/>
  <c r="BP37" i="3"/>
  <c r="BL13" i="3"/>
  <c r="AA66" i="2"/>
  <c r="Y31" i="2"/>
  <c r="BB35" i="3"/>
  <c r="BQ46" i="3"/>
  <c r="BJ21" i="3"/>
  <c r="BL8" i="3"/>
  <c r="Y108" i="2"/>
  <c r="AA84" i="2"/>
  <c r="BA21" i="3"/>
  <c r="BB29" i="3"/>
  <c r="EY8" i="4" a="1"/>
  <c r="AA96" i="2"/>
  <c r="Z93" i="2"/>
  <c r="EY9" i="4" a="1"/>
  <c r="Z52" i="2"/>
  <c r="BB25" i="3"/>
  <c r="BR5" i="3"/>
  <c r="BF31" i="3"/>
  <c r="BN13" i="3"/>
  <c r="AA36" i="2"/>
  <c r="BB23" i="3"/>
  <c r="FA12" i="4" a="1"/>
  <c r="BD40" i="3"/>
  <c r="BV32" i="3"/>
  <c r="BJ31" i="3"/>
  <c r="Y10" i="2"/>
  <c r="Z19" i="2"/>
  <c r="AA21" i="2"/>
  <c r="Y69" i="2"/>
  <c r="FF16" i="4" a="1"/>
  <c r="BL17" i="3"/>
  <c r="BA38" i="3"/>
  <c r="Z92" i="2"/>
  <c r="Z47" i="2"/>
  <c r="Y77" i="2"/>
  <c r="FE11" i="4" a="1"/>
  <c r="BA6" i="3"/>
  <c r="BK18" i="3"/>
  <c r="FF13" i="4" a="1"/>
  <c r="AA35" i="2"/>
  <c r="BQ22" i="3"/>
  <c r="BE40" i="3"/>
  <c r="BD25" i="3"/>
  <c r="Y29" i="2"/>
  <c r="X139" i="1" s="1"/>
  <c r="Z56" i="2"/>
  <c r="BM39" i="3"/>
  <c r="AA60" i="2"/>
  <c r="BL22" i="3"/>
  <c r="AA76" i="2"/>
  <c r="BB40" i="3"/>
  <c r="BH28" i="3"/>
  <c r="EZ8" i="4" a="1"/>
  <c r="BA42" i="3"/>
  <c r="FA13" i="4" a="1"/>
  <c r="Z44" i="2"/>
  <c r="AA92" i="2"/>
  <c r="BL30" i="3"/>
  <c r="BH42" i="3"/>
  <c r="AA95" i="2"/>
  <c r="AA33" i="2"/>
  <c r="AA24" i="2"/>
  <c r="Z96" i="2"/>
  <c r="BD28" i="3"/>
  <c r="BQ11" i="3"/>
  <c r="BQ35" i="3"/>
  <c r="BO45" i="3"/>
  <c r="BN31" i="3"/>
  <c r="BV17" i="3"/>
  <c r="BV41" i="3"/>
  <c r="BS25" i="3"/>
  <c r="BI29" i="3"/>
  <c r="BM34" i="3"/>
  <c r="BE5" i="3"/>
  <c r="BG24" i="3"/>
  <c r="BK21" i="3"/>
  <c r="BH41" i="3"/>
  <c r="BP40" i="3"/>
  <c r="BM10" i="3"/>
  <c r="Y73" i="2"/>
  <c r="Z30" i="2"/>
  <c r="BC32" i="3"/>
  <c r="AA48" i="2"/>
  <c r="Z86" i="2"/>
  <c r="AA56" i="2"/>
  <c r="Z45" i="2"/>
  <c r="Y48" i="2"/>
  <c r="BA18" i="3"/>
  <c r="Z63" i="2"/>
  <c r="Z106" i="2"/>
  <c r="BB42" i="3"/>
  <c r="EY5" i="4" a="1"/>
  <c r="EZ6" i="4" a="1"/>
  <c r="BK20" i="3"/>
  <c r="BN26" i="3"/>
  <c r="BJ37" i="3"/>
  <c r="BU17" i="3"/>
  <c r="BU41" i="3"/>
  <c r="BT34" i="3"/>
  <c r="BG15" i="3"/>
  <c r="BR24" i="3"/>
  <c r="BO8" i="3"/>
  <c r="BO32" i="3"/>
  <c r="BL12" i="3"/>
  <c r="BF12" i="3"/>
  <c r="CL105" i="1" s="1"/>
  <c r="BG10" i="3"/>
  <c r="BK46" i="3"/>
  <c r="BN6" i="3"/>
  <c r="BN20" i="3"/>
  <c r="BI41" i="3"/>
  <c r="BE28" i="3"/>
  <c r="AA18" i="2"/>
  <c r="Z62" i="2"/>
  <c r="BC10" i="3"/>
  <c r="Y65" i="2"/>
  <c r="BA39" i="3"/>
  <c r="Y82" i="2"/>
  <c r="Y110" i="2"/>
  <c r="BN40" i="3"/>
  <c r="Z40" i="2"/>
  <c r="Z15" i="2"/>
  <c r="BQ6" i="3"/>
  <c r="BQ30" i="3"/>
  <c r="BR13" i="3"/>
  <c r="BH16" i="3"/>
  <c r="BN24" i="3"/>
  <c r="BV36" i="3"/>
  <c r="BS20" i="3"/>
  <c r="BT38" i="3"/>
  <c r="BK17" i="3"/>
  <c r="BM5" i="3"/>
  <c r="BE25" i="3"/>
  <c r="BM24" i="3"/>
  <c r="BL45" i="3"/>
  <c r="BI27" i="3"/>
  <c r="BM12" i="3"/>
  <c r="Y60" i="2"/>
  <c r="AA90" i="2"/>
  <c r="BB22" i="3"/>
  <c r="Y49" i="2"/>
  <c r="AA41" i="2"/>
  <c r="AA16" i="2"/>
  <c r="Z98" i="2"/>
  <c r="AA27" i="2"/>
  <c r="AA67" i="2"/>
  <c r="AA107" i="2"/>
  <c r="EZ14" i="4" a="1"/>
  <c r="FC11" i="4" a="1"/>
  <c r="BP11" i="3"/>
  <c r="BL33" i="3"/>
  <c r="Z55" i="2"/>
  <c r="AA64" i="2"/>
  <c r="BU24" i="3"/>
  <c r="BV7" i="3"/>
  <c r="BI37" i="3"/>
  <c r="BK39" i="3"/>
  <c r="BR31" i="3"/>
  <c r="BO15" i="3"/>
  <c r="BS45" i="3"/>
  <c r="BG39" i="3"/>
  <c r="AA53" i="2"/>
  <c r="BQ13" i="3"/>
  <c r="BQ37" i="3"/>
  <c r="BT15" i="3"/>
  <c r="BH38" i="3"/>
  <c r="BV19" i="3"/>
  <c r="BV45" i="3"/>
  <c r="BS27" i="3"/>
  <c r="BG36" i="3"/>
  <c r="BK41" i="3"/>
  <c r="BK6" i="3"/>
  <c r="BE27" i="3"/>
  <c r="BI28" i="3"/>
  <c r="BJ6" i="3"/>
  <c r="BG30" i="3"/>
  <c r="BK15" i="3"/>
  <c r="AA55" i="2"/>
  <c r="BU25" i="3"/>
  <c r="BV8" i="3"/>
  <c r="BM41" i="3"/>
  <c r="BM42" i="3"/>
  <c r="BR32" i="3"/>
  <c r="BO16" i="3"/>
  <c r="BP5" i="3"/>
  <c r="BP57" i="3" s="1"/>
  <c r="BN45" i="3"/>
  <c r="BP17" i="3"/>
  <c r="BK16" i="3"/>
  <c r="BN29" i="3"/>
  <c r="BN10" i="3"/>
  <c r="BG45" i="3"/>
  <c r="BN23" i="3"/>
  <c r="BH29" i="3"/>
  <c r="BQ20" i="3"/>
  <c r="BU8" i="3"/>
  <c r="BU32" i="3"/>
  <c r="BO38" i="3"/>
  <c r="BH24" i="3"/>
  <c r="BR15" i="3"/>
  <c r="BR39" i="3"/>
  <c r="BO23" i="3"/>
  <c r="BP36" i="3"/>
  <c r="BK25" i="3"/>
  <c r="BP45" i="3"/>
  <c r="BG22" i="3"/>
  <c r="BG13" i="3"/>
  <c r="BH33" i="3"/>
  <c r="BP14" i="3"/>
  <c r="BF45" i="3"/>
  <c r="CL155" i="1" s="1"/>
  <c r="AB39" i="3"/>
  <c r="Y23" i="2"/>
  <c r="BD22" i="3"/>
  <c r="AA9" i="2"/>
  <c r="Y71" i="2"/>
  <c r="BB46" i="3"/>
  <c r="AA46" i="2"/>
  <c r="BA33" i="3"/>
  <c r="Z27" i="2"/>
  <c r="Y105" i="2"/>
  <c r="FA7" i="4" a="1"/>
  <c r="EY15" i="4" a="1"/>
  <c r="Z48" i="2"/>
  <c r="BB32" i="3"/>
  <c r="AA50" i="2"/>
  <c r="BC42" i="3"/>
  <c r="Z94" i="2"/>
  <c r="BQ15" i="3"/>
  <c r="BQ39" i="3"/>
  <c r="BT41" i="3"/>
  <c r="BG7" i="3"/>
  <c r="BV21" i="3"/>
  <c r="BS5" i="3"/>
  <c r="BS29" i="3"/>
  <c r="BE45" i="3"/>
  <c r="BF26" i="3"/>
  <c r="CL139" i="1" s="1"/>
  <c r="BG8" i="3"/>
  <c r="BK36" i="3"/>
  <c r="BG35" i="3"/>
  <c r="BF32" i="3"/>
  <c r="BK34" i="3"/>
  <c r="BG37" i="3"/>
  <c r="AA14" i="2"/>
  <c r="Z70" i="2"/>
  <c r="BU27" i="3"/>
  <c r="BV10" i="3"/>
  <c r="BJ7" i="3"/>
  <c r="BJ32" i="3"/>
  <c r="BR34" i="3"/>
  <c r="BO18" i="3"/>
  <c r="BT27" i="3"/>
  <c r="BI8" i="3"/>
  <c r="BP21" i="3"/>
  <c r="BG18" i="3"/>
  <c r="BN35" i="3"/>
  <c r="BH17" i="3"/>
  <c r="BT19" i="3"/>
  <c r="BL28" i="3"/>
  <c r="BH7" i="3"/>
  <c r="Y64" i="2"/>
  <c r="BB45" i="3"/>
  <c r="Y43" i="2"/>
  <c r="AA26" i="2"/>
  <c r="BA28" i="3"/>
  <c r="BU16" i="3"/>
  <c r="BU40" i="3"/>
  <c r="BT14" i="3"/>
  <c r="BE12" i="3"/>
  <c r="BR23" i="3"/>
  <c r="BO7" i="3"/>
  <c r="BO31" i="3"/>
  <c r="BJ9" i="3"/>
  <c r="BN46" i="3"/>
  <c r="BI9" i="3"/>
  <c r="BK40" i="3"/>
  <c r="BI40" i="3"/>
  <c r="BF8" i="3"/>
  <c r="BK38" i="3"/>
  <c r="BG25" i="3"/>
  <c r="Z67" i="2"/>
  <c r="Y12" i="2"/>
  <c r="Z49" i="2"/>
  <c r="Y34" i="2"/>
  <c r="Z58" i="2"/>
  <c r="Z33" i="2"/>
  <c r="Z69" i="2"/>
  <c r="FC6" i="4" a="1"/>
  <c r="EY16" i="4" a="1"/>
  <c r="Y84" i="2"/>
  <c r="Y81" i="2"/>
  <c r="BM29" i="3"/>
  <c r="Z90" i="2"/>
  <c r="BS16" i="3"/>
  <c r="Z61" i="2"/>
  <c r="BD17" i="3"/>
  <c r="AA80" i="2"/>
  <c r="EY11" i="4" a="1"/>
  <c r="BB6" i="3"/>
  <c r="BA40" i="3"/>
  <c r="BS28" i="3"/>
  <c r="BD33" i="3"/>
  <c r="EZ11" i="4" a="1"/>
  <c r="BR11" i="3"/>
  <c r="BS37" i="3"/>
  <c r="BC36" i="3"/>
  <c r="AV10" i="3"/>
  <c r="FC8" i="4" a="1"/>
  <c r="BP6" i="3"/>
  <c r="BQ62" i="3" l="1"/>
  <c r="BU66" i="3"/>
  <c r="CQ11" i="1"/>
  <c r="CQ37" i="1" s="1"/>
  <c r="CL344" i="1"/>
  <c r="CL345" i="1"/>
  <c r="CL286" i="1"/>
  <c r="CL323" i="1"/>
  <c r="CL101" i="1"/>
  <c r="CL157" i="1"/>
  <c r="CL118" i="1"/>
  <c r="CL119" i="1" s="1"/>
  <c r="Z112" i="1"/>
  <c r="Y115" i="1"/>
  <c r="CI112" i="1"/>
  <c r="CK115" i="1"/>
  <c r="CJ115" i="1"/>
  <c r="Z115" i="1"/>
  <c r="CI115" i="1"/>
  <c r="CH112" i="1"/>
  <c r="CG112" i="1"/>
  <c r="CJ112" i="1"/>
  <c r="CK112" i="1"/>
  <c r="X115" i="1"/>
  <c r="Y111" i="1"/>
  <c r="CG115" i="1"/>
  <c r="X112" i="1"/>
  <c r="Z111" i="1"/>
  <c r="X111" i="1"/>
  <c r="CH115" i="1"/>
  <c r="Y112" i="1"/>
  <c r="CK113" i="1"/>
  <c r="CK156" i="1"/>
  <c r="CK100" i="1"/>
  <c r="CK105" i="1"/>
  <c r="CK127" i="1"/>
  <c r="CK155" i="1"/>
  <c r="CK138" i="1"/>
  <c r="CK139" i="1"/>
  <c r="CK104" i="1"/>
  <c r="CK114" i="1"/>
  <c r="CK131" i="1"/>
  <c r="CK128" i="1"/>
  <c r="CK124" i="1"/>
  <c r="CK99" i="1"/>
  <c r="CK143" i="1"/>
  <c r="CK137" i="1"/>
  <c r="CH137" i="1"/>
  <c r="X218" i="1"/>
  <c r="X246" i="1" s="1"/>
  <c r="Z214" i="1"/>
  <c r="CH214" i="1" s="1"/>
  <c r="CI214" i="1" s="1"/>
  <c r="Z247" i="1"/>
  <c r="CH247" i="1" s="1"/>
  <c r="CH131" i="1"/>
  <c r="CJ137" i="1"/>
  <c r="CJ100" i="1"/>
  <c r="X159" i="1"/>
  <c r="Y210" i="1"/>
  <c r="Y113" i="1"/>
  <c r="X224" i="1"/>
  <c r="X209" i="1"/>
  <c r="Y209" i="1"/>
  <c r="Y100" i="1"/>
  <c r="Z263" i="1"/>
  <c r="Z170" i="1"/>
  <c r="Y242" i="1"/>
  <c r="Y224" i="1"/>
  <c r="X245" i="1"/>
  <c r="Y211" i="1"/>
  <c r="Y264" i="1"/>
  <c r="CI138" i="1"/>
  <c r="Y252" i="1"/>
  <c r="Z251" i="1"/>
  <c r="CH251" i="1" s="1"/>
  <c r="X116" i="1"/>
  <c r="CH124" i="1"/>
  <c r="CH286" i="1" s="1"/>
  <c r="CI139" i="1"/>
  <c r="CH127" i="1"/>
  <c r="CG128" i="1"/>
  <c r="X238" i="1"/>
  <c r="Y219" i="1"/>
  <c r="X170" i="1"/>
  <c r="Z128" i="1"/>
  <c r="Z256" i="1"/>
  <c r="CH256" i="1" s="1"/>
  <c r="CI256" i="1" s="1"/>
  <c r="X263" i="1"/>
  <c r="Y138" i="1"/>
  <c r="Z255" i="1"/>
  <c r="CH255" i="1" s="1"/>
  <c r="CI255" i="1" s="1"/>
  <c r="Y243" i="1"/>
  <c r="X243" i="1"/>
  <c r="X124" i="1"/>
  <c r="Z229" i="1"/>
  <c r="CH229" i="1" s="1"/>
  <c r="CI229" i="1" s="1"/>
  <c r="CH104" i="1"/>
  <c r="CJ113" i="1"/>
  <c r="Y124" i="1"/>
  <c r="Y232" i="1"/>
  <c r="Z211" i="1"/>
  <c r="CH211" i="1" s="1"/>
  <c r="CJ105" i="1"/>
  <c r="CG137" i="1"/>
  <c r="CG127" i="1"/>
  <c r="CI99" i="1"/>
  <c r="CG104" i="1"/>
  <c r="CG114" i="1"/>
  <c r="CH138" i="1"/>
  <c r="CH99" i="1"/>
  <c r="CH143" i="1"/>
  <c r="CJ128" i="1"/>
  <c r="CI137" i="1"/>
  <c r="X227" i="1"/>
  <c r="X223" i="1" s="1"/>
  <c r="Y218" i="1"/>
  <c r="Y246" i="1" s="1"/>
  <c r="Z127" i="1"/>
  <c r="Y137" i="1"/>
  <c r="X229" i="1"/>
  <c r="Y256" i="1"/>
  <c r="X100" i="1"/>
  <c r="X264" i="1"/>
  <c r="Z124" i="1"/>
  <c r="X219" i="1"/>
  <c r="X217" i="1"/>
  <c r="CI127" i="1"/>
  <c r="CH105" i="1"/>
  <c r="CI114" i="1"/>
  <c r="CH139" i="1"/>
  <c r="CJ156" i="1"/>
  <c r="CI156" i="1" s="1"/>
  <c r="CH156" i="1" s="1"/>
  <c r="CG156" i="1" s="1"/>
  <c r="CF156" i="1" s="1"/>
  <c r="CE156" i="1" s="1"/>
  <c r="CD156" i="1" s="1"/>
  <c r="CC156" i="1" s="1"/>
  <c r="CB156" i="1" s="1"/>
  <c r="CA156" i="1" s="1"/>
  <c r="BZ156" i="1" s="1"/>
  <c r="BY156" i="1" s="1"/>
  <c r="BX156" i="1" s="1"/>
  <c r="BW156" i="1" s="1"/>
  <c r="BV156" i="1" s="1"/>
  <c r="BU156" i="1" s="1"/>
  <c r="BT156" i="1" s="1"/>
  <c r="BS156" i="1" s="1"/>
  <c r="BR156" i="1" s="1"/>
  <c r="BQ156" i="1" s="1"/>
  <c r="BP156" i="1" s="1"/>
  <c r="BO156" i="1" s="1"/>
  <c r="BN156" i="1" s="1"/>
  <c r="BM156" i="1" s="1"/>
  <c r="BL156" i="1" s="1"/>
  <c r="BK156" i="1" s="1"/>
  <c r="BJ156" i="1" s="1"/>
  <c r="BI156" i="1" s="1"/>
  <c r="BH156" i="1" s="1"/>
  <c r="BG156" i="1" s="1"/>
  <c r="BF156" i="1" s="1"/>
  <c r="BE156" i="1" s="1"/>
  <c r="BD156" i="1" s="1"/>
  <c r="BC156" i="1" s="1"/>
  <c r="BB156" i="1" s="1"/>
  <c r="BA156" i="1" s="1"/>
  <c r="AZ156" i="1" s="1"/>
  <c r="AY156" i="1" s="1"/>
  <c r="AX156" i="1" s="1"/>
  <c r="AW156" i="1" s="1"/>
  <c r="AV156" i="1" s="1"/>
  <c r="AU156" i="1" s="1"/>
  <c r="AT156" i="1" s="1"/>
  <c r="AS156" i="1" s="1"/>
  <c r="AR156" i="1" s="1"/>
  <c r="AQ156" i="1" s="1"/>
  <c r="AP156" i="1" s="1"/>
  <c r="AO156" i="1" s="1"/>
  <c r="AN156" i="1" s="1"/>
  <c r="AM156" i="1" s="1"/>
  <c r="AL156" i="1" s="1"/>
  <c r="AK156" i="1" s="1"/>
  <c r="AJ156" i="1" s="1"/>
  <c r="AI156" i="1" s="1"/>
  <c r="CJ124" i="1"/>
  <c r="CG105" i="1"/>
  <c r="Z138" i="1"/>
  <c r="Z243" i="1"/>
  <c r="CH243" i="1" s="1"/>
  <c r="X131" i="1"/>
  <c r="Z137" i="1"/>
  <c r="X237" i="1"/>
  <c r="Y214" i="1"/>
  <c r="X247" i="1"/>
  <c r="X214" i="1"/>
  <c r="Z225" i="1"/>
  <c r="CH225" i="1" s="1"/>
  <c r="CI225" i="1" s="1"/>
  <c r="Z232" i="1"/>
  <c r="Z106" i="1"/>
  <c r="X104" i="1"/>
  <c r="Y169" i="1"/>
  <c r="Y262" i="1"/>
  <c r="Z262" i="1"/>
  <c r="X216" i="1"/>
  <c r="Y143" i="1"/>
  <c r="Y116" i="1"/>
  <c r="Y251" i="1"/>
  <c r="Z210" i="1"/>
  <c r="CH210" i="1" s="1"/>
  <c r="CI210" i="1" s="1"/>
  <c r="Y127" i="1"/>
  <c r="Y247" i="1"/>
  <c r="Z171" i="1"/>
  <c r="Z235" i="1"/>
  <c r="CH235" i="1" s="1"/>
  <c r="Z219" i="1"/>
  <c r="CH219" i="1" s="1"/>
  <c r="CI219" i="1" s="1"/>
  <c r="Y235" i="1"/>
  <c r="Y99" i="1"/>
  <c r="CG138" i="1"/>
  <c r="CJ155" i="1"/>
  <c r="CI155" i="1" s="1"/>
  <c r="CH155" i="1" s="1"/>
  <c r="CG155" i="1" s="1"/>
  <c r="CF155" i="1" s="1"/>
  <c r="CE155" i="1" s="1"/>
  <c r="CD155" i="1" s="1"/>
  <c r="CC155" i="1" s="1"/>
  <c r="CB155" i="1" s="1"/>
  <c r="CA155" i="1" s="1"/>
  <c r="BZ155" i="1" s="1"/>
  <c r="BY155" i="1" s="1"/>
  <c r="BX155" i="1" s="1"/>
  <c r="BW155" i="1" s="1"/>
  <c r="BV155" i="1" s="1"/>
  <c r="BU155" i="1" s="1"/>
  <c r="BT155" i="1" s="1"/>
  <c r="BS155" i="1" s="1"/>
  <c r="BR155" i="1" s="1"/>
  <c r="BQ155" i="1" s="1"/>
  <c r="BP155" i="1" s="1"/>
  <c r="BO155" i="1" s="1"/>
  <c r="BN155" i="1" s="1"/>
  <c r="BM155" i="1" s="1"/>
  <c r="BL155" i="1" s="1"/>
  <c r="BK155" i="1" s="1"/>
  <c r="BJ155" i="1" s="1"/>
  <c r="BI155" i="1" s="1"/>
  <c r="BH155" i="1" s="1"/>
  <c r="BG155" i="1" s="1"/>
  <c r="BF155" i="1" s="1"/>
  <c r="BE155" i="1" s="1"/>
  <c r="BD155" i="1" s="1"/>
  <c r="BC155" i="1" s="1"/>
  <c r="BB155" i="1" s="1"/>
  <c r="BA155" i="1" s="1"/>
  <c r="AZ155" i="1" s="1"/>
  <c r="AY155" i="1" s="1"/>
  <c r="AX155" i="1" s="1"/>
  <c r="AW155" i="1" s="1"/>
  <c r="AV155" i="1" s="1"/>
  <c r="AU155" i="1" s="1"/>
  <c r="AT155" i="1" s="1"/>
  <c r="AS155" i="1" s="1"/>
  <c r="AR155" i="1" s="1"/>
  <c r="AQ155" i="1" s="1"/>
  <c r="AP155" i="1" s="1"/>
  <c r="AO155" i="1" s="1"/>
  <c r="AN155" i="1" s="1"/>
  <c r="AM155" i="1" s="1"/>
  <c r="AL155" i="1" s="1"/>
  <c r="AK155" i="1" s="1"/>
  <c r="AJ155" i="1" s="1"/>
  <c r="AI155" i="1" s="1"/>
  <c r="CH114" i="1"/>
  <c r="CJ138" i="1"/>
  <c r="CG124" i="1"/>
  <c r="CI143" i="1"/>
  <c r="CI131" i="1"/>
  <c r="CG143" i="1"/>
  <c r="CJ99" i="1"/>
  <c r="CJ104" i="1"/>
  <c r="CG99" i="1"/>
  <c r="CG323" i="1" s="1"/>
  <c r="CI113" i="1"/>
  <c r="CI124" i="1"/>
  <c r="CI286" i="1" s="1"/>
  <c r="X252" i="1"/>
  <c r="Y228" i="1"/>
  <c r="Z209" i="1"/>
  <c r="X128" i="1"/>
  <c r="Y227" i="1"/>
  <c r="Y223" i="1" s="1"/>
  <c r="Y106" i="1"/>
  <c r="X232" i="1"/>
  <c r="Y114" i="1"/>
  <c r="X241" i="1"/>
  <c r="X169" i="1"/>
  <c r="Y239" i="1"/>
  <c r="Y263" i="1"/>
  <c r="Z236" i="1"/>
  <c r="Z224" i="1"/>
  <c r="CH224" i="1" s="1"/>
  <c r="Y238" i="1"/>
  <c r="Z104" i="1"/>
  <c r="Z99" i="1"/>
  <c r="Y237" i="1"/>
  <c r="Z143" i="1"/>
  <c r="Z241" i="1"/>
  <c r="CH241" i="1" s="1"/>
  <c r="Z227" i="1"/>
  <c r="Y104" i="1"/>
  <c r="Y255" i="1"/>
  <c r="X138" i="1"/>
  <c r="X239" i="1"/>
  <c r="Z238" i="1"/>
  <c r="CH238" i="1" s="1"/>
  <c r="Z131" i="1"/>
  <c r="X255" i="1"/>
  <c r="Z217" i="1"/>
  <c r="CH217" i="1" s="1"/>
  <c r="CI217" i="1" s="1"/>
  <c r="X171" i="1"/>
  <c r="X114" i="1"/>
  <c r="X210" i="1"/>
  <c r="Y159" i="1"/>
  <c r="Z169" i="1"/>
  <c r="X113" i="1"/>
  <c r="X211" i="1"/>
  <c r="Y170" i="1"/>
  <c r="Z218" i="1"/>
  <c r="CH218" i="1" s="1"/>
  <c r="CI218" i="1" s="1"/>
  <c r="Y128" i="1"/>
  <c r="Y216" i="1"/>
  <c r="X99" i="1"/>
  <c r="CJ131" i="1"/>
  <c r="CJ127" i="1"/>
  <c r="CI104" i="1"/>
  <c r="CG131" i="1"/>
  <c r="CH128" i="1"/>
  <c r="CI128" i="1"/>
  <c r="CJ114" i="1"/>
  <c r="CH113" i="1"/>
  <c r="CE131" i="1"/>
  <c r="CG139" i="1"/>
  <c r="CJ139" i="1"/>
  <c r="CG100" i="1"/>
  <c r="CG113" i="1"/>
  <c r="CJ143" i="1"/>
  <c r="CH100" i="1"/>
  <c r="CI100" i="1"/>
  <c r="Y234" i="1"/>
  <c r="X143" i="1"/>
  <c r="Z216" i="1"/>
  <c r="CH216" i="1" s="1"/>
  <c r="CI216" i="1" s="1"/>
  <c r="Y225" i="1"/>
  <c r="X137" i="1"/>
  <c r="Z264" i="1"/>
  <c r="X106" i="1"/>
  <c r="Y241" i="1"/>
  <c r="Z252" i="1"/>
  <c r="CH252" i="1" s="1"/>
  <c r="X234" i="1"/>
  <c r="Y245" i="1"/>
  <c r="Y131" i="1"/>
  <c r="Z100" i="1"/>
  <c r="Z242" i="1"/>
  <c r="CH242" i="1" s="1"/>
  <c r="Y171" i="1"/>
  <c r="X127" i="1"/>
  <c r="X228" i="1"/>
  <c r="Z228" i="1"/>
  <c r="CH228" i="1" s="1"/>
  <c r="CI228" i="1" s="1"/>
  <c r="Z239" i="1"/>
  <c r="CH239" i="1" s="1"/>
  <c r="X225" i="1"/>
  <c r="Z237" i="1"/>
  <c r="CH237" i="1" s="1"/>
  <c r="Z234" i="1"/>
  <c r="CH234" i="1" s="1"/>
  <c r="X251" i="1"/>
  <c r="X242" i="1"/>
  <c r="Y217" i="1"/>
  <c r="Z113" i="1"/>
  <c r="Z114" i="1"/>
  <c r="Z159" i="1"/>
  <c r="Z116" i="1"/>
  <c r="X236" i="1"/>
  <c r="Y229" i="1"/>
  <c r="Y236" i="1"/>
  <c r="X256" i="1"/>
  <c r="Z245" i="1"/>
  <c r="CH245" i="1" s="1"/>
  <c r="X235" i="1"/>
  <c r="X262" i="1"/>
  <c r="JP9" i="4" s="1"/>
  <c r="JP16" i="4" s="1"/>
  <c r="JO16" i="4" s="1"/>
  <c r="JO9" i="4" s="1"/>
  <c r="JN9" i="4" s="1"/>
  <c r="JN16" i="4" s="1"/>
  <c r="BA50" i="3"/>
  <c r="BC71" i="3"/>
  <c r="BG65" i="3"/>
  <c r="BB65" i="3"/>
  <c r="BH68" i="3"/>
  <c r="BI73" i="3"/>
  <c r="BC60" i="3"/>
  <c r="BL93" i="3"/>
  <c r="BE88" i="3"/>
  <c r="BQ63" i="3"/>
  <c r="BV60" i="3"/>
  <c r="BO82" i="3"/>
  <c r="BU71" i="3"/>
  <c r="BR96" i="3"/>
  <c r="BT59" i="3"/>
  <c r="BN48" i="3"/>
  <c r="BO54" i="3"/>
  <c r="BE79" i="3"/>
  <c r="BJ82" i="3"/>
  <c r="BK83" i="3"/>
  <c r="HF7" i="4" a="1"/>
  <c r="GA5" i="4" a="1"/>
  <c r="GS9" i="4" a="1"/>
  <c r="FI7" i="4" a="1"/>
  <c r="GV14" i="4" a="1"/>
  <c r="GE6" i="4" a="1"/>
  <c r="GV5" i="4" a="1"/>
  <c r="FM8" i="4" a="1"/>
  <c r="GR14" i="4" a="1"/>
  <c r="FH16" i="4" a="1"/>
  <c r="FM13" i="4" a="1"/>
  <c r="BK64" i="3"/>
  <c r="BA92" i="3"/>
  <c r="BM91" i="3"/>
  <c r="BM93" i="3"/>
  <c r="BB85" i="3"/>
  <c r="BF90" i="3"/>
  <c r="CL218" i="1" s="1"/>
  <c r="BI84" i="3"/>
  <c r="BQ60" i="3"/>
  <c r="BL92" i="3"/>
  <c r="BI54" i="3"/>
  <c r="BQ83" i="3"/>
  <c r="BT91" i="3"/>
  <c r="BA68" i="3"/>
  <c r="BH66" i="3"/>
  <c r="BG50" i="3"/>
  <c r="BF60" i="3"/>
  <c r="CL214" i="1" s="1"/>
  <c r="BG97" i="3"/>
  <c r="BU61" i="3"/>
  <c r="BA47" i="3"/>
  <c r="BH48" i="3"/>
  <c r="BE60" i="3"/>
  <c r="BQ93" i="3"/>
  <c r="BV64" i="3"/>
  <c r="BO57" i="3"/>
  <c r="BS50" i="3"/>
  <c r="BR75" i="3"/>
  <c r="BV70" i="3"/>
  <c r="BN59" i="3"/>
  <c r="BF48" i="3"/>
  <c r="BH93" i="3"/>
  <c r="BF64" i="3"/>
  <c r="CL241" i="1" s="1"/>
  <c r="BJ81" i="3"/>
  <c r="GC5" i="4" a="1"/>
  <c r="GQ13" i="4" a="1"/>
  <c r="FQ12" i="4" a="1"/>
  <c r="FH8" i="4" a="1"/>
  <c r="BK70" i="3"/>
  <c r="BA75" i="3"/>
  <c r="BM50" i="3"/>
  <c r="BM78" i="3"/>
  <c r="BB73" i="3"/>
  <c r="BP91" i="3"/>
  <c r="BI48" i="3"/>
  <c r="BQ88" i="3"/>
  <c r="BL67" i="3"/>
  <c r="BI55" i="3"/>
  <c r="BQ75" i="3"/>
  <c r="BT73" i="3"/>
  <c r="BS90" i="3"/>
  <c r="BU93" i="3"/>
  <c r="BV95" i="3"/>
  <c r="BT81" i="3"/>
  <c r="BN69" i="3"/>
  <c r="BS67" i="3"/>
  <c r="BI56" i="3"/>
  <c r="BJ93" i="3"/>
  <c r="BK57" i="3"/>
  <c r="GQ7" i="4" a="1"/>
  <c r="FS8" i="4" a="1"/>
  <c r="FX7" i="4" a="1"/>
  <c r="GD6" i="4" a="1"/>
  <c r="FV6" i="4" a="1"/>
  <c r="GA6" i="4" a="1"/>
  <c r="BT49" i="3"/>
  <c r="BA93" i="3"/>
  <c r="BV48" i="3"/>
  <c r="BA56" i="3"/>
  <c r="BL88" i="3"/>
  <c r="BG69" i="3"/>
  <c r="Z113" i="2"/>
  <c r="BG73" i="3"/>
  <c r="BP62" i="3"/>
  <c r="BA86" i="3"/>
  <c r="BL83" i="3"/>
  <c r="BE68" i="3"/>
  <c r="BQ89" i="3"/>
  <c r="BV75" i="3"/>
  <c r="BO65" i="3"/>
  <c r="BF97" i="3"/>
  <c r="BR85" i="3"/>
  <c r="BV73" i="3"/>
  <c r="BN54" i="3"/>
  <c r="AA111" i="2"/>
  <c r="BL54" i="3"/>
  <c r="BF96" i="3"/>
  <c r="CL255" i="1" s="1"/>
  <c r="BK73" i="3"/>
  <c r="GB5" i="4" a="1"/>
  <c r="HA14" i="4" a="1"/>
  <c r="GI13" i="4" a="1"/>
  <c r="GB12" i="4" a="1"/>
  <c r="GM11" i="4" a="1"/>
  <c r="FY12" i="4" a="1"/>
  <c r="FL12" i="4" a="1"/>
  <c r="BA72" i="3"/>
  <c r="BL86" i="3"/>
  <c r="BG76" i="3"/>
  <c r="Z111" i="2"/>
  <c r="BG95" i="3"/>
  <c r="BP58" i="3"/>
  <c r="BA61" i="3"/>
  <c r="BL58" i="3"/>
  <c r="BE87" i="3"/>
  <c r="BQ70" i="3"/>
  <c r="BV56" i="3"/>
  <c r="BO67" i="3"/>
  <c r="BU49" i="3"/>
  <c r="BR66" i="3"/>
  <c r="BV87" i="3"/>
  <c r="BN93" i="3"/>
  <c r="AA113" i="2"/>
  <c r="BL95" i="3"/>
  <c r="BF72" i="3"/>
  <c r="CL227" i="1" s="1"/>
  <c r="BK81" i="3"/>
  <c r="GQ5" i="4" a="1"/>
  <c r="FR15" i="4" a="1"/>
  <c r="HG13" i="4" a="1"/>
  <c r="BK84" i="3"/>
  <c r="BA90" i="3"/>
  <c r="BL90" i="3"/>
  <c r="BG71" i="3"/>
  <c r="BB84" i="3"/>
  <c r="BG57" i="3"/>
  <c r="BP49" i="3"/>
  <c r="BA57" i="3"/>
  <c r="BL55" i="3"/>
  <c r="BE57" i="3"/>
  <c r="BQ86" i="3"/>
  <c r="BV77" i="3"/>
  <c r="BO70" i="3"/>
  <c r="BU56" i="3"/>
  <c r="BR84" i="3"/>
  <c r="BV66" i="3"/>
  <c r="BN75" i="3"/>
  <c r="Y112" i="2"/>
  <c r="BL85" i="3"/>
  <c r="BF70" i="3"/>
  <c r="CL225" i="1" s="1"/>
  <c r="BK69" i="3"/>
  <c r="HG5" i="4" a="1"/>
  <c r="FT7" i="4" a="1"/>
  <c r="GC14" i="4" a="1"/>
  <c r="FS13" i="4" a="1"/>
  <c r="GG12" i="4" a="1"/>
  <c r="FV13" i="4" a="1"/>
  <c r="FN13" i="4" a="1"/>
  <c r="GZ13" i="4" a="1"/>
  <c r="FY14" i="4" a="1"/>
  <c r="GZ15" i="4" a="1"/>
  <c r="GJ11" i="4" a="1"/>
  <c r="GM14" i="4" a="1"/>
  <c r="BP48" i="3"/>
  <c r="BQ85" i="3"/>
  <c r="BM65" i="3"/>
  <c r="BM68" i="3"/>
  <c r="BB88" i="3"/>
  <c r="BD75" i="3"/>
  <c r="BB61" i="3"/>
  <c r="BH57" i="3"/>
  <c r="BL65" i="3"/>
  <c r="BI67" i="3"/>
  <c r="BU78" i="3"/>
  <c r="BN76" i="3"/>
  <c r="BS60" i="3"/>
  <c r="BU84" i="3"/>
  <c r="BV91" i="3"/>
  <c r="BT86" i="3"/>
  <c r="BN87" i="3"/>
  <c r="BS81" i="3"/>
  <c r="BI87" i="3"/>
  <c r="BJ48" i="3"/>
  <c r="BK91" i="3"/>
  <c r="HH7" i="4" a="1"/>
  <c r="FY6" i="4" a="1"/>
  <c r="BJ88" i="3"/>
  <c r="BH63" i="3"/>
  <c r="BP89" i="3"/>
  <c r="BM57" i="3"/>
  <c r="BG64" i="3"/>
  <c r="BD93" i="3"/>
  <c r="BA66" i="3"/>
  <c r="BH92" i="3"/>
  <c r="BE84" i="3"/>
  <c r="BF66" i="3"/>
  <c r="CL243" i="1" s="1"/>
  <c r="BR50" i="3"/>
  <c r="BO84" i="3"/>
  <c r="BS69" i="3"/>
  <c r="BA70" i="3"/>
  <c r="BC49" i="3"/>
  <c r="BG83" i="3"/>
  <c r="BB55" i="3"/>
  <c r="BH64" i="3"/>
  <c r="BI69" i="3"/>
  <c r="BC57" i="3"/>
  <c r="BL64" i="3"/>
  <c r="BE70" i="3"/>
  <c r="BQ72" i="3"/>
  <c r="BV81" i="3"/>
  <c r="BO79" i="3"/>
  <c r="BU62" i="3"/>
  <c r="BR69" i="3"/>
  <c r="BT58" i="3"/>
  <c r="BN90" i="3"/>
  <c r="BO69" i="3"/>
  <c r="BE47" i="3"/>
  <c r="BJ74" i="3"/>
  <c r="BB97" i="3"/>
  <c r="BQ92" i="3"/>
  <c r="BR67" i="3"/>
  <c r="BO78" i="3"/>
  <c r="BK75" i="3"/>
  <c r="GA7" i="4" a="1"/>
  <c r="GG8" i="4" a="1"/>
  <c r="FP14" i="4" a="1"/>
  <c r="FI13" i="4" a="1"/>
  <c r="GD14" i="4" a="1"/>
  <c r="FW14" i="4" a="1"/>
  <c r="BD87" i="3"/>
  <c r="GS11" i="4" a="1"/>
  <c r="BP93" i="3"/>
  <c r="GE8" i="4" a="1"/>
  <c r="BG70" i="3"/>
  <c r="BE78" i="3"/>
  <c r="BU88" i="3"/>
  <c r="BN97" i="3"/>
  <c r="BJ62" i="3"/>
  <c r="FY9" i="4" a="1"/>
  <c r="FO15" i="4" a="1"/>
  <c r="FJ6" i="4" a="1"/>
  <c r="HE9" i="4" a="1"/>
  <c r="FP12" i="4" a="1"/>
  <c r="FO14" i="4" a="1"/>
  <c r="GY14" i="4" a="1"/>
  <c r="GH14" i="4" a="1"/>
  <c r="GG9" i="4" a="1"/>
  <c r="BD59" i="3"/>
  <c r="BD56" i="3"/>
  <c r="GD12" i="4" a="1"/>
  <c r="HF16" i="4" a="1"/>
  <c r="GU12" i="4" a="1"/>
  <c r="FG16" i="4" a="1"/>
  <c r="BK55" i="3"/>
  <c r="FS12" i="4" a="1"/>
  <c r="BG61" i="3"/>
  <c r="BE76" i="3"/>
  <c r="BR81" i="3"/>
  <c r="BP95" i="3"/>
  <c r="BJ94" i="3"/>
  <c r="HA9" i="4" a="1"/>
  <c r="GP8" i="4" a="1"/>
  <c r="FX8" i="4" a="1"/>
  <c r="FG11" i="4" a="1"/>
  <c r="FU12" i="4" a="1"/>
  <c r="GE14" i="4" a="1"/>
  <c r="FV15" i="4" a="1"/>
  <c r="GX14" i="4" a="1"/>
  <c r="GY9" i="4" a="1"/>
  <c r="GW16" i="4" a="1"/>
  <c r="BK72" i="3"/>
  <c r="BB90" i="3"/>
  <c r="BU74" i="3"/>
  <c r="BS70" i="3"/>
  <c r="BK87" i="3"/>
  <c r="FL6" i="4" a="1"/>
  <c r="FR12" i="4" a="1"/>
  <c r="FZ13" i="4" a="1"/>
  <c r="GT15" i="4" a="1"/>
  <c r="GS13" i="4" a="1"/>
  <c r="BC97" i="3"/>
  <c r="GK14" i="4" a="1"/>
  <c r="FN5" i="4" a="1"/>
  <c r="HB11" i="4" a="1"/>
  <c r="BI82" i="3"/>
  <c r="BJ71" i="3"/>
  <c r="FT5" i="4" a="1"/>
  <c r="FS11" i="4" a="1"/>
  <c r="GU14" i="4" a="1"/>
  <c r="FV8" i="4" a="1"/>
  <c r="GZ11" i="4" a="1"/>
  <c r="GX15" i="4" a="1"/>
  <c r="GJ13" i="4" a="1"/>
  <c r="GI15" i="4" a="1"/>
  <c r="BN55" i="3"/>
  <c r="FR9" i="4" a="1"/>
  <c r="GT6" i="4" a="1"/>
  <c r="GF12" i="4" a="1"/>
  <c r="FQ15" i="4" a="1"/>
  <c r="GW14" i="4" a="1"/>
  <c r="HC16" i="4" a="1"/>
  <c r="FG14" i="4" a="1"/>
  <c r="BM72" i="3"/>
  <c r="BR60" i="3"/>
  <c r="GW5" i="4" a="1"/>
  <c r="FP6" i="4" a="1"/>
  <c r="FV14" i="4" a="1"/>
  <c r="FZ11" i="4" a="1"/>
  <c r="GK5" i="4" a="1"/>
  <c r="GL13" i="4" a="1"/>
  <c r="GL11" i="4" a="1"/>
  <c r="GY11" i="4" a="1"/>
  <c r="HE6" i="4" a="1"/>
  <c r="BL76" i="3"/>
  <c r="HF11" i="4" a="1"/>
  <c r="FM14" i="4" a="1"/>
  <c r="HE7" i="4" a="1"/>
  <c r="HA16" i="4" a="1"/>
  <c r="BA77" i="3"/>
  <c r="FT12" i="4" a="1"/>
  <c r="GW8" i="4" a="1"/>
  <c r="BQ68" i="3"/>
  <c r="BT54" i="3"/>
  <c r="BK65" i="3"/>
  <c r="BR73" i="3"/>
  <c r="BK88" i="3"/>
  <c r="HD7" i="4" a="1"/>
  <c r="FJ13" i="4" a="1"/>
  <c r="FN12" i="4" a="1"/>
  <c r="GM15" i="4" a="1"/>
  <c r="BD96" i="3"/>
  <c r="BP60" i="3"/>
  <c r="BE85" i="3"/>
  <c r="BA55" i="3"/>
  <c r="BR61" i="3"/>
  <c r="BE56" i="3"/>
  <c r="BB74" i="3"/>
  <c r="BF88" i="3"/>
  <c r="CL219" i="1" s="1"/>
  <c r="BI97" i="3"/>
  <c r="BQ57" i="3"/>
  <c r="BL82" i="3"/>
  <c r="BI57" i="3"/>
  <c r="BQ82" i="3"/>
  <c r="BT84" i="3"/>
  <c r="BS73" i="3"/>
  <c r="BU90" i="3"/>
  <c r="BV79" i="3"/>
  <c r="BT55" i="3"/>
  <c r="BN70" i="3"/>
  <c r="BO96" i="3"/>
  <c r="BI63" i="3"/>
  <c r="BJ96" i="3"/>
  <c r="BK76" i="3"/>
  <c r="FI6" i="4" a="1"/>
  <c r="HG6" i="4" a="1"/>
  <c r="FK6" i="4" a="1"/>
  <c r="GP7" i="4" a="1"/>
  <c r="FZ7" i="4" a="1"/>
  <c r="GM7" i="4" a="1"/>
  <c r="GK11" i="4" a="1"/>
  <c r="FH12" i="4" a="1"/>
  <c r="FQ11" i="4" a="1"/>
  <c r="GF16" i="4" a="1"/>
  <c r="FM15" i="4" a="1"/>
  <c r="BL81" i="3"/>
  <c r="BP88" i="3"/>
  <c r="BP70" i="3"/>
  <c r="BM61" i="3"/>
  <c r="BB89" i="3"/>
  <c r="BD62" i="3"/>
  <c r="BB75" i="3"/>
  <c r="BH69" i="3"/>
  <c r="BL69" i="3"/>
  <c r="BF92" i="3"/>
  <c r="CL247" i="1" s="1"/>
  <c r="BU87" i="3"/>
  <c r="BO63" i="3"/>
  <c r="BA58" i="3"/>
  <c r="BC72" i="3"/>
  <c r="BG91" i="3"/>
  <c r="BB95" i="3"/>
  <c r="BE55" i="3"/>
  <c r="BI89" i="3"/>
  <c r="BD50" i="3"/>
  <c r="BL68" i="3"/>
  <c r="BE97" i="3"/>
  <c r="BQ97" i="3"/>
  <c r="BV85" i="3"/>
  <c r="BO90" i="3"/>
  <c r="BU69" i="3"/>
  <c r="BR94" i="3"/>
  <c r="BT72" i="3"/>
  <c r="BN60" i="3"/>
  <c r="BO56" i="3"/>
  <c r="BE89" i="3"/>
  <c r="BJ47" i="3"/>
  <c r="BK59" i="3"/>
  <c r="FN6" i="4" a="1"/>
  <c r="FV5" i="4" a="1"/>
  <c r="FU5" i="4" a="1"/>
  <c r="GO9" i="4" a="1"/>
  <c r="BF87" i="3"/>
  <c r="CL244" i="1" s="1"/>
  <c r="BP81" i="3"/>
  <c r="BP66" i="3"/>
  <c r="BM86" i="3"/>
  <c r="BB72" i="3"/>
  <c r="BD78" i="3"/>
  <c r="BB86" i="3"/>
  <c r="BH49" i="3"/>
  <c r="BE66" i="3"/>
  <c r="BF76" i="3"/>
  <c r="BR70" i="3"/>
  <c r="BO68" i="3"/>
  <c r="BS93" i="3"/>
  <c r="BR86" i="3"/>
  <c r="BV61" i="3"/>
  <c r="BT95" i="3"/>
  <c r="BP75" i="3"/>
  <c r="BP55" i="3"/>
  <c r="BM54" i="3"/>
  <c r="BJ57" i="3"/>
  <c r="BK63" i="3"/>
  <c r="FR11" i="4" a="1"/>
  <c r="FT8" i="4" a="1"/>
  <c r="GM6" i="4" a="1"/>
  <c r="FW9" i="4" a="1"/>
  <c r="FO9" i="4" a="1"/>
  <c r="GM9" i="4" a="1"/>
  <c r="BP67" i="3"/>
  <c r="BQ77" i="3"/>
  <c r="BP92" i="3"/>
  <c r="BA95" i="3"/>
  <c r="BC50" i="3"/>
  <c r="BG75" i="3"/>
  <c r="BB62" i="3"/>
  <c r="BE96" i="3"/>
  <c r="BI64" i="3"/>
  <c r="BD85" i="3"/>
  <c r="BL78" i="3"/>
  <c r="BI68" i="3"/>
  <c r="BQ90" i="3"/>
  <c r="BT61" i="3"/>
  <c r="BS48" i="3"/>
  <c r="BU73" i="3"/>
  <c r="BR79" i="3"/>
  <c r="BT88" i="3"/>
  <c r="BN94" i="3"/>
  <c r="BO61" i="3"/>
  <c r="BE65" i="3"/>
  <c r="BJ66" i="3"/>
  <c r="BK48" i="3"/>
  <c r="FU7" i="4" a="1"/>
  <c r="GC6" i="4" a="1"/>
  <c r="GL5" i="4" a="1"/>
  <c r="GI5" i="4" a="1"/>
  <c r="GE5" i="4" a="1"/>
  <c r="FJ5" i="4" a="1"/>
  <c r="BP50" i="3"/>
  <c r="BA91" i="3"/>
  <c r="BC82" i="3"/>
  <c r="BG80" i="3"/>
  <c r="BB58" i="3"/>
  <c r="BM81" i="3"/>
  <c r="BI72" i="3"/>
  <c r="BD73" i="3"/>
  <c r="BL60" i="3"/>
  <c r="BI62" i="3"/>
  <c r="BQ67" i="3"/>
  <c r="BT50" i="3"/>
  <c r="BS71" i="3"/>
  <c r="BU86" i="3"/>
  <c r="BR83" i="3"/>
  <c r="BT96" i="3"/>
  <c r="BN71" i="3"/>
  <c r="BO86" i="3"/>
  <c r="BE59" i="3"/>
  <c r="BJ68" i="3"/>
  <c r="BK85" i="3"/>
  <c r="GS7" i="4" a="1"/>
  <c r="HD6" i="4" a="1"/>
  <c r="FH6" i="4" a="1"/>
  <c r="BG66" i="3"/>
  <c r="BA89" i="3"/>
  <c r="BC65" i="3"/>
  <c r="BG92" i="3"/>
  <c r="BB70" i="3"/>
  <c r="BM97" i="3"/>
  <c r="BI80" i="3"/>
  <c r="BQ47" i="3"/>
  <c r="BL62" i="3"/>
  <c r="BI70" i="3"/>
  <c r="BQ64" i="3"/>
  <c r="BT94" i="3"/>
  <c r="BS80" i="3"/>
  <c r="BU83" i="3"/>
  <c r="BR87" i="3"/>
  <c r="BT64" i="3"/>
  <c r="BN96" i="3"/>
  <c r="BO64" i="3"/>
  <c r="BE67" i="3"/>
  <c r="BJ70" i="3"/>
  <c r="BK80" i="3"/>
  <c r="FO8" i="4" a="1"/>
  <c r="GE7" i="4" a="1"/>
  <c r="GF6" i="4" a="1"/>
  <c r="GF5" i="4" a="1"/>
  <c r="FZ5" i="4" a="1"/>
  <c r="GD5" i="4" a="1"/>
  <c r="FO11" i="4" a="1"/>
  <c r="GQ11" i="4" a="1"/>
  <c r="FN8" i="4" a="1"/>
  <c r="FV16" i="4" a="1"/>
  <c r="GL14" i="4" a="1"/>
  <c r="GQ15" i="4" a="1"/>
  <c r="BJ86" i="3"/>
  <c r="BH81" i="3"/>
  <c r="BP84" i="3"/>
  <c r="BM94" i="3"/>
  <c r="BG58" i="3"/>
  <c r="BD54" i="3"/>
  <c r="BA94" i="3"/>
  <c r="BH74" i="3"/>
  <c r="BE95" i="3"/>
  <c r="BF54" i="3"/>
  <c r="BR91" i="3"/>
  <c r="BO81" i="3"/>
  <c r="BS72" i="3"/>
  <c r="BR55" i="3"/>
  <c r="BV89" i="3"/>
  <c r="BN82" i="3"/>
  <c r="BF81" i="3"/>
  <c r="CL236" i="1" s="1"/>
  <c r="CL271" i="1" s="1"/>
  <c r="BG48" i="3"/>
  <c r="BM63" i="3"/>
  <c r="BJ69" i="3"/>
  <c r="BK61" i="3"/>
  <c r="GI9" i="4" a="1"/>
  <c r="FL11" i="4" a="1"/>
  <c r="BA96" i="3"/>
  <c r="BK68" i="3"/>
  <c r="BG96" i="3"/>
  <c r="BB50" i="3"/>
  <c r="BH55" i="3"/>
  <c r="BP59" i="3"/>
  <c r="BC56" i="3"/>
  <c r="BL47" i="3"/>
  <c r="BE61" i="3"/>
  <c r="BQ79" i="3"/>
  <c r="BV47" i="3"/>
  <c r="BO74" i="3"/>
  <c r="BH62" i="3"/>
  <c r="BA63" i="3"/>
  <c r="BR56" i="3"/>
  <c r="BE62" i="3"/>
  <c r="BB69" i="3"/>
  <c r="BF86" i="3"/>
  <c r="BI74" i="3"/>
  <c r="BQ55" i="3"/>
  <c r="BL80" i="3"/>
  <c r="BI47" i="3"/>
  <c r="BQ81" i="3"/>
  <c r="BT80" i="3"/>
  <c r="BS85" i="3"/>
  <c r="BU89" i="3"/>
  <c r="BV50" i="3"/>
  <c r="BT56" i="3"/>
  <c r="BN68" i="3"/>
  <c r="BO93" i="3"/>
  <c r="BE81" i="3"/>
  <c r="BJ80" i="3"/>
  <c r="BD83" i="3"/>
  <c r="BO71" i="3"/>
  <c r="BT68" i="3"/>
  <c r="BL50" i="3"/>
  <c r="GT14" i="4" a="1"/>
  <c r="GX8" i="4" a="1"/>
  <c r="HD5" i="4" a="1"/>
  <c r="HH5" i="4" a="1"/>
  <c r="GT8" i="4" a="1"/>
  <c r="GI12" i="4" a="1"/>
  <c r="GK16" i="4" a="1"/>
  <c r="FL15" i="4" a="1"/>
  <c r="HH14" i="4" a="1"/>
  <c r="BT89" i="3"/>
  <c r="HF9" i="4" a="1"/>
  <c r="BB56" i="3"/>
  <c r="BQ80" i="3"/>
  <c r="BV62" i="3"/>
  <c r="BO91" i="3"/>
  <c r="BK58" i="3"/>
  <c r="FL9" i="4" a="1"/>
  <c r="GS8" i="4" a="1"/>
  <c r="GN14" i="4" a="1"/>
  <c r="FG12" i="4" a="1"/>
  <c r="FR13" i="4" a="1"/>
  <c r="GP15" i="4" a="1"/>
  <c r="GT12" i="4" a="1"/>
  <c r="GS15" i="4" a="1"/>
  <c r="BC67" i="3"/>
  <c r="BD79" i="3"/>
  <c r="BD77" i="3"/>
  <c r="GL12" i="4" a="1"/>
  <c r="HE13" i="4" a="1"/>
  <c r="HH15" i="4" a="1"/>
  <c r="BC74" i="3"/>
  <c r="GY13" i="4" a="1"/>
  <c r="BC96" i="3"/>
  <c r="BB47" i="3"/>
  <c r="BQ78" i="3"/>
  <c r="BV54" i="3"/>
  <c r="BS62" i="3"/>
  <c r="BK60" i="3"/>
  <c r="GX6" i="4" a="1"/>
  <c r="GP5" i="4" a="1"/>
  <c r="FJ15" i="4" a="1"/>
  <c r="FO12" i="4" a="1"/>
  <c r="FW13" i="4" a="1"/>
  <c r="GR15" i="4" a="1"/>
  <c r="FX13" i="4" a="1"/>
  <c r="GU15" i="4" a="1"/>
  <c r="BC95" i="3"/>
  <c r="BD66" i="3"/>
  <c r="GS6" i="4" a="1"/>
  <c r="GX5" i="4" a="1"/>
  <c r="BI49" i="3"/>
  <c r="BO62" i="3"/>
  <c r="BT77" i="3"/>
  <c r="BE91" i="3"/>
  <c r="FS5" i="4" a="1"/>
  <c r="HA6" i="4" a="1"/>
  <c r="HH12" i="4" a="1"/>
  <c r="GO8" i="4" a="1"/>
  <c r="FT13" i="4" a="1"/>
  <c r="GG14" i="4" a="1"/>
  <c r="FT16" i="4" a="1"/>
  <c r="GD15" i="4" a="1"/>
  <c r="FS16" i="4" a="1"/>
  <c r="FW16" i="4" a="1"/>
  <c r="GH12" i="4" a="1"/>
  <c r="BD72" i="3"/>
  <c r="GU5" i="4" a="1"/>
  <c r="FI14" i="4" a="1"/>
  <c r="BB60" i="3"/>
  <c r="BR89" i="3"/>
  <c r="BV90" i="3"/>
  <c r="BS87" i="3"/>
  <c r="BK62" i="3"/>
  <c r="GB11" i="4" a="1"/>
  <c r="FK7" i="4" a="1"/>
  <c r="GD9" i="4" a="1"/>
  <c r="FW12" i="4" a="1"/>
  <c r="GH13" i="4" a="1"/>
  <c r="GV15" i="4" a="1"/>
  <c r="HH13" i="4" a="1"/>
  <c r="GY15" i="4" a="1"/>
  <c r="BC75" i="3"/>
  <c r="BD80" i="3"/>
  <c r="HB16" i="4" a="1"/>
  <c r="GB16" i="4" a="1"/>
  <c r="BD90" i="3"/>
  <c r="BO85" i="3"/>
  <c r="BE74" i="3"/>
  <c r="BI94" i="3"/>
  <c r="BR74" i="3"/>
  <c r="BF77" i="3"/>
  <c r="CL232" i="1" s="1"/>
  <c r="BJ73" i="3"/>
  <c r="HB5" i="4" a="1"/>
  <c r="GT5" i="4" a="1"/>
  <c r="HD9" i="4" a="1"/>
  <c r="FZ12" i="4" a="1"/>
  <c r="GM13" i="4" a="1"/>
  <c r="GU16" i="4" a="1"/>
  <c r="HC15" i="4" a="1"/>
  <c r="BS78" i="3"/>
  <c r="GF13" i="4" a="1"/>
  <c r="GK15" i="4" a="1"/>
  <c r="BG60" i="3"/>
  <c r="BV59" i="3"/>
  <c r="BV76" i="3"/>
  <c r="BS94" i="3"/>
  <c r="BK92" i="3"/>
  <c r="GD7" i="4" a="1"/>
  <c r="GW7" i="4" a="1"/>
  <c r="FR5" i="4" a="1"/>
  <c r="FY16" i="4" a="1"/>
  <c r="BC54" i="3"/>
  <c r="BM49" i="3"/>
  <c r="BF71" i="3"/>
  <c r="BR95" i="3"/>
  <c r="AA112" i="2"/>
  <c r="BJ79" i="3"/>
  <c r="FS6" i="4" a="1"/>
  <c r="GV6" i="4" a="1"/>
  <c r="GZ6" i="4" a="1"/>
  <c r="GE11" i="4" a="1"/>
  <c r="GS12" i="4" a="1"/>
  <c r="FP15" i="4" a="1"/>
  <c r="GQ9" i="4" a="1"/>
  <c r="GB15" i="4" a="1"/>
  <c r="FS14" i="4" a="1"/>
  <c r="BD57" i="3"/>
  <c r="GJ12" i="4" a="1"/>
  <c r="FI16" i="4" a="1"/>
  <c r="BM67" i="3"/>
  <c r="BF61" i="3"/>
  <c r="BR80" i="3"/>
  <c r="BO47" i="3"/>
  <c r="BJ85" i="3"/>
  <c r="GQ6" i="4" a="1"/>
  <c r="FO7" i="4" a="1"/>
  <c r="GY7" i="4" a="1"/>
  <c r="GN11" i="4" a="1"/>
  <c r="GV12" i="4" a="1"/>
  <c r="GC15" i="4" a="1"/>
  <c r="HG9" i="4" a="1"/>
  <c r="GG15" i="4" a="1"/>
  <c r="BC55" i="3"/>
  <c r="BD58" i="3"/>
  <c r="BT75" i="3"/>
  <c r="BO48" i="3"/>
  <c r="GC7" i="4" a="1"/>
  <c r="FI8" i="4" a="1"/>
  <c r="HC11" i="4" a="1"/>
  <c r="GJ16" i="4" a="1"/>
  <c r="GK8" i="4" a="1"/>
  <c r="BR71" i="3"/>
  <c r="BF80" i="3"/>
  <c r="CL251" i="1" s="1"/>
  <c r="BI61" i="3"/>
  <c r="BC87" i="3"/>
  <c r="BD88" i="3"/>
  <c r="BO49" i="3"/>
  <c r="BV97" i="3"/>
  <c r="BH89" i="3"/>
  <c r="BK71" i="3"/>
  <c r="GO7" i="4" a="1"/>
  <c r="FX11" i="4" a="1"/>
  <c r="FL8" i="4" a="1"/>
  <c r="HC12" i="4" a="1"/>
  <c r="FL14" i="4" a="1"/>
  <c r="FL16" i="4" a="1"/>
  <c r="FI15" i="4" a="1"/>
  <c r="FK16" i="4" a="1"/>
  <c r="BC88" i="3"/>
  <c r="Z112" i="2"/>
  <c r="FO13" i="4" a="1"/>
  <c r="GO15" i="4" a="1"/>
  <c r="BD71" i="3"/>
  <c r="GL16" i="4" a="1"/>
  <c r="FI12" i="4" a="1"/>
  <c r="FQ16" i="4" a="1"/>
  <c r="GA11" i="4" a="1"/>
  <c r="HB12" i="4" a="1"/>
  <c r="BA69" i="3"/>
  <c r="BH79" i="3"/>
  <c r="BF91" i="3"/>
  <c r="CL246" i="1" s="1"/>
  <c r="BN50" i="3"/>
  <c r="BF57" i="3"/>
  <c r="CL210" i="1" s="1"/>
  <c r="GB8" i="4" a="1"/>
  <c r="GK9" i="4" a="1"/>
  <c r="GO6" i="4" a="1"/>
  <c r="HC9" i="4" a="1"/>
  <c r="GX16" i="4" a="1"/>
  <c r="GC11" i="4" a="1"/>
  <c r="BL89" i="3"/>
  <c r="BI95" i="3"/>
  <c r="BT57" i="3"/>
  <c r="FP5" i="4" a="1"/>
  <c r="GD13" i="4" a="1"/>
  <c r="HA8" i="4" a="1"/>
  <c r="FX16" i="4" a="1"/>
  <c r="FU16" i="4" a="1"/>
  <c r="GP11" i="4" a="1"/>
  <c r="FK14" i="4" a="1"/>
  <c r="BB93" i="3"/>
  <c r="BG72" i="3"/>
  <c r="BR58" i="3"/>
  <c r="BS89" i="3"/>
  <c r="BK86" i="3"/>
  <c r="HA5" i="4" a="1"/>
  <c r="FW5" i="4" a="1"/>
  <c r="HF14" i="4" a="1"/>
  <c r="BC73" i="3"/>
  <c r="BV55" i="3"/>
  <c r="BD60" i="3"/>
  <c r="BO95" i="3"/>
  <c r="FJ7" i="4" a="1"/>
  <c r="FX14" i="4" a="1"/>
  <c r="GN5" i="4" a="1"/>
  <c r="BM66" i="3"/>
  <c r="BV74" i="3"/>
  <c r="BK54" i="3"/>
  <c r="HD8" i="4" a="1"/>
  <c r="GM12" i="4" a="1"/>
  <c r="HD15" i="4" a="1"/>
  <c r="HE15" i="4" a="1"/>
  <c r="BD81" i="3"/>
  <c r="BT69" i="3"/>
  <c r="BG62" i="3"/>
  <c r="BK49" i="3"/>
  <c r="FZ9" i="4" a="1"/>
  <c r="GP12" i="4" a="1"/>
  <c r="GQ14" i="4" a="1"/>
  <c r="BC84" i="3"/>
  <c r="BU85" i="3"/>
  <c r="HD14" i="4" a="1"/>
  <c r="FL7" i="4" a="1"/>
  <c r="GE16" i="4" a="1"/>
  <c r="BM76" i="3"/>
  <c r="BJ78" i="3"/>
  <c r="BS97" i="3"/>
  <c r="BM85" i="3"/>
  <c r="GJ5" i="4" a="1"/>
  <c r="FN7" i="4" a="1"/>
  <c r="GN16" i="4" a="1"/>
  <c r="GI16" i="4" a="1"/>
  <c r="BC93" i="3"/>
  <c r="FQ14" i="4" a="1"/>
  <c r="GP16" i="4" a="1"/>
  <c r="FO6" i="4" a="1"/>
  <c r="BG63" i="3"/>
  <c r="BP73" i="3"/>
  <c r="BN84" i="3"/>
  <c r="BM59" i="3"/>
  <c r="BB78" i="3"/>
  <c r="BD49" i="3"/>
  <c r="BB57" i="3"/>
  <c r="BH58" i="3"/>
  <c r="BL79" i="3"/>
  <c r="BF47" i="3"/>
  <c r="BU76" i="3"/>
  <c r="BO59" i="3"/>
  <c r="BS77" i="3"/>
  <c r="BU70" i="3"/>
  <c r="BV80" i="3"/>
  <c r="BT62" i="3"/>
  <c r="BP69" i="3"/>
  <c r="BS54" i="3"/>
  <c r="BM69" i="3"/>
  <c r="BJ92" i="3"/>
  <c r="BK97" i="3"/>
  <c r="GH9" i="4" a="1"/>
  <c r="GJ9" i="4" a="1"/>
  <c r="FV7" i="4" a="1"/>
  <c r="FR6" i="4" a="1"/>
  <c r="FT6" i="4" a="1"/>
  <c r="GW6" i="4" a="1"/>
  <c r="GE12" i="4" a="1"/>
  <c r="HD12" i="4" a="1"/>
  <c r="FZ14" i="4" a="1"/>
  <c r="HD16" i="4" a="1"/>
  <c r="HF6" i="4" a="1"/>
  <c r="BA49" i="3"/>
  <c r="BH86" i="3"/>
  <c r="BG88" i="3"/>
  <c r="BF63" i="3"/>
  <c r="CL217" i="1" s="1"/>
  <c r="BG93" i="3"/>
  <c r="BU55" i="3"/>
  <c r="BA79" i="3"/>
  <c r="BH84" i="3"/>
  <c r="BE93" i="3"/>
  <c r="BF85" i="3"/>
  <c r="CL239" i="1" s="1"/>
  <c r="BR57" i="3"/>
  <c r="BK78" i="3"/>
  <c r="BA60" i="3"/>
  <c r="BM64" i="3"/>
  <c r="BM70" i="3"/>
  <c r="BB63" i="3"/>
  <c r="BP86" i="3"/>
  <c r="BI96" i="3"/>
  <c r="BQ73" i="3"/>
  <c r="BL94" i="3"/>
  <c r="BI81" i="3"/>
  <c r="BQ69" i="3"/>
  <c r="BT90" i="3"/>
  <c r="BS68" i="3"/>
  <c r="BU92" i="3"/>
  <c r="BV57" i="3"/>
  <c r="BT79" i="3"/>
  <c r="BN63" i="3"/>
  <c r="BS66" i="3"/>
  <c r="BI71" i="3"/>
  <c r="BJ89" i="3"/>
  <c r="BK90" i="3"/>
  <c r="HH6" i="4" a="1"/>
  <c r="HA7" i="4" a="1"/>
  <c r="HB6" i="4" a="1"/>
  <c r="HE5" i="4" a="1"/>
  <c r="BA73" i="3"/>
  <c r="BL63" i="3"/>
  <c r="BG87" i="3"/>
  <c r="BK74" i="3"/>
  <c r="BG56" i="3"/>
  <c r="BU68" i="3"/>
  <c r="BA83" i="3"/>
  <c r="BH56" i="3"/>
  <c r="BE50" i="3"/>
  <c r="BQ91" i="3"/>
  <c r="BV71" i="3"/>
  <c r="BO58" i="3"/>
  <c r="BF95" i="3"/>
  <c r="CL256" i="1" s="1"/>
  <c r="BR47" i="3"/>
  <c r="BV69" i="3"/>
  <c r="BN80" i="3"/>
  <c r="BF75" i="3"/>
  <c r="BH91" i="3"/>
  <c r="BF62" i="3"/>
  <c r="CL216" i="1" s="1"/>
  <c r="BJ83" i="3"/>
  <c r="FL5" i="4" a="1"/>
  <c r="FH14" i="4" a="1"/>
  <c r="GO12" i="4" a="1"/>
  <c r="GH11" i="4" a="1"/>
  <c r="GU6" i="4" a="1"/>
  <c r="GN9" i="4" a="1"/>
  <c r="FS9" i="4" a="1"/>
  <c r="BF79" i="3"/>
  <c r="CL235" i="1" s="1"/>
  <c r="BH87" i="3"/>
  <c r="BP61" i="3"/>
  <c r="BQ65" i="3"/>
  <c r="BM82" i="3"/>
  <c r="BM80" i="3"/>
  <c r="BB68" i="3"/>
  <c r="BP96" i="3"/>
  <c r="BB76" i="3"/>
  <c r="BH95" i="3"/>
  <c r="BL48" i="3"/>
  <c r="BI66" i="3"/>
  <c r="BQ87" i="3"/>
  <c r="BN78" i="3"/>
  <c r="BS59" i="3"/>
  <c r="BU95" i="3"/>
  <c r="BV67" i="3"/>
  <c r="BT65" i="3"/>
  <c r="BN81" i="3"/>
  <c r="BS74" i="3"/>
  <c r="BI79" i="3"/>
  <c r="BJ87" i="3"/>
  <c r="BK94" i="3"/>
  <c r="GE9" i="4" a="1"/>
  <c r="GQ8" i="4" a="1"/>
  <c r="FQ8" i="4" a="1"/>
  <c r="GK7" i="4" a="1"/>
  <c r="FM7" i="4" a="1"/>
  <c r="GN7" i="4" a="1"/>
  <c r="BP77" i="3"/>
  <c r="BQ59" i="3"/>
  <c r="BM60" i="3"/>
  <c r="BM95" i="3"/>
  <c r="BB66" i="3"/>
  <c r="BP97" i="3"/>
  <c r="BB81" i="3"/>
  <c r="BH83" i="3"/>
  <c r="BL91" i="3"/>
  <c r="BI85" i="3"/>
  <c r="BQ96" i="3"/>
  <c r="BN92" i="3"/>
  <c r="BS65" i="3"/>
  <c r="BU97" i="3"/>
  <c r="BV93" i="3"/>
  <c r="BT83" i="3"/>
  <c r="BN83" i="3"/>
  <c r="BS76" i="3"/>
  <c r="BI77" i="3"/>
  <c r="BJ91" i="3"/>
  <c r="BK56" i="3"/>
  <c r="GH6" i="4" a="1"/>
  <c r="HC8" i="4" a="1"/>
  <c r="GC8" i="4" a="1"/>
  <c r="BP87" i="3"/>
  <c r="BQ49" i="3"/>
  <c r="BM56" i="3"/>
  <c r="BM74" i="3"/>
  <c r="BB48" i="3"/>
  <c r="BP47" i="3"/>
  <c r="BB91" i="3"/>
  <c r="BH73" i="3"/>
  <c r="BL75" i="3"/>
  <c r="BI76" i="3"/>
  <c r="BQ95" i="3"/>
  <c r="BN65" i="3"/>
  <c r="BS95" i="3"/>
  <c r="BU65" i="3"/>
  <c r="BV68" i="3"/>
  <c r="BT85" i="3"/>
  <c r="BN85" i="3"/>
  <c r="BS79" i="3"/>
  <c r="BI60" i="3"/>
  <c r="BJ54" i="3"/>
  <c r="BK95" i="3"/>
  <c r="FQ7" i="4" a="1"/>
  <c r="HC5" i="4" a="1"/>
  <c r="GM8" i="4" a="1"/>
  <c r="FU8" i="4" a="1"/>
  <c r="FG8" i="4" a="1"/>
  <c r="GA8" i="4" a="1"/>
  <c r="FJ12" i="4" a="1"/>
  <c r="GK12" i="4" a="1"/>
  <c r="FU13" i="4" a="1"/>
  <c r="GT16" i="4" a="1"/>
  <c r="GC13" i="4" a="1"/>
  <c r="BU58" i="3"/>
  <c r="BA59" i="3"/>
  <c r="BL97" i="3"/>
  <c r="BG67" i="3"/>
  <c r="BB96" i="3"/>
  <c r="BH77" i="3"/>
  <c r="BP68" i="3"/>
  <c r="BA88" i="3"/>
  <c r="BL49" i="3"/>
  <c r="BE71" i="3"/>
  <c r="BQ84" i="3"/>
  <c r="BV49" i="3"/>
  <c r="BO72" i="3"/>
  <c r="BU57" i="3"/>
  <c r="BR82" i="3"/>
  <c r="BT71" i="3"/>
  <c r="BN64" i="3"/>
  <c r="Y111" i="2"/>
  <c r="BL73" i="3"/>
  <c r="BF56" i="3"/>
  <c r="CL209" i="1" s="1"/>
  <c r="BK82" i="3"/>
  <c r="FX6" i="4" a="1"/>
  <c r="GH8" i="4" a="1"/>
  <c r="BH61" i="3"/>
  <c r="BA71" i="3"/>
  <c r="BU63" i="3"/>
  <c r="BE82" i="3"/>
  <c r="BB71" i="3"/>
  <c r="BM88" i="3"/>
  <c r="BI92" i="3"/>
  <c r="BQ50" i="3"/>
  <c r="BL96" i="3"/>
  <c r="BI90" i="3"/>
  <c r="BQ71" i="3"/>
  <c r="BT92" i="3"/>
  <c r="BS83" i="3"/>
  <c r="BG86" i="3"/>
  <c r="BP56" i="3"/>
  <c r="BN49" i="3"/>
  <c r="BM48" i="3"/>
  <c r="BB87" i="3"/>
  <c r="BD70" i="3"/>
  <c r="BB82" i="3"/>
  <c r="BH71" i="3"/>
  <c r="BL87" i="3"/>
  <c r="BF65" i="3"/>
  <c r="CL242" i="1" s="1"/>
  <c r="BU75" i="3"/>
  <c r="BO55" i="3"/>
  <c r="BS47" i="3"/>
  <c r="BU64" i="3"/>
  <c r="BV84" i="3"/>
  <c r="BT60" i="3"/>
  <c r="BP54" i="3"/>
  <c r="BS49" i="3"/>
  <c r="BI50" i="3"/>
  <c r="BJ64" i="3"/>
  <c r="BD61" i="3"/>
  <c r="BS92" i="3"/>
  <c r="BN77" i="3"/>
  <c r="BM89" i="3"/>
  <c r="GM5" i="4" a="1"/>
  <c r="GB6" i="4" a="1"/>
  <c r="FM6" i="4" a="1"/>
  <c r="GV9" i="4" a="1"/>
  <c r="FJ14" i="4" a="1"/>
  <c r="FT15" i="4" a="1"/>
  <c r="BC70" i="3"/>
  <c r="FV9" i="4" a="1"/>
  <c r="HD13" i="4" a="1"/>
  <c r="BH97" i="3"/>
  <c r="HE16" i="4" a="1"/>
  <c r="BU47" i="3"/>
  <c r="BO88" i="3"/>
  <c r="BT63" i="3"/>
  <c r="BE49" i="3"/>
  <c r="FK15" i="4" a="1"/>
  <c r="FG5" i="4" a="1"/>
  <c r="FH9" i="4" a="1"/>
  <c r="FP7" i="4" a="1"/>
  <c r="FL13" i="4" a="1"/>
  <c r="FT14" i="4" a="1"/>
  <c r="FP16" i="4" a="1"/>
  <c r="FX15" i="4" a="1"/>
  <c r="FO16" i="4" a="1"/>
  <c r="BC77" i="3"/>
  <c r="GQ16" i="4" a="1"/>
  <c r="GO14" i="4" a="1"/>
  <c r="BC80" i="3"/>
  <c r="HG12" i="4" a="1"/>
  <c r="GO11" i="4" a="1"/>
  <c r="BN88" i="3"/>
  <c r="FG13" i="4" a="1"/>
  <c r="BA65" i="3"/>
  <c r="BU79" i="3"/>
  <c r="BO50" i="3"/>
  <c r="BT67" i="3"/>
  <c r="BE54" i="3"/>
  <c r="GE15" i="4" a="1"/>
  <c r="FX5" i="4" a="1"/>
  <c r="FJ8" i="4" a="1"/>
  <c r="FQ13" i="4" a="1"/>
  <c r="GB14" i="4" a="1"/>
  <c r="FR16" i="4" a="1"/>
  <c r="GA15" i="4" a="1"/>
  <c r="BC61" i="3"/>
  <c r="HC7" i="4" a="1"/>
  <c r="FP9" i="4" a="1"/>
  <c r="GW11" i="4" a="1"/>
  <c r="GY12" i="4" a="1"/>
  <c r="GP13" i="4" a="1"/>
  <c r="GJ8" i="4" a="1"/>
  <c r="HE11" i="4" a="1"/>
  <c r="BO77" i="3"/>
  <c r="BE73" i="3"/>
  <c r="FW7" i="4" a="1"/>
  <c r="GB13" i="4" a="1"/>
  <c r="GJ14" i="4" a="1"/>
  <c r="FM11" i="4" a="1"/>
  <c r="BC66" i="3"/>
  <c r="FU15" i="4" a="1"/>
  <c r="BM75" i="3"/>
  <c r="BV88" i="3"/>
  <c r="GJ6" i="4" a="1"/>
  <c r="GG13" i="4" a="1"/>
  <c r="BD68" i="3"/>
  <c r="HG14" i="4" a="1"/>
  <c r="BI78" i="3"/>
  <c r="BT78" i="3"/>
  <c r="BI65" i="3"/>
  <c r="GO5" i="4" a="1"/>
  <c r="BC86" i="3"/>
  <c r="BH54" i="3"/>
  <c r="BV65" i="3"/>
  <c r="BP63" i="3"/>
  <c r="GU11" i="4" a="1"/>
  <c r="GY5" i="4" a="1"/>
  <c r="GU13" i="4" a="1"/>
  <c r="GA14" i="4" a="1"/>
  <c r="BC64" i="3"/>
  <c r="GZ12" i="4" a="1"/>
  <c r="BC78" i="3"/>
  <c r="BE90" i="3"/>
  <c r="BV92" i="3"/>
  <c r="FK13" i="4" a="1"/>
  <c r="FU6" i="4" a="1"/>
  <c r="HC13" i="4" a="1"/>
  <c r="HF15" i="4" a="1"/>
  <c r="HG15" i="4" a="1"/>
  <c r="BD95" i="3"/>
  <c r="BG47" i="3"/>
  <c r="GT9" i="4" a="1"/>
  <c r="FH7" i="4" a="1"/>
  <c r="BS75" i="3"/>
  <c r="BH59" i="3"/>
  <c r="BC85" i="3"/>
  <c r="BT97" i="3"/>
  <c r="GU8" i="4" a="1"/>
  <c r="FQ6" i="4" a="1"/>
  <c r="GC9" i="4" a="1"/>
  <c r="FY7" i="4" a="1"/>
  <c r="HH8" i="4" a="1"/>
  <c r="FN9" i="4" a="1"/>
  <c r="FM16" i="4" a="1"/>
  <c r="GN12" i="4" a="1"/>
  <c r="BD63" i="3"/>
  <c r="GX12" i="4" a="1"/>
  <c r="BB79" i="3"/>
  <c r="GT13" i="4" a="1"/>
  <c r="BC81" i="3"/>
  <c r="BA48" i="3"/>
  <c r="BH70" i="3"/>
  <c r="BG78" i="3"/>
  <c r="BF83" i="3"/>
  <c r="CL252" i="1" s="1"/>
  <c r="BG77" i="3"/>
  <c r="BU54" i="3"/>
  <c r="BA74" i="3"/>
  <c r="BH82" i="3"/>
  <c r="BE80" i="3"/>
  <c r="BF93" i="3"/>
  <c r="BR54" i="3"/>
  <c r="BO94" i="3"/>
  <c r="BS57" i="3"/>
  <c r="BR59" i="3"/>
  <c r="BV63" i="3"/>
  <c r="BN67" i="3"/>
  <c r="BF69" i="3"/>
  <c r="BG90" i="3"/>
  <c r="BF74" i="3"/>
  <c r="CL229" i="1" s="1"/>
  <c r="BJ77" i="3"/>
  <c r="FM5" i="4" a="1"/>
  <c r="HE12" i="4" a="1"/>
  <c r="FX9" i="4" a="1"/>
  <c r="GS5" i="4" a="1"/>
  <c r="FP11" i="4" a="1"/>
  <c r="GF11" i="4" a="1"/>
  <c r="GD11" i="4" a="1"/>
  <c r="FY13" i="4" a="1"/>
  <c r="GX13" i="4" a="1"/>
  <c r="GL15" i="4" a="1"/>
  <c r="GJ7" i="4" a="1"/>
  <c r="GK13" i="4" a="1"/>
  <c r="BA82" i="3"/>
  <c r="BC47" i="3"/>
  <c r="BG85" i="3"/>
  <c r="BB92" i="3"/>
  <c r="BH76" i="3"/>
  <c r="BI83" i="3"/>
  <c r="BD92" i="3"/>
  <c r="BL66" i="3"/>
  <c r="BE92" i="3"/>
  <c r="BQ74" i="3"/>
  <c r="BV83" i="3"/>
  <c r="BL84" i="3"/>
  <c r="BP64" i="3"/>
  <c r="BP71" i="3"/>
  <c r="BM71" i="3"/>
  <c r="BB67" i="3"/>
  <c r="BD94" i="3"/>
  <c r="BB54" i="3"/>
  <c r="BH67" i="3"/>
  <c r="BL61" i="3"/>
  <c r="BF94" i="3"/>
  <c r="BR62" i="3"/>
  <c r="BO66" i="3"/>
  <c r="BS96" i="3"/>
  <c r="BR88" i="3"/>
  <c r="BV58" i="3"/>
  <c r="BT48" i="3"/>
  <c r="BP90" i="3"/>
  <c r="BS58" i="3"/>
  <c r="BM47" i="3"/>
  <c r="BJ50" i="3"/>
  <c r="BK96" i="3"/>
  <c r="HH9" i="4" a="1"/>
  <c r="GR7" i="4" a="1"/>
  <c r="GB9" i="4" a="1"/>
  <c r="HG7" i="4" a="1"/>
  <c r="BA62" i="3"/>
  <c r="BC94" i="3"/>
  <c r="BG49" i="3"/>
  <c r="BB49" i="3"/>
  <c r="BE75" i="3"/>
  <c r="BI93" i="3"/>
  <c r="BD86" i="3"/>
  <c r="BL57" i="3"/>
  <c r="BE64" i="3"/>
  <c r="BQ94" i="3"/>
  <c r="BT74" i="3"/>
  <c r="BO92" i="3"/>
  <c r="BU82" i="3"/>
  <c r="BR97" i="3"/>
  <c r="BT76" i="3"/>
  <c r="BN62" i="3"/>
  <c r="BO73" i="3"/>
  <c r="BE58" i="3"/>
  <c r="BJ58" i="3"/>
  <c r="BK67" i="3"/>
  <c r="GL6" i="4" a="1"/>
  <c r="GH5" i="4" a="1"/>
  <c r="GG5" i="4" a="1"/>
  <c r="FI5" i="4" a="1"/>
  <c r="FI9" i="4" a="1"/>
  <c r="FK5" i="4" a="1"/>
  <c r="GW9" i="4" a="1"/>
  <c r="BA87" i="3"/>
  <c r="BL72" i="3"/>
  <c r="BJ90" i="3"/>
  <c r="BH75" i="3"/>
  <c r="BP72" i="3"/>
  <c r="BM79" i="3"/>
  <c r="BB64" i="3"/>
  <c r="BD76" i="3"/>
  <c r="BA54" i="3"/>
  <c r="BH50" i="3"/>
  <c r="BE63" i="3"/>
  <c r="BF59" i="3"/>
  <c r="BR65" i="3"/>
  <c r="BO75" i="3"/>
  <c r="BS91" i="3"/>
  <c r="BR49" i="3"/>
  <c r="BV78" i="3"/>
  <c r="BT66" i="3"/>
  <c r="BP79" i="3"/>
  <c r="BP65" i="3"/>
  <c r="BM87" i="3"/>
  <c r="BJ63" i="3"/>
  <c r="BK79" i="3"/>
  <c r="FW6" i="4" a="1"/>
  <c r="FM9" i="4" a="1"/>
  <c r="FP8" i="4" a="1"/>
  <c r="HC6" i="4" a="1"/>
  <c r="GG7" i="4" a="1"/>
  <c r="FK8" i="4" a="1"/>
  <c r="BJ56" i="3"/>
  <c r="BH47" i="3"/>
  <c r="BP76" i="3"/>
  <c r="BM62" i="3"/>
  <c r="BB83" i="3"/>
  <c r="BD89" i="3"/>
  <c r="BA76" i="3"/>
  <c r="BH94" i="3"/>
  <c r="BE83" i="3"/>
  <c r="BF78" i="3"/>
  <c r="CL234" i="1" s="1"/>
  <c r="BR92" i="3"/>
  <c r="BO76" i="3"/>
  <c r="BS86" i="3"/>
  <c r="BR78" i="3"/>
  <c r="BV82" i="3"/>
  <c r="BN57" i="3"/>
  <c r="BP82" i="3"/>
  <c r="BG82" i="3"/>
  <c r="BM58" i="3"/>
  <c r="BJ65" i="3"/>
  <c r="BK89" i="3"/>
  <c r="FZ6" i="4" a="1"/>
  <c r="GP9" i="4" a="1"/>
  <c r="GN8" i="4" a="1"/>
  <c r="BJ59" i="3"/>
  <c r="BH78" i="3"/>
  <c r="BP78" i="3"/>
  <c r="BM90" i="3"/>
  <c r="BG74" i="3"/>
  <c r="BD55" i="3"/>
  <c r="BA80" i="3"/>
  <c r="BH88" i="3"/>
  <c r="BE86" i="3"/>
  <c r="BF49" i="3"/>
  <c r="CL165" i="1" s="1"/>
  <c r="BR93" i="3"/>
  <c r="BO80" i="3"/>
  <c r="BS82" i="3"/>
  <c r="BR76" i="3"/>
  <c r="BV86" i="3"/>
  <c r="BN86" i="3"/>
  <c r="BP85" i="3"/>
  <c r="BG68" i="3"/>
  <c r="BM83" i="3"/>
  <c r="BJ67" i="3"/>
  <c r="BK93" i="3"/>
  <c r="HE8" i="4" a="1"/>
  <c r="HB9" i="4" a="1"/>
  <c r="FJ9" i="4" a="1"/>
  <c r="GF8" i="4" a="1"/>
  <c r="GV8" i="4" a="1"/>
  <c r="HG8" i="4" a="1"/>
  <c r="HF12" i="4" a="1"/>
  <c r="GE13" i="4" a="1"/>
  <c r="FS15" i="4" a="1"/>
  <c r="FN14" i="4" a="1"/>
  <c r="HH11" i="4" a="1"/>
  <c r="BG79" i="3"/>
  <c r="BA85" i="3"/>
  <c r="BU50" i="3"/>
  <c r="BG54" i="3"/>
  <c r="BB59" i="3"/>
  <c r="BM96" i="3"/>
  <c r="BI88" i="3"/>
  <c r="BQ48" i="3"/>
  <c r="BL70" i="3"/>
  <c r="BI58" i="3"/>
  <c r="BQ66" i="3"/>
  <c r="BT93" i="3"/>
  <c r="BS63" i="3"/>
  <c r="BU96" i="3"/>
  <c r="BR68" i="3"/>
  <c r="BT70" i="3"/>
  <c r="BN47" i="3"/>
  <c r="BO83" i="3"/>
  <c r="BE69" i="3"/>
  <c r="BJ72" i="3"/>
  <c r="BK66" i="3"/>
  <c r="FY8" i="4" a="1"/>
  <c r="GX7" i="4" a="1"/>
  <c r="BP80" i="3"/>
  <c r="BQ61" i="3"/>
  <c r="BM73" i="3"/>
  <c r="BM84" i="3"/>
  <c r="BB94" i="3"/>
  <c r="BD82" i="3"/>
  <c r="BB77" i="3"/>
  <c r="BH60" i="3"/>
  <c r="BL59" i="3"/>
  <c r="BF89" i="3"/>
  <c r="CL245" i="1" s="1"/>
  <c r="CL275" i="1" s="1"/>
  <c r="BU72" i="3"/>
  <c r="BO97" i="3"/>
  <c r="BS55" i="3"/>
  <c r="BA67" i="3"/>
  <c r="BH96" i="3"/>
  <c r="BG55" i="3"/>
  <c r="BF84" i="3"/>
  <c r="CL238" i="1" s="1"/>
  <c r="BG94" i="3"/>
  <c r="BU48" i="3"/>
  <c r="BA78" i="3"/>
  <c r="BH80" i="3"/>
  <c r="BE72" i="3"/>
  <c r="BF82" i="3"/>
  <c r="CL237" i="1" s="1"/>
  <c r="CL272" i="1" s="1"/>
  <c r="BR63" i="3"/>
  <c r="BO89" i="3"/>
  <c r="BS61" i="3"/>
  <c r="BR72" i="3"/>
  <c r="BV96" i="3"/>
  <c r="BN89" i="3"/>
  <c r="BF73" i="3"/>
  <c r="BG84" i="3"/>
  <c r="BF68" i="3"/>
  <c r="CL226" i="1" s="1"/>
  <c r="BP94" i="3"/>
  <c r="BE94" i="3"/>
  <c r="BU81" i="3"/>
  <c r="BN91" i="3"/>
  <c r="BJ55" i="3"/>
  <c r="GF14" i="4" a="1"/>
  <c r="GS14" i="4" a="1"/>
  <c r="GL7" i="4" a="1"/>
  <c r="HD11" i="4" a="1"/>
  <c r="GN15" i="4" a="1"/>
  <c r="GU9" i="4" a="1"/>
  <c r="BC91" i="3"/>
  <c r="BD91" i="3"/>
  <c r="BC83" i="3"/>
  <c r="BJ95" i="3"/>
  <c r="BP83" i="3"/>
  <c r="BQ54" i="3"/>
  <c r="BS64" i="3"/>
  <c r="BN79" i="3"/>
  <c r="BM55" i="3"/>
  <c r="FG6" i="4" a="1"/>
  <c r="HF8" i="4" a="1"/>
  <c r="GK6" i="4" a="1"/>
  <c r="FH11" i="4" a="1"/>
  <c r="GT7" i="4" a="1"/>
  <c r="FQ9" i="4" a="1"/>
  <c r="GR16" i="4" a="1"/>
  <c r="FI11" i="4" a="1"/>
  <c r="GM16" i="4" a="1"/>
  <c r="BC68" i="3"/>
  <c r="BC59" i="3"/>
  <c r="HB8" i="4" a="1"/>
  <c r="GI11" i="4" a="1"/>
  <c r="BD47" i="3"/>
  <c r="FY15" i="4" a="1"/>
  <c r="BU91" i="3"/>
  <c r="GH15" i="4" a="1"/>
  <c r="BA81" i="3"/>
  <c r="BH65" i="3"/>
  <c r="BS56" i="3"/>
  <c r="BN95" i="3"/>
  <c r="BF58" i="3"/>
  <c r="CL211" i="1" s="1"/>
  <c r="FG9" i="4" a="1"/>
  <c r="GB7" i="4" a="1"/>
  <c r="FG7" i="4" a="1"/>
  <c r="FT11" i="4" a="1"/>
  <c r="FK9" i="4" a="1"/>
  <c r="GL9" i="4" a="1"/>
  <c r="GV16" i="4" a="1"/>
  <c r="FY11" i="4" a="1"/>
  <c r="GO16" i="4" a="1"/>
  <c r="BC76" i="3"/>
  <c r="FK12" i="4" a="1"/>
  <c r="HB14" i="4" a="1"/>
  <c r="BG89" i="3"/>
  <c r="BE48" i="3"/>
  <c r="BR48" i="3"/>
  <c r="BP74" i="3"/>
  <c r="BJ61" i="3"/>
  <c r="FO5" i="4" a="1"/>
  <c r="FY5" i="4" a="1"/>
  <c r="FU9" i="4" a="1"/>
  <c r="FK11" i="4" a="1"/>
  <c r="FX12" i="4" a="1"/>
  <c r="GP14" i="4" a="1"/>
  <c r="GP6" i="4" a="1"/>
  <c r="HC14" i="4" a="1"/>
  <c r="BC92" i="3"/>
  <c r="BC89" i="3"/>
  <c r="GN13" i="4" a="1"/>
  <c r="FW15" i="4" a="1"/>
  <c r="GV11" i="4" a="1"/>
  <c r="BA84" i="3"/>
  <c r="BH85" i="3"/>
  <c r="BU59" i="3"/>
  <c r="BN61" i="3"/>
  <c r="BF50" i="3"/>
  <c r="CL166" i="1" s="1"/>
  <c r="GZ8" i="4" a="1"/>
  <c r="GZ9" i="4" a="1"/>
  <c r="GZ5" i="4" a="1"/>
  <c r="FS7" i="4" a="1"/>
  <c r="GA9" i="4" a="1"/>
  <c r="GG11" i="4" a="1"/>
  <c r="GZ16" i="4" a="1"/>
  <c r="GA12" i="4" a="1"/>
  <c r="GS16" i="4" a="1"/>
  <c r="BC62" i="3"/>
  <c r="GR11" i="4" a="1"/>
  <c r="HA15" i="4" a="1"/>
  <c r="BC63" i="3"/>
  <c r="BA97" i="3"/>
  <c r="FJ16" i="4" a="1"/>
  <c r="BI86" i="3"/>
  <c r="BO87" i="3"/>
  <c r="BT47" i="3"/>
  <c r="BE77" i="3"/>
  <c r="GN6" i="4" a="1"/>
  <c r="GU7" i="4" a="1"/>
  <c r="HB13" i="4" a="1"/>
  <c r="HF5" i="4" a="1"/>
  <c r="GF9" i="4" a="1"/>
  <c r="FZ16" i="4" a="1"/>
  <c r="BD69" i="3"/>
  <c r="HF13" i="4" a="1"/>
  <c r="BN72" i="3"/>
  <c r="GD8" i="4" a="1"/>
  <c r="BH72" i="3"/>
  <c r="BL77" i="3"/>
  <c r="BU67" i="3"/>
  <c r="BN58" i="3"/>
  <c r="BJ84" i="3"/>
  <c r="GX9" i="4" a="1"/>
  <c r="FV11" i="4" a="1"/>
  <c r="GF7" i="4" a="1"/>
  <c r="GR12" i="4" a="1"/>
  <c r="GW13" i="4" a="1"/>
  <c r="GG16" i="4" a="1"/>
  <c r="BB80" i="3"/>
  <c r="BS84" i="3"/>
  <c r="BT82" i="3"/>
  <c r="BI75" i="3"/>
  <c r="GH7" i="4" a="1"/>
  <c r="GI6" i="4" a="1"/>
  <c r="FZ15" i="4" a="1"/>
  <c r="HB7" i="4" a="1"/>
  <c r="GO13" i="4" a="1"/>
  <c r="GZ14" i="4" a="1"/>
  <c r="GD16" i="4" a="1"/>
  <c r="GI14" i="4" a="1"/>
  <c r="GA16" i="4" a="1"/>
  <c r="BC79" i="3"/>
  <c r="BC48" i="3"/>
  <c r="FG15" i="4" a="1"/>
  <c r="BG59" i="3"/>
  <c r="BA64" i="3"/>
  <c r="BS88" i="3"/>
  <c r="BT87" i="3"/>
  <c r="BI91" i="3"/>
  <c r="GR5" i="4" a="1"/>
  <c r="GV7" i="4" a="1"/>
  <c r="GZ7" i="4" a="1"/>
  <c r="FT9" i="4" a="1"/>
  <c r="GR13" i="4" a="1"/>
  <c r="HE14" i="4" a="1"/>
  <c r="GH16" i="4" a="1"/>
  <c r="FH15" i="4" a="1"/>
  <c r="GC16" i="4" a="1"/>
  <c r="BC69" i="3"/>
  <c r="Y113" i="2"/>
  <c r="BV94" i="3"/>
  <c r="GY6" i="4" a="1"/>
  <c r="GY8" i="4" a="1"/>
  <c r="FQ5" i="4" a="1"/>
  <c r="HA12" i="4" a="1"/>
  <c r="BD67" i="3"/>
  <c r="FR7" i="4" a="1"/>
  <c r="BM92" i="3"/>
  <c r="BR77" i="3"/>
  <c r="BK77" i="3"/>
  <c r="BM77" i="3"/>
  <c r="BL56" i="3"/>
  <c r="BU94" i="3"/>
  <c r="BN73" i="3"/>
  <c r="BJ97" i="3"/>
  <c r="GA13" i="4" a="1"/>
  <c r="FU14" i="4" a="1"/>
  <c r="GR6" i="4" a="1"/>
  <c r="FR8" i="4" a="1"/>
  <c r="HG11" i="4" a="1"/>
  <c r="HA13" i="4" a="1"/>
  <c r="FH13" i="4" a="1"/>
  <c r="FR14" i="4" a="1"/>
  <c r="HG16" i="4" a="1"/>
  <c r="BD74" i="3"/>
  <c r="GI7" i="4" a="1"/>
  <c r="FN16" i="4" a="1"/>
  <c r="GL8" i="4" a="1"/>
  <c r="HB15" i="4" a="1"/>
  <c r="BD97" i="3"/>
  <c r="BV72" i="3"/>
  <c r="GR8" i="4" a="1"/>
  <c r="FZ8" i="4" a="1"/>
  <c r="GW15" i="4" a="1"/>
  <c r="BD64" i="3"/>
  <c r="BG81" i="3"/>
  <c r="BR64" i="3"/>
  <c r="BF67" i="3"/>
  <c r="FH5" i="4" a="1"/>
  <c r="GR9" i="4" a="1"/>
  <c r="GC12" i="4" a="1"/>
  <c r="FN15" i="4" a="1"/>
  <c r="BD65" i="3"/>
  <c r="BR90" i="3"/>
  <c r="BQ58" i="3"/>
  <c r="BH90" i="3"/>
  <c r="BU60" i="3"/>
  <c r="BJ49" i="3"/>
  <c r="FJ11" i="4" a="1"/>
  <c r="FW11" i="4" a="1"/>
  <c r="BK47" i="3"/>
  <c r="BI59" i="3"/>
  <c r="BF55" i="3"/>
  <c r="BJ75" i="3"/>
  <c r="FN11" i="4" a="1"/>
  <c r="FU11" i="4" a="1"/>
  <c r="BK50" i="3"/>
  <c r="BL71" i="3"/>
  <c r="BU80" i="3"/>
  <c r="BN74" i="3"/>
  <c r="BJ60" i="3"/>
  <c r="FW8" i="4" a="1"/>
  <c r="FV12" i="4" a="1"/>
  <c r="HH16" i="4" a="1"/>
  <c r="FP13" i="4" a="1"/>
  <c r="GY16" i="4" a="1"/>
  <c r="BD48" i="3"/>
  <c r="BC58" i="3"/>
  <c r="BU77" i="3"/>
  <c r="BN56" i="3"/>
  <c r="BJ76" i="3"/>
  <c r="GX11" i="4" a="1"/>
  <c r="GI8" i="4" a="1"/>
  <c r="GT11" i="4" a="1"/>
  <c r="GQ12" i="4" a="1"/>
  <c r="GV13" i="4" a="1"/>
  <c r="BD84" i="3"/>
  <c r="BN66" i="3"/>
  <c r="GW12" i="4" a="1"/>
  <c r="GF15" i="4" a="1"/>
  <c r="BL74" i="3"/>
  <c r="BQ76" i="3"/>
  <c r="BO60" i="3"/>
  <c r="GG6" i="4" a="1"/>
  <c r="HA11" i="4" a="1"/>
  <c r="GJ15" i="4" a="1"/>
  <c r="BC90" i="3"/>
  <c r="FM12" i="4" a="1"/>
  <c r="CL220" i="1" l="1"/>
  <c r="CH232" i="1"/>
  <c r="CI232" i="1" s="1"/>
  <c r="AA294" i="1"/>
  <c r="CR15" i="1"/>
  <c r="CR11" i="1" s="1"/>
  <c r="CS15" i="1" s="1"/>
  <c r="CL190" i="1"/>
  <c r="CL191" i="1" s="1"/>
  <c r="CL212" i="1"/>
  <c r="CL107" i="1"/>
  <c r="CL253" i="1"/>
  <c r="CL260" i="1" s="1"/>
  <c r="CL201" i="1" s="1"/>
  <c r="CL221" i="1"/>
  <c r="CL184" i="1"/>
  <c r="CL240" i="1"/>
  <c r="CL230" i="1"/>
  <c r="CL248" i="1"/>
  <c r="CL277" i="1" s="1"/>
  <c r="CL276" i="1" s="1"/>
  <c r="Z118" i="1"/>
  <c r="X286" i="1"/>
  <c r="X118" i="1"/>
  <c r="Y118" i="1"/>
  <c r="CN112" i="1"/>
  <c r="CR112" i="1" s="1"/>
  <c r="CV112" i="1" s="1"/>
  <c r="CZ112" i="1" s="1"/>
  <c r="CJ118" i="1"/>
  <c r="CP112" i="1"/>
  <c r="CT112" i="1" s="1"/>
  <c r="CX112" i="1" s="1"/>
  <c r="DB112" i="1" s="1"/>
  <c r="CH118" i="1"/>
  <c r="Z286" i="1"/>
  <c r="CO112" i="1"/>
  <c r="CS112" i="1" s="1"/>
  <c r="CW112" i="1" s="1"/>
  <c r="DA112" i="1" s="1"/>
  <c r="CK118" i="1"/>
  <c r="CI118" i="1"/>
  <c r="CG118" i="1"/>
  <c r="CM112" i="1"/>
  <c r="Y345" i="1"/>
  <c r="Z253" i="1"/>
  <c r="AA301" i="1" s="1"/>
  <c r="Y286" i="1"/>
  <c r="Y275" i="1"/>
  <c r="Y240" i="1"/>
  <c r="Y274" i="1" s="1"/>
  <c r="Y253" i="1"/>
  <c r="Z301" i="1" s="1"/>
  <c r="X240" i="1"/>
  <c r="X275" i="1"/>
  <c r="CK101" i="1"/>
  <c r="X101" i="1"/>
  <c r="CH253" i="1"/>
  <c r="CI301" i="1" s="1"/>
  <c r="X323" i="1"/>
  <c r="CJ217" i="1"/>
  <c r="CK217" i="1" s="1"/>
  <c r="KB16" i="4" s="1"/>
  <c r="CJ255" i="1"/>
  <c r="CK255" i="1" s="1"/>
  <c r="CM255" i="1" s="1"/>
  <c r="CN255" i="1" s="1"/>
  <c r="CO255" i="1" s="1"/>
  <c r="CP255" i="1" s="1"/>
  <c r="CQ255" i="1" s="1"/>
  <c r="CR255" i="1" s="1"/>
  <c r="CS255" i="1" s="1"/>
  <c r="CT255" i="1" s="1"/>
  <c r="CU255" i="1" s="1"/>
  <c r="CV255" i="1" s="1"/>
  <c r="CW255" i="1" s="1"/>
  <c r="CJ229" i="1"/>
  <c r="CK229" i="1" s="1"/>
  <c r="CM229" i="1" s="1"/>
  <c r="CN229" i="1" s="1"/>
  <c r="CO229" i="1" s="1"/>
  <c r="CP229" i="1" s="1"/>
  <c r="CQ229" i="1" s="1"/>
  <c r="CR229" i="1" s="1"/>
  <c r="CS229" i="1" s="1"/>
  <c r="CT229" i="1" s="1"/>
  <c r="CU229" i="1" s="1"/>
  <c r="CV229" i="1" s="1"/>
  <c r="CW229" i="1" s="1"/>
  <c r="CX229" i="1" s="1"/>
  <c r="CY229" i="1" s="1"/>
  <c r="CZ229" i="1" s="1"/>
  <c r="DA229" i="1" s="1"/>
  <c r="DB229" i="1" s="1"/>
  <c r="JR16" i="4" s="1"/>
  <c r="JZ15" i="4" s="1"/>
  <c r="CJ219" i="1"/>
  <c r="CK219" i="1" s="1"/>
  <c r="CM219" i="1" s="1"/>
  <c r="CN219" i="1" s="1"/>
  <c r="CO219" i="1" s="1"/>
  <c r="CP219" i="1" s="1"/>
  <c r="CQ219" i="1" s="1"/>
  <c r="CR219" i="1" s="1"/>
  <c r="CS219" i="1" s="1"/>
  <c r="CT219" i="1" s="1"/>
  <c r="CU219" i="1" s="1"/>
  <c r="CV219" i="1" s="1"/>
  <c r="CW219" i="1" s="1"/>
  <c r="CX219" i="1" s="1"/>
  <c r="CY219" i="1" s="1"/>
  <c r="CZ219" i="1" s="1"/>
  <c r="DA219" i="1" s="1"/>
  <c r="DB219" i="1" s="1"/>
  <c r="JZ16" i="4" s="1"/>
  <c r="CJ256" i="1"/>
  <c r="CK256" i="1" s="1"/>
  <c r="CM256" i="1" s="1"/>
  <c r="CN256" i="1" s="1"/>
  <c r="CO256" i="1" s="1"/>
  <c r="CP256" i="1" s="1"/>
  <c r="CQ256" i="1" s="1"/>
  <c r="CR256" i="1" s="1"/>
  <c r="CS256" i="1" s="1"/>
  <c r="CT256" i="1" s="1"/>
  <c r="CU256" i="1" s="1"/>
  <c r="CV256" i="1" s="1"/>
  <c r="CW256" i="1" s="1"/>
  <c r="CX256" i="1" s="1"/>
  <c r="CY256" i="1" s="1"/>
  <c r="CZ256" i="1" s="1"/>
  <c r="DA256" i="1" s="1"/>
  <c r="DB256" i="1" s="1"/>
  <c r="CJ211" i="1"/>
  <c r="CJ238" i="1"/>
  <c r="JQ16" i="4" s="1"/>
  <c r="CJ236" i="1"/>
  <c r="CJ271" i="1" s="1"/>
  <c r="CK271" i="1" s="1"/>
  <c r="CM271" i="1" s="1"/>
  <c r="CN271" i="1" s="1"/>
  <c r="CO271" i="1" s="1"/>
  <c r="CP271" i="1" s="1"/>
  <c r="CQ271" i="1" s="1"/>
  <c r="CR271" i="1" s="1"/>
  <c r="CS271" i="1" s="1"/>
  <c r="CT271" i="1" s="1"/>
  <c r="CJ210" i="1"/>
  <c r="CK210" i="1" s="1"/>
  <c r="CM210" i="1" s="1"/>
  <c r="CN210" i="1" s="1"/>
  <c r="CO210" i="1" s="1"/>
  <c r="CP210" i="1" s="1"/>
  <c r="CQ210" i="1" s="1"/>
  <c r="CR210" i="1" s="1"/>
  <c r="CS210" i="1" s="1"/>
  <c r="CT210" i="1" s="1"/>
  <c r="CU210" i="1" s="1"/>
  <c r="CV210" i="1" s="1"/>
  <c r="CW210" i="1" s="1"/>
  <c r="CX210" i="1" s="1"/>
  <c r="CY210" i="1" s="1"/>
  <c r="CZ210" i="1" s="1"/>
  <c r="DA210" i="1" s="1"/>
  <c r="DB210" i="1" s="1"/>
  <c r="KE16" i="4" s="1"/>
  <c r="JW16" i="4" s="1"/>
  <c r="KH16" i="4" s="1"/>
  <c r="JX16" i="4" s="1"/>
  <c r="Z165" i="1"/>
  <c r="JY16" i="4" s="1"/>
  <c r="CJ214" i="1"/>
  <c r="CK214" i="1" s="1"/>
  <c r="CM214" i="1" s="1"/>
  <c r="CN214" i="1" s="1"/>
  <c r="CO214" i="1" s="1"/>
  <c r="CP214" i="1" s="1"/>
  <c r="CQ214" i="1" s="1"/>
  <c r="CR214" i="1" s="1"/>
  <c r="CS214" i="1" s="1"/>
  <c r="CT214" i="1" s="1"/>
  <c r="CU214" i="1" s="1"/>
  <c r="CV214" i="1" s="1"/>
  <c r="CW214" i="1" s="1"/>
  <c r="CX214" i="1" s="1"/>
  <c r="CY214" i="1" s="1"/>
  <c r="CZ214" i="1" s="1"/>
  <c r="DA214" i="1" s="1"/>
  <c r="DB214" i="1" s="1"/>
  <c r="CJ226" i="1"/>
  <c r="CK125" i="1" s="1"/>
  <c r="JT9" i="4" s="1"/>
  <c r="CJ218" i="1"/>
  <c r="CK218" i="1" s="1"/>
  <c r="CM218" i="1" s="1"/>
  <c r="CN218" i="1" s="1"/>
  <c r="CO218" i="1" s="1"/>
  <c r="CP218" i="1" s="1"/>
  <c r="CQ218" i="1" s="1"/>
  <c r="CR218" i="1" s="1"/>
  <c r="CS218" i="1" s="1"/>
  <c r="CT218" i="1" s="1"/>
  <c r="CU218" i="1" s="1"/>
  <c r="CV218" i="1" s="1"/>
  <c r="CW218" i="1" s="1"/>
  <c r="CX218" i="1" s="1"/>
  <c r="CY218" i="1" s="1"/>
  <c r="CZ218" i="1" s="1"/>
  <c r="DA218" i="1" s="1"/>
  <c r="DB218" i="1" s="1"/>
  <c r="KF16" i="4" s="1"/>
  <c r="CJ251" i="1"/>
  <c r="CJ242" i="1"/>
  <c r="KC16" i="4" s="1"/>
  <c r="JU16" i="4" s="1"/>
  <c r="JV16" i="4" s="1"/>
  <c r="JW9" i="4" s="1"/>
  <c r="JX9" i="4" s="1"/>
  <c r="CJ227" i="1"/>
  <c r="CK227" i="1" s="1"/>
  <c r="CM227" i="1" s="1"/>
  <c r="CN227" i="1" s="1"/>
  <c r="CO227" i="1" s="1"/>
  <c r="CP227" i="1" s="1"/>
  <c r="CQ227" i="1" s="1"/>
  <c r="CR227" i="1" s="1"/>
  <c r="CS227" i="1" s="1"/>
  <c r="CT227" i="1" s="1"/>
  <c r="CU227" i="1" s="1"/>
  <c r="CV227" i="1" s="1"/>
  <c r="CW227" i="1" s="1"/>
  <c r="CX227" i="1" s="1"/>
  <c r="CY227" i="1" s="1"/>
  <c r="CZ227" i="1" s="1"/>
  <c r="DA227" i="1" s="1"/>
  <c r="DB227" i="1" s="1"/>
  <c r="CJ241" i="1"/>
  <c r="JU9" i="4" s="1"/>
  <c r="CJ243" i="1"/>
  <c r="KE9" i="4" s="1"/>
  <c r="KD16" i="4" s="1"/>
  <c r="JT16" i="4" s="1"/>
  <c r="CJ232" i="1"/>
  <c r="CK232" i="1" s="1"/>
  <c r="CL294" i="1" s="1"/>
  <c r="CJ209" i="1"/>
  <c r="CK209" i="1" s="1"/>
  <c r="CM209" i="1" s="1"/>
  <c r="CN209" i="1" s="1"/>
  <c r="CO209" i="1" s="1"/>
  <c r="CP209" i="1" s="1"/>
  <c r="CQ209" i="1" s="1"/>
  <c r="CR209" i="1" s="1"/>
  <c r="CS209" i="1" s="1"/>
  <c r="CT209" i="1" s="1"/>
  <c r="CU209" i="1" s="1"/>
  <c r="CV209" i="1" s="1"/>
  <c r="CW209" i="1" s="1"/>
  <c r="CJ235" i="1"/>
  <c r="JY9" i="4" s="1"/>
  <c r="KA16" i="4" s="1"/>
  <c r="JS16" i="4" s="1"/>
  <c r="KD7" i="4" s="1"/>
  <c r="KG9" i="4" s="1"/>
  <c r="JR9" i="4" s="1"/>
  <c r="CK165" i="1"/>
  <c r="KG16" i="4" s="1"/>
  <c r="CJ246" i="1"/>
  <c r="CJ244" i="1"/>
  <c r="KD9" i="4" s="1"/>
  <c r="KC14" i="4" s="1"/>
  <c r="KD14" i="4" s="1"/>
  <c r="CJ252" i="1"/>
  <c r="CJ225" i="1"/>
  <c r="CK225" i="1" s="1"/>
  <c r="CM225" i="1" s="1"/>
  <c r="CN225" i="1" s="1"/>
  <c r="CO225" i="1" s="1"/>
  <c r="CP225" i="1" s="1"/>
  <c r="CI165" i="1"/>
  <c r="CJ237" i="1"/>
  <c r="CJ272" i="1" s="1"/>
  <c r="CK272" i="1" s="1"/>
  <c r="CM272" i="1" s="1"/>
  <c r="CN272" i="1" s="1"/>
  <c r="CO272" i="1" s="1"/>
  <c r="CP272" i="1" s="1"/>
  <c r="CQ272" i="1" s="1"/>
  <c r="CR272" i="1" s="1"/>
  <c r="CS272" i="1" s="1"/>
  <c r="CT272" i="1" s="1"/>
  <c r="CH166" i="1"/>
  <c r="KF9" i="4" s="1"/>
  <c r="X165" i="1"/>
  <c r="KB9" i="4" s="1"/>
  <c r="Z166" i="1"/>
  <c r="CJ245" i="1"/>
  <c r="CJ275" i="1" s="1"/>
  <c r="CK275" i="1" s="1"/>
  <c r="CM275" i="1" s="1"/>
  <c r="CN275" i="1" s="1"/>
  <c r="CO275" i="1" s="1"/>
  <c r="CP275" i="1" s="1"/>
  <c r="CJ239" i="1"/>
  <c r="Y166" i="1"/>
  <c r="CI166" i="1"/>
  <c r="KA9" i="4" s="1"/>
  <c r="JS9" i="4" s="1"/>
  <c r="JQ9" i="4" s="1"/>
  <c r="CK166" i="1"/>
  <c r="CJ234" i="1"/>
  <c r="CH165" i="1"/>
  <c r="KH9" i="4" s="1"/>
  <c r="CJ166" i="1"/>
  <c r="CJ247" i="1"/>
  <c r="CJ216" i="1"/>
  <c r="CK216" i="1" s="1"/>
  <c r="CM216" i="1" s="1"/>
  <c r="CG165" i="1"/>
  <c r="KC9" i="4" s="1"/>
  <c r="JV9" i="4" s="1"/>
  <c r="JZ9" i="4" s="1"/>
  <c r="CJ165" i="1"/>
  <c r="CG166" i="1"/>
  <c r="Z240" i="1"/>
  <c r="X345" i="1"/>
  <c r="X265" i="1"/>
  <c r="X272" i="1"/>
  <c r="Z246" i="1"/>
  <c r="CH246" i="1" s="1"/>
  <c r="CH248" i="1" s="1"/>
  <c r="CH277" i="1" s="1"/>
  <c r="X271" i="1"/>
  <c r="CK157" i="1"/>
  <c r="CK190" i="1"/>
  <c r="X344" i="1"/>
  <c r="Y226" i="1"/>
  <c r="Y265" i="1"/>
  <c r="Y271" i="1"/>
  <c r="Y344" i="1"/>
  <c r="Y101" i="1"/>
  <c r="Y323" i="1"/>
  <c r="CH209" i="1"/>
  <c r="Z212" i="1"/>
  <c r="AA299" i="1" s="1"/>
  <c r="CH236" i="1"/>
  <c r="Z271" i="1"/>
  <c r="Z323" i="1"/>
  <c r="Z344" i="1"/>
  <c r="Z272" i="1"/>
  <c r="Z345" i="1"/>
  <c r="Z275" i="1"/>
  <c r="CH227" i="1"/>
  <c r="CI227" i="1" s="1"/>
  <c r="Z223" i="1"/>
  <c r="CG286" i="1"/>
  <c r="CG345" i="1"/>
  <c r="Y248" i="1"/>
  <c r="CH345" i="1"/>
  <c r="CG344" i="1"/>
  <c r="X226" i="1"/>
  <c r="CI323" i="1"/>
  <c r="CI101" i="1"/>
  <c r="CJ190" i="1"/>
  <c r="Y294" i="1"/>
  <c r="Y272" i="1"/>
  <c r="CG101" i="1"/>
  <c r="CG107" i="1" s="1"/>
  <c r="Z265" i="1"/>
  <c r="Z101" i="1"/>
  <c r="X248" i="1"/>
  <c r="JX15" i="4"/>
  <c r="Y212" i="1"/>
  <c r="X220" i="1"/>
  <c r="X253" i="1"/>
  <c r="X212" i="1"/>
  <c r="X267" i="1" s="1"/>
  <c r="Y220" i="1"/>
  <c r="KF8" i="4"/>
  <c r="KB14" i="4"/>
  <c r="KG15" i="4"/>
  <c r="CI224" i="1"/>
  <c r="CJ224" i="1" s="1"/>
  <c r="CH344" i="1"/>
  <c r="CI220" i="1"/>
  <c r="CH101" i="1"/>
  <c r="CL102" i="1" s="1"/>
  <c r="CI344" i="1"/>
  <c r="CJ345" i="1"/>
  <c r="CH323" i="1"/>
  <c r="CJ323" i="1"/>
  <c r="CI345" i="1"/>
  <c r="CH272" i="1"/>
  <c r="CI272" i="1" s="1"/>
  <c r="CH275" i="1"/>
  <c r="CI275" i="1" s="1"/>
  <c r="CJ344" i="1"/>
  <c r="CJ101" i="1"/>
  <c r="CJ107" i="1" s="1"/>
  <c r="Y165" i="1"/>
  <c r="X166" i="1"/>
  <c r="Z294" i="1"/>
  <c r="CI157" i="1"/>
  <c r="CJ286" i="1"/>
  <c r="Z220" i="1"/>
  <c r="CH157" i="1"/>
  <c r="CG157" i="1"/>
  <c r="CJ157" i="1"/>
  <c r="CH220" i="1"/>
  <c r="JP15" i="4"/>
  <c r="JP14" i="4"/>
  <c r="JP8" i="4"/>
  <c r="JP7" i="4"/>
  <c r="JP21" i="4"/>
  <c r="CJ169" i="1" s="1"/>
  <c r="JO21" i="4"/>
  <c r="CI169" i="1" s="1"/>
  <c r="JO7" i="4"/>
  <c r="JO15" i="4"/>
  <c r="JO14" i="4"/>
  <c r="JO8" i="4"/>
  <c r="JN21" i="4"/>
  <c r="CH169" i="1" s="1"/>
  <c r="JN15" i="4"/>
  <c r="JN14" i="4"/>
  <c r="JN7" i="4"/>
  <c r="JN8" i="4"/>
  <c r="CB104" i="1"/>
  <c r="CI294" i="1" l="1"/>
  <c r="KG21" i="4"/>
  <c r="KC21" i="4"/>
  <c r="JU21" i="4"/>
  <c r="JY21" i="4"/>
  <c r="Z274" i="1"/>
  <c r="AA288" i="1"/>
  <c r="AA102" i="1"/>
  <c r="AA280" i="1"/>
  <c r="AA298" i="1"/>
  <c r="AA297" i="1" s="1"/>
  <c r="AA341" i="1"/>
  <c r="JT21" i="4"/>
  <c r="JV8" i="4" s="1"/>
  <c r="JX7" i="4" s="1"/>
  <c r="CR37" i="1"/>
  <c r="JQ15" i="4"/>
  <c r="KG7" i="4"/>
  <c r="KD8" i="4"/>
  <c r="JU14" i="4"/>
  <c r="KE7" i="4"/>
  <c r="KC15" i="4"/>
  <c r="JS14" i="4"/>
  <c r="JY8" i="4"/>
  <c r="KB8" i="4"/>
  <c r="KB21" i="4"/>
  <c r="JT15" i="4"/>
  <c r="JY7" i="4"/>
  <c r="KA7" i="4"/>
  <c r="JT8" i="4"/>
  <c r="KC8" i="4"/>
  <c r="JZ21" i="4"/>
  <c r="CL120" i="1"/>
  <c r="CL75" i="1" s="1"/>
  <c r="CL108" i="1"/>
  <c r="CL338" i="1"/>
  <c r="CL340" i="1"/>
  <c r="CL274" i="1"/>
  <c r="CL249" i="1"/>
  <c r="CL257" i="1" s="1"/>
  <c r="CL258" i="1" s="1"/>
  <c r="JR21" i="4"/>
  <c r="CL169" i="1" s="1"/>
  <c r="JW21" i="4"/>
  <c r="JZ14" i="4"/>
  <c r="KD15" i="4"/>
  <c r="KE15" i="4"/>
  <c r="JR15" i="4"/>
  <c r="JR20" i="4" s="1"/>
  <c r="CL171" i="1" s="1"/>
  <c r="JW8" i="4"/>
  <c r="JS15" i="4"/>
  <c r="JV21" i="4"/>
  <c r="CS11" i="1"/>
  <c r="CT15" i="1" s="1"/>
  <c r="CL280" i="1"/>
  <c r="CL103" i="1"/>
  <c r="CI107" i="1"/>
  <c r="CL336" i="1"/>
  <c r="CL317" i="1"/>
  <c r="CK107" i="1"/>
  <c r="CH107" i="1"/>
  <c r="CL109" i="1" s="1"/>
  <c r="Y107" i="1"/>
  <c r="Y28" i="1"/>
  <c r="Z107" i="1"/>
  <c r="AA109" i="1" s="1"/>
  <c r="Z28" i="1"/>
  <c r="X107" i="1"/>
  <c r="X108" i="1" s="1"/>
  <c r="X28" i="1"/>
  <c r="JT7" i="4"/>
  <c r="JS21" i="4"/>
  <c r="JZ8" i="4"/>
  <c r="JZ20" i="4" s="1"/>
  <c r="KF7" i="4"/>
  <c r="KA8" i="4"/>
  <c r="KB7" i="4"/>
  <c r="KB19" i="4" s="1"/>
  <c r="JR14" i="4"/>
  <c r="KB15" i="4"/>
  <c r="KB20" i="4" s="1"/>
  <c r="JX8" i="4"/>
  <c r="JX20" i="4" s="1"/>
  <c r="JZ7" i="4"/>
  <c r="JS8" i="4"/>
  <c r="KF14" i="4"/>
  <c r="KC7" i="4"/>
  <c r="KC19" i="4" s="1"/>
  <c r="KF15" i="4"/>
  <c r="KF20" i="4" s="1"/>
  <c r="KH14" i="4"/>
  <c r="KE14" i="4"/>
  <c r="JQ14" i="4"/>
  <c r="JQ19" i="4" s="1"/>
  <c r="CK170" i="1" s="1"/>
  <c r="KH21" i="4"/>
  <c r="JY15" i="4"/>
  <c r="KE8" i="4"/>
  <c r="JW7" i="4"/>
  <c r="JX21" i="4"/>
  <c r="JR8" i="4"/>
  <c r="KG8" i="4"/>
  <c r="KG20" i="4" s="1"/>
  <c r="JY14" i="4"/>
  <c r="JW15" i="4"/>
  <c r="JU7" i="4"/>
  <c r="JV14" i="4"/>
  <c r="KH15" i="4"/>
  <c r="AB112" i="1"/>
  <c r="CQ112" i="1"/>
  <c r="JR7" i="4"/>
  <c r="JU8" i="4"/>
  <c r="CK119" i="1"/>
  <c r="CG28" i="1"/>
  <c r="CJ28" i="1"/>
  <c r="CH28" i="1"/>
  <c r="CK28" i="1"/>
  <c r="CI28" i="1"/>
  <c r="CK102" i="1"/>
  <c r="Y288" i="1"/>
  <c r="X249" i="1"/>
  <c r="X190" i="1"/>
  <c r="CJ223" i="1"/>
  <c r="CK103" i="1"/>
  <c r="CJ294" i="1"/>
  <c r="X119" i="1"/>
  <c r="X274" i="1"/>
  <c r="X273" i="1" s="1"/>
  <c r="CJ220" i="1"/>
  <c r="CJ298" i="1" s="1"/>
  <c r="Z288" i="1"/>
  <c r="CJ230" i="1"/>
  <c r="CJ253" i="1"/>
  <c r="CK301" i="1" s="1"/>
  <c r="CJ248" i="1"/>
  <c r="CJ277" i="1" s="1"/>
  <c r="CJ276" i="1" s="1"/>
  <c r="CK276" i="1" s="1"/>
  <c r="CM276" i="1" s="1"/>
  <c r="CN276" i="1" s="1"/>
  <c r="CO276" i="1" s="1"/>
  <c r="CP276" i="1" s="1"/>
  <c r="CJ240" i="1"/>
  <c r="CJ274" i="1" s="1"/>
  <c r="Z248" i="1"/>
  <c r="CJ212" i="1"/>
  <c r="KA15" i="4"/>
  <c r="KH7" i="4"/>
  <c r="JQ7" i="4"/>
  <c r="JQ8" i="4"/>
  <c r="JQ21" i="4"/>
  <c r="CK169" i="1" s="1"/>
  <c r="JX14" i="4"/>
  <c r="JX19" i="4" s="1"/>
  <c r="JW14" i="4"/>
  <c r="JW19" i="4" s="1"/>
  <c r="KA14" i="4"/>
  <c r="JU15" i="4"/>
  <c r="KA21" i="4"/>
  <c r="KD21" i="4"/>
  <c r="KG14" i="4"/>
  <c r="KG19" i="4" s="1"/>
  <c r="JV15" i="4"/>
  <c r="JV20" i="4" s="1"/>
  <c r="JV7" i="4"/>
  <c r="KF21" i="4"/>
  <c r="KE21" i="4"/>
  <c r="JS7" i="4"/>
  <c r="JS19" i="4" s="1"/>
  <c r="KH8" i="4"/>
  <c r="JT14" i="4"/>
  <c r="CK191" i="1"/>
  <c r="KC20" i="4"/>
  <c r="Z273" i="1"/>
  <c r="Z119" i="1"/>
  <c r="CH240" i="1"/>
  <c r="CH271" i="1"/>
  <c r="Y230" i="1"/>
  <c r="Y125" i="1"/>
  <c r="Y190" i="1"/>
  <c r="Y280" i="1"/>
  <c r="Y119" i="1"/>
  <c r="Y102" i="1"/>
  <c r="CI209" i="1"/>
  <c r="CH212" i="1"/>
  <c r="CH184" i="1" s="1"/>
  <c r="CH186" i="1" s="1"/>
  <c r="Z267" i="1"/>
  <c r="Z340" i="1"/>
  <c r="Z226" i="1"/>
  <c r="CH223" i="1"/>
  <c r="AB225" i="1"/>
  <c r="CQ225" i="1"/>
  <c r="CR225" i="1" s="1"/>
  <c r="CS225" i="1" s="1"/>
  <c r="CT225" i="1" s="1"/>
  <c r="KD19" i="4"/>
  <c r="CG119" i="1"/>
  <c r="X221" i="1"/>
  <c r="CI119" i="1"/>
  <c r="CM119" i="1" s="1"/>
  <c r="Y273" i="1"/>
  <c r="Y277" i="1"/>
  <c r="Y249" i="1"/>
  <c r="X230" i="1"/>
  <c r="X336" i="1" s="1"/>
  <c r="X125" i="1"/>
  <c r="CH276" i="1"/>
  <c r="CI276" i="1" s="1"/>
  <c r="X340" i="1"/>
  <c r="Y301" i="1"/>
  <c r="Z280" i="1"/>
  <c r="Z102" i="1"/>
  <c r="Z190" i="1"/>
  <c r="Y267" i="1"/>
  <c r="Y340" i="1"/>
  <c r="X129" i="1"/>
  <c r="X260" i="1"/>
  <c r="X201" i="1" s="1"/>
  <c r="CI298" i="1"/>
  <c r="X277" i="1"/>
  <c r="Y289" i="1"/>
  <c r="CK294" i="1"/>
  <c r="Y341" i="1"/>
  <c r="Y298" i="1"/>
  <c r="Y260" i="1"/>
  <c r="Y201" i="1" s="1"/>
  <c r="CK220" i="1"/>
  <c r="Y129" i="1"/>
  <c r="Y221" i="1"/>
  <c r="Z260" i="1"/>
  <c r="Z201" i="1" s="1"/>
  <c r="Z298" i="1"/>
  <c r="CI103" i="1"/>
  <c r="CJ191" i="1"/>
  <c r="CJ194" i="1" s="1"/>
  <c r="CH119" i="1"/>
  <c r="CJ317" i="1"/>
  <c r="CJ103" i="1"/>
  <c r="CJ119" i="1"/>
  <c r="CH103" i="1"/>
  <c r="Z221" i="1"/>
  <c r="Z129" i="1"/>
  <c r="Z341" i="1"/>
  <c r="CH260" i="1"/>
  <c r="CI341" i="1"/>
  <c r="CN216" i="1"/>
  <c r="CX255" i="1"/>
  <c r="CX209" i="1"/>
  <c r="JP20" i="4"/>
  <c r="CJ171" i="1" s="1"/>
  <c r="JP19" i="4"/>
  <c r="CJ170" i="1" s="1"/>
  <c r="JO19" i="4"/>
  <c r="CI170" i="1" s="1"/>
  <c r="JO20" i="4"/>
  <c r="CI171" i="1" s="1"/>
  <c r="JN20" i="4"/>
  <c r="CH171" i="1" s="1"/>
  <c r="JN19" i="4"/>
  <c r="CH170" i="1" s="1"/>
  <c r="JY19" i="4" l="1"/>
  <c r="JU19" i="4"/>
  <c r="JQ20" i="4"/>
  <c r="CK171" i="1" s="1"/>
  <c r="KA19" i="4"/>
  <c r="JT20" i="4"/>
  <c r="KD20" i="4"/>
  <c r="KE19" i="4"/>
  <c r="JY20" i="4"/>
  <c r="CN119" i="1"/>
  <c r="Z277" i="1"/>
  <c r="AA289" i="1"/>
  <c r="AA290" i="1" s="1"/>
  <c r="AA291" i="1" s="1"/>
  <c r="JW20" i="4"/>
  <c r="CI120" i="1"/>
  <c r="KA20" i="4"/>
  <c r="KH19" i="4"/>
  <c r="CS37" i="1"/>
  <c r="JZ19" i="4"/>
  <c r="JT19" i="4"/>
  <c r="KH20" i="4"/>
  <c r="CL324" i="1"/>
  <c r="CL325" i="1" s="1"/>
  <c r="CL126" i="1"/>
  <c r="CL130" i="1" s="1"/>
  <c r="CL121" i="1"/>
  <c r="CL273" i="1"/>
  <c r="CL278" i="1"/>
  <c r="CL194" i="1"/>
  <c r="CL186" i="1"/>
  <c r="JS20" i="4"/>
  <c r="KE20" i="4"/>
  <c r="JU20" i="4"/>
  <c r="CL196" i="1"/>
  <c r="CL188" i="1"/>
  <c r="CL200" i="1"/>
  <c r="CL203" i="1" s="1"/>
  <c r="CT11" i="1"/>
  <c r="CU15" i="1" s="1"/>
  <c r="AC15" i="1"/>
  <c r="AC11" i="1" s="1"/>
  <c r="AC37" i="1" s="1"/>
  <c r="CK120" i="1"/>
  <c r="CL123" i="1" s="1"/>
  <c r="CL110" i="1"/>
  <c r="CL298" i="1"/>
  <c r="CL341" i="1"/>
  <c r="CK223" i="1"/>
  <c r="CK108" i="1"/>
  <c r="X120" i="1"/>
  <c r="X75" i="1" s="1"/>
  <c r="CK110" i="1"/>
  <c r="CK109" i="1"/>
  <c r="KF19" i="4"/>
  <c r="JR19" i="4"/>
  <c r="CL170" i="1" s="1"/>
  <c r="JV19" i="4"/>
  <c r="AC112" i="1"/>
  <c r="CU112" i="1"/>
  <c r="CK194" i="1"/>
  <c r="CI108" i="1"/>
  <c r="Y290" i="1"/>
  <c r="CJ341" i="1"/>
  <c r="CJ336" i="1"/>
  <c r="Z289" i="1"/>
  <c r="Z290" i="1" s="1"/>
  <c r="Z249" i="1"/>
  <c r="CJ249" i="1"/>
  <c r="CJ257" i="1" s="1"/>
  <c r="CJ221" i="1"/>
  <c r="CJ340" i="1"/>
  <c r="CJ338" i="1"/>
  <c r="CJ184" i="1"/>
  <c r="CJ186" i="1" s="1"/>
  <c r="X257" i="1"/>
  <c r="X258" i="1" s="1"/>
  <c r="Y295" i="1"/>
  <c r="Y293" i="1" s="1"/>
  <c r="X338" i="1"/>
  <c r="CH274" i="1"/>
  <c r="CH278" i="1" s="1"/>
  <c r="CH249" i="1"/>
  <c r="CK199" i="1"/>
  <c r="CK195" i="1"/>
  <c r="Y257" i="1"/>
  <c r="Y258" i="1" s="1"/>
  <c r="CI271" i="1"/>
  <c r="Y338" i="1"/>
  <c r="Y336" i="1"/>
  <c r="Y109" i="1"/>
  <c r="Y120" i="1"/>
  <c r="Y75" i="1" s="1"/>
  <c r="Y108" i="1"/>
  <c r="CH340" i="1"/>
  <c r="CH221" i="1"/>
  <c r="Z230" i="1"/>
  <c r="AA295" i="1" s="1"/>
  <c r="AA293" i="1" s="1"/>
  <c r="Z125" i="1"/>
  <c r="CI223" i="1"/>
  <c r="CI226" i="1" s="1"/>
  <c r="CH226" i="1"/>
  <c r="CU225" i="1"/>
  <c r="CV225" i="1" s="1"/>
  <c r="CW225" i="1" s="1"/>
  <c r="CX225" i="1" s="1"/>
  <c r="AC225" i="1"/>
  <c r="Z109" i="1"/>
  <c r="Z108" i="1"/>
  <c r="Z120" i="1"/>
  <c r="CH188" i="1"/>
  <c r="CG120" i="1"/>
  <c r="CG75" i="1" s="1"/>
  <c r="CG108" i="1"/>
  <c r="CK277" i="1"/>
  <c r="Y276" i="1"/>
  <c r="Y278" i="1"/>
  <c r="CI277" i="1"/>
  <c r="CI244" i="1"/>
  <c r="CM232" i="1"/>
  <c r="CJ273" i="1"/>
  <c r="CK273" i="1" s="1"/>
  <c r="CJ278" i="1"/>
  <c r="CH187" i="1"/>
  <c r="CI110" i="1"/>
  <c r="CH108" i="1"/>
  <c r="X276" i="1"/>
  <c r="X278" i="1"/>
  <c r="CM217" i="1"/>
  <c r="CJ110" i="1"/>
  <c r="CJ120" i="1"/>
  <c r="CJ108" i="1"/>
  <c r="CK298" i="1"/>
  <c r="CK341" i="1"/>
  <c r="CH120" i="1"/>
  <c r="CH110" i="1"/>
  <c r="CI129" i="1"/>
  <c r="CH201" i="1"/>
  <c r="CJ200" i="1"/>
  <c r="CJ196" i="1"/>
  <c r="CH200" i="1"/>
  <c r="CI199" i="1"/>
  <c r="CH199" i="1"/>
  <c r="CI200" i="1"/>
  <c r="CJ199" i="1"/>
  <c r="CJ195" i="1"/>
  <c r="CO216" i="1"/>
  <c r="CY209" i="1"/>
  <c r="CY255" i="1"/>
  <c r="CK126" i="1" l="1"/>
  <c r="CK130" i="1" s="1"/>
  <c r="CK132" i="1" s="1"/>
  <c r="CK196" i="1"/>
  <c r="CK200" i="1"/>
  <c r="Z278" i="1"/>
  <c r="AA281" i="1" s="1"/>
  <c r="AA282" i="1" s="1"/>
  <c r="Z276" i="1"/>
  <c r="CI126" i="1"/>
  <c r="CI324" i="1"/>
  <c r="CI325" i="1" s="1"/>
  <c r="CI121" i="1"/>
  <c r="CL342" i="1"/>
  <c r="CO119" i="1"/>
  <c r="CI75" i="1"/>
  <c r="CK75" i="1"/>
  <c r="CK121" i="1"/>
  <c r="AA305" i="1"/>
  <c r="AA302" i="1"/>
  <c r="AA303" i="1" s="1"/>
  <c r="Z75" i="1"/>
  <c r="AA122" i="1"/>
  <c r="AA342" i="1"/>
  <c r="AA343" i="1" s="1"/>
  <c r="CL343" i="1"/>
  <c r="CT37" i="1"/>
  <c r="CL132" i="1"/>
  <c r="CL133" i="1"/>
  <c r="CL281" i="1"/>
  <c r="CM273" i="1"/>
  <c r="CN273" i="1" s="1"/>
  <c r="CO273" i="1" s="1"/>
  <c r="CP273" i="1" s="1"/>
  <c r="CQ273" i="1" s="1"/>
  <c r="CR273" i="1" s="1"/>
  <c r="CS273" i="1" s="1"/>
  <c r="CT273" i="1" s="1"/>
  <c r="CU11" i="1"/>
  <c r="CU37" i="1" s="1"/>
  <c r="CL195" i="1"/>
  <c r="CL199" i="1"/>
  <c r="CL202" i="1" s="1"/>
  <c r="CL187" i="1"/>
  <c r="CJ75" i="1"/>
  <c r="CL204" i="1"/>
  <c r="CL206" i="1" s="1"/>
  <c r="CL318" i="1"/>
  <c r="CH75" i="1"/>
  <c r="CL122" i="1"/>
  <c r="X324" i="1"/>
  <c r="X325" i="1" s="1"/>
  <c r="X121" i="1"/>
  <c r="X204" i="1"/>
  <c r="X126" i="1"/>
  <c r="X130" i="1" s="1"/>
  <c r="CK122" i="1"/>
  <c r="CY112" i="1"/>
  <c r="AE112" i="1" s="1"/>
  <c r="AD112" i="1"/>
  <c r="CJ258" i="1"/>
  <c r="CJ187" i="1"/>
  <c r="CJ188" i="1"/>
  <c r="CH273" i="1"/>
  <c r="CI273" i="1" s="1"/>
  <c r="CI274" i="1" s="1"/>
  <c r="CK123" i="1"/>
  <c r="Y281" i="1"/>
  <c r="Y282" i="1" s="1"/>
  <c r="CJ125" i="1"/>
  <c r="CN125" i="1" s="1"/>
  <c r="CO125" i="1" s="1"/>
  <c r="CP125" i="1" s="1"/>
  <c r="CQ125" i="1" s="1"/>
  <c r="CR125" i="1" s="1"/>
  <c r="CS125" i="1" s="1"/>
  <c r="CT125" i="1" s="1"/>
  <c r="CU125" i="1" s="1"/>
  <c r="CV125" i="1" s="1"/>
  <c r="CW125" i="1" s="1"/>
  <c r="CX125" i="1" s="1"/>
  <c r="CY125" i="1" s="1"/>
  <c r="CZ125" i="1" s="1"/>
  <c r="DA125" i="1" s="1"/>
  <c r="DB125" i="1" s="1"/>
  <c r="CI230" i="1"/>
  <c r="CJ295" i="1" s="1"/>
  <c r="CJ293" i="1" s="1"/>
  <c r="CI342" i="1"/>
  <c r="CI343" i="1" s="1"/>
  <c r="CK204" i="1"/>
  <c r="Y342" i="1"/>
  <c r="Y343" i="1" s="1"/>
  <c r="Y122" i="1"/>
  <c r="Y204" i="1"/>
  <c r="Y126" i="1"/>
  <c r="Y121" i="1"/>
  <c r="Y324" i="1"/>
  <c r="Y325" i="1" s="1"/>
  <c r="Z295" i="1"/>
  <c r="Z293" i="1" s="1"/>
  <c r="Z257" i="1"/>
  <c r="Z258" i="1" s="1"/>
  <c r="Z338" i="1"/>
  <c r="Z336" i="1"/>
  <c r="CI125" i="1"/>
  <c r="CH230" i="1"/>
  <c r="CY225" i="1"/>
  <c r="CZ225" i="1" s="1"/>
  <c r="DA225" i="1" s="1"/>
  <c r="DB225" i="1" s="1"/>
  <c r="AE225" i="1" s="1"/>
  <c r="AD225" i="1"/>
  <c r="Z342" i="1"/>
  <c r="Z343" i="1" s="1"/>
  <c r="Z126" i="1"/>
  <c r="Z122" i="1"/>
  <c r="Z204" i="1"/>
  <c r="Z121" i="1"/>
  <c r="Z324" i="1"/>
  <c r="Z325" i="1" s="1"/>
  <c r="CG126" i="1"/>
  <c r="CG130" i="1" s="1"/>
  <c r="CG121" i="1"/>
  <c r="CG324" i="1"/>
  <c r="CG325" i="1" s="1"/>
  <c r="CM294" i="1"/>
  <c r="CN232" i="1"/>
  <c r="CK274" i="1"/>
  <c r="CK278" i="1" s="1"/>
  <c r="CJ123" i="1"/>
  <c r="CJ342" i="1"/>
  <c r="CJ343" i="1" s="1"/>
  <c r="CJ324" i="1"/>
  <c r="CJ325" i="1" s="1"/>
  <c r="CH121" i="1"/>
  <c r="CH126" i="1"/>
  <c r="CH130" i="1" s="1"/>
  <c r="CH123" i="1"/>
  <c r="CH342" i="1"/>
  <c r="CI123" i="1"/>
  <c r="CH324" i="1"/>
  <c r="CH325" i="1" s="1"/>
  <c r="CJ318" i="1"/>
  <c r="CJ204" i="1"/>
  <c r="CJ121" i="1"/>
  <c r="CJ126" i="1"/>
  <c r="CN217" i="1"/>
  <c r="CM220" i="1"/>
  <c r="CM341" i="1" s="1"/>
  <c r="CH202" i="1"/>
  <c r="CH203" i="1"/>
  <c r="CK286" i="1"/>
  <c r="CK224" i="1"/>
  <c r="CP216" i="1"/>
  <c r="CZ255" i="1"/>
  <c r="CZ209" i="1"/>
  <c r="CM137" i="1"/>
  <c r="CN137" i="1" s="1"/>
  <c r="CO137" i="1" s="1"/>
  <c r="CP137" i="1" s="1"/>
  <c r="CQ137" i="1" s="1"/>
  <c r="CR137" i="1" s="1"/>
  <c r="CS137" i="1" s="1"/>
  <c r="CT137" i="1" s="1"/>
  <c r="CU137" i="1" s="1"/>
  <c r="CM138" i="1"/>
  <c r="CI130" i="1" l="1"/>
  <c r="CK133" i="1"/>
  <c r="Z281" i="1"/>
  <c r="Z282" i="1" s="1"/>
  <c r="CP119" i="1"/>
  <c r="X147" i="1"/>
  <c r="CV15" i="1"/>
  <c r="CV11" i="1" s="1"/>
  <c r="CW15" i="1" s="1"/>
  <c r="CL140" i="1"/>
  <c r="CL326" i="1"/>
  <c r="CL134" i="1"/>
  <c r="CL337" i="1" s="1"/>
  <c r="CL205" i="1"/>
  <c r="CK140" i="1"/>
  <c r="CL136" i="1"/>
  <c r="CJ130" i="1"/>
  <c r="CL147" i="1"/>
  <c r="CK226" i="1"/>
  <c r="CL224" i="1"/>
  <c r="CL223" i="1" s="1"/>
  <c r="CK134" i="1"/>
  <c r="CM108" i="1"/>
  <c r="CN108" i="1" s="1"/>
  <c r="CI238" i="1"/>
  <c r="CN294" i="1"/>
  <c r="CO232" i="1"/>
  <c r="CO294" i="1" s="1"/>
  <c r="Y147" i="1"/>
  <c r="Y130" i="1"/>
  <c r="CI295" i="1"/>
  <c r="CI293" i="1" s="1"/>
  <c r="CH338" i="1"/>
  <c r="CH257" i="1"/>
  <c r="CH258" i="1" s="1"/>
  <c r="Z130" i="1"/>
  <c r="Z147" i="1"/>
  <c r="CG133" i="1"/>
  <c r="CG132" i="1"/>
  <c r="CM277" i="1"/>
  <c r="CH133" i="1"/>
  <c r="CL135" i="1" s="1"/>
  <c r="CH132" i="1"/>
  <c r="CO217" i="1"/>
  <c r="CN220" i="1"/>
  <c r="CN341" i="1" s="1"/>
  <c r="CM298" i="1"/>
  <c r="X132" i="1"/>
  <c r="X133" i="1"/>
  <c r="CQ216" i="1"/>
  <c r="DA209" i="1"/>
  <c r="DA255" i="1"/>
  <c r="CE157" i="1"/>
  <c r="AB137" i="1"/>
  <c r="AC137" i="1"/>
  <c r="CV137" i="1"/>
  <c r="CW137" i="1" s="1"/>
  <c r="CX137" i="1" s="1"/>
  <c r="CY137" i="1" s="1"/>
  <c r="AB127" i="1"/>
  <c r="CN138" i="1"/>
  <c r="CO138" i="1" s="1"/>
  <c r="CP138" i="1" s="1"/>
  <c r="CQ138" i="1" s="1"/>
  <c r="CI133" i="1" l="1"/>
  <c r="CI132" i="1"/>
  <c r="CK144" i="1"/>
  <c r="CK158" i="1"/>
  <c r="CK135" i="1"/>
  <c r="CQ119" i="1"/>
  <c r="CR119" i="1"/>
  <c r="CS119" i="1" s="1"/>
  <c r="CT119" i="1" s="1"/>
  <c r="CJ133" i="1"/>
  <c r="CJ132" i="1"/>
  <c r="CV37" i="1"/>
  <c r="CL125" i="1"/>
  <c r="CK230" i="1"/>
  <c r="CL144" i="1"/>
  <c r="CL285" i="1"/>
  <c r="CL287" i="1" s="1"/>
  <c r="CL158" i="1"/>
  <c r="CM223" i="1"/>
  <c r="CN223" i="1" s="1"/>
  <c r="CO223" i="1" s="1"/>
  <c r="CP223" i="1" s="1"/>
  <c r="CW11" i="1"/>
  <c r="CW37" i="1" s="1"/>
  <c r="CK136" i="1"/>
  <c r="CL319" i="1"/>
  <c r="CM132" i="1"/>
  <c r="CK295" i="1"/>
  <c r="CK293" i="1" s="1"/>
  <c r="CL295" i="1"/>
  <c r="CL293" i="1" s="1"/>
  <c r="CJ140" i="1"/>
  <c r="CJ326" i="1"/>
  <c r="CP232" i="1"/>
  <c r="CP294" i="1" s="1"/>
  <c r="Y132" i="1"/>
  <c r="Y133" i="1"/>
  <c r="Y135" i="1" s="1"/>
  <c r="Z133" i="1"/>
  <c r="Z132" i="1"/>
  <c r="CJ136" i="1"/>
  <c r="CJ134" i="1"/>
  <c r="CJ337" i="1" s="1"/>
  <c r="CG134" i="1"/>
  <c r="CG337" i="1" s="1"/>
  <c r="CG326" i="1"/>
  <c r="CG140" i="1"/>
  <c r="CN277" i="1"/>
  <c r="CJ319" i="1"/>
  <c r="CH136" i="1"/>
  <c r="CI136" i="1"/>
  <c r="CH140" i="1"/>
  <c r="CH134" i="1"/>
  <c r="CH337" i="1" s="1"/>
  <c r="CH326" i="1"/>
  <c r="CM274" i="1"/>
  <c r="CM278" i="1" s="1"/>
  <c r="CP217" i="1"/>
  <c r="CO220" i="1"/>
  <c r="CO341" i="1" s="1"/>
  <c r="CN298" i="1"/>
  <c r="X326" i="1"/>
  <c r="X134" i="1"/>
  <c r="X337" i="1" s="1"/>
  <c r="X140" i="1"/>
  <c r="CO108" i="1"/>
  <c r="CB157" i="1"/>
  <c r="BL157" i="1"/>
  <c r="CR216" i="1"/>
  <c r="CQ275" i="1"/>
  <c r="CC157" i="1"/>
  <c r="DB209" i="1"/>
  <c r="DB255" i="1"/>
  <c r="AL157" i="1"/>
  <c r="CF157" i="1"/>
  <c r="CD157" i="1"/>
  <c r="BY157" i="1"/>
  <c r="BZ157" i="1"/>
  <c r="CA157" i="1"/>
  <c r="CJ285" i="1"/>
  <c r="CJ287" i="1" s="1"/>
  <c r="AD137" i="1"/>
  <c r="AB138" i="1"/>
  <c r="CZ137" i="1"/>
  <c r="DA137" i="1" s="1"/>
  <c r="DB137" i="1" s="1"/>
  <c r="AE137" i="1" s="1"/>
  <c r="AC127" i="1"/>
  <c r="CR138" i="1"/>
  <c r="CS138" i="1" s="1"/>
  <c r="CT138" i="1" s="1"/>
  <c r="CU138" i="1" s="1"/>
  <c r="P5" i="6" a="1"/>
  <c r="AV6" i="3"/>
  <c r="AY22" i="3"/>
  <c r="AY10" i="3"/>
  <c r="AW14" i="3"/>
  <c r="AU35" i="3"/>
  <c r="AT18" i="3"/>
  <c r="AZ38" i="3"/>
  <c r="AS5" i="3"/>
  <c r="EO14" i="4" a="1"/>
  <c r="ES7" i="4" a="1"/>
  <c r="ET13" i="4" a="1"/>
  <c r="EP14" i="4" a="1"/>
  <c r="ET7" i="4" a="1"/>
  <c r="AT14" i="3"/>
  <c r="EN13" i="4" a="1"/>
  <c r="ET9" i="4" a="1"/>
  <c r="EQ12" i="4" a="1"/>
  <c r="AF36" i="3"/>
  <c r="AV21" i="3"/>
  <c r="AS15" i="3"/>
  <c r="BY111" i="1" s="1"/>
  <c r="AT25" i="3"/>
  <c r="AW35" i="3"/>
  <c r="U6" i="6" a="1"/>
  <c r="AF9" i="3"/>
  <c r="AS32" i="3"/>
  <c r="AT11" i="3"/>
  <c r="AU8" i="3"/>
  <c r="AW25" i="3"/>
  <c r="EU9" i="4" a="1"/>
  <c r="ES14" i="4" a="1"/>
  <c r="EO5" i="4" a="1"/>
  <c r="AY5" i="3"/>
  <c r="AS33" i="3"/>
  <c r="AF5" i="3"/>
  <c r="AR5" i="3"/>
  <c r="AY28" i="3"/>
  <c r="AS39" i="3"/>
  <c r="AY6" i="6" a="1"/>
  <c r="AY32" i="3"/>
  <c r="AG5" i="6" a="1"/>
  <c r="AB5" i="3"/>
  <c r="AU24" i="3"/>
  <c r="AF8" i="3"/>
  <c r="AV37" i="3"/>
  <c r="AU32" i="3"/>
  <c r="AU31" i="3"/>
  <c r="EP8" i="4" a="1"/>
  <c r="EV12" i="4" a="1"/>
  <c r="AW42" i="3"/>
  <c r="AD5" i="6" a="1"/>
  <c r="L5" i="6" a="1"/>
  <c r="AT34" i="3"/>
  <c r="AZ6" i="3"/>
  <c r="AU9" i="3"/>
  <c r="AX16" i="3"/>
  <c r="AS20" i="3"/>
  <c r="AU21" i="3"/>
  <c r="AV5" i="3"/>
  <c r="AS26" i="3"/>
  <c r="AS30" i="3"/>
  <c r="AW32" i="3"/>
  <c r="AT36" i="3"/>
  <c r="ER8" i="4" a="1"/>
  <c r="AS40" i="3"/>
  <c r="AX14" i="3"/>
  <c r="EL8" i="4" a="1"/>
  <c r="AY21" i="3"/>
  <c r="AH5" i="6" a="1"/>
  <c r="AS35" i="3"/>
  <c r="AX22" i="3"/>
  <c r="ER15" i="4" a="1"/>
  <c r="AZ39" i="3"/>
  <c r="AZ27" i="3"/>
  <c r="AY11" i="3"/>
  <c r="AY30" i="3"/>
  <c r="AF11" i="3"/>
  <c r="AW30" i="3"/>
  <c r="AX21" i="3"/>
  <c r="AZ7" i="3"/>
  <c r="AY23" i="3"/>
  <c r="AF34" i="3"/>
  <c r="AU26" i="3"/>
  <c r="AV27" i="3"/>
  <c r="AZ34" i="3"/>
  <c r="EO9" i="4" a="1"/>
  <c r="EU6" i="4" a="1"/>
  <c r="EN12" i="4" a="1"/>
  <c r="EN6" i="4" a="1"/>
  <c r="ES9" i="4" a="1"/>
  <c r="AY5" i="6" a="1"/>
  <c r="AU45" i="3"/>
  <c r="AW15" i="3"/>
  <c r="CC111" i="1" s="1"/>
  <c r="EP11" i="4" a="1"/>
  <c r="AX27" i="3"/>
  <c r="EM7" i="4" a="1"/>
  <c r="AM5" i="6" a="1"/>
  <c r="AY40" i="3"/>
  <c r="I5" i="6" a="1"/>
  <c r="Z6" i="6" a="1"/>
  <c r="AR6" i="6" a="1"/>
  <c r="AZ8" i="3"/>
  <c r="AV7" i="3"/>
  <c r="J5" i="6" a="1"/>
  <c r="AS23" i="3"/>
  <c r="AT19" i="3"/>
  <c r="AC6" i="6" a="1"/>
  <c r="AX31" i="3"/>
  <c r="AZ21" i="3"/>
  <c r="AU20" i="3"/>
  <c r="AS5" i="6" a="1"/>
  <c r="EU7" i="4" a="1"/>
  <c r="EW9" i="4" a="1"/>
  <c r="AZ32" i="3"/>
  <c r="ES11" i="4" a="1"/>
  <c r="Y5" i="6" a="1"/>
  <c r="AX26" i="3"/>
  <c r="ET14" i="4" a="1"/>
  <c r="AF28" i="3"/>
  <c r="AW12" i="3"/>
  <c r="L6" i="6" a="1"/>
  <c r="AZ41" i="3"/>
  <c r="AT24" i="3"/>
  <c r="AV26" i="3"/>
  <c r="AS8" i="3"/>
  <c r="C5" i="3"/>
  <c r="AT35" i="3"/>
  <c r="AX42" i="3"/>
  <c r="AU7" i="3"/>
  <c r="ER11" i="4" a="1"/>
  <c r="ET15" i="4" a="1"/>
  <c r="ES13" i="4" a="1"/>
  <c r="ER12" i="4" a="1"/>
  <c r="AY6" i="3"/>
  <c r="F5" i="6" a="1"/>
  <c r="AE6" i="6" a="1"/>
  <c r="AW45" i="3"/>
  <c r="AX30" i="3"/>
  <c r="AW13" i="3"/>
  <c r="AT27" i="3"/>
  <c r="AV20" i="3"/>
  <c r="AS25" i="3"/>
  <c r="D6" i="6" a="1"/>
  <c r="AO6" i="6" a="1"/>
  <c r="AA5" i="6" a="1"/>
  <c r="AF32" i="3"/>
  <c r="AP6" i="6" a="1"/>
  <c r="AV33" i="3"/>
  <c r="AT23" i="3"/>
  <c r="T5" i="6" a="1"/>
  <c r="AZ11" i="3"/>
  <c r="AY37" i="3"/>
  <c r="EO6" i="4" a="1"/>
  <c r="AS42" i="3"/>
  <c r="AV38" i="3"/>
  <c r="F45" i="3"/>
  <c r="AY35" i="3"/>
  <c r="AV45" i="3"/>
  <c r="AS46" i="3"/>
  <c r="AY27" i="3"/>
  <c r="AY18" i="3"/>
  <c r="AT22" i="3"/>
  <c r="S5" i="6" a="1"/>
  <c r="AT9" i="3"/>
  <c r="Y6" i="6" a="1"/>
  <c r="ES15" i="4" a="1"/>
  <c r="AT40" i="3"/>
  <c r="AT32" i="3"/>
  <c r="AX7" i="3"/>
  <c r="AS36" i="3"/>
  <c r="AW36" i="3"/>
  <c r="AH6" i="6" a="1"/>
  <c r="AV39" i="3"/>
  <c r="AZ9" i="3"/>
  <c r="AY20" i="3"/>
  <c r="AU11" i="3"/>
  <c r="AQ5" i="6" a="1"/>
  <c r="N6" i="6" a="1"/>
  <c r="AU14" i="3"/>
  <c r="AX11" i="3"/>
  <c r="AG6" i="6" a="1"/>
  <c r="AY31" i="3"/>
  <c r="AF6" i="3"/>
  <c r="AV30" i="3"/>
  <c r="AT12" i="3"/>
  <c r="W5" i="6" a="1"/>
  <c r="AT28" i="3"/>
  <c r="AW10" i="3"/>
  <c r="AB5" i="6" a="1"/>
  <c r="EN9" i="4" a="1"/>
  <c r="AX32" i="3"/>
  <c r="EL6" i="4" a="1"/>
  <c r="AA6" i="6" a="1"/>
  <c r="AV42" i="3"/>
  <c r="AW20" i="3"/>
  <c r="AV35" i="3"/>
  <c r="EO15" i="4" a="1"/>
  <c r="AS28" i="3"/>
  <c r="EO16" i="4" a="1"/>
  <c r="AU28" i="3"/>
  <c r="EV9" i="4" a="1"/>
  <c r="AU42" i="3"/>
  <c r="AU19" i="3"/>
  <c r="AX46" i="3"/>
  <c r="EV15" i="4" a="1"/>
  <c r="AT31" i="3"/>
  <c r="AI5" i="6" a="1"/>
  <c r="AF46" i="3"/>
  <c r="Q5" i="6" a="1"/>
  <c r="AY46" i="3"/>
  <c r="H6" i="6" a="1"/>
  <c r="H5" i="6" a="1"/>
  <c r="AF20" i="3"/>
  <c r="AP5" i="3"/>
  <c r="AW33" i="3"/>
  <c r="AV22" i="3"/>
  <c r="AF14" i="3"/>
  <c r="BL115" i="1" s="1"/>
  <c r="AV32" i="3"/>
  <c r="EQ16" i="4" a="1"/>
  <c r="C5" i="4" a="1"/>
  <c r="EO11" i="4" a="1"/>
  <c r="EV6" i="4" a="1"/>
  <c r="EQ13" i="4" a="1"/>
  <c r="EN11" i="4" a="1"/>
  <c r="T6" i="6" a="1"/>
  <c r="EU13" i="4" a="1"/>
  <c r="AV8" i="3"/>
  <c r="ET8" i="4" a="1"/>
  <c r="S6" i="6" a="1"/>
  <c r="R5" i="6" a="1"/>
  <c r="P6" i="6" a="1"/>
  <c r="AF21" i="3"/>
  <c r="AZ35" i="3"/>
  <c r="AS19" i="3"/>
  <c r="AY36" i="3"/>
  <c r="AU6" i="3"/>
  <c r="AW8" i="3"/>
  <c r="AZ29" i="3"/>
  <c r="AS27" i="3"/>
  <c r="EP9" i="4" a="1"/>
  <c r="EM16" i="4" a="1"/>
  <c r="EV8" i="4" a="1"/>
  <c r="C6" i="6" a="1"/>
  <c r="AZ13" i="3"/>
  <c r="AZ12" i="3"/>
  <c r="AF23" i="3"/>
  <c r="AT6" i="3"/>
  <c r="K6" i="6" a="1"/>
  <c r="AX33" i="3"/>
  <c r="AX28" i="3"/>
  <c r="AT5" i="3"/>
  <c r="AX10" i="3"/>
  <c r="AT46" i="3"/>
  <c r="AT41" i="3"/>
  <c r="V6" i="6" a="1"/>
  <c r="AS6" i="6" a="1"/>
  <c r="AW26" i="3"/>
  <c r="EN8" i="4" a="1"/>
  <c r="AS17" i="3"/>
  <c r="AE5" i="6" a="1"/>
  <c r="AW18" i="3"/>
  <c r="AW38" i="3"/>
  <c r="EV5" i="4" a="1"/>
  <c r="AU18" i="3"/>
  <c r="AZ36" i="3"/>
  <c r="AT21" i="3"/>
  <c r="AX40" i="3"/>
  <c r="AS37" i="3"/>
  <c r="AZ45" i="3"/>
  <c r="AF7" i="3"/>
  <c r="AY38" i="3"/>
  <c r="AC5" i="6" a="1"/>
  <c r="EP13" i="4" a="1"/>
  <c r="ER5" i="4" a="1"/>
  <c r="AS38" i="3"/>
  <c r="AV19" i="3"/>
  <c r="AS29" i="3"/>
  <c r="AZ26" i="3"/>
  <c r="AV15" i="3"/>
  <c r="CB111" i="1" s="1"/>
  <c r="AX29" i="3"/>
  <c r="AS21" i="3"/>
  <c r="EW7" i="4" a="1"/>
  <c r="AF29" i="3"/>
  <c r="AU30" i="3"/>
  <c r="AT16" i="3"/>
  <c r="AT39" i="3"/>
  <c r="AY7" i="3"/>
  <c r="AF40" i="3"/>
  <c r="AX35" i="3"/>
  <c r="AT5" i="6" a="1"/>
  <c r="AS41" i="3"/>
  <c r="AS22" i="3"/>
  <c r="AD6" i="6" a="1"/>
  <c r="AV13" i="3"/>
  <c r="AF5" i="6" a="1"/>
  <c r="EO7" i="4" a="1"/>
  <c r="EM8" i="4" a="1"/>
  <c r="EN5" i="4" a="1"/>
  <c r="EO8" i="4" a="1"/>
  <c r="AV11" i="3"/>
  <c r="AZ15" i="3"/>
  <c r="CF111" i="1" s="1"/>
  <c r="AF42" i="3"/>
  <c r="AT33" i="3"/>
  <c r="ER7" i="4" a="1"/>
  <c r="AU37" i="3"/>
  <c r="ES8" i="4" a="1"/>
  <c r="ES16" i="4" a="1"/>
  <c r="O6" i="6" a="1"/>
  <c r="AT7" i="3"/>
  <c r="AU17" i="3"/>
  <c r="AL5" i="6" a="1"/>
  <c r="AS9" i="3"/>
  <c r="AZ5" i="3"/>
  <c r="AN5" i="6" a="1"/>
  <c r="AS16" i="3"/>
  <c r="AS31" i="3"/>
  <c r="ER14" i="4" a="1"/>
  <c r="M6" i="6" a="1"/>
  <c r="AF24" i="3"/>
  <c r="AW29" i="3"/>
  <c r="AX5" i="6" a="1"/>
  <c r="ER6" i="4" a="1"/>
  <c r="AF16" i="3"/>
  <c r="X5" i="6" a="1"/>
  <c r="AT8" i="3"/>
  <c r="AF19" i="3"/>
  <c r="AX41" i="3"/>
  <c r="AU41" i="3"/>
  <c r="AF33" i="3"/>
  <c r="AW5" i="6" a="1"/>
  <c r="R6" i="6" a="1"/>
  <c r="AU27" i="3"/>
  <c r="AU15" i="3"/>
  <c r="CA111" i="1" s="1"/>
  <c r="AW28" i="3"/>
  <c r="AW23" i="3"/>
  <c r="AQ6" i="6" a="1"/>
  <c r="AX9" i="3"/>
  <c r="AZ46" i="3"/>
  <c r="AY42" i="3"/>
  <c r="EM5" i="4" a="1"/>
  <c r="EL13" i="4" a="1"/>
  <c r="AF31" i="3"/>
  <c r="EW5" i="4" a="1"/>
  <c r="AW17" i="3"/>
  <c r="AF26" i="3"/>
  <c r="AW6" i="3"/>
  <c r="E5" i="6" a="1"/>
  <c r="AV29" i="3"/>
  <c r="AU23" i="3"/>
  <c r="AY13" i="3"/>
  <c r="AS34" i="3"/>
  <c r="AV23" i="3"/>
  <c r="AS24" i="3"/>
  <c r="ER16" i="4" a="1"/>
  <c r="AS12" i="3"/>
  <c r="AF41" i="3"/>
  <c r="AX6" i="6" a="1"/>
  <c r="AZ20" i="3"/>
  <c r="E6" i="6" a="1"/>
  <c r="I6" i="6" a="1"/>
  <c r="AT10" i="3"/>
  <c r="AJ5" i="6" a="1"/>
  <c r="AY25" i="3"/>
  <c r="AY15" i="3"/>
  <c r="CE111" i="1" s="1"/>
  <c r="EN7" i="4" a="1"/>
  <c r="O5" i="6" a="1"/>
  <c r="AF25" i="3"/>
  <c r="AU6" i="6" a="1"/>
  <c r="AF27" i="3"/>
  <c r="AU36" i="3"/>
  <c r="AU38" i="3"/>
  <c r="AF12" i="3"/>
  <c r="G6" i="6" a="1"/>
  <c r="EL5" i="4" a="1"/>
  <c r="EN15" i="4" a="1"/>
  <c r="C6" i="4" a="1"/>
  <c r="EV16" i="4" a="1"/>
  <c r="AW6" i="6" a="1"/>
  <c r="AV41" i="3"/>
  <c r="AW9" i="3"/>
  <c r="ES6" i="4" a="1"/>
  <c r="EL16" i="4" a="1"/>
  <c r="AX24" i="3"/>
  <c r="EL14" i="4" a="1"/>
  <c r="Q6" i="6" a="1"/>
  <c r="AW41" i="3"/>
  <c r="AS14" i="3"/>
  <c r="EM12" i="4" a="1"/>
  <c r="AX12" i="3"/>
  <c r="AW34" i="3"/>
  <c r="AV31" i="3"/>
  <c r="EW15" i="4" a="1"/>
  <c r="Z5" i="6" a="1"/>
  <c r="AV5" i="6" a="1"/>
  <c r="EP6" i="4" a="1"/>
  <c r="AU34" i="3"/>
  <c r="AF30" i="3"/>
  <c r="AX5" i="3"/>
  <c r="AZ37" i="3"/>
  <c r="AP7" i="3"/>
  <c r="EV7" i="4" a="1"/>
  <c r="AZ25" i="3"/>
  <c r="ET11" i="4" a="1"/>
  <c r="AW21" i="3"/>
  <c r="AV46" i="3"/>
  <c r="AF15" i="3"/>
  <c r="BL111" i="1" s="1"/>
  <c r="AT17" i="3"/>
  <c r="AM6" i="6" a="1"/>
  <c r="EO12" i="4" a="1"/>
  <c r="AB6" i="6" a="1"/>
  <c r="AF10" i="3"/>
  <c r="AV40" i="3"/>
  <c r="AU5" i="3"/>
  <c r="AU12" i="3"/>
  <c r="ET12" i="4" a="1"/>
  <c r="EQ8" i="4" a="1"/>
  <c r="AU46" i="3"/>
  <c r="AV25" i="3"/>
  <c r="AW46" i="3"/>
  <c r="AZ23" i="3"/>
  <c r="AZ33" i="3"/>
  <c r="AU5" i="6" a="1"/>
  <c r="AZ10" i="3"/>
  <c r="AY45" i="3"/>
  <c r="AW5" i="3"/>
  <c r="AO5" i="6" a="1"/>
  <c r="AX19" i="3"/>
  <c r="AV28" i="3"/>
  <c r="AY34" i="3"/>
  <c r="AP5" i="6" a="1"/>
  <c r="W6" i="6" a="1"/>
  <c r="AY41" i="3"/>
  <c r="EQ9" i="4" a="1"/>
  <c r="EW14" i="4" a="1"/>
  <c r="EQ14" i="4" a="1"/>
  <c r="ET5" i="4" a="1"/>
  <c r="EW13" i="4" a="1"/>
  <c r="ER9" i="4" a="1"/>
  <c r="AW24" i="3"/>
  <c r="EV14" i="4" a="1"/>
  <c r="AT30" i="3"/>
  <c r="EM13" i="4" a="1"/>
  <c r="EQ5" i="4" a="1"/>
  <c r="AT13" i="3"/>
  <c r="AT37" i="3"/>
  <c r="AX17" i="3"/>
  <c r="AV14" i="3"/>
  <c r="AW7" i="3"/>
  <c r="AT45" i="3"/>
  <c r="AV36" i="3"/>
  <c r="AX8" i="3"/>
  <c r="AF13" i="3"/>
  <c r="EM15" i="4" a="1"/>
  <c r="EL11" i="4" a="1"/>
  <c r="EU8" i="4" a="1"/>
  <c r="AZ14" i="3"/>
  <c r="AF18" i="3"/>
  <c r="EW16" i="4" a="1"/>
  <c r="AX39" i="3"/>
  <c r="EP12" i="4" a="1"/>
  <c r="X6" i="6" a="1"/>
  <c r="AT20" i="3"/>
  <c r="N5" i="6" a="1"/>
  <c r="AW27" i="3"/>
  <c r="AR7" i="3"/>
  <c r="AF22" i="3"/>
  <c r="AW22" i="3"/>
  <c r="AT15" i="3"/>
  <c r="BZ111" i="1" s="1"/>
  <c r="AU33" i="3"/>
  <c r="U5" i="6" a="1"/>
  <c r="AZ40" i="3"/>
  <c r="EL15" i="4" a="1"/>
  <c r="AX25" i="3"/>
  <c r="AV9" i="3"/>
  <c r="AX37" i="3"/>
  <c r="AY16" i="3"/>
  <c r="AT42" i="3"/>
  <c r="AF35" i="3"/>
  <c r="AY26" i="3"/>
  <c r="V5" i="6" a="1"/>
  <c r="AU39" i="3"/>
  <c r="AN6" i="6" a="1"/>
  <c r="AK6" i="6" a="1"/>
  <c r="AV17" i="3"/>
  <c r="AW19" i="3"/>
  <c r="AV6" i="6" a="1"/>
  <c r="EQ15" i="4" a="1"/>
  <c r="EL9" i="4" a="1"/>
  <c r="F6" i="6" a="1"/>
  <c r="AL6" i="6" a="1"/>
  <c r="AS18" i="3"/>
  <c r="EM11" i="4" a="1"/>
  <c r="EP5" i="4" a="1"/>
  <c r="AK5" i="6" a="1"/>
  <c r="EU11" i="4" a="1"/>
  <c r="EP16" i="4" a="1"/>
  <c r="AF6" i="6" a="1"/>
  <c r="AF17" i="3"/>
  <c r="EN14" i="4" a="1"/>
  <c r="AW37" i="3"/>
  <c r="AZ16" i="3"/>
  <c r="AU22" i="3"/>
  <c r="AY17" i="3"/>
  <c r="K5" i="6" a="1"/>
  <c r="AS6" i="3"/>
  <c r="AS13" i="3"/>
  <c r="AT6" i="6" a="1"/>
  <c r="AV12" i="3"/>
  <c r="EP15" i="4" a="1"/>
  <c r="EN16" i="4" a="1"/>
  <c r="EU5" i="4" a="1"/>
  <c r="ET6" i="4" a="1"/>
  <c r="EQ7" i="4" a="1"/>
  <c r="AX34" i="3"/>
  <c r="AV18" i="3"/>
  <c r="F46" i="3"/>
  <c r="ES5" i="4" a="1"/>
  <c r="ES12" i="4" a="1"/>
  <c r="EM9" i="4" a="1"/>
  <c r="AT38" i="3"/>
  <c r="AU25" i="3"/>
  <c r="AI6" i="6" a="1"/>
  <c r="AS45" i="3"/>
  <c r="AZ42" i="3"/>
  <c r="AX23" i="3"/>
  <c r="AW31" i="3"/>
  <c r="AV34" i="3"/>
  <c r="AF38" i="3"/>
  <c r="AX18" i="3"/>
  <c r="D5" i="6" a="1"/>
  <c r="EQ6" i="4" a="1"/>
  <c r="AW40" i="3"/>
  <c r="AF37" i="3"/>
  <c r="AT26" i="3"/>
  <c r="AX13" i="3"/>
  <c r="EL12" i="4" a="1"/>
  <c r="AF39" i="3"/>
  <c r="AY19" i="3"/>
  <c r="AZ17" i="3"/>
  <c r="AX20" i="3"/>
  <c r="AZ22" i="3"/>
  <c r="EW12" i="4" a="1"/>
  <c r="AU10" i="3"/>
  <c r="AU16" i="3"/>
  <c r="J6" i="6" a="1"/>
  <c r="AZ19" i="3"/>
  <c r="AX38" i="3"/>
  <c r="AY8" i="3"/>
  <c r="AW16" i="3"/>
  <c r="AU13" i="3"/>
  <c r="AW11" i="3"/>
  <c r="AZ30" i="3"/>
  <c r="AP6" i="3"/>
  <c r="EU12" i="4" a="1"/>
  <c r="EP7" i="4" a="1"/>
  <c r="EW11" i="4" a="1"/>
  <c r="EO13" i="4" a="1"/>
  <c r="AY33" i="3"/>
  <c r="AV16" i="3"/>
  <c r="ET16" i="4" a="1"/>
  <c r="AY9" i="3"/>
  <c r="EL7" i="4" a="1"/>
  <c r="AZ28" i="3"/>
  <c r="AV24" i="3"/>
  <c r="AX15" i="3"/>
  <c r="CD111" i="1" s="1"/>
  <c r="EQ11" i="4" a="1"/>
  <c r="M5" i="6" a="1"/>
  <c r="AZ18" i="3"/>
  <c r="AR6" i="3"/>
  <c r="AJ6" i="6" a="1"/>
  <c r="AS10" i="3"/>
  <c r="AR5" i="6" a="1"/>
  <c r="AX36" i="3"/>
  <c r="EM14" i="4" a="1"/>
  <c r="AW39" i="3"/>
  <c r="AT29" i="3"/>
  <c r="AU40" i="3"/>
  <c r="EU14" i="4" a="1"/>
  <c r="EW8" i="4" a="1"/>
  <c r="EW6" i="4" a="1"/>
  <c r="AS11" i="3"/>
  <c r="EV11" i="4" a="1"/>
  <c r="AY24" i="3"/>
  <c r="C5" i="6" a="1"/>
  <c r="G5" i="6" a="1"/>
  <c r="AY39" i="3"/>
  <c r="EM6" i="4" a="1"/>
  <c r="EU16" i="4" a="1"/>
  <c r="AF45" i="3"/>
  <c r="EU15" i="4" a="1"/>
  <c r="AX6" i="3"/>
  <c r="AZ24" i="3"/>
  <c r="EV13" i="4" a="1"/>
  <c r="ER13" i="4" a="1"/>
  <c r="AZ31" i="3"/>
  <c r="AX45" i="3"/>
  <c r="AS7" i="3"/>
  <c r="AU29" i="3"/>
  <c r="CI140" i="1" l="1"/>
  <c r="CI326" i="1"/>
  <c r="CI134" i="1"/>
  <c r="CI337" i="1" s="1"/>
  <c r="Z140" i="1"/>
  <c r="AA135" i="1"/>
  <c r="CX15" i="1"/>
  <c r="CX11" i="1" s="1"/>
  <c r="CX37" i="1" s="1"/>
  <c r="CN132" i="1"/>
  <c r="CO132" i="1"/>
  <c r="AB223" i="1"/>
  <c r="CQ223" i="1"/>
  <c r="CR223" i="1" s="1"/>
  <c r="CS223" i="1" s="1"/>
  <c r="CT223" i="1" s="1"/>
  <c r="CJ158" i="1"/>
  <c r="CL146" i="1"/>
  <c r="CB112" i="1"/>
  <c r="CC112" i="1"/>
  <c r="CA112" i="1"/>
  <c r="CF112" i="1"/>
  <c r="CE112" i="1"/>
  <c r="CF115" i="1"/>
  <c r="CB115" i="1"/>
  <c r="BY115" i="1"/>
  <c r="BL112" i="1"/>
  <c r="BY112" i="1"/>
  <c r="BZ112" i="1"/>
  <c r="CA115" i="1"/>
  <c r="CD115" i="1"/>
  <c r="CD112" i="1"/>
  <c r="BZ115" i="1"/>
  <c r="CC115" i="1"/>
  <c r="CE115" i="1"/>
  <c r="CP108" i="1"/>
  <c r="CQ108" i="1" s="1"/>
  <c r="CJ144" i="1"/>
  <c r="CQ232" i="1"/>
  <c r="CQ294" i="1" s="1"/>
  <c r="Z326" i="1"/>
  <c r="Z134" i="1"/>
  <c r="Z337" i="1" s="1"/>
  <c r="Y134" i="1"/>
  <c r="Y337" i="1" s="1"/>
  <c r="Y140" i="1"/>
  <c r="Y144" i="1" s="1"/>
  <c r="Z135" i="1"/>
  <c r="CJ146" i="1"/>
  <c r="Y326" i="1"/>
  <c r="CG285" i="1"/>
  <c r="CG287" i="1" s="1"/>
  <c r="CG144" i="1"/>
  <c r="CG158" i="1"/>
  <c r="CO277" i="1"/>
  <c r="CH285" i="1"/>
  <c r="CH287" i="1" s="1"/>
  <c r="CH158" i="1"/>
  <c r="CH144" i="1"/>
  <c r="CN274" i="1"/>
  <c r="CN278" i="1" s="1"/>
  <c r="CQ217" i="1"/>
  <c r="CP220" i="1"/>
  <c r="CP341" i="1" s="1"/>
  <c r="CO298" i="1"/>
  <c r="BY114" i="1"/>
  <c r="CA100" i="1"/>
  <c r="CE114" i="1"/>
  <c r="CA114" i="1"/>
  <c r="CF114" i="1"/>
  <c r="CD114" i="1"/>
  <c r="BZ114" i="1"/>
  <c r="BL114" i="1"/>
  <c r="CC114" i="1"/>
  <c r="CB114" i="1"/>
  <c r="CF100" i="1"/>
  <c r="CD100" i="1"/>
  <c r="BY100" i="1"/>
  <c r="CE100" i="1"/>
  <c r="BZ100" i="1"/>
  <c r="CC100" i="1"/>
  <c r="CB100" i="1"/>
  <c r="BL100" i="1"/>
  <c r="X285" i="1"/>
  <c r="X287" i="1" s="1"/>
  <c r="X144" i="1"/>
  <c r="X146" i="1"/>
  <c r="Z285" i="1"/>
  <c r="Z287" i="1" s="1"/>
  <c r="Z291" i="1" s="1"/>
  <c r="Z305" i="1" s="1"/>
  <c r="Z299" i="1"/>
  <c r="Z297" i="1" s="1"/>
  <c r="Z146" i="1"/>
  <c r="Z144" i="1"/>
  <c r="CC137" i="1"/>
  <c r="CA99" i="1"/>
  <c r="CA323" i="1" s="1"/>
  <c r="CD131" i="1"/>
  <c r="AH7" i="6" s="1"/>
  <c r="CD127" i="1"/>
  <c r="CF128" i="1"/>
  <c r="BY137" i="1"/>
  <c r="BL137" i="1"/>
  <c r="CD138" i="1"/>
  <c r="AV7" i="6" s="1"/>
  <c r="R7" i="6" s="1"/>
  <c r="X7" i="6" s="1"/>
  <c r="CD137" i="1"/>
  <c r="V7" i="6" s="1"/>
  <c r="CB99" i="1"/>
  <c r="CB323" i="1" s="1"/>
  <c r="BY143" i="1"/>
  <c r="BL99" i="1"/>
  <c r="AW7" i="6" s="1"/>
  <c r="BY113" i="1"/>
  <c r="CA104" i="1"/>
  <c r="BZ128" i="1"/>
  <c r="O7" i="6" s="1"/>
  <c r="BL139" i="1"/>
  <c r="AQ7" i="6" s="1"/>
  <c r="CF99" i="1"/>
  <c r="JJ9" i="4" s="1"/>
  <c r="BY138" i="1"/>
  <c r="AM7" i="6" s="1"/>
  <c r="JM16" i="4" s="1"/>
  <c r="CF139" i="1"/>
  <c r="BL138" i="1"/>
  <c r="CF127" i="1"/>
  <c r="BL128" i="1"/>
  <c r="BZ137" i="1"/>
  <c r="CC113" i="1"/>
  <c r="JM9" i="4" s="1"/>
  <c r="CA113" i="1"/>
  <c r="JL16" i="4" s="1"/>
  <c r="CB113" i="1"/>
  <c r="CC104" i="1"/>
  <c r="JK16" i="4" s="1"/>
  <c r="CA143" i="1"/>
  <c r="BZ105" i="1"/>
  <c r="CC105" i="1"/>
  <c r="C7" i="6" s="1"/>
  <c r="T7" i="6" s="1"/>
  <c r="CC138" i="1"/>
  <c r="CC99" i="1"/>
  <c r="CC323" i="1" s="1"/>
  <c r="CB127" i="1"/>
  <c r="JL9" i="4" s="1"/>
  <c r="CF131" i="1"/>
  <c r="AL7" i="6" s="1"/>
  <c r="BZ124" i="1"/>
  <c r="BZ286" i="1" s="1"/>
  <c r="BZ127" i="1"/>
  <c r="J7" i="6" s="1"/>
  <c r="BY139" i="1"/>
  <c r="Z7" i="6" s="1"/>
  <c r="CF104" i="1"/>
  <c r="BZ104" i="1"/>
  <c r="CD105" i="1"/>
  <c r="BL113" i="1"/>
  <c r="BY105" i="1"/>
  <c r="CE124" i="1"/>
  <c r="AD7" i="6" s="1"/>
  <c r="CA139" i="1"/>
  <c r="CD128" i="1"/>
  <c r="CD139" i="1"/>
  <c r="AP7" i="6" s="1"/>
  <c r="Y7" i="6" s="1"/>
  <c r="AA7" i="6" s="1"/>
  <c r="AJ7" i="6" s="1"/>
  <c r="BY99" i="1"/>
  <c r="CB131" i="1"/>
  <c r="I7" i="6" s="1"/>
  <c r="AK7" i="6" s="1"/>
  <c r="K7" i="6" s="1"/>
  <c r="F7" i="6" s="1"/>
  <c r="CB137" i="1"/>
  <c r="AC7" i="6" s="1"/>
  <c r="AE7" i="6" s="1"/>
  <c r="M7" i="6" s="1"/>
  <c r="Q7" i="6" s="1"/>
  <c r="CA138" i="1"/>
  <c r="BZ138" i="1"/>
  <c r="CA128" i="1"/>
  <c r="CF138" i="1"/>
  <c r="AU7" i="6" s="1"/>
  <c r="CB124" i="1"/>
  <c r="CB286" i="1" s="1"/>
  <c r="CC139" i="1"/>
  <c r="CC143" i="1"/>
  <c r="AX7" i="6" s="1"/>
  <c r="AT7" i="6" s="1"/>
  <c r="S7" i="6" s="1"/>
  <c r="BY104" i="1"/>
  <c r="CE127" i="1"/>
  <c r="CA137" i="1"/>
  <c r="CB139" i="1"/>
  <c r="CA127" i="1"/>
  <c r="CF143" i="1"/>
  <c r="CF113" i="1"/>
  <c r="AN7" i="6" s="1"/>
  <c r="CE138" i="1"/>
  <c r="CE143" i="1"/>
  <c r="G7" i="6" s="1"/>
  <c r="BL124" i="1"/>
  <c r="AF7" i="6" s="1"/>
  <c r="JJ16" i="4" s="1"/>
  <c r="CB138" i="1"/>
  <c r="CE99" i="1"/>
  <c r="AB7" i="6" s="1"/>
  <c r="BL105" i="1"/>
  <c r="CD143" i="1"/>
  <c r="CD113" i="1"/>
  <c r="L7" i="6" s="1"/>
  <c r="BL131" i="1"/>
  <c r="BZ99" i="1"/>
  <c r="BZ323" i="1" s="1"/>
  <c r="CA124" i="1"/>
  <c r="BZ131" i="1"/>
  <c r="BY124" i="1"/>
  <c r="BY286" i="1" s="1"/>
  <c r="AI7" i="6" s="1"/>
  <c r="CC131" i="1"/>
  <c r="D7" i="6" s="1"/>
  <c r="BZ113" i="1"/>
  <c r="AG7" i="6" s="1"/>
  <c r="BL143" i="1"/>
  <c r="W7" i="6" s="1"/>
  <c r="CB143" i="1"/>
  <c r="CE139" i="1"/>
  <c r="CE104" i="1"/>
  <c r="BY127" i="1"/>
  <c r="CC127" i="1"/>
  <c r="BZ143" i="1"/>
  <c r="AS7" i="6" s="1"/>
  <c r="BZ139" i="1"/>
  <c r="CE128" i="1"/>
  <c r="CD104" i="1"/>
  <c r="BL127" i="1"/>
  <c r="CB105" i="1"/>
  <c r="CC124" i="1"/>
  <c r="CC286" i="1" s="1"/>
  <c r="BY131" i="1"/>
  <c r="H7" i="6" s="1"/>
  <c r="CD99" i="1"/>
  <c r="CD323" i="1" s="1"/>
  <c r="AR7" i="6" s="1"/>
  <c r="CF105" i="1"/>
  <c r="BL104" i="1"/>
  <c r="JK9" i="4" s="1"/>
  <c r="AO7" i="6" s="1"/>
  <c r="CA131" i="1"/>
  <c r="BL116" i="1"/>
  <c r="CA105" i="1"/>
  <c r="CE137" i="1"/>
  <c r="P7" i="6" s="1"/>
  <c r="E7" i="6" s="1"/>
  <c r="U7" i="6" s="1"/>
  <c r="AY7" i="6" s="1"/>
  <c r="CD124" i="1"/>
  <c r="CC128" i="1"/>
  <c r="CB128" i="1"/>
  <c r="CE113" i="1"/>
  <c r="CF124" i="1"/>
  <c r="CF286" i="1" s="1"/>
  <c r="BY128" i="1"/>
  <c r="CF137" i="1"/>
  <c r="N7" i="6" s="1"/>
  <c r="CS216" i="1"/>
  <c r="CR275" i="1"/>
  <c r="CJ147" i="1"/>
  <c r="AC138" i="1"/>
  <c r="CV138" i="1"/>
  <c r="CW138" i="1" s="1"/>
  <c r="CX138" i="1" s="1"/>
  <c r="CY138" i="1" s="1"/>
  <c r="AD127" i="1"/>
  <c r="AZ47" i="3"/>
  <c r="AZ63" i="3"/>
  <c r="AY49" i="3"/>
  <c r="C97" i="3"/>
  <c r="AX79" i="3"/>
  <c r="AT78" i="3"/>
  <c r="C61" i="3"/>
  <c r="AX82" i="3"/>
  <c r="AF55" i="3"/>
  <c r="AZ55" i="3"/>
  <c r="AT80" i="3"/>
  <c r="AV97" i="3"/>
  <c r="AV93" i="3"/>
  <c r="C75" i="3"/>
  <c r="AF97" i="3"/>
  <c r="AV69" i="3"/>
  <c r="AV48" i="3"/>
  <c r="AU55" i="3"/>
  <c r="AY95" i="3"/>
  <c r="AZ77" i="3"/>
  <c r="AZ60" i="3"/>
  <c r="AY54" i="3"/>
  <c r="AF61" i="3"/>
  <c r="AX60" i="3"/>
  <c r="AU71" i="3"/>
  <c r="C57" i="3"/>
  <c r="AV57" i="3"/>
  <c r="AS76" i="3"/>
  <c r="AX67" i="3"/>
  <c r="AV87" i="3"/>
  <c r="C84" i="3"/>
  <c r="AU81" i="3"/>
  <c r="AX57" i="3"/>
  <c r="AZ66" i="3"/>
  <c r="AW67" i="3"/>
  <c r="AZ74" i="3"/>
  <c r="AX95" i="3"/>
  <c r="AX97" i="3"/>
  <c r="AS96" i="3"/>
  <c r="C95" i="3"/>
  <c r="AV94" i="3"/>
  <c r="AT50" i="3"/>
  <c r="AF96" i="3"/>
  <c r="AW83" i="3"/>
  <c r="AF82" i="3"/>
  <c r="AU76" i="3"/>
  <c r="AZ86" i="3"/>
  <c r="AV59" i="3"/>
  <c r="C91" i="3"/>
  <c r="AZ61" i="3"/>
  <c r="AS77" i="3"/>
  <c r="AY50" i="3"/>
  <c r="AS60" i="3"/>
  <c r="AY90" i="3"/>
  <c r="AT81" i="3"/>
  <c r="AV62" i="3"/>
  <c r="AS81" i="3"/>
  <c r="AF70" i="3"/>
  <c r="AY60" i="3"/>
  <c r="C63" i="3"/>
  <c r="AU49" i="3"/>
  <c r="AY97" i="3"/>
  <c r="AV88" i="3"/>
  <c r="AS85" i="3"/>
  <c r="AV81" i="3"/>
  <c r="AY56" i="3"/>
  <c r="AF68" i="3"/>
  <c r="AU85" i="3"/>
  <c r="AX47" i="3"/>
  <c r="AW71" i="3"/>
  <c r="AZ87" i="3"/>
  <c r="AS80" i="3"/>
  <c r="AV61" i="3"/>
  <c r="AT56" i="3"/>
  <c r="C92" i="3"/>
  <c r="AV80" i="3"/>
  <c r="AY74" i="3"/>
  <c r="AU87" i="3"/>
  <c r="AV78" i="3"/>
  <c r="AU96" i="3"/>
  <c r="AT89" i="3"/>
  <c r="AF49" i="3"/>
  <c r="AV64" i="3"/>
  <c r="AT84" i="3"/>
  <c r="AT92" i="3"/>
  <c r="AZ78" i="3"/>
  <c r="AV71" i="3"/>
  <c r="AX65" i="3"/>
  <c r="AZ83" i="3"/>
  <c r="AZ80" i="3"/>
  <c r="AS91" i="3"/>
  <c r="AY79" i="3"/>
  <c r="AX80" i="3"/>
  <c r="AZ69" i="3"/>
  <c r="AF58" i="3"/>
  <c r="AZ49" i="3"/>
  <c r="AF56" i="3"/>
  <c r="AY47" i="3"/>
  <c r="AY93" i="3"/>
  <c r="AF94" i="3"/>
  <c r="AS74" i="3"/>
  <c r="AU92" i="3"/>
  <c r="AZ64" i="3"/>
  <c r="AX71" i="3"/>
  <c r="AT68" i="3"/>
  <c r="AF80" i="3"/>
  <c r="AY62" i="3"/>
  <c r="AT87" i="3"/>
  <c r="AY68" i="3"/>
  <c r="AS67" i="3"/>
  <c r="AU95" i="3"/>
  <c r="AX74" i="3"/>
  <c r="AX66" i="3"/>
  <c r="AZ84" i="3"/>
  <c r="AV75" i="3"/>
  <c r="AU54" i="3"/>
  <c r="AW77" i="3"/>
  <c r="C55" i="3"/>
  <c r="AT65" i="3"/>
  <c r="AT59" i="3"/>
  <c r="AY55" i="3"/>
  <c r="C60" i="3"/>
  <c r="AS90" i="3"/>
  <c r="AT47" i="3"/>
  <c r="AU84" i="3"/>
  <c r="AU57" i="3"/>
  <c r="AZ94" i="3"/>
  <c r="AU68" i="3"/>
  <c r="AV68" i="3"/>
  <c r="AV96" i="3"/>
  <c r="AZ76" i="3"/>
  <c r="AY61" i="3"/>
  <c r="AZ89" i="3"/>
  <c r="AS48" i="3"/>
  <c r="AT62" i="3"/>
  <c r="AW81" i="3"/>
  <c r="AF84" i="3"/>
  <c r="C59" i="3"/>
  <c r="AV95" i="3"/>
  <c r="AX50" i="3"/>
  <c r="AF54" i="3"/>
  <c r="AY80" i="3"/>
  <c r="AU64" i="3"/>
  <c r="AX78" i="3"/>
  <c r="AY78" i="3"/>
  <c r="AS97" i="3"/>
  <c r="AF90" i="3"/>
  <c r="AT88" i="3"/>
  <c r="C78" i="3"/>
  <c r="AU60" i="3"/>
  <c r="AV55" i="3"/>
  <c r="AV82" i="3"/>
  <c r="AX90" i="3"/>
  <c r="AX91" i="3"/>
  <c r="C70" i="3"/>
  <c r="AV70" i="3"/>
  <c r="AX92" i="3"/>
  <c r="AW47" i="3"/>
  <c r="AW58" i="3"/>
  <c r="AX49" i="3"/>
  <c r="AS83" i="3"/>
  <c r="AS73" i="3"/>
  <c r="AY48" i="3"/>
  <c r="AF88" i="3"/>
  <c r="AU70" i="3"/>
  <c r="AS92" i="3"/>
  <c r="AW93" i="3"/>
  <c r="AV91" i="3"/>
  <c r="AS75" i="3"/>
  <c r="C74" i="3"/>
  <c r="AS89" i="3"/>
  <c r="AT83" i="3"/>
  <c r="AT79" i="3"/>
  <c r="AY87" i="3"/>
  <c r="AX75" i="3"/>
  <c r="AS54" i="3"/>
  <c r="AV72" i="3"/>
  <c r="AT64" i="3"/>
  <c r="AY69" i="3"/>
  <c r="AW68" i="3"/>
  <c r="AF67" i="3"/>
  <c r="AU78" i="3"/>
  <c r="AF63" i="3"/>
  <c r="AU75" i="3"/>
  <c r="AF62" i="3"/>
  <c r="AF95" i="3"/>
  <c r="AS63" i="3"/>
  <c r="AF74" i="3"/>
  <c r="AZ50" i="3"/>
  <c r="AW86" i="3"/>
  <c r="AU47" i="3"/>
  <c r="AY85" i="3"/>
  <c r="AF66" i="3"/>
  <c r="AV66" i="3"/>
  <c r="AF92" i="3"/>
  <c r="AZ75" i="3"/>
  <c r="AW88" i="3"/>
  <c r="AU69" i="3"/>
  <c r="AS70" i="3"/>
  <c r="C71" i="3"/>
  <c r="AU93" i="3"/>
  <c r="AW50" i="3"/>
  <c r="AZ57" i="3"/>
  <c r="AZ91" i="3"/>
  <c r="AY59" i="3"/>
  <c r="AS62" i="3"/>
  <c r="AV63" i="3"/>
  <c r="AT93" i="3"/>
  <c r="C58" i="3"/>
  <c r="AT74" i="3"/>
  <c r="C85" i="3"/>
  <c r="AT70" i="3"/>
  <c r="C56" i="3"/>
  <c r="AU89" i="3"/>
  <c r="AW62" i="3"/>
  <c r="AX64" i="3"/>
  <c r="AV56" i="3"/>
  <c r="AW79" i="3"/>
  <c r="AS95" i="3"/>
  <c r="AV79" i="3"/>
  <c r="AT85" i="3"/>
  <c r="AY77" i="3"/>
  <c r="AY86" i="3"/>
  <c r="AY91" i="3"/>
  <c r="AY65" i="3"/>
  <c r="AT71" i="3"/>
  <c r="AX48" i="3"/>
  <c r="AW69" i="3"/>
  <c r="C77" i="3"/>
  <c r="AY81" i="3"/>
  <c r="AT86" i="3"/>
  <c r="AS69" i="3"/>
  <c r="AU50" i="3"/>
  <c r="C81" i="3"/>
  <c r="AY57" i="3"/>
  <c r="AZ59" i="3"/>
  <c r="AX83" i="3"/>
  <c r="AS59" i="3"/>
  <c r="AY67" i="3"/>
  <c r="AT55" i="3"/>
  <c r="AX77" i="3"/>
  <c r="AS79" i="3"/>
  <c r="AW60" i="3"/>
  <c r="AW78" i="3"/>
  <c r="AX54" i="3"/>
  <c r="AT69" i="3"/>
  <c r="AT49" i="3"/>
  <c r="C67" i="3"/>
  <c r="AT72" i="3"/>
  <c r="AT63" i="3"/>
  <c r="AS82" i="3"/>
  <c r="AU86" i="3"/>
  <c r="AV54" i="3"/>
  <c r="C82" i="3"/>
  <c r="AW91" i="3"/>
  <c r="AU56" i="3"/>
  <c r="AZ73" i="3"/>
  <c r="AF85" i="3"/>
  <c r="C68" i="3"/>
  <c r="AV65" i="3"/>
  <c r="C62" i="3"/>
  <c r="AT82" i="3"/>
  <c r="C86" i="3"/>
  <c r="AS66" i="3"/>
  <c r="AY89" i="3"/>
  <c r="AT67" i="3"/>
  <c r="AW61" i="3"/>
  <c r="AZ97" i="3"/>
  <c r="AW70" i="3"/>
  <c r="AS58" i="3"/>
  <c r="C93" i="3"/>
  <c r="AS86" i="3"/>
  <c r="AW75" i="3"/>
  <c r="AY94" i="3"/>
  <c r="AT96" i="3"/>
  <c r="AW63" i="3"/>
  <c r="AU72" i="3"/>
  <c r="AT77" i="3"/>
  <c r="AX69" i="3"/>
  <c r="AW87" i="3"/>
  <c r="AF86" i="3"/>
  <c r="C94" i="3"/>
  <c r="AX62" i="3"/>
  <c r="AT73" i="3"/>
  <c r="AU48" i="3"/>
  <c r="AZ82" i="3"/>
  <c r="AF73" i="3"/>
  <c r="AZ96" i="3"/>
  <c r="C73" i="3"/>
  <c r="AT54" i="3"/>
  <c r="AS56" i="3"/>
  <c r="AU91" i="3"/>
  <c r="AZ68" i="3"/>
  <c r="AS50" i="3"/>
  <c r="AT94" i="3"/>
  <c r="AF75" i="3"/>
  <c r="AU61" i="3"/>
  <c r="AU83" i="3"/>
  <c r="AY66" i="3"/>
  <c r="C76" i="3"/>
  <c r="AU67" i="3"/>
  <c r="C87" i="3"/>
  <c r="AX59" i="3"/>
  <c r="AZ92" i="3"/>
  <c r="AW54" i="3"/>
  <c r="AU88" i="3"/>
  <c r="AT60" i="3"/>
  <c r="AF47" i="3"/>
  <c r="AU65" i="3"/>
  <c r="AS87" i="3"/>
  <c r="AY82" i="3"/>
  <c r="AV84" i="3"/>
  <c r="AT48" i="3"/>
  <c r="AS72" i="3"/>
  <c r="AZ93" i="3"/>
  <c r="AU66" i="3"/>
  <c r="AV47" i="3"/>
  <c r="AV74" i="3"/>
  <c r="AU80" i="3"/>
  <c r="AW76" i="3"/>
  <c r="AW96" i="3"/>
  <c r="AV83" i="3"/>
  <c r="AF78" i="3"/>
  <c r="AX56" i="3"/>
  <c r="AF81" i="3"/>
  <c r="AZ79" i="3"/>
  <c r="AX88" i="3"/>
  <c r="AZ62" i="3"/>
  <c r="AV58" i="3"/>
  <c r="AZ90" i="3"/>
  <c r="AW65" i="3"/>
  <c r="AF76" i="3"/>
  <c r="AF72" i="3"/>
  <c r="AV89" i="3"/>
  <c r="AW64" i="3"/>
  <c r="AZ72" i="3"/>
  <c r="AZ58" i="3"/>
  <c r="C79" i="3"/>
  <c r="C50" i="3"/>
  <c r="C83" i="3"/>
  <c r="AT90" i="3"/>
  <c r="AV90" i="3"/>
  <c r="C80" i="3"/>
  <c r="AF89" i="3"/>
  <c r="AW95" i="3"/>
  <c r="AS65" i="3"/>
  <c r="AV67" i="3"/>
  <c r="AT91" i="3"/>
  <c r="AT75" i="3"/>
  <c r="AX68" i="3"/>
  <c r="AZ71" i="3"/>
  <c r="AF57" i="3"/>
  <c r="AS55" i="3"/>
  <c r="AV92" i="3"/>
  <c r="AT57" i="3"/>
  <c r="AF59" i="3"/>
  <c r="AF83" i="3"/>
  <c r="AF64" i="3"/>
  <c r="C69" i="3"/>
  <c r="AW73" i="3"/>
  <c r="AY96" i="3"/>
  <c r="AU94" i="3"/>
  <c r="AF65" i="3"/>
  <c r="AU90" i="3"/>
  <c r="AY92" i="3"/>
  <c r="AX94" i="3"/>
  <c r="AZ81" i="3"/>
  <c r="AF79" i="3"/>
  <c r="AW80" i="3"/>
  <c r="AU59" i="3"/>
  <c r="AX55" i="3"/>
  <c r="AW59" i="3"/>
  <c r="AF69" i="3"/>
  <c r="AT66" i="3"/>
  <c r="AY75" i="3"/>
  <c r="AS88" i="3"/>
  <c r="AU74" i="3"/>
  <c r="AW84" i="3"/>
  <c r="AZ56" i="3"/>
  <c r="AZ48" i="3"/>
  <c r="AX87" i="3"/>
  <c r="AS61" i="3"/>
  <c r="AZ95" i="3"/>
  <c r="AT95" i="3"/>
  <c r="AT97" i="3"/>
  <c r="AW49" i="3"/>
  <c r="AY72" i="3"/>
  <c r="AV85" i="3"/>
  <c r="AW74" i="3"/>
  <c r="AX96" i="3"/>
  <c r="C64" i="3"/>
  <c r="AW66" i="3"/>
  <c r="AY63" i="3"/>
  <c r="AU79" i="3"/>
  <c r="C96" i="3"/>
  <c r="AU62" i="3"/>
  <c r="AV86" i="3"/>
  <c r="AX61" i="3"/>
  <c r="AV50" i="3"/>
  <c r="C65" i="3"/>
  <c r="AU97" i="3"/>
  <c r="AW85" i="3"/>
  <c r="AZ70" i="3"/>
  <c r="AW89" i="3"/>
  <c r="AW97" i="3"/>
  <c r="AF93" i="3"/>
  <c r="C90" i="3"/>
  <c r="AU77" i="3"/>
  <c r="AS78" i="3"/>
  <c r="AS57" i="3"/>
  <c r="AW56" i="3"/>
  <c r="AY64" i="3"/>
  <c r="AF87" i="3"/>
  <c r="AY83" i="3"/>
  <c r="AT58" i="3"/>
  <c r="AW94" i="3"/>
  <c r="AZ88" i="3"/>
  <c r="AX58" i="3"/>
  <c r="AX85" i="3"/>
  <c r="AX76" i="3"/>
  <c r="AZ65" i="3"/>
  <c r="AX93" i="3"/>
  <c r="AS84" i="3"/>
  <c r="AY88" i="3"/>
  <c r="AT76" i="3"/>
  <c r="AF91" i="3"/>
  <c r="AZ85" i="3"/>
  <c r="AS93" i="3"/>
  <c r="AX81" i="3"/>
  <c r="AZ54" i="3"/>
  <c r="AX63" i="3"/>
  <c r="AV77" i="3"/>
  <c r="AY76" i="3"/>
  <c r="AY71" i="3"/>
  <c r="AF77" i="3"/>
  <c r="C54" i="3"/>
  <c r="AW92" i="3"/>
  <c r="AW55" i="3"/>
  <c r="AX70" i="3"/>
  <c r="AU63" i="3"/>
  <c r="AW90" i="3"/>
  <c r="AV49" i="3"/>
  <c r="AT61" i="3"/>
  <c r="AZ67" i="3"/>
  <c r="AU73" i="3"/>
  <c r="AY84" i="3"/>
  <c r="C88" i="3"/>
  <c r="AS94" i="3"/>
  <c r="AX72" i="3"/>
  <c r="AF71" i="3"/>
  <c r="AS68" i="3"/>
  <c r="C89" i="3"/>
  <c r="AS71" i="3"/>
  <c r="AX86" i="3"/>
  <c r="AW57" i="3"/>
  <c r="AW48" i="3"/>
  <c r="AY73" i="3"/>
  <c r="AY58" i="3"/>
  <c r="AV76" i="3"/>
  <c r="AS64" i="3"/>
  <c r="AV73" i="3"/>
  <c r="AX89" i="3"/>
  <c r="AU58" i="3"/>
  <c r="AV60" i="3"/>
  <c r="AY70" i="3"/>
  <c r="AU82" i="3"/>
  <c r="C72" i="3"/>
  <c r="AW72" i="3"/>
  <c r="C66" i="3"/>
  <c r="AF60" i="3"/>
  <c r="AX84" i="3"/>
  <c r="AX73" i="3"/>
  <c r="AW82" i="3"/>
  <c r="CI158" i="1" l="1"/>
  <c r="CI285" i="1"/>
  <c r="CI287" i="1" s="1"/>
  <c r="CI144" i="1"/>
  <c r="CI211" i="1"/>
  <c r="CI212" i="1" s="1"/>
  <c r="CP132" i="1"/>
  <c r="AD15" i="1"/>
  <c r="AD11" i="1" s="1"/>
  <c r="AD37" i="1" s="1"/>
  <c r="CY15" i="1"/>
  <c r="CY11" i="1" s="1"/>
  <c r="CY37" i="1" s="1"/>
  <c r="AC223" i="1"/>
  <c r="CU223" i="1"/>
  <c r="CV223" i="1" s="1"/>
  <c r="CW223" i="1" s="1"/>
  <c r="CX223" i="1" s="1"/>
  <c r="CF118" i="1"/>
  <c r="CD118" i="1"/>
  <c r="BL118" i="1"/>
  <c r="CE286" i="1"/>
  <c r="BZ118" i="1"/>
  <c r="CA118" i="1"/>
  <c r="BY118" i="1"/>
  <c r="CC118" i="1"/>
  <c r="CE118" i="1"/>
  <c r="CB118" i="1"/>
  <c r="CR232" i="1"/>
  <c r="CR294" i="1" s="1"/>
  <c r="Y285" i="1"/>
  <c r="Y287" i="1" s="1"/>
  <c r="Y291" i="1" s="1"/>
  <c r="Y305" i="1" s="1"/>
  <c r="Y299" i="1"/>
  <c r="Y297" i="1" s="1"/>
  <c r="CJ161" i="1"/>
  <c r="CJ177" i="1" s="1"/>
  <c r="Y146" i="1"/>
  <c r="CQ276" i="1"/>
  <c r="CP277" i="1"/>
  <c r="CO274" i="1"/>
  <c r="CO278" i="1" s="1"/>
  <c r="CR217" i="1"/>
  <c r="CQ220" i="1"/>
  <c r="CQ341" i="1" s="1"/>
  <c r="CP298" i="1"/>
  <c r="BZ217" i="1"/>
  <c r="CA217" i="1" s="1"/>
  <c r="BL165" i="1"/>
  <c r="CF166" i="1"/>
  <c r="CB238" i="1"/>
  <c r="CC238" i="1" s="1"/>
  <c r="CD245" i="1"/>
  <c r="CD275" i="1" s="1"/>
  <c r="CE275" i="1" s="1"/>
  <c r="CB256" i="1"/>
  <c r="CC256" i="1" s="1"/>
  <c r="BL216" i="1"/>
  <c r="BM216" i="1" s="1"/>
  <c r="CD225" i="1"/>
  <c r="CD216" i="1"/>
  <c r="CE216" i="1" s="1"/>
  <c r="CF219" i="1"/>
  <c r="CG219" i="1" s="1"/>
  <c r="CB219" i="1"/>
  <c r="CC219" i="1" s="1"/>
  <c r="CB244" i="1"/>
  <c r="CC244" i="1" s="1"/>
  <c r="CB236" i="1"/>
  <c r="CB271" i="1" s="1"/>
  <c r="CC271" i="1" s="1"/>
  <c r="BZ245" i="1"/>
  <c r="BZ275" i="1" s="1"/>
  <c r="CA275" i="1" s="1"/>
  <c r="BZ256" i="1"/>
  <c r="CA256" i="1" s="1"/>
  <c r="BZ246" i="1"/>
  <c r="CA246" i="1" s="1"/>
  <c r="BZ252" i="1"/>
  <c r="BZ242" i="1"/>
  <c r="CA242" i="1" s="1"/>
  <c r="BZ224" i="1"/>
  <c r="BL237" i="1"/>
  <c r="BL272" i="1" s="1"/>
  <c r="BM272" i="1" s="1"/>
  <c r="BL245" i="1"/>
  <c r="BL275" i="1" s="1"/>
  <c r="BM275" i="1" s="1"/>
  <c r="BL214" i="1"/>
  <c r="BM214" i="1" s="1"/>
  <c r="CA165" i="1"/>
  <c r="CF165" i="1"/>
  <c r="CF238" i="1"/>
  <c r="CG238" i="1" s="1"/>
  <c r="CF225" i="1"/>
  <c r="CB166" i="1"/>
  <c r="CF236" i="1"/>
  <c r="CF271" i="1" s="1"/>
  <c r="CG271" i="1" s="1"/>
  <c r="CG236" i="1" s="1"/>
  <c r="CF214" i="1"/>
  <c r="CG214" i="1" s="1"/>
  <c r="CB241" i="1"/>
  <c r="CC241" i="1" s="1"/>
  <c r="CF256" i="1"/>
  <c r="CG256" i="1" s="1"/>
  <c r="CB217" i="1"/>
  <c r="CC217" i="1" s="1"/>
  <c r="CB255" i="1"/>
  <c r="CC255" i="1" s="1"/>
  <c r="CD166" i="1"/>
  <c r="CB251" i="1"/>
  <c r="CD237" i="1"/>
  <c r="CD272" i="1" s="1"/>
  <c r="CE272" i="1" s="1"/>
  <c r="CD214" i="1"/>
  <c r="CE214" i="1" s="1"/>
  <c r="BL217" i="1"/>
  <c r="CD223" i="1"/>
  <c r="CD243" i="1"/>
  <c r="CE243" i="1" s="1"/>
  <c r="CD251" i="1"/>
  <c r="CD234" i="1"/>
  <c r="CE234" i="1" s="1"/>
  <c r="CF232" i="1"/>
  <c r="CF218" i="1"/>
  <c r="CG218" i="1" s="1"/>
  <c r="CB234" i="1"/>
  <c r="CC234" i="1" s="1"/>
  <c r="BL246" i="1"/>
  <c r="BM246" i="1" s="1"/>
  <c r="BL255" i="1"/>
  <c r="BM255" i="1" s="1"/>
  <c r="BL256" i="1"/>
  <c r="CB218" i="1"/>
  <c r="CC218" i="1" s="1"/>
  <c r="CE166" i="1"/>
  <c r="BZ251" i="1"/>
  <c r="BZ255" i="1"/>
  <c r="CA255" i="1" s="1"/>
  <c r="BZ211" i="1"/>
  <c r="BZ219" i="1"/>
  <c r="CA219" i="1" s="1"/>
  <c r="CF237" i="1"/>
  <c r="CF272" i="1" s="1"/>
  <c r="CG272" i="1" s="1"/>
  <c r="CG237" i="1" s="1"/>
  <c r="CF224" i="1"/>
  <c r="CF241" i="1"/>
  <c r="CB211" i="1"/>
  <c r="CB237" i="1"/>
  <c r="CB272" i="1" s="1"/>
  <c r="CC272" i="1" s="1"/>
  <c r="CD252" i="1"/>
  <c r="CD244" i="1"/>
  <c r="CE244" i="1" s="1"/>
  <c r="CB165" i="1"/>
  <c r="BZ247" i="1"/>
  <c r="CA247" i="1" s="1"/>
  <c r="BZ225" i="1"/>
  <c r="BZ209" i="1"/>
  <c r="BZ239" i="1"/>
  <c r="CA239" i="1" s="1"/>
  <c r="BZ166" i="1"/>
  <c r="BZ216" i="1"/>
  <c r="CA216" i="1" s="1"/>
  <c r="BZ218" i="1"/>
  <c r="CA218" i="1" s="1"/>
  <c r="BZ234" i="1"/>
  <c r="CA234" i="1" s="1"/>
  <c r="BZ223" i="1"/>
  <c r="BL225" i="1"/>
  <c r="BL241" i="1"/>
  <c r="BM241" i="1" s="1"/>
  <c r="CF216" i="1"/>
  <c r="CF245" i="1"/>
  <c r="CF275" i="1" s="1"/>
  <c r="CG275" i="1" s="1"/>
  <c r="CG245" i="1" s="1"/>
  <c r="CD246" i="1"/>
  <c r="CE246" i="1" s="1"/>
  <c r="CF246" i="1"/>
  <c r="CG246" i="1" s="1"/>
  <c r="CB223" i="1"/>
  <c r="CB246" i="1"/>
  <c r="CC246" i="1" s="1"/>
  <c r="BY166" i="1"/>
  <c r="CD255" i="1"/>
  <c r="CE255" i="1" s="1"/>
  <c r="CD227" i="1"/>
  <c r="CE227" i="1" s="1"/>
  <c r="BL252" i="1"/>
  <c r="CB245" i="1"/>
  <c r="CB275" i="1" s="1"/>
  <c r="CC275" i="1" s="1"/>
  <c r="CB210" i="1"/>
  <c r="CC210" i="1" s="1"/>
  <c r="BL242" i="1"/>
  <c r="BM242" i="1" s="1"/>
  <c r="CD219" i="1"/>
  <c r="CE219" i="1" s="1"/>
  <c r="CD239" i="1"/>
  <c r="CE239" i="1" s="1"/>
  <c r="CD211" i="1"/>
  <c r="CD238" i="1"/>
  <c r="CE238" i="1" s="1"/>
  <c r="CD247" i="1"/>
  <c r="CE247" i="1" s="1"/>
  <c r="CD232" i="1"/>
  <c r="CE232" i="1" s="1"/>
  <c r="CF209" i="1"/>
  <c r="CF210" i="1"/>
  <c r="CG210" i="1" s="1"/>
  <c r="CF243" i="1"/>
  <c r="CG243" i="1" s="1"/>
  <c r="CF255" i="1"/>
  <c r="CG255" i="1" s="1"/>
  <c r="CB252" i="1"/>
  <c r="CB232" i="1"/>
  <c r="AI166" i="1"/>
  <c r="BL239" i="1"/>
  <c r="BM239" i="1" s="1"/>
  <c r="BL227" i="1"/>
  <c r="BM227" i="1" s="1"/>
  <c r="BL218" i="1"/>
  <c r="BM218" i="1" s="1"/>
  <c r="CB216" i="1"/>
  <c r="CC216" i="1" s="1"/>
  <c r="BL238" i="1"/>
  <c r="BM238" i="1" s="1"/>
  <c r="BZ227" i="1"/>
  <c r="CA227" i="1" s="1"/>
  <c r="BZ165" i="1"/>
  <c r="BL244" i="1"/>
  <c r="BM244" i="1" s="1"/>
  <c r="CB224" i="1"/>
  <c r="CF239" i="1"/>
  <c r="CG239" i="1" s="1"/>
  <c r="CB239" i="1"/>
  <c r="CC239" i="1" s="1"/>
  <c r="CD165" i="1"/>
  <c r="CC166" i="1"/>
  <c r="CD210" i="1"/>
  <c r="CE210" i="1" s="1"/>
  <c r="BL211" i="1"/>
  <c r="CD217" i="1"/>
  <c r="CE217" i="1" s="1"/>
  <c r="CF251" i="1"/>
  <c r="CF244" i="1"/>
  <c r="CG244" i="1" s="1"/>
  <c r="CE165" i="1"/>
  <c r="BZ237" i="1"/>
  <c r="BZ272" i="1" s="1"/>
  <c r="CA272" i="1" s="1"/>
  <c r="BZ214" i="1"/>
  <c r="CA214" i="1" s="1"/>
  <c r="BZ236" i="1"/>
  <c r="BZ271" i="1" s="1"/>
  <c r="CA271" i="1" s="1"/>
  <c r="BZ210" i="1"/>
  <c r="CA210" i="1" s="1"/>
  <c r="BZ241" i="1"/>
  <c r="BZ243" i="1"/>
  <c r="CA243" i="1" s="1"/>
  <c r="BZ238" i="1"/>
  <c r="CA238" i="1" s="1"/>
  <c r="BZ232" i="1"/>
  <c r="CA232" i="1" s="1"/>
  <c r="BZ244" i="1"/>
  <c r="CA244" i="1" s="1"/>
  <c r="BL247" i="1"/>
  <c r="BM247" i="1" s="1"/>
  <c r="BL236" i="1"/>
  <c r="BL271" i="1" s="1"/>
  <c r="BM271" i="1" s="1"/>
  <c r="BL223" i="1"/>
  <c r="BL224" i="1"/>
  <c r="CA166" i="1"/>
  <c r="CF247" i="1"/>
  <c r="CG247" i="1" s="1"/>
  <c r="CF242" i="1"/>
  <c r="CG242" i="1" s="1"/>
  <c r="CF252" i="1"/>
  <c r="CB209" i="1"/>
  <c r="CC209" i="1" s="1"/>
  <c r="CF223" i="1"/>
  <c r="CF211" i="1"/>
  <c r="CG211" i="1" s="1"/>
  <c r="CF217" i="1"/>
  <c r="CG217" i="1" s="1"/>
  <c r="CD218" i="1"/>
  <c r="CE218" i="1" s="1"/>
  <c r="CB247" i="1"/>
  <c r="CC247" i="1" s="1"/>
  <c r="CB227" i="1"/>
  <c r="CC227" i="1" s="1"/>
  <c r="CB243" i="1"/>
  <c r="CC243" i="1" s="1"/>
  <c r="CD209" i="1"/>
  <c r="BL232" i="1"/>
  <c r="CB225" i="1"/>
  <c r="BL219" i="1"/>
  <c r="BM219" i="1" s="1"/>
  <c r="CD224" i="1"/>
  <c r="CD236" i="1"/>
  <c r="CD271" i="1" s="1"/>
  <c r="CE271" i="1" s="1"/>
  <c r="CD242" i="1"/>
  <c r="CE242" i="1" s="1"/>
  <c r="CD241" i="1"/>
  <c r="CE241" i="1" s="1"/>
  <c r="CD256" i="1"/>
  <c r="CE256" i="1" s="1"/>
  <c r="CF227" i="1"/>
  <c r="CG227" i="1" s="1"/>
  <c r="CF234" i="1"/>
  <c r="CG234" i="1" s="1"/>
  <c r="CC165" i="1"/>
  <c r="CB242" i="1"/>
  <c r="CC242" i="1" s="1"/>
  <c r="CB214" i="1"/>
  <c r="CC214" i="1" s="1"/>
  <c r="BL251" i="1"/>
  <c r="BL209" i="1"/>
  <c r="BM209" i="1" s="1"/>
  <c r="BL243" i="1"/>
  <c r="BM243" i="1" s="1"/>
  <c r="BL234" i="1"/>
  <c r="BM234" i="1" s="1"/>
  <c r="BL210" i="1"/>
  <c r="BM210" i="1" s="1"/>
  <c r="BL345" i="1"/>
  <c r="CH190" i="1"/>
  <c r="CH191" i="1" s="1"/>
  <c r="CB229" i="1"/>
  <c r="CC229" i="1" s="1"/>
  <c r="CF229" i="1"/>
  <c r="CG229" i="1" s="1"/>
  <c r="CD229" i="1"/>
  <c r="CE229" i="1" s="1"/>
  <c r="BL229" i="1"/>
  <c r="BM229" i="1" s="1"/>
  <c r="BZ229" i="1"/>
  <c r="CA229" i="1" s="1"/>
  <c r="BL235" i="1"/>
  <c r="CD235" i="1"/>
  <c r="CB235" i="1"/>
  <c r="CF235" i="1"/>
  <c r="BZ235" i="1"/>
  <c r="CA344" i="1"/>
  <c r="JJ21" i="4"/>
  <c r="CD169" i="1" s="1"/>
  <c r="CA101" i="1"/>
  <c r="CA107" i="1" s="1"/>
  <c r="JK14" i="4"/>
  <c r="BL101" i="1"/>
  <c r="BL107" i="1" s="1"/>
  <c r="BY101" i="1"/>
  <c r="BY107" i="1" s="1"/>
  <c r="BL286" i="1"/>
  <c r="CF101" i="1"/>
  <c r="CF344" i="1"/>
  <c r="JL21" i="4"/>
  <c r="CF169" i="1" s="1"/>
  <c r="CF190" i="1"/>
  <c r="CF191" i="1" s="1"/>
  <c r="CE323" i="1"/>
  <c r="CC345" i="1"/>
  <c r="CE344" i="1"/>
  <c r="CC344" i="1"/>
  <c r="JM7" i="4"/>
  <c r="CA345" i="1"/>
  <c r="JJ8" i="4"/>
  <c r="Z302" i="1"/>
  <c r="Z303" i="1" s="1"/>
  <c r="BZ344" i="1"/>
  <c r="BZ101" i="1"/>
  <c r="BZ107" i="1" s="1"/>
  <c r="CA286" i="1"/>
  <c r="CD345" i="1"/>
  <c r="CB190" i="1"/>
  <c r="CB191" i="1" s="1"/>
  <c r="JK21" i="4"/>
  <c r="CE169" i="1" s="1"/>
  <c r="JK15" i="4"/>
  <c r="CD344" i="1"/>
  <c r="JL14" i="4"/>
  <c r="CI190" i="1"/>
  <c r="CI191" i="1" s="1"/>
  <c r="CI194" i="1" s="1"/>
  <c r="CF323" i="1"/>
  <c r="BY345" i="1"/>
  <c r="JL8" i="4"/>
  <c r="BL344" i="1"/>
  <c r="CE190" i="1"/>
  <c r="CE191" i="1" s="1"/>
  <c r="CD101" i="1"/>
  <c r="CD107" i="1" s="1"/>
  <c r="CC101" i="1"/>
  <c r="CC107" i="1" s="1"/>
  <c r="CD286" i="1"/>
  <c r="CE101" i="1"/>
  <c r="CE107" i="1" s="1"/>
  <c r="CG190" i="1"/>
  <c r="CG191" i="1" s="1"/>
  <c r="CD190" i="1"/>
  <c r="CD191" i="1" s="1"/>
  <c r="CB101" i="1"/>
  <c r="CB107" i="1" s="1"/>
  <c r="CB344" i="1"/>
  <c r="CC190" i="1"/>
  <c r="CC191" i="1" s="1"/>
  <c r="JJ15" i="4"/>
  <c r="CB345" i="1"/>
  <c r="BY344" i="1"/>
  <c r="JM8" i="4"/>
  <c r="JL7" i="4"/>
  <c r="CF345" i="1"/>
  <c r="JJ7" i="4"/>
  <c r="JK8" i="4"/>
  <c r="JM21" i="4"/>
  <c r="CG169" i="1" s="1"/>
  <c r="BZ345" i="1"/>
  <c r="CE345" i="1"/>
  <c r="JK7" i="4"/>
  <c r="JL15" i="4"/>
  <c r="JM14" i="4"/>
  <c r="JM15" i="4"/>
  <c r="JJ14" i="4"/>
  <c r="CR108" i="1"/>
  <c r="CS275" i="1"/>
  <c r="CT216" i="1"/>
  <c r="AD138" i="1"/>
  <c r="CZ138" i="1"/>
  <c r="DA138" i="1" s="1"/>
  <c r="DB138" i="1" s="1"/>
  <c r="AE127" i="1"/>
  <c r="U99" i="1"/>
  <c r="V99" i="1"/>
  <c r="W99" i="1"/>
  <c r="CK161" i="1" l="1"/>
  <c r="CL161" i="1"/>
  <c r="CI299" i="1"/>
  <c r="CI297" i="1" s="1"/>
  <c r="CJ299" i="1"/>
  <c r="CJ297" i="1" s="1"/>
  <c r="CI184" i="1"/>
  <c r="CI221" i="1"/>
  <c r="CQ132" i="1"/>
  <c r="CR132" i="1"/>
  <c r="CF107" i="1"/>
  <c r="AA151" i="1" s="1"/>
  <c r="AA150" i="1"/>
  <c r="CZ15" i="1"/>
  <c r="CZ11" i="1" s="1"/>
  <c r="AD223" i="1"/>
  <c r="CY223" i="1"/>
  <c r="CZ223" i="1" s="1"/>
  <c r="DA223" i="1" s="1"/>
  <c r="DB223" i="1" s="1"/>
  <c r="AE223" i="1" s="1"/>
  <c r="CU119" i="1"/>
  <c r="CV119" i="1" s="1"/>
  <c r="CW119" i="1" s="1"/>
  <c r="CX119" i="1" s="1"/>
  <c r="CS232" i="1"/>
  <c r="CS294" i="1" s="1"/>
  <c r="CS108" i="1"/>
  <c r="CT108" i="1" s="1"/>
  <c r="CC28" i="1"/>
  <c r="CD28" i="1"/>
  <c r="CH109" i="1"/>
  <c r="BZ28" i="1"/>
  <c r="CF28" i="1"/>
  <c r="CF120" i="1"/>
  <c r="CE28" i="1"/>
  <c r="CA108" i="1"/>
  <c r="CA28" i="1"/>
  <c r="CB110" i="1"/>
  <c r="CB28" i="1"/>
  <c r="BY108" i="1"/>
  <c r="BY28" i="1"/>
  <c r="Y302" i="1"/>
  <c r="Y303" i="1" s="1"/>
  <c r="CJ179" i="1"/>
  <c r="CJ178" i="1"/>
  <c r="CR276" i="1"/>
  <c r="CQ277" i="1"/>
  <c r="CP274" i="1"/>
  <c r="CP278" i="1" s="1"/>
  <c r="CS217" i="1"/>
  <c r="CR220" i="1"/>
  <c r="CR341" i="1" s="1"/>
  <c r="CQ298" i="1"/>
  <c r="BZ253" i="1"/>
  <c r="BL253" i="1"/>
  <c r="CB294" i="1"/>
  <c r="CA209" i="1"/>
  <c r="BZ212" i="1"/>
  <c r="BZ184" i="1" s="1"/>
  <c r="BL212" i="1"/>
  <c r="BL184" i="1" s="1"/>
  <c r="CB253" i="1"/>
  <c r="CC301" i="1" s="1"/>
  <c r="CG216" i="1"/>
  <c r="CG220" i="1" s="1"/>
  <c r="CF220" i="1"/>
  <c r="CD226" i="1"/>
  <c r="CE125" i="1" s="1"/>
  <c r="CC232" i="1"/>
  <c r="CD294" i="1" s="1"/>
  <c r="CE209" i="1"/>
  <c r="CD212" i="1"/>
  <c r="CD184" i="1" s="1"/>
  <c r="CD186" i="1" s="1"/>
  <c r="BM232" i="1"/>
  <c r="BM294" i="1" s="1"/>
  <c r="CD253" i="1"/>
  <c r="CF294" i="1"/>
  <c r="CE220" i="1"/>
  <c r="BM217" i="1"/>
  <c r="BM220" i="1" s="1"/>
  <c r="BL220" i="1"/>
  <c r="CG232" i="1"/>
  <c r="CG241" i="1"/>
  <c r="CG248" i="1" s="1"/>
  <c r="CF248" i="1"/>
  <c r="CF277" i="1" s="1"/>
  <c r="CF276" i="1" s="1"/>
  <c r="CG209" i="1"/>
  <c r="CG212" i="1" s="1"/>
  <c r="CF212" i="1"/>
  <c r="CF184" i="1" s="1"/>
  <c r="CF186" i="1" s="1"/>
  <c r="CA241" i="1"/>
  <c r="BZ248" i="1"/>
  <c r="BZ277" i="1" s="1"/>
  <c r="BZ276" i="1" s="1"/>
  <c r="BZ226" i="1"/>
  <c r="BZ230" i="1" s="1"/>
  <c r="CA220" i="1"/>
  <c r="CB226" i="1"/>
  <c r="CF253" i="1"/>
  <c r="BL226" i="1"/>
  <c r="CF226" i="1"/>
  <c r="CF230" i="1" s="1"/>
  <c r="CC220" i="1"/>
  <c r="CB220" i="1"/>
  <c r="CE294" i="1"/>
  <c r="BZ220" i="1"/>
  <c r="CB248" i="1"/>
  <c r="CB277" i="1" s="1"/>
  <c r="CB276" i="1" s="1"/>
  <c r="BL248" i="1"/>
  <c r="BL277" i="1" s="1"/>
  <c r="BL276" i="1" s="1"/>
  <c r="CD248" i="1"/>
  <c r="CD277" i="1" s="1"/>
  <c r="CD276" i="1" s="1"/>
  <c r="CB212" i="1"/>
  <c r="CD220" i="1"/>
  <c r="CH194" i="1"/>
  <c r="CH195" i="1"/>
  <c r="CH196" i="1"/>
  <c r="BM235" i="1"/>
  <c r="BL240" i="1"/>
  <c r="CE235" i="1"/>
  <c r="CD240" i="1"/>
  <c r="CC235" i="1"/>
  <c r="CB240" i="1"/>
  <c r="CG235" i="1"/>
  <c r="CG240" i="1" s="1"/>
  <c r="CG274" i="1" s="1"/>
  <c r="CG273" i="1" s="1"/>
  <c r="CF240" i="1"/>
  <c r="CA235" i="1"/>
  <c r="BZ240" i="1"/>
  <c r="CD194" i="1"/>
  <c r="CA119" i="1"/>
  <c r="CA103" i="1"/>
  <c r="JK19" i="4"/>
  <c r="CE170" i="1" s="1"/>
  <c r="BL119" i="1"/>
  <c r="CC102" i="1"/>
  <c r="CC119" i="1"/>
  <c r="CI317" i="1"/>
  <c r="CG103" i="1"/>
  <c r="CJ102" i="1"/>
  <c r="BY119" i="1"/>
  <c r="JL20" i="4"/>
  <c r="CF171" i="1" s="1"/>
  <c r="CF196" i="1" s="1"/>
  <c r="CD109" i="1"/>
  <c r="CF119" i="1"/>
  <c r="Y150" i="1"/>
  <c r="JJ19" i="4"/>
  <c r="CD170" i="1" s="1"/>
  <c r="CD199" i="1" s="1"/>
  <c r="JM20" i="4"/>
  <c r="CG171" i="1" s="1"/>
  <c r="CD119" i="1"/>
  <c r="JM19" i="4"/>
  <c r="CG170" i="1" s="1"/>
  <c r="CE245" i="1"/>
  <c r="CE248" i="1" s="1"/>
  <c r="CE277" i="1" s="1"/>
  <c r="CE276" i="1" s="1"/>
  <c r="CF194" i="1"/>
  <c r="JJ20" i="4"/>
  <c r="CD171" i="1" s="1"/>
  <c r="CD200" i="1" s="1"/>
  <c r="JL19" i="4"/>
  <c r="CF170" i="1" s="1"/>
  <c r="JK20" i="4"/>
  <c r="CE171" i="1" s="1"/>
  <c r="CE200" i="1" s="1"/>
  <c r="CA120" i="1"/>
  <c r="CA75" i="1" s="1"/>
  <c r="CD280" i="1"/>
  <c r="CD102" i="1"/>
  <c r="BZ103" i="1"/>
  <c r="CD317" i="1"/>
  <c r="BZ119" i="1"/>
  <c r="CE236" i="1"/>
  <c r="CE280" i="1"/>
  <c r="CG280" i="1"/>
  <c r="CF102" i="1"/>
  <c r="CH317" i="1"/>
  <c r="CJ280" i="1"/>
  <c r="CE119" i="1"/>
  <c r="CC110" i="1"/>
  <c r="CF317" i="1"/>
  <c r="CB103" i="1"/>
  <c r="CH336" i="1"/>
  <c r="Z150" i="1"/>
  <c r="CE102" i="1"/>
  <c r="CG194" i="1"/>
  <c r="CE194" i="1"/>
  <c r="CG317" i="1"/>
  <c r="CF103" i="1"/>
  <c r="CF280" i="1"/>
  <c r="CE317" i="1"/>
  <c r="CC103" i="1"/>
  <c r="CC317" i="1"/>
  <c r="CE237" i="1"/>
  <c r="CB119" i="1"/>
  <c r="CB108" i="1"/>
  <c r="CB120" i="1"/>
  <c r="CB75" i="1" s="1"/>
  <c r="CD103" i="1"/>
  <c r="CH102" i="1"/>
  <c r="CI280" i="1"/>
  <c r="CI195" i="1"/>
  <c r="CI102" i="1"/>
  <c r="CI196" i="1"/>
  <c r="CG102" i="1"/>
  <c r="CE103" i="1"/>
  <c r="CH280" i="1"/>
  <c r="CA294" i="1"/>
  <c r="BL108" i="1"/>
  <c r="BL120" i="1"/>
  <c r="CT275" i="1"/>
  <c r="CU216" i="1"/>
  <c r="AE138" i="1"/>
  <c r="V323" i="1"/>
  <c r="W323" i="1"/>
  <c r="U323" i="1"/>
  <c r="CK179" i="1" l="1"/>
  <c r="CK178" i="1"/>
  <c r="CK177" i="1"/>
  <c r="CL178" i="1"/>
  <c r="CL177" i="1"/>
  <c r="CL179" i="1"/>
  <c r="CI187" i="1"/>
  <c r="CI188" i="1"/>
  <c r="CI186" i="1"/>
  <c r="CS132" i="1"/>
  <c r="CT132" i="1" s="1"/>
  <c r="CF75" i="1"/>
  <c r="AA152" i="1"/>
  <c r="CZ37" i="1"/>
  <c r="DA15" i="1"/>
  <c r="DA11" i="1" s="1"/>
  <c r="CT232" i="1"/>
  <c r="CT294" i="1" s="1"/>
  <c r="CA324" i="1"/>
  <c r="CA325" i="1" s="1"/>
  <c r="CU108" i="1"/>
  <c r="CV108" i="1" s="1"/>
  <c r="CE110" i="1"/>
  <c r="BY120" i="1"/>
  <c r="BY75" i="1" s="1"/>
  <c r="CD120" i="1"/>
  <c r="CD75" i="1" s="1"/>
  <c r="CD108" i="1"/>
  <c r="CC294" i="1"/>
  <c r="CG341" i="1"/>
  <c r="CS276" i="1"/>
  <c r="CR277" i="1"/>
  <c r="CQ274" i="1"/>
  <c r="CQ278" i="1" s="1"/>
  <c r="CH294" i="1"/>
  <c r="CG294" i="1"/>
  <c r="CA301" i="1"/>
  <c r="BZ340" i="1"/>
  <c r="CT217" i="1"/>
  <c r="CS220" i="1"/>
  <c r="CS341" i="1" s="1"/>
  <c r="CD298" i="1"/>
  <c r="CF341" i="1"/>
  <c r="BM301" i="1"/>
  <c r="BL340" i="1"/>
  <c r="CF298" i="1"/>
  <c r="CF221" i="1"/>
  <c r="CR298" i="1"/>
  <c r="BL221" i="1"/>
  <c r="BL260" i="1"/>
  <c r="BL201" i="1" s="1"/>
  <c r="CA125" i="1"/>
  <c r="CA226" i="1"/>
  <c r="CB230" i="1"/>
  <c r="CC125" i="1"/>
  <c r="CC226" i="1"/>
  <c r="BZ260" i="1"/>
  <c r="BZ221" i="1"/>
  <c r="CF187" i="1"/>
  <c r="CD230" i="1"/>
  <c r="CE226" i="1"/>
  <c r="CE301" i="1"/>
  <c r="CD340" i="1"/>
  <c r="CA341" i="1"/>
  <c r="CA298" i="1"/>
  <c r="BM298" i="1"/>
  <c r="BM341" i="1"/>
  <c r="CH299" i="1"/>
  <c r="CG184" i="1"/>
  <c r="CG187" i="1" s="1"/>
  <c r="CG299" i="1"/>
  <c r="CG301" i="1"/>
  <c r="CF260" i="1"/>
  <c r="CF340" i="1"/>
  <c r="BM226" i="1"/>
  <c r="BM230" i="1" s="1"/>
  <c r="BL230" i="1"/>
  <c r="BL338" i="1" s="1"/>
  <c r="CG125" i="1"/>
  <c r="CG226" i="1"/>
  <c r="CH341" i="1"/>
  <c r="CH343" i="1" s="1"/>
  <c r="CH298" i="1"/>
  <c r="CG221" i="1"/>
  <c r="CG298" i="1"/>
  <c r="CB341" i="1"/>
  <c r="CB221" i="1"/>
  <c r="CB260" i="1"/>
  <c r="CB298" i="1"/>
  <c r="CB184" i="1"/>
  <c r="CB340" i="1"/>
  <c r="CC341" i="1"/>
  <c r="CC298" i="1"/>
  <c r="CE298" i="1"/>
  <c r="CD341" i="1"/>
  <c r="CD221" i="1"/>
  <c r="CD260" i="1"/>
  <c r="CE341" i="1"/>
  <c r="BL274" i="1"/>
  <c r="BL249" i="1"/>
  <c r="CD274" i="1"/>
  <c r="CD249" i="1"/>
  <c r="CB274" i="1"/>
  <c r="CB249" i="1"/>
  <c r="CF274" i="1"/>
  <c r="CF249" i="1"/>
  <c r="CF257" i="1" s="1"/>
  <c r="BZ274" i="1"/>
  <c r="BZ249" i="1"/>
  <c r="BZ257" i="1" s="1"/>
  <c r="CE195" i="1"/>
  <c r="CE199" i="1"/>
  <c r="BZ110" i="1"/>
  <c r="BZ120" i="1"/>
  <c r="BZ75" i="1" s="1"/>
  <c r="BZ108" i="1"/>
  <c r="CA110" i="1"/>
  <c r="CG277" i="1"/>
  <c r="CH289" i="1"/>
  <c r="CG289" i="1"/>
  <c r="CJ109" i="1"/>
  <c r="CF108" i="1"/>
  <c r="CG110" i="1"/>
  <c r="CF109" i="1"/>
  <c r="BZ338" i="1"/>
  <c r="CF338" i="1"/>
  <c r="CF336" i="1"/>
  <c r="CF200" i="1"/>
  <c r="CF188" i="1"/>
  <c r="CG200" i="1"/>
  <c r="CG196" i="1"/>
  <c r="CG199" i="1"/>
  <c r="CG195" i="1"/>
  <c r="CF199" i="1"/>
  <c r="CF195" i="1"/>
  <c r="CG123" i="1"/>
  <c r="CI204" i="1"/>
  <c r="CG109" i="1"/>
  <c r="CC108" i="1"/>
  <c r="Y151" i="1"/>
  <c r="CC120" i="1"/>
  <c r="CC75" i="1" s="1"/>
  <c r="CD110" i="1"/>
  <c r="CC109" i="1"/>
  <c r="CD188" i="1"/>
  <c r="CD195" i="1"/>
  <c r="CE240" i="1"/>
  <c r="CD187" i="1"/>
  <c r="CE289" i="1"/>
  <c r="CG288" i="1"/>
  <c r="CD196" i="1"/>
  <c r="CF289" i="1"/>
  <c r="CA126" i="1"/>
  <c r="CA130" i="1" s="1"/>
  <c r="CA133" i="1" s="1"/>
  <c r="CA140" i="1" s="1"/>
  <c r="CA285" i="1" s="1"/>
  <c r="CA287" i="1" s="1"/>
  <c r="CI318" i="1"/>
  <c r="CA121" i="1"/>
  <c r="CG342" i="1"/>
  <c r="CE196" i="1"/>
  <c r="CF121" i="1"/>
  <c r="CF324" i="1"/>
  <c r="CF325" i="1" s="1"/>
  <c r="CJ122" i="1"/>
  <c r="CF126" i="1"/>
  <c r="CG249" i="1"/>
  <c r="CH288" i="1"/>
  <c r="CB121" i="1"/>
  <c r="CB324" i="1"/>
  <c r="CB325" i="1" s="1"/>
  <c r="CB126" i="1"/>
  <c r="CB130" i="1" s="1"/>
  <c r="CB123" i="1"/>
  <c r="CB342" i="1"/>
  <c r="CF122" i="1"/>
  <c r="CF110" i="1"/>
  <c r="CE109" i="1"/>
  <c r="CI109" i="1"/>
  <c r="Z151" i="1"/>
  <c r="CE120" i="1"/>
  <c r="CE75" i="1" s="1"/>
  <c r="CE108" i="1"/>
  <c r="BL126" i="1"/>
  <c r="BL130" i="1" s="1"/>
  <c r="BL121" i="1"/>
  <c r="CY119" i="1"/>
  <c r="CZ119" i="1" s="1"/>
  <c r="CU271" i="1"/>
  <c r="CV216" i="1"/>
  <c r="CU272" i="1"/>
  <c r="CU275" i="1"/>
  <c r="AB242" i="1"/>
  <c r="A1" i="1"/>
  <c r="DA37" i="1" l="1"/>
  <c r="DB15" i="1"/>
  <c r="DB11" i="1" s="1"/>
  <c r="DB37" i="1" s="1"/>
  <c r="CU232" i="1"/>
  <c r="CV232" i="1" s="1"/>
  <c r="BY121" i="1"/>
  <c r="CH122" i="1"/>
  <c r="CC126" i="1"/>
  <c r="CC130" i="1" s="1"/>
  <c r="CC133" i="1" s="1"/>
  <c r="BY126" i="1"/>
  <c r="BY130" i="1" s="1"/>
  <c r="BY132" i="1" s="1"/>
  <c r="CG318" i="1"/>
  <c r="CD126" i="1"/>
  <c r="CD130" i="1" s="1"/>
  <c r="CD133" i="1" s="1"/>
  <c r="CD326" i="1" s="1"/>
  <c r="CD121" i="1"/>
  <c r="CD324" i="1"/>
  <c r="CD325" i="1" s="1"/>
  <c r="CG343" i="1"/>
  <c r="CS277" i="1"/>
  <c r="CT276" i="1"/>
  <c r="CF258" i="1"/>
  <c r="CR274" i="1"/>
  <c r="CR278" i="1" s="1"/>
  <c r="CA230" i="1"/>
  <c r="CB125" i="1"/>
  <c r="CB257" i="1"/>
  <c r="CB258" i="1" s="1"/>
  <c r="CD257" i="1"/>
  <c r="CD258" i="1" s="1"/>
  <c r="CU217" i="1"/>
  <c r="CT220" i="1"/>
  <c r="CT341" i="1" s="1"/>
  <c r="CB338" i="1"/>
  <c r="CB336" i="1"/>
  <c r="CE230" i="1"/>
  <c r="CF125" i="1"/>
  <c r="CS298" i="1"/>
  <c r="CB343" i="1"/>
  <c r="CG297" i="1"/>
  <c r="BZ258" i="1"/>
  <c r="CD125" i="1"/>
  <c r="CC230" i="1"/>
  <c r="BZ201" i="1"/>
  <c r="CA129" i="1"/>
  <c r="CD336" i="1"/>
  <c r="CD338" i="1"/>
  <c r="CH297" i="1"/>
  <c r="CG186" i="1"/>
  <c r="CG188" i="1"/>
  <c r="CF201" i="1"/>
  <c r="CG129" i="1"/>
  <c r="CH125" i="1"/>
  <c r="CG230" i="1"/>
  <c r="CB201" i="1"/>
  <c r="CC129" i="1"/>
  <c r="CD201" i="1"/>
  <c r="CE129" i="1"/>
  <c r="CF273" i="1"/>
  <c r="CF278" i="1"/>
  <c r="CJ281" i="1" s="1"/>
  <c r="BL278" i="1"/>
  <c r="BL273" i="1"/>
  <c r="CD278" i="1"/>
  <c r="CD273" i="1"/>
  <c r="CB278" i="1"/>
  <c r="CB273" i="1"/>
  <c r="BZ273" i="1"/>
  <c r="BZ278" i="1"/>
  <c r="CG290" i="1"/>
  <c r="CG291" i="1" s="1"/>
  <c r="BZ121" i="1"/>
  <c r="BZ126" i="1"/>
  <c r="CA342" i="1"/>
  <c r="CA343" i="1" s="1"/>
  <c r="CA123" i="1"/>
  <c r="BZ324" i="1"/>
  <c r="BZ325" i="1" s="1"/>
  <c r="CD122" i="1"/>
  <c r="BZ123" i="1"/>
  <c r="BZ342" i="1"/>
  <c r="CB204" i="1"/>
  <c r="CH290" i="1"/>
  <c r="CH291" i="1" s="1"/>
  <c r="CD204" i="1"/>
  <c r="CC342" i="1"/>
  <c r="CC343" i="1" s="1"/>
  <c r="CE288" i="1"/>
  <c r="CE290" i="1" s="1"/>
  <c r="CE249" i="1"/>
  <c r="CG276" i="1"/>
  <c r="CG278" i="1"/>
  <c r="CC324" i="1"/>
  <c r="CC325" i="1" s="1"/>
  <c r="CG122" i="1"/>
  <c r="Y152" i="1"/>
  <c r="CC121" i="1"/>
  <c r="CC318" i="1"/>
  <c r="CD342" i="1"/>
  <c r="CD343" i="1" s="1"/>
  <c r="CC204" i="1"/>
  <c r="CD318" i="1"/>
  <c r="CC123" i="1"/>
  <c r="CD123" i="1"/>
  <c r="CC122" i="1"/>
  <c r="CF130" i="1"/>
  <c r="CI147" i="1"/>
  <c r="CE274" i="1"/>
  <c r="CF288" i="1"/>
  <c r="CF290" i="1" s="1"/>
  <c r="CA132" i="1"/>
  <c r="CA158" i="1"/>
  <c r="CA211" i="1"/>
  <c r="CA212" i="1" s="1"/>
  <c r="CA184" i="1" s="1"/>
  <c r="CA144" i="1"/>
  <c r="CA326" i="1"/>
  <c r="CA134" i="1"/>
  <c r="CA337" i="1" s="1"/>
  <c r="CF204" i="1"/>
  <c r="CE123" i="1"/>
  <c r="CE204" i="1"/>
  <c r="CE318" i="1"/>
  <c r="CB132" i="1"/>
  <c r="CB133" i="1"/>
  <c r="CE342" i="1"/>
  <c r="CE343" i="1" s="1"/>
  <c r="CF342" i="1"/>
  <c r="CF343" i="1" s="1"/>
  <c r="CE324" i="1"/>
  <c r="CE325" i="1" s="1"/>
  <c r="Z152" i="1"/>
  <c r="CE122" i="1"/>
  <c r="CH204" i="1"/>
  <c r="CE121" i="1"/>
  <c r="CG204" i="1"/>
  <c r="CE126" i="1"/>
  <c r="CH318" i="1"/>
  <c r="CF123" i="1"/>
  <c r="CI122" i="1"/>
  <c r="CF318" i="1"/>
  <c r="BL133" i="1"/>
  <c r="BL132" i="1"/>
  <c r="CU132" i="1"/>
  <c r="CV132" i="1" s="1"/>
  <c r="DA119" i="1"/>
  <c r="DB119" i="1" s="1"/>
  <c r="CW108" i="1"/>
  <c r="CW216" i="1"/>
  <c r="CV271" i="1"/>
  <c r="CV275" i="1"/>
  <c r="CU294" i="1"/>
  <c r="CV272" i="1"/>
  <c r="AC242" i="1"/>
  <c r="AE15" i="1" l="1"/>
  <c r="AE11" i="1" s="1"/>
  <c r="AE37" i="1" s="1"/>
  <c r="BY133" i="1"/>
  <c r="BY140" i="1" s="1"/>
  <c r="CC132" i="1"/>
  <c r="CD147" i="1"/>
  <c r="CX108" i="1"/>
  <c r="CY108" i="1" s="1"/>
  <c r="CD132" i="1"/>
  <c r="CD134" i="1"/>
  <c r="CD337" i="1" s="1"/>
  <c r="CD140" i="1"/>
  <c r="CD144" i="1" s="1"/>
  <c r="CH135" i="1"/>
  <c r="CU276" i="1"/>
  <c r="CT277" i="1"/>
  <c r="CD203" i="1"/>
  <c r="CD206" i="1" s="1"/>
  <c r="CD202" i="1"/>
  <c r="CD205" i="1" s="1"/>
  <c r="CS274" i="1"/>
  <c r="CS278" i="1" s="1"/>
  <c r="CA295" i="1"/>
  <c r="CA293" i="1" s="1"/>
  <c r="CB295" i="1"/>
  <c r="CB293" i="1" s="1"/>
  <c r="CE295" i="1"/>
  <c r="CE293" i="1" s="1"/>
  <c r="CF295" i="1"/>
  <c r="CF293" i="1" s="1"/>
  <c r="CH295" i="1"/>
  <c r="CH293" i="1" s="1"/>
  <c r="CH305" i="1" s="1"/>
  <c r="CG295" i="1"/>
  <c r="CG293" i="1" s="1"/>
  <c r="CV217" i="1"/>
  <c r="CU220" i="1"/>
  <c r="CU341" i="1" s="1"/>
  <c r="CT298" i="1"/>
  <c r="CD295" i="1"/>
  <c r="CD293" i="1" s="1"/>
  <c r="CC295" i="1"/>
  <c r="CC293" i="1" s="1"/>
  <c r="CF281" i="1"/>
  <c r="CF202" i="1"/>
  <c r="CF205" i="1" s="1"/>
  <c r="CF203" i="1"/>
  <c r="CF206" i="1" s="1"/>
  <c r="CD281" i="1"/>
  <c r="CH281" i="1"/>
  <c r="BZ130" i="1"/>
  <c r="CB147" i="1"/>
  <c r="CD319" i="1"/>
  <c r="CF133" i="1"/>
  <c r="CF132" i="1"/>
  <c r="CG135" i="1"/>
  <c r="CC326" i="1"/>
  <c r="CC140" i="1"/>
  <c r="CC134" i="1"/>
  <c r="CC337" i="1" s="1"/>
  <c r="CD136" i="1"/>
  <c r="CE273" i="1"/>
  <c r="CE278" i="1"/>
  <c r="CA299" i="1"/>
  <c r="CA297" i="1" s="1"/>
  <c r="CA221" i="1"/>
  <c r="CC136" i="1"/>
  <c r="Y153" i="1"/>
  <c r="CH205" i="1"/>
  <c r="CH206" i="1"/>
  <c r="CF147" i="1"/>
  <c r="CH147" i="1"/>
  <c r="CG147" i="1"/>
  <c r="CE130" i="1"/>
  <c r="CB140" i="1"/>
  <c r="CB136" i="1"/>
  <c r="CB326" i="1"/>
  <c r="CB134" i="1"/>
  <c r="CB337" i="1" s="1"/>
  <c r="BL140" i="1"/>
  <c r="BL134" i="1"/>
  <c r="BL337" i="1" s="1"/>
  <c r="CM156" i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W132" i="1"/>
  <c r="CX132" i="1" s="1"/>
  <c r="CX216" i="1"/>
  <c r="CW272" i="1"/>
  <c r="CW271" i="1"/>
  <c r="CW232" i="1"/>
  <c r="CW275" i="1"/>
  <c r="CV294" i="1"/>
  <c r="AE242" i="1"/>
  <c r="AD242" i="1"/>
  <c r="CF326" i="1" l="1"/>
  <c r="AA153" i="1"/>
  <c r="CD285" i="1"/>
  <c r="CD287" i="1" s="1"/>
  <c r="BY134" i="1"/>
  <c r="BY337" i="1" s="1"/>
  <c r="CC135" i="1"/>
  <c r="CZ108" i="1"/>
  <c r="DA108" i="1" s="1"/>
  <c r="CD158" i="1"/>
  <c r="CU277" i="1"/>
  <c r="CV276" i="1"/>
  <c r="CG305" i="1"/>
  <c r="CG302" i="1"/>
  <c r="CG252" i="1" s="1"/>
  <c r="CG253" i="1" s="1"/>
  <c r="CG303" i="1" s="1"/>
  <c r="CT274" i="1"/>
  <c r="CT278" i="1" s="1"/>
  <c r="CU273" i="1"/>
  <c r="CW217" i="1"/>
  <c r="CV220" i="1"/>
  <c r="CV341" i="1" s="1"/>
  <c r="CU298" i="1"/>
  <c r="CF135" i="1"/>
  <c r="CF134" i="1"/>
  <c r="CF337" i="1" s="1"/>
  <c r="BZ133" i="1"/>
  <c r="BZ132" i="1"/>
  <c r="CJ135" i="1"/>
  <c r="CG136" i="1"/>
  <c r="CI319" i="1"/>
  <c r="CF140" i="1"/>
  <c r="CD146" i="1"/>
  <c r="CC144" i="1"/>
  <c r="CC211" i="1"/>
  <c r="CC212" i="1" s="1"/>
  <c r="CC158" i="1"/>
  <c r="CC285" i="1"/>
  <c r="CC287" i="1" s="1"/>
  <c r="CB158" i="1"/>
  <c r="CB144" i="1"/>
  <c r="CB285" i="1"/>
  <c r="CB287" i="1" s="1"/>
  <c r="CB299" i="1"/>
  <c r="CB297" i="1" s="1"/>
  <c r="CE133" i="1"/>
  <c r="CE132" i="1"/>
  <c r="BY285" i="1"/>
  <c r="BY287" i="1" s="1"/>
  <c r="BY144" i="1"/>
  <c r="BY158" i="1"/>
  <c r="BL285" i="1"/>
  <c r="BL287" i="1" s="1"/>
  <c r="BL158" i="1"/>
  <c r="BL144" i="1"/>
  <c r="CY132" i="1"/>
  <c r="CZ132" i="1" s="1"/>
  <c r="CX275" i="1"/>
  <c r="CX272" i="1"/>
  <c r="CX271" i="1"/>
  <c r="CX232" i="1"/>
  <c r="CY216" i="1"/>
  <c r="CW294" i="1"/>
  <c r="AB218" i="1"/>
  <c r="AB228" i="1"/>
  <c r="AB227" i="1"/>
  <c r="AB219" i="1"/>
  <c r="AB214" i="1"/>
  <c r="AB243" i="1"/>
  <c r="AB235" i="1"/>
  <c r="AB210" i="1"/>
  <c r="DB108" i="1" l="1"/>
  <c r="CW276" i="1"/>
  <c r="CV277" i="1"/>
  <c r="CU274" i="1"/>
  <c r="CU278" i="1" s="1"/>
  <c r="CV273" i="1"/>
  <c r="CX217" i="1"/>
  <c r="CW220" i="1"/>
  <c r="CW341" i="1" s="1"/>
  <c r="CV298" i="1"/>
  <c r="CD161" i="1"/>
  <c r="CD178" i="1" s="1"/>
  <c r="BZ134" i="1"/>
  <c r="BZ337" i="1" s="1"/>
  <c r="BZ136" i="1"/>
  <c r="CC319" i="1"/>
  <c r="BZ140" i="1"/>
  <c r="CC146" i="1" s="1"/>
  <c r="BZ326" i="1"/>
  <c r="CD135" i="1"/>
  <c r="CA136" i="1"/>
  <c r="CG340" i="1"/>
  <c r="CH301" i="1"/>
  <c r="CH302" i="1" s="1"/>
  <c r="CH303" i="1" s="1"/>
  <c r="CG336" i="1"/>
  <c r="CG338" i="1"/>
  <c r="CG257" i="1"/>
  <c r="CG258" i="1" s="1"/>
  <c r="CG260" i="1"/>
  <c r="CF285" i="1"/>
  <c r="CF287" i="1" s="1"/>
  <c r="CF291" i="1" s="1"/>
  <c r="CF305" i="1" s="1"/>
  <c r="CF144" i="1"/>
  <c r="CF158" i="1"/>
  <c r="CI161" i="1" s="1"/>
  <c r="CI146" i="1"/>
  <c r="CC184" i="1"/>
  <c r="CC221" i="1"/>
  <c r="CC147" i="1" s="1"/>
  <c r="CC299" i="1"/>
  <c r="CC297" i="1" s="1"/>
  <c r="CD299" i="1"/>
  <c r="CD297" i="1" s="1"/>
  <c r="CG319" i="1"/>
  <c r="CI135" i="1"/>
  <c r="CH319" i="1"/>
  <c r="CE136" i="1"/>
  <c r="CE134" i="1"/>
  <c r="CE337" i="1" s="1"/>
  <c r="CE135" i="1"/>
  <c r="CF136" i="1"/>
  <c r="CE140" i="1"/>
  <c r="CF319" i="1"/>
  <c r="CE319" i="1"/>
  <c r="Z153" i="1"/>
  <c r="CE326" i="1"/>
  <c r="DA132" i="1"/>
  <c r="DB132" i="1" s="1"/>
  <c r="CY272" i="1"/>
  <c r="CZ216" i="1"/>
  <c r="CY271" i="1"/>
  <c r="CY232" i="1"/>
  <c r="CY294" i="1" s="1"/>
  <c r="CX294" i="1"/>
  <c r="CY275" i="1"/>
  <c r="AC228" i="1"/>
  <c r="AC218" i="1"/>
  <c r="AB256" i="1"/>
  <c r="AC214" i="1"/>
  <c r="AC243" i="1"/>
  <c r="AB239" i="1"/>
  <c r="AB246" i="1"/>
  <c r="AC235" i="1"/>
  <c r="AC219" i="1"/>
  <c r="AB247" i="1"/>
  <c r="AC210" i="1"/>
  <c r="AC227" i="1"/>
  <c r="CX276" i="1" l="1"/>
  <c r="CW277" i="1"/>
  <c r="CV274" i="1"/>
  <c r="CV278" i="1" s="1"/>
  <c r="CW273" i="1"/>
  <c r="CY217" i="1"/>
  <c r="CX220" i="1"/>
  <c r="CX341" i="1" s="1"/>
  <c r="CW298" i="1"/>
  <c r="CD177" i="1"/>
  <c r="CD179" i="1"/>
  <c r="CB146" i="1"/>
  <c r="BZ158" i="1"/>
  <c r="BZ144" i="1"/>
  <c r="BZ285" i="1"/>
  <c r="BZ287" i="1" s="1"/>
  <c r="CH129" i="1"/>
  <c r="CG201" i="1"/>
  <c r="CI179" i="1"/>
  <c r="CI177" i="1"/>
  <c r="CI178" i="1"/>
  <c r="CL182" i="1" s="1"/>
  <c r="CE144" i="1"/>
  <c r="CE211" i="1"/>
  <c r="CE212" i="1" s="1"/>
  <c r="CE146" i="1" s="1"/>
  <c r="CE285" i="1"/>
  <c r="CE287" i="1" s="1"/>
  <c r="CE291" i="1" s="1"/>
  <c r="CE305" i="1" s="1"/>
  <c r="CE158" i="1"/>
  <c r="CF146" i="1"/>
  <c r="CG146" i="1"/>
  <c r="CH146" i="1"/>
  <c r="DA216" i="1"/>
  <c r="CZ232" i="1"/>
  <c r="CZ294" i="1" s="1"/>
  <c r="CZ275" i="1"/>
  <c r="CZ272" i="1"/>
  <c r="CZ271" i="1"/>
  <c r="AE228" i="1"/>
  <c r="AD228" i="1"/>
  <c r="AE218" i="1"/>
  <c r="AD218" i="1"/>
  <c r="AC256" i="1"/>
  <c r="AE243" i="1"/>
  <c r="AD243" i="1"/>
  <c r="AE235" i="1"/>
  <c r="AD235" i="1"/>
  <c r="AD210" i="1"/>
  <c r="AE210" i="1"/>
  <c r="AC246" i="1"/>
  <c r="AE219" i="1"/>
  <c r="AD219" i="1"/>
  <c r="AE227" i="1"/>
  <c r="AD227" i="1"/>
  <c r="AC247" i="1"/>
  <c r="AC239" i="1"/>
  <c r="AE214" i="1"/>
  <c r="AD214" i="1"/>
  <c r="CY276" i="1" l="1"/>
  <c r="CX277" i="1"/>
  <c r="CW274" i="1"/>
  <c r="CW278" i="1" s="1"/>
  <c r="CX273" i="1"/>
  <c r="CZ217" i="1"/>
  <c r="CY220" i="1"/>
  <c r="CY341" i="1" s="1"/>
  <c r="CX298" i="1"/>
  <c r="CC161" i="1"/>
  <c r="CB161" i="1"/>
  <c r="CG203" i="1"/>
  <c r="CG206" i="1" s="1"/>
  <c r="CG202" i="1"/>
  <c r="CG205" i="1" s="1"/>
  <c r="CF161" i="1"/>
  <c r="CH161" i="1"/>
  <c r="CL162" i="1" s="1"/>
  <c r="CG161" i="1"/>
  <c r="CK162" i="1" s="1"/>
  <c r="CE161" i="1"/>
  <c r="CE184" i="1"/>
  <c r="CF299" i="1"/>
  <c r="CF297" i="1" s="1"/>
  <c r="CE221" i="1"/>
  <c r="CE147" i="1" s="1"/>
  <c r="CE299" i="1"/>
  <c r="CE297" i="1" s="1"/>
  <c r="CE302" i="1" s="1"/>
  <c r="CE252" i="1" s="1"/>
  <c r="CE253" i="1" s="1"/>
  <c r="CE257" i="1" s="1"/>
  <c r="DA271" i="1"/>
  <c r="DA272" i="1"/>
  <c r="DA232" i="1"/>
  <c r="DB232" i="1" s="1"/>
  <c r="DB294" i="1" s="1"/>
  <c r="DA275" i="1"/>
  <c r="DB216" i="1"/>
  <c r="AE256" i="1"/>
  <c r="AD256" i="1"/>
  <c r="AE246" i="1"/>
  <c r="AD246" i="1"/>
  <c r="AE247" i="1"/>
  <c r="AD247" i="1"/>
  <c r="AE239" i="1"/>
  <c r="AD239" i="1"/>
  <c r="BY323" i="1"/>
  <c r="CZ276" i="1" l="1"/>
  <c r="CY277" i="1"/>
  <c r="DA217" i="1"/>
  <c r="CZ220" i="1"/>
  <c r="CZ341" i="1" s="1"/>
  <c r="CX274" i="1"/>
  <c r="CX278" i="1" s="1"/>
  <c r="CY273" i="1"/>
  <c r="CY298" i="1"/>
  <c r="CE186" i="1"/>
  <c r="CE187" i="1"/>
  <c r="CE188" i="1"/>
  <c r="CE336" i="1"/>
  <c r="CE177" i="1"/>
  <c r="CE178" i="1"/>
  <c r="CI162" i="1"/>
  <c r="CE179" i="1"/>
  <c r="CE340" i="1"/>
  <c r="CG162" i="1"/>
  <c r="CG177" i="1"/>
  <c r="CG179" i="1"/>
  <c r="CG178" i="1"/>
  <c r="CE260" i="1"/>
  <c r="CE201" i="1" s="1"/>
  <c r="CE203" i="1" s="1"/>
  <c r="CE206" i="1" s="1"/>
  <c r="CF301" i="1"/>
  <c r="CF302" i="1" s="1"/>
  <c r="CF303" i="1" s="1"/>
  <c r="CE338" i="1"/>
  <c r="CH162" i="1"/>
  <c r="CH178" i="1"/>
  <c r="CK182" i="1" s="1"/>
  <c r="CH177" i="1"/>
  <c r="CH179" i="1"/>
  <c r="CE303" i="1"/>
  <c r="CF162" i="1"/>
  <c r="CJ162" i="1"/>
  <c r="CF179" i="1"/>
  <c r="CF177" i="1"/>
  <c r="CF178" i="1"/>
  <c r="DA294" i="1"/>
  <c r="DB272" i="1"/>
  <c r="DB271" i="1"/>
  <c r="DB275" i="1"/>
  <c r="CE258" i="1"/>
  <c r="DA276" i="1" l="1"/>
  <c r="CZ277" i="1"/>
  <c r="DB217" i="1"/>
  <c r="DB220" i="1" s="1"/>
  <c r="DA220" i="1"/>
  <c r="DA298" i="1" s="1"/>
  <c r="CZ298" i="1"/>
  <c r="CY274" i="1"/>
  <c r="CY278" i="1" s="1"/>
  <c r="CZ273" i="1"/>
  <c r="CJ182" i="1"/>
  <c r="CH182" i="1"/>
  <c r="CF129" i="1"/>
  <c r="CI182" i="1"/>
  <c r="CG182" i="1"/>
  <c r="CE202" i="1"/>
  <c r="CE205" i="1" s="1"/>
  <c r="BY324" i="1"/>
  <c r="BY325" i="1" s="1"/>
  <c r="DA341" i="1" l="1"/>
  <c r="DB276" i="1"/>
  <c r="DB277" i="1" s="1"/>
  <c r="DA277" i="1"/>
  <c r="DB298" i="1"/>
  <c r="DB341" i="1"/>
  <c r="CZ274" i="1"/>
  <c r="CZ278" i="1" s="1"/>
  <c r="DA273" i="1"/>
  <c r="BY326" i="1"/>
  <c r="DA274" i="1" l="1"/>
  <c r="DA278" i="1" s="1"/>
  <c r="DB273" i="1"/>
  <c r="DB274" i="1" s="1"/>
  <c r="DB278" i="1" s="1"/>
  <c r="BI157" i="1" l="1"/>
  <c r="AT157" i="1"/>
  <c r="BT157" i="1"/>
  <c r="AV157" i="1"/>
  <c r="AX157" i="1"/>
  <c r="AR157" i="1"/>
  <c r="AO157" i="1" l="1"/>
  <c r="BK157" i="1"/>
  <c r="AN157" i="1"/>
  <c r="AW157" i="1"/>
  <c r="BB157" i="1"/>
  <c r="BM157" i="1"/>
  <c r="BQ157" i="1"/>
  <c r="AJ157" i="1"/>
  <c r="BS157" i="1"/>
  <c r="BR157" i="1"/>
  <c r="BO157" i="1"/>
  <c r="AM157" i="1"/>
  <c r="AI157" i="1"/>
  <c r="AP157" i="1"/>
  <c r="AZ157" i="1"/>
  <c r="AS157" i="1"/>
  <c r="BN157" i="1"/>
  <c r="BU157" i="1"/>
  <c r="BA157" i="1"/>
  <c r="BC157" i="1"/>
  <c r="AU157" i="1"/>
  <c r="BW157" i="1"/>
  <c r="BP157" i="1"/>
  <c r="BJ157" i="1"/>
  <c r="BH157" i="1"/>
  <c r="BX157" i="1"/>
  <c r="BG157" i="1"/>
  <c r="AQ157" i="1"/>
  <c r="AY157" i="1"/>
  <c r="AK157" i="1"/>
  <c r="BE157" i="1"/>
  <c r="BD157" i="1"/>
  <c r="BV157" i="1"/>
  <c r="BF157" i="1"/>
  <c r="BL323" i="1" l="1"/>
  <c r="AB232" i="1" l="1"/>
  <c r="CN169" i="1" l="1"/>
  <c r="AB294" i="1"/>
  <c r="CO169" i="1" l="1"/>
  <c r="CM155" i="1"/>
  <c r="CP169" i="1" l="1"/>
  <c r="CN155" i="1"/>
  <c r="CM157" i="1"/>
  <c r="C21" i="2"/>
  <c r="G36" i="2"/>
  <c r="H24" i="2"/>
  <c r="N29" i="2"/>
  <c r="I12" i="2"/>
  <c r="S23" i="2"/>
  <c r="O20" i="2"/>
  <c r="I5" i="2"/>
  <c r="P16" i="2"/>
  <c r="Q26" i="2"/>
  <c r="P29" i="2"/>
  <c r="C29" i="2"/>
  <c r="J29" i="2"/>
  <c r="S14" i="2"/>
  <c r="E13" i="2"/>
  <c r="AR59" i="3"/>
  <c r="E11" i="3"/>
  <c r="E10" i="3"/>
  <c r="AD45" i="3"/>
  <c r="AN46" i="3"/>
  <c r="G29" i="3"/>
  <c r="G25" i="3"/>
  <c r="K34" i="2"/>
  <c r="G34" i="2"/>
  <c r="H20" i="2"/>
  <c r="I18" i="2"/>
  <c r="Q17" i="2"/>
  <c r="O18" i="2"/>
  <c r="K35" i="2"/>
  <c r="D36" i="2"/>
  <c r="P11" i="2"/>
  <c r="T16" i="2"/>
  <c r="I36" i="2"/>
  <c r="Q25" i="2"/>
  <c r="AF50" i="3"/>
  <c r="N13" i="2"/>
  <c r="V32" i="2"/>
  <c r="U17" i="2"/>
  <c r="S33" i="2"/>
  <c r="X13" i="2"/>
  <c r="D26" i="2"/>
  <c r="R32" i="2"/>
  <c r="M25" i="2"/>
  <c r="G5" i="2"/>
  <c r="I29" i="2"/>
  <c r="W26" i="2"/>
  <c r="V21" i="2"/>
  <c r="I27" i="2"/>
  <c r="H29" i="2"/>
  <c r="C31" i="2"/>
  <c r="R18" i="2"/>
  <c r="V16" i="2"/>
  <c r="I32" i="2"/>
  <c r="R24" i="2"/>
  <c r="W10" i="2"/>
  <c r="P26" i="2"/>
  <c r="U10" i="2"/>
  <c r="C32" i="2"/>
  <c r="L30" i="2"/>
  <c r="AR72" i="3"/>
  <c r="O31" i="2"/>
  <c r="W34" i="2"/>
  <c r="AR77" i="3"/>
  <c r="D19" i="3"/>
  <c r="AP45" i="3"/>
  <c r="F13" i="3"/>
  <c r="G13" i="3"/>
  <c r="AH45" i="3"/>
  <c r="N9" i="4" a="1"/>
  <c r="J24" i="2"/>
  <c r="U6" i="2"/>
  <c r="D47" i="2"/>
  <c r="J10" i="2"/>
  <c r="F24" i="2"/>
  <c r="Q5" i="2"/>
  <c r="U23" i="2"/>
  <c r="J33" i="2"/>
  <c r="U18" i="2"/>
  <c r="Q12" i="2"/>
  <c r="D12" i="2"/>
  <c r="Q24" i="2"/>
  <c r="W29" i="2"/>
  <c r="H7" i="2"/>
  <c r="S7" i="2"/>
  <c r="D13" i="2"/>
  <c r="C7" i="2"/>
  <c r="V17" i="2"/>
  <c r="AR48" i="3"/>
  <c r="M21" i="2"/>
  <c r="AR37" i="3"/>
  <c r="AD17" i="3"/>
  <c r="G46" i="3"/>
  <c r="D32" i="3"/>
  <c r="F9" i="3"/>
  <c r="E27" i="3"/>
  <c r="BV7" i="4" a="1"/>
  <c r="CF16" i="4" a="1"/>
  <c r="BE11" i="4" a="1"/>
  <c r="CO6" i="4" a="1"/>
  <c r="R13" i="4" a="1"/>
  <c r="BH12" i="4" a="1"/>
  <c r="P9" i="4" a="1"/>
  <c r="AY9" i="4" a="1"/>
  <c r="DG16" i="4" a="1"/>
  <c r="BB6" i="4" a="1"/>
  <c r="M22" i="2"/>
  <c r="U15" i="2"/>
  <c r="O35" i="2"/>
  <c r="T22" i="2"/>
  <c r="H22" i="2"/>
  <c r="P20" i="2"/>
  <c r="D15" i="2"/>
  <c r="D35" i="2"/>
  <c r="T18" i="2"/>
  <c r="U8" i="2"/>
  <c r="U16" i="2"/>
  <c r="M17" i="2"/>
  <c r="AR71" i="3"/>
  <c r="R16" i="2"/>
  <c r="E27" i="2"/>
  <c r="M6" i="2"/>
  <c r="D33" i="3"/>
  <c r="E39" i="3"/>
  <c r="D39" i="3"/>
  <c r="M46" i="3"/>
  <c r="F16" i="3"/>
  <c r="D46" i="3"/>
  <c r="F10" i="2"/>
  <c r="O32" i="2"/>
  <c r="C6" i="2"/>
  <c r="E19" i="2"/>
  <c r="D29" i="2"/>
  <c r="V23" i="2"/>
  <c r="K7" i="2"/>
  <c r="G10" i="2"/>
  <c r="G35" i="2"/>
  <c r="M13" i="2"/>
  <c r="F29" i="2"/>
  <c r="P5" i="2"/>
  <c r="AR60" i="3"/>
  <c r="R19" i="2"/>
  <c r="F22" i="2"/>
  <c r="K15" i="2"/>
  <c r="F39" i="3"/>
  <c r="AD15" i="3"/>
  <c r="G45" i="3"/>
  <c r="G15" i="3"/>
  <c r="F5" i="3"/>
  <c r="I45" i="3"/>
  <c r="BF9" i="4" a="1"/>
  <c r="CB7" i="4" a="1"/>
  <c r="CG16" i="4" a="1"/>
  <c r="BK13" i="4" a="1"/>
  <c r="Q69" i="2"/>
  <c r="Q6" i="2"/>
  <c r="P7" i="2"/>
  <c r="O15" i="2"/>
  <c r="V24" i="2"/>
  <c r="D24" i="2"/>
  <c r="R23" i="2"/>
  <c r="N19" i="2"/>
  <c r="V18" i="2"/>
  <c r="T19" i="2"/>
  <c r="X21" i="2"/>
  <c r="I25" i="2"/>
  <c r="Q59" i="2"/>
  <c r="W70" i="2"/>
  <c r="AR54" i="3"/>
  <c r="H35" i="2"/>
  <c r="G7" i="3"/>
  <c r="F19" i="3"/>
  <c r="V45" i="3"/>
  <c r="AQ45" i="3"/>
  <c r="K11" i="2"/>
  <c r="Q46" i="2"/>
  <c r="W17" i="2"/>
  <c r="J26" i="2"/>
  <c r="J22" i="2"/>
  <c r="W30" i="2"/>
  <c r="G14" i="2"/>
  <c r="R8" i="2"/>
  <c r="T9" i="2"/>
  <c r="E28" i="2"/>
  <c r="V9" i="2"/>
  <c r="M11" i="2"/>
  <c r="E7" i="2"/>
  <c r="R22" i="2"/>
  <c r="W19" i="2"/>
  <c r="X12" i="2"/>
  <c r="D13" i="3"/>
  <c r="F33" i="3"/>
  <c r="X28" i="2"/>
  <c r="D16" i="2"/>
  <c r="M18" i="2"/>
  <c r="I16" i="2"/>
  <c r="I9" i="2"/>
  <c r="F35" i="2"/>
  <c r="L32" i="2"/>
  <c r="Q8" i="2"/>
  <c r="T24" i="2"/>
  <c r="K9" i="2"/>
  <c r="I22" i="2"/>
  <c r="H10" i="2"/>
  <c r="N21" i="2"/>
  <c r="U28" i="2"/>
  <c r="R7" i="2"/>
  <c r="N20" i="2"/>
  <c r="E45" i="2"/>
  <c r="D24" i="3"/>
  <c r="AN45" i="3"/>
  <c r="F6" i="3"/>
  <c r="N46" i="3"/>
  <c r="D19" i="2"/>
  <c r="D32" i="2"/>
  <c r="R33" i="2"/>
  <c r="U25" i="2"/>
  <c r="K17" i="2"/>
  <c r="N35" i="2"/>
  <c r="J7" i="2"/>
  <c r="X63" i="2"/>
  <c r="G25" i="2"/>
  <c r="F19" i="2"/>
  <c r="G11" i="2"/>
  <c r="P25" i="2"/>
  <c r="M24" i="2"/>
  <c r="C65" i="2"/>
  <c r="M9" i="2"/>
  <c r="AR86" i="3"/>
  <c r="E25" i="3"/>
  <c r="L46" i="3"/>
  <c r="E42" i="3"/>
  <c r="D22" i="3"/>
  <c r="AR28" i="3"/>
  <c r="F35" i="3"/>
  <c r="BF13" i="4" a="1"/>
  <c r="AS6" i="4" a="1"/>
  <c r="DV7" i="4" a="1"/>
  <c r="EK5" i="4" a="1"/>
  <c r="CN8" i="4" a="1"/>
  <c r="L14" i="2"/>
  <c r="AR22" i="3"/>
  <c r="E24" i="3"/>
  <c r="BO14" i="4" a="1"/>
  <c r="AT14" i="4" a="1"/>
  <c r="I14" i="4" a="1"/>
  <c r="BN16" i="4" a="1"/>
  <c r="DY16" i="4" a="1"/>
  <c r="Y8" i="4" a="1"/>
  <c r="DZ12" i="4" a="1"/>
  <c r="DU5" i="4" a="1"/>
  <c r="DP15" i="4" a="1"/>
  <c r="V16" i="4" a="1"/>
  <c r="EH13" i="4" a="1"/>
  <c r="AZ12" i="4" a="1"/>
  <c r="AO9" i="4" a="1"/>
  <c r="BD12" i="4" a="1"/>
  <c r="U6" i="4" a="1"/>
  <c r="CF13" i="4" a="1"/>
  <c r="ED11" i="4" a="1"/>
  <c r="X14" i="4" a="1"/>
  <c r="DA13" i="4" a="1"/>
  <c r="BD14" i="4" a="1"/>
  <c r="BD9" i="4" a="1"/>
  <c r="CX8" i="4" a="1"/>
  <c r="EK7" i="4" a="1"/>
  <c r="L15" i="2"/>
  <c r="AR73" i="3"/>
  <c r="D23" i="3"/>
  <c r="AR10" i="3"/>
  <c r="BU6" i="4" a="1"/>
  <c r="BV5" i="4" a="1"/>
  <c r="EG14" i="4" a="1"/>
  <c r="DG13" i="4" a="1"/>
  <c r="CJ9" i="4" a="1"/>
  <c r="AD7" i="4" a="1"/>
  <c r="EI6" i="4" a="1"/>
  <c r="BK15" i="4" a="1"/>
  <c r="AU7" i="4" a="1"/>
  <c r="BJ16" i="4" a="1"/>
  <c r="DI7" i="4" a="1"/>
  <c r="AJ13" i="4" a="1"/>
  <c r="BP12" i="4" a="1"/>
  <c r="AG16" i="4" a="1"/>
  <c r="CL11" i="4" a="1"/>
  <c r="T15" i="4" a="1"/>
  <c r="E8" i="4" a="1"/>
  <c r="BB9" i="4" a="1"/>
  <c r="K8" i="4" a="1"/>
  <c r="DD5" i="4" a="1"/>
  <c r="CY12" i="4" a="1"/>
  <c r="V13" i="4" a="1"/>
  <c r="BU9" i="4" a="1"/>
  <c r="AZ11" i="4" a="1"/>
  <c r="EG11" i="4" a="1"/>
  <c r="F34" i="2"/>
  <c r="N34" i="2"/>
  <c r="E14" i="3"/>
  <c r="AK115" i="1" s="1"/>
  <c r="E12" i="3"/>
  <c r="BY8" i="4" a="1"/>
  <c r="E14" i="4" a="1"/>
  <c r="Q12" i="4" a="1"/>
  <c r="Q14" i="4" a="1"/>
  <c r="BP11" i="4" a="1"/>
  <c r="AK7" i="4" a="1"/>
  <c r="CP13" i="4" a="1"/>
  <c r="CA9" i="4" a="1"/>
  <c r="AP11" i="4" a="1"/>
  <c r="AL15" i="4" a="1"/>
  <c r="Z16" i="4" a="1"/>
  <c r="BV8" i="4" a="1"/>
  <c r="AR5" i="4" a="1"/>
  <c r="DD12" i="4" a="1"/>
  <c r="BT15" i="4" a="1"/>
  <c r="BS11" i="4" a="1"/>
  <c r="ED5" i="4" a="1"/>
  <c r="DW7" i="4" a="1"/>
  <c r="BT6" i="4" a="1"/>
  <c r="DT5" i="4" a="1"/>
  <c r="L11" i="2"/>
  <c r="F36" i="3"/>
  <c r="AD9" i="3"/>
  <c r="DO5" i="4" a="1"/>
  <c r="J16" i="4" a="1"/>
  <c r="BL9" i="4" a="1"/>
  <c r="BY13" i="4" a="1"/>
  <c r="AQ13" i="4" a="1"/>
  <c r="X5" i="4" a="1"/>
  <c r="E11" i="2"/>
  <c r="AR66" i="3"/>
  <c r="D27" i="3"/>
  <c r="D5" i="3"/>
  <c r="BV14" i="4" a="1"/>
  <c r="DF15" i="4" a="1"/>
  <c r="DR5" i="4" a="1"/>
  <c r="CV9" i="4" a="1"/>
  <c r="DQ8" i="4" a="1"/>
  <c r="DL11" i="4" a="1"/>
  <c r="Q5" i="4" a="1"/>
  <c r="BS15" i="4" a="1"/>
  <c r="DQ15" i="4" a="1"/>
  <c r="AV15" i="4" a="1"/>
  <c r="Q13" i="4" a="1"/>
  <c r="CZ9" i="4" a="1"/>
  <c r="CJ12" i="4" a="1"/>
  <c r="DQ7" i="4" a="1"/>
  <c r="AY5" i="4" a="1"/>
  <c r="I12" i="4" a="1"/>
  <c r="O24" i="2"/>
  <c r="AE46" i="3"/>
  <c r="M45" i="3"/>
  <c r="E16" i="4" a="1"/>
  <c r="X10" i="2"/>
  <c r="W22" i="2"/>
  <c r="F42" i="3"/>
  <c r="E34" i="3"/>
  <c r="CI7" i="4" a="1"/>
  <c r="AH13" i="4" a="1"/>
  <c r="BC12" i="4" a="1"/>
  <c r="CY16" i="4" a="1"/>
  <c r="DA7" i="4" a="1"/>
  <c r="W13" i="4" a="1"/>
  <c r="DQ11" i="4" a="1"/>
  <c r="EF5" i="4" a="1"/>
  <c r="CH14" i="4" a="1"/>
  <c r="BL16" i="4" a="1"/>
  <c r="U14" i="4" a="1"/>
  <c r="BO16" i="4" a="1"/>
  <c r="DT11" i="4" a="1"/>
  <c r="AS8" i="4" a="1"/>
  <c r="CV5" i="4" a="1"/>
  <c r="AW12" i="4" a="1"/>
  <c r="AE13" i="4" a="1"/>
  <c r="CM9" i="4" a="1"/>
  <c r="AT13" i="4" a="1"/>
  <c r="EB11" i="4" a="1"/>
  <c r="M13" i="4" a="1"/>
  <c r="CC7" i="4" a="1"/>
  <c r="AM8" i="4" a="1"/>
  <c r="CL7" i="4" a="1"/>
  <c r="DV11" i="4" a="1"/>
  <c r="BD13" i="4" a="1"/>
  <c r="DA15" i="4" a="1"/>
  <c r="EC6" i="4" a="1"/>
  <c r="M20" i="2"/>
  <c r="C33" i="2"/>
  <c r="E37" i="3"/>
  <c r="D7" i="3"/>
  <c r="CC11" i="4" a="1"/>
  <c r="CZ12" i="4" a="1"/>
  <c r="DH12" i="4" a="1"/>
  <c r="W5" i="4" a="1"/>
  <c r="BR5" i="4" a="1"/>
  <c r="BQ9" i="4" a="1"/>
  <c r="EE11" i="4" a="1"/>
  <c r="DV15" i="4" a="1"/>
  <c r="I13" i="4" a="1"/>
  <c r="EF15" i="4" a="1"/>
  <c r="BC15" i="4" a="1"/>
  <c r="AG14" i="4" a="1"/>
  <c r="BB15" i="4" a="1"/>
  <c r="BR6" i="4" a="1"/>
  <c r="G6" i="4" a="1"/>
  <c r="DD6" i="4" a="1"/>
  <c r="DY5" i="4" a="1"/>
  <c r="DN8" i="4" a="1"/>
  <c r="EE13" i="4" a="1"/>
  <c r="BH9" i="4" a="1"/>
  <c r="DH5" i="4" a="1"/>
  <c r="BC7" i="4" a="1"/>
  <c r="CS16" i="4" a="1"/>
  <c r="AN5" i="4" a="1"/>
  <c r="AM14" i="4" a="1"/>
  <c r="AM16" i="4" a="1"/>
  <c r="CW8" i="4" a="1"/>
  <c r="K13" i="4" a="1"/>
  <c r="L9" i="2"/>
  <c r="AR85" i="3"/>
  <c r="D21" i="3"/>
  <c r="F15" i="3"/>
  <c r="AL111" i="1" s="1"/>
  <c r="DM5" i="4" a="1"/>
  <c r="DM6" i="4" a="1"/>
  <c r="BW15" i="4" a="1"/>
  <c r="AK13" i="4" a="1"/>
  <c r="CO13" i="4" a="1"/>
  <c r="CI13" i="4" a="1"/>
  <c r="DR11" i="4" a="1"/>
  <c r="BP8" i="4" a="1"/>
  <c r="CP12" i="4" a="1"/>
  <c r="BI9" i="4" a="1"/>
  <c r="AR13" i="4" a="1"/>
  <c r="CZ8" i="4" a="1"/>
  <c r="CD15" i="4" a="1"/>
  <c r="BB11" i="4" a="1"/>
  <c r="EF7" i="4" a="1"/>
  <c r="BP9" i="4" a="1"/>
  <c r="CD11" i="4" a="1"/>
  <c r="AE9" i="4" a="1"/>
  <c r="EB15" i="4" a="1"/>
  <c r="M9" i="4" a="1"/>
  <c r="S5" i="4" a="1"/>
  <c r="EH6" i="4" a="1"/>
  <c r="BH15" i="4" a="1"/>
  <c r="BM11" i="4" a="1"/>
  <c r="CY5" i="4" a="1"/>
  <c r="AR89" i="3"/>
  <c r="G17" i="3"/>
  <c r="AC45" i="3"/>
  <c r="EH5" i="4" a="1"/>
  <c r="BX9" i="4" a="1"/>
  <c r="W11" i="4" a="1"/>
  <c r="EK15" i="4" a="1"/>
  <c r="AA12" i="4" a="1"/>
  <c r="M14" i="4" a="1"/>
  <c r="BE7" i="4" a="1"/>
  <c r="CR5" i="4" a="1"/>
  <c r="CT12" i="4" a="1"/>
  <c r="J12" i="2"/>
  <c r="AS47" i="3"/>
  <c r="AB45" i="3"/>
  <c r="E15" i="3"/>
  <c r="CI15" i="4" a="1"/>
  <c r="DU7" i="4" a="1"/>
  <c r="EI14" i="4" a="1"/>
  <c r="DH8" i="4" a="1"/>
  <c r="AO5" i="4" a="1"/>
  <c r="AL5" i="4" a="1"/>
  <c r="BE6" i="4" a="1"/>
  <c r="BD15" i="4" a="1"/>
  <c r="DQ14" i="4" a="1"/>
  <c r="D9" i="4" a="1"/>
  <c r="BU14" i="4" a="1"/>
  <c r="AZ5" i="4" a="1"/>
  <c r="BX13" i="4" a="1"/>
  <c r="P5" i="4" a="1"/>
  <c r="CV11" i="4" a="1"/>
  <c r="EB12" i="4" a="1"/>
  <c r="CK7" i="4" a="1"/>
  <c r="BA13" i="4" a="1"/>
  <c r="CE16" i="4" a="1"/>
  <c r="CU11" i="4" a="1"/>
  <c r="BY12" i="4" a="1"/>
  <c r="BF8" i="4" a="1"/>
  <c r="DY9" i="4" a="1"/>
  <c r="DB5" i="4" a="1"/>
  <c r="DD15" i="4" a="1"/>
  <c r="BX11" i="4" a="1"/>
  <c r="H5" i="4" a="1"/>
  <c r="AW9" i="4" a="1"/>
  <c r="BK14" i="4" a="1"/>
  <c r="DY12" i="4" a="1"/>
  <c r="AM45" i="3"/>
  <c r="AB9" i="4" a="1"/>
  <c r="EE16" i="4" a="1"/>
  <c r="AS9" i="4" a="1"/>
  <c r="AE15" i="4" a="1"/>
  <c r="DA12" i="4" a="1"/>
  <c r="AK16" i="4" a="1"/>
  <c r="U7" i="4" a="1"/>
  <c r="AX12" i="4" a="1"/>
  <c r="CU7" i="4" a="1"/>
  <c r="EJ11" i="4" a="1"/>
  <c r="AW16" i="4" a="1"/>
  <c r="DW8" i="4" a="1"/>
  <c r="AX14" i="4" a="1"/>
  <c r="ED12" i="4" a="1"/>
  <c r="CY7" i="4" a="1"/>
  <c r="AY8" i="4" a="1"/>
  <c r="EG15" i="4" a="1"/>
  <c r="AD9" i="4" a="1"/>
  <c r="CM13" i="4" a="1"/>
  <c r="BP5" i="4" a="1"/>
  <c r="Q28" i="2"/>
  <c r="W25" i="2"/>
  <c r="J27" i="2"/>
  <c r="O26" i="2"/>
  <c r="N25" i="2"/>
  <c r="V14" i="2"/>
  <c r="E35" i="2"/>
  <c r="K8" i="2"/>
  <c r="D21" i="2"/>
  <c r="L24" i="2"/>
  <c r="T28" i="2"/>
  <c r="I33" i="2"/>
  <c r="N23" i="2"/>
  <c r="N12" i="2"/>
  <c r="S29" i="2"/>
  <c r="R139" i="1" s="1"/>
  <c r="R30" i="2"/>
  <c r="F18" i="2"/>
  <c r="S45" i="3"/>
  <c r="F14" i="3"/>
  <c r="AL115" i="1" s="1"/>
  <c r="AK46" i="3"/>
  <c r="G28" i="3"/>
  <c r="Y45" i="3"/>
  <c r="BB8" i="4" a="1"/>
  <c r="L29" i="2"/>
  <c r="K139" i="1" s="1"/>
  <c r="F21" i="2"/>
  <c r="L7" i="2"/>
  <c r="X9" i="2"/>
  <c r="M33" i="2"/>
  <c r="X16" i="2"/>
  <c r="G26" i="2"/>
  <c r="O5" i="2"/>
  <c r="K20" i="2"/>
  <c r="N30" i="2"/>
  <c r="J35" i="2"/>
  <c r="S18" i="2"/>
  <c r="AR97" i="3"/>
  <c r="I6" i="2"/>
  <c r="Q22" i="2"/>
  <c r="G15" i="2"/>
  <c r="R25" i="2"/>
  <c r="M19" i="2"/>
  <c r="W23" i="2"/>
  <c r="E30" i="2"/>
  <c r="W8" i="2"/>
  <c r="H31" i="2"/>
  <c r="N26" i="2"/>
  <c r="X18" i="2"/>
  <c r="X33" i="2"/>
  <c r="J18" i="2"/>
  <c r="V7" i="2"/>
  <c r="F27" i="2"/>
  <c r="R6" i="2"/>
  <c r="U22" i="2"/>
  <c r="J9" i="2"/>
  <c r="D22" i="2"/>
  <c r="F25" i="2"/>
  <c r="R15" i="2"/>
  <c r="P69" i="2"/>
  <c r="K6" i="2"/>
  <c r="H32" i="2"/>
  <c r="M34" i="2"/>
  <c r="AR94" i="3"/>
  <c r="C13" i="2"/>
  <c r="AR78" i="3"/>
  <c r="E28" i="3"/>
  <c r="AR42" i="3"/>
  <c r="AL46" i="3"/>
  <c r="AR39" i="3"/>
  <c r="D18" i="3"/>
  <c r="W9" i="2"/>
  <c r="X41" i="2"/>
  <c r="T36" i="2"/>
  <c r="X23" i="2"/>
  <c r="K29" i="2"/>
  <c r="I23" i="2"/>
  <c r="L8" i="2"/>
  <c r="I28" i="2"/>
  <c r="P34" i="2"/>
  <c r="Q33" i="2"/>
  <c r="I15" i="2"/>
  <c r="H54" i="2"/>
  <c r="W11" i="2"/>
  <c r="P33" i="2"/>
  <c r="H18" i="2"/>
  <c r="G8" i="2"/>
  <c r="W14" i="2"/>
  <c r="AR57" i="3"/>
  <c r="H14" i="2"/>
  <c r="AR83" i="3"/>
  <c r="H25" i="2"/>
  <c r="AR19" i="3"/>
  <c r="G31" i="3"/>
  <c r="D30" i="3"/>
  <c r="AR46" i="3"/>
  <c r="AR31" i="3"/>
  <c r="D41" i="3"/>
  <c r="BF11" i="4" a="1"/>
  <c r="Z15" i="4" a="1"/>
  <c r="DB14" i="4" a="1"/>
  <c r="DH15" i="4" a="1"/>
  <c r="BM15" i="4" a="1"/>
  <c r="D13" i="4" a="1"/>
  <c r="CX15" i="4" a="1"/>
  <c r="CN7" i="4" a="1"/>
  <c r="CL9" i="4" a="1"/>
  <c r="AD12" i="4" a="1"/>
  <c r="G6" i="2"/>
  <c r="F89" i="2"/>
  <c r="C20" i="2"/>
  <c r="R5" i="2"/>
  <c r="F28" i="2"/>
  <c r="P14" i="2"/>
  <c r="X22" i="2"/>
  <c r="E26" i="2"/>
  <c r="S6" i="2"/>
  <c r="Q29" i="2"/>
  <c r="P139" i="1" s="1"/>
  <c r="D18" i="2"/>
  <c r="Q7" i="2"/>
  <c r="X24" i="2"/>
  <c r="F8" i="2"/>
  <c r="S10" i="2"/>
  <c r="C12" i="2"/>
  <c r="G27" i="3"/>
  <c r="I46" i="3"/>
  <c r="V46" i="3"/>
  <c r="F34" i="3"/>
  <c r="E46" i="3"/>
  <c r="R45" i="3"/>
  <c r="U27" i="2"/>
  <c r="Q78" i="2"/>
  <c r="S12" i="2"/>
  <c r="K13" i="2"/>
  <c r="Q14" i="2"/>
  <c r="P36" i="2"/>
  <c r="H36" i="2"/>
  <c r="Q27" i="2"/>
  <c r="F20" i="2"/>
  <c r="Q31" i="2"/>
  <c r="X30" i="2"/>
  <c r="O23" i="2"/>
  <c r="C10" i="2"/>
  <c r="F32" i="2"/>
  <c r="K14" i="2"/>
  <c r="U31" i="2"/>
  <c r="S46" i="3"/>
  <c r="E32" i="3"/>
  <c r="AR27" i="3"/>
  <c r="P46" i="3"/>
  <c r="D20" i="3"/>
  <c r="AR16" i="3"/>
  <c r="Z8" i="4" a="1"/>
  <c r="BI13" i="4" a="1"/>
  <c r="AI11" i="4" a="1"/>
  <c r="BG8" i="4" a="1"/>
  <c r="T26" i="2"/>
  <c r="I14" i="2"/>
  <c r="O17" i="2"/>
  <c r="R29" i="2"/>
  <c r="Q139" i="1" s="1"/>
  <c r="K10" i="2"/>
  <c r="D7" i="2"/>
  <c r="G32" i="2"/>
  <c r="N31" i="2"/>
  <c r="G27" i="2"/>
  <c r="M32" i="2"/>
  <c r="S8" i="2"/>
  <c r="U5" i="2"/>
  <c r="AR69" i="3"/>
  <c r="E5" i="2"/>
  <c r="V19" i="2"/>
  <c r="E22" i="2"/>
  <c r="J46" i="3"/>
  <c r="AA45" i="3"/>
  <c r="E23" i="3"/>
  <c r="F13" i="2"/>
  <c r="O7" i="2"/>
  <c r="R10" i="2"/>
  <c r="K87" i="2"/>
  <c r="N27" i="2"/>
  <c r="S16" i="2"/>
  <c r="C34" i="2"/>
  <c r="M28" i="2"/>
  <c r="R9" i="2"/>
  <c r="F9" i="2"/>
  <c r="H26" i="2"/>
  <c r="G9" i="2"/>
  <c r="T21" i="2"/>
  <c r="K18" i="2"/>
  <c r="S24" i="2"/>
  <c r="H33" i="2"/>
  <c r="N15" i="2"/>
  <c r="AD10" i="3"/>
  <c r="F12" i="3"/>
  <c r="C8" i="2"/>
  <c r="Q58" i="2"/>
  <c r="S25" i="2"/>
  <c r="Q30" i="2"/>
  <c r="G33" i="2"/>
  <c r="J15" i="2"/>
  <c r="S9" i="2"/>
  <c r="P28" i="2"/>
  <c r="X20" i="2"/>
  <c r="N7" i="2"/>
  <c r="N6" i="2"/>
  <c r="U26" i="2"/>
  <c r="Q36" i="2"/>
  <c r="D11" i="2"/>
  <c r="AR91" i="3"/>
  <c r="H5" i="2"/>
  <c r="AA46" i="3"/>
  <c r="G5" i="3"/>
  <c r="G94" i="3" s="1"/>
  <c r="AR40" i="3"/>
  <c r="G18" i="3"/>
  <c r="T35" i="2"/>
  <c r="G17" i="2"/>
  <c r="Q16" i="2"/>
  <c r="F6" i="2"/>
  <c r="U11" i="2"/>
  <c r="I19" i="2"/>
  <c r="N14" i="2"/>
  <c r="S15" i="2"/>
  <c r="U13" i="2"/>
  <c r="H27" i="2"/>
  <c r="H11" i="2"/>
  <c r="L6" i="2"/>
  <c r="R36" i="2"/>
  <c r="V20" i="2"/>
  <c r="E20" i="2"/>
  <c r="X29" i="2"/>
  <c r="W139" i="1" s="1"/>
  <c r="I26" i="2"/>
  <c r="AR36" i="3"/>
  <c r="W46" i="3"/>
  <c r="AR38" i="3"/>
  <c r="D6" i="3"/>
  <c r="F7" i="3"/>
  <c r="AZ15" i="4" a="1"/>
  <c r="AI9" i="4" a="1"/>
  <c r="DK5" i="4" a="1"/>
  <c r="DF5" i="4" a="1"/>
  <c r="BA5" i="4" a="1"/>
  <c r="S26" i="2"/>
  <c r="G21" i="2"/>
  <c r="T46" i="3"/>
  <c r="AR18" i="3"/>
  <c r="AX8" i="4" a="1"/>
  <c r="BE15" i="4" a="1"/>
  <c r="AF16" i="4" a="1"/>
  <c r="EA5" i="4" a="1"/>
  <c r="K14" i="4" a="1"/>
  <c r="CW7" i="4" a="1"/>
  <c r="AU11" i="4" a="1"/>
  <c r="AY6" i="4" a="1"/>
  <c r="DF16" i="4" a="1"/>
  <c r="EI9" i="4" a="1"/>
  <c r="DX8" i="4" a="1"/>
  <c r="EA7" i="4" a="1"/>
  <c r="L16" i="4" a="1"/>
  <c r="P6" i="4" a="1"/>
  <c r="R8" i="4" a="1"/>
  <c r="K12" i="4" a="1"/>
  <c r="AF13" i="4" a="1"/>
  <c r="DO15" i="4" a="1"/>
  <c r="O9" i="4" a="1"/>
  <c r="AP5" i="4" a="1"/>
  <c r="EA11" i="4" a="1"/>
  <c r="CB8" i="4" a="1"/>
  <c r="BJ13" i="4" a="1"/>
  <c r="J28" i="2"/>
  <c r="S11" i="2"/>
  <c r="O46" i="3"/>
  <c r="E8" i="3"/>
  <c r="CM12" i="4" a="1"/>
  <c r="AN8" i="4" a="1"/>
  <c r="DM12" i="4" a="1"/>
  <c r="DQ13" i="4" a="1"/>
  <c r="AI13" i="4" a="1"/>
  <c r="EF13" i="4" a="1"/>
  <c r="U9" i="4" a="1"/>
  <c r="CS12" i="4" a="1"/>
  <c r="DW15" i="4" a="1"/>
  <c r="CT15" i="4" a="1"/>
  <c r="DT16" i="4" a="1"/>
  <c r="CB14" i="4" a="1"/>
  <c r="BJ8" i="4" a="1"/>
  <c r="L7" i="4" a="1"/>
  <c r="AI15" i="4" a="1"/>
  <c r="AT5" i="4" a="1"/>
  <c r="DN14" i="4" a="1"/>
  <c r="BR15" i="4" a="1"/>
  <c r="CI5" i="4" a="1"/>
  <c r="W9" i="4" a="1"/>
  <c r="R7" i="4" a="1"/>
  <c r="DJ11" i="4" a="1"/>
  <c r="CG11" i="4" a="1"/>
  <c r="AR6" i="4" a="1"/>
  <c r="CF5" i="4" a="1"/>
  <c r="O36" i="2"/>
  <c r="AR47" i="3"/>
  <c r="AR25" i="3"/>
  <c r="G20" i="3"/>
  <c r="Y5" i="4" a="1"/>
  <c r="DT12" i="4" a="1"/>
  <c r="CM8" i="4" a="1"/>
  <c r="AD11" i="4" a="1"/>
  <c r="CD8" i="4" a="1"/>
  <c r="DX13" i="4" a="1"/>
  <c r="T8" i="4" a="1"/>
  <c r="CN15" i="4" a="1"/>
  <c r="DU11" i="4" a="1"/>
  <c r="BB14" i="4" a="1"/>
  <c r="AW7" i="4" a="1"/>
  <c r="G14" i="4" a="1"/>
  <c r="BI14" i="4" a="1"/>
  <c r="CH13" i="4" a="1"/>
  <c r="DR6" i="4" a="1"/>
  <c r="CF15" i="4" a="1"/>
  <c r="AU12" i="4" a="1"/>
  <c r="CT6" i="4" a="1"/>
  <c r="Z9" i="4" a="1"/>
  <c r="O30" i="2"/>
  <c r="K22" i="2"/>
  <c r="AI45" i="3"/>
  <c r="G12" i="3"/>
  <c r="BY7" i="4" a="1"/>
  <c r="DL15" i="4" a="1"/>
  <c r="AM7" i="4" a="1"/>
  <c r="BA9" i="4" a="1"/>
  <c r="P14" i="4" a="1"/>
  <c r="AF9" i="4" a="1"/>
  <c r="M23" i="2"/>
  <c r="F18" i="3"/>
  <c r="G24" i="3"/>
  <c r="DT7" i="4" a="1"/>
  <c r="DG12" i="4" a="1"/>
  <c r="CN11" i="4" a="1"/>
  <c r="EE14" i="4" a="1"/>
  <c r="DC12" i="4" a="1"/>
  <c r="DI16" i="4" a="1"/>
  <c r="AF8" i="4" a="1"/>
  <c r="Y6" i="4" a="1"/>
  <c r="N13" i="4" a="1"/>
  <c r="DB8" i="4" a="1"/>
  <c r="DK16" i="4" a="1"/>
  <c r="EF14" i="4" a="1"/>
  <c r="BF14" i="4" a="1"/>
  <c r="EC8" i="4" a="1"/>
  <c r="CB15" i="4" a="1"/>
  <c r="DL16" i="4" a="1"/>
  <c r="M8" i="2"/>
  <c r="X32" i="2"/>
  <c r="AE45" i="3"/>
  <c r="E7" i="3"/>
  <c r="CY15" i="4" a="1"/>
  <c r="M12" i="2"/>
  <c r="N32" i="2"/>
  <c r="F31" i="3"/>
  <c r="D31" i="3"/>
  <c r="AJ12" i="4" a="1"/>
  <c r="BF7" i="4" a="1"/>
  <c r="AZ7" i="4" a="1"/>
  <c r="CX6" i="4" a="1"/>
  <c r="DY8" i="4" a="1"/>
  <c r="CP14" i="4" a="1"/>
  <c r="DG5" i="4" a="1"/>
  <c r="CC16" i="4" a="1"/>
  <c r="BC8" i="4" a="1"/>
  <c r="AA11" i="4" a="1"/>
  <c r="CG7" i="4" a="1"/>
  <c r="BS13" i="4" a="1"/>
  <c r="AQ5" i="4" a="1"/>
  <c r="AR16" i="4" a="1"/>
  <c r="EH8" i="4" a="1"/>
  <c r="BJ14" i="4" a="1"/>
  <c r="DS8" i="4" a="1"/>
  <c r="DW13" i="4" a="1"/>
  <c r="EF6" i="4" a="1"/>
  <c r="BA14" i="4" a="1"/>
  <c r="DX16" i="4" a="1"/>
  <c r="AD15" i="4" a="1"/>
  <c r="P13" i="4" a="1"/>
  <c r="CC12" i="4" a="1"/>
  <c r="CJ16" i="4" a="1"/>
  <c r="BQ14" i="4" a="1"/>
  <c r="CK16" i="4" a="1"/>
  <c r="W16" i="4" a="1"/>
  <c r="O10" i="2"/>
  <c r="AR61" i="3"/>
  <c r="AD7" i="3"/>
  <c r="AR35" i="3"/>
  <c r="AV9" i="4" a="1"/>
  <c r="BD6" i="4" a="1"/>
  <c r="AP9" i="4" a="1"/>
  <c r="DO12" i="4" a="1"/>
  <c r="CK14" i="4" a="1"/>
  <c r="CF14" i="4" a="1"/>
  <c r="CF12" i="4" a="1"/>
  <c r="W12" i="4" a="1"/>
  <c r="DA14" i="4" a="1"/>
  <c r="DZ11" i="4" a="1"/>
  <c r="CG14" i="4" a="1"/>
  <c r="AH12" i="4" a="1"/>
  <c r="BZ13" i="4" a="1"/>
  <c r="CK13" i="4" a="1"/>
  <c r="J12" i="4" a="1"/>
  <c r="CS6" i="4" a="1"/>
  <c r="BX6" i="4" a="1"/>
  <c r="H15" i="4" a="1"/>
  <c r="CW11" i="4" a="1"/>
  <c r="DD11" i="4" a="1"/>
  <c r="AT16" i="4" a="1"/>
  <c r="DY6" i="4" a="1"/>
  <c r="CR11" i="4" a="1"/>
  <c r="BU11" i="4" a="1"/>
  <c r="J11" i="4" a="1"/>
  <c r="S16" i="4" a="1"/>
  <c r="L12" i="4" a="1"/>
  <c r="EK11" i="4" a="1"/>
  <c r="W33" i="2"/>
  <c r="E9" i="2"/>
  <c r="E33" i="3"/>
  <c r="AR23" i="3"/>
  <c r="BJ11" i="4" a="1"/>
  <c r="DG8" i="4" a="1"/>
  <c r="CB13" i="4" a="1"/>
  <c r="BK6" i="4" a="1"/>
  <c r="CV12" i="4" a="1"/>
  <c r="BR13" i="4" a="1"/>
  <c r="EJ7" i="4" a="1"/>
  <c r="BG11" i="4" a="1"/>
  <c r="AN11" i="4" a="1"/>
  <c r="DF12" i="4" a="1"/>
  <c r="CD6" i="4" a="1"/>
  <c r="D11" i="4" a="1"/>
  <c r="BJ15" i="4" a="1"/>
  <c r="CI12" i="4" a="1"/>
  <c r="BC14" i="4" a="1"/>
  <c r="DX9" i="4" a="1"/>
  <c r="BR14" i="4" a="1"/>
  <c r="AJ8" i="4" a="1"/>
  <c r="BN8" i="4" a="1"/>
  <c r="O12" i="4" a="1"/>
  <c r="AR7" i="4" a="1"/>
  <c r="CZ11" i="4" a="1"/>
  <c r="DY7" i="4" a="1"/>
  <c r="AQ14" i="4" a="1"/>
  <c r="BR16" i="4" a="1"/>
  <c r="AR50" i="3"/>
  <c r="C45" i="3"/>
  <c r="E16" i="3"/>
  <c r="CX7" i="4" a="1"/>
  <c r="AX11" i="4" a="1"/>
  <c r="AB13" i="4" a="1"/>
  <c r="EG16" i="4" a="1"/>
  <c r="I11" i="4" a="1"/>
  <c r="BI5" i="4" a="1"/>
  <c r="BK12" i="4" a="1"/>
  <c r="BU13" i="4" a="1"/>
  <c r="AI5" i="4" a="1"/>
  <c r="C35" i="2"/>
  <c r="T17" i="2"/>
  <c r="G21" i="3"/>
  <c r="K45" i="3"/>
  <c r="EJ5" i="4" a="1"/>
  <c r="AD8" i="4" a="1"/>
  <c r="EH16" i="4" a="1"/>
  <c r="P7" i="4" a="1"/>
  <c r="DE12" i="4" a="1"/>
  <c r="C7" i="4" a="1"/>
  <c r="BY15" i="4" a="1"/>
  <c r="AB11" i="4" a="1"/>
  <c r="EG6" i="4" a="1"/>
  <c r="DM13" i="4" a="1"/>
  <c r="EB16" i="4" a="1"/>
  <c r="CN12" i="4" a="1"/>
  <c r="CP7" i="4" a="1"/>
  <c r="N6" i="4" a="1"/>
  <c r="CA16" i="4" a="1"/>
  <c r="CL13" i="4" a="1"/>
  <c r="CZ13" i="4" a="1"/>
  <c r="BX15" i="4" a="1"/>
  <c r="Q6" i="4" a="1"/>
  <c r="DA16" i="4" a="1"/>
  <c r="CA13" i="4" a="1"/>
  <c r="DK11" i="4" a="1"/>
  <c r="Q7" i="4" a="1"/>
  <c r="BI12" i="4" a="1"/>
  <c r="CR14" i="4" a="1"/>
  <c r="AQ6" i="4" a="1"/>
  <c r="CJ14" i="4" a="1"/>
  <c r="E15" i="4" a="1"/>
  <c r="CS9" i="4" a="1"/>
  <c r="AE5" i="4" a="1"/>
  <c r="DR16" i="4" a="1"/>
  <c r="AZ8" i="4" a="1"/>
  <c r="U12" i="4" a="1"/>
  <c r="AN15" i="4" a="1"/>
  <c r="N7" i="4" a="1"/>
  <c r="CG6" i="4" a="1"/>
  <c r="Q8" i="4" a="1"/>
  <c r="DU9" i="4" a="1"/>
  <c r="BM12" i="4" a="1"/>
  <c r="BQ6" i="4" a="1"/>
  <c r="AA5" i="4" a="1"/>
  <c r="AN14" i="4" a="1"/>
  <c r="BM7" i="4" a="1"/>
  <c r="DL7" i="4" a="1"/>
  <c r="BA16" i="4" a="1"/>
  <c r="BG9" i="4" a="1"/>
  <c r="BG13" i="4" a="1"/>
  <c r="Q16" i="4" a="1"/>
  <c r="BZ8" i="4" a="1"/>
  <c r="EA15" i="4" a="1"/>
  <c r="CK6" i="4" a="1"/>
  <c r="AL6" i="4" a="1"/>
  <c r="CP15" i="4" a="1"/>
  <c r="CY14" i="4" a="1"/>
  <c r="CL15" i="4" a="1"/>
  <c r="CD13" i="4" a="1"/>
  <c r="AZ16" i="4" a="1"/>
  <c r="S8" i="4" a="1"/>
  <c r="L15" i="4" a="1"/>
  <c r="T14" i="4" a="1"/>
  <c r="DY13" i="4" a="1"/>
  <c r="F13" i="4" a="1"/>
  <c r="CU14" i="4" a="1"/>
  <c r="DH7" i="4" a="1"/>
  <c r="CU12" i="4" a="1"/>
  <c r="DC6" i="4" a="1"/>
  <c r="Y13" i="4" a="1"/>
  <c r="DA6" i="4" a="1"/>
  <c r="BQ13" i="4" a="1"/>
  <c r="X8" i="4" a="1"/>
  <c r="CH16" i="4" a="1"/>
  <c r="BP13" i="4" a="1"/>
  <c r="AB12" i="4" a="1"/>
  <c r="DB16" i="4" a="1"/>
  <c r="W16" i="2"/>
  <c r="D6" i="2"/>
  <c r="L13" i="2"/>
  <c r="H99" i="2"/>
  <c r="Q11" i="2"/>
  <c r="R31" i="2"/>
  <c r="K25" i="2"/>
  <c r="K31" i="2"/>
  <c r="I10" i="2"/>
  <c r="L28" i="2"/>
  <c r="Q15" i="2"/>
  <c r="S5" i="2"/>
  <c r="T23" i="2"/>
  <c r="E16" i="2"/>
  <c r="AR63" i="3"/>
  <c r="F30" i="2"/>
  <c r="E40" i="3"/>
  <c r="AQ46" i="3"/>
  <c r="E17" i="3"/>
  <c r="D42" i="3"/>
  <c r="G16" i="3"/>
  <c r="E19" i="3"/>
  <c r="H17" i="2"/>
  <c r="E32" i="2"/>
  <c r="J13" i="2"/>
  <c r="H30" i="2"/>
  <c r="O33" i="2"/>
  <c r="C19" i="2"/>
  <c r="X34" i="2"/>
  <c r="H16" i="2"/>
  <c r="P19" i="2"/>
  <c r="E25" i="2"/>
  <c r="Q13" i="2"/>
  <c r="P31" i="2"/>
  <c r="E36" i="2"/>
  <c r="J8" i="2"/>
  <c r="AR74" i="3"/>
  <c r="S32" i="2"/>
  <c r="R35" i="2"/>
  <c r="R12" i="2"/>
  <c r="C24" i="2"/>
  <c r="H19" i="2"/>
  <c r="G22" i="2"/>
  <c r="R28" i="2"/>
  <c r="M27" i="2"/>
  <c r="F7" i="2"/>
  <c r="F12" i="2"/>
  <c r="W36" i="2"/>
  <c r="S27" i="2"/>
  <c r="P27" i="2"/>
  <c r="K12" i="2"/>
  <c r="W24" i="2"/>
  <c r="S62" i="2"/>
  <c r="F11" i="2"/>
  <c r="X15" i="2"/>
  <c r="H34" i="2"/>
  <c r="Q10" i="2"/>
  <c r="F33" i="2"/>
  <c r="F16" i="2"/>
  <c r="AR56" i="3"/>
  <c r="T32" i="2"/>
  <c r="C16" i="2"/>
  <c r="F15" i="2"/>
  <c r="E9" i="3"/>
  <c r="AR9" i="3"/>
  <c r="T45" i="3"/>
  <c r="AP46" i="3"/>
  <c r="AO45" i="3"/>
  <c r="D14" i="3"/>
  <c r="AJ115" i="1" s="1"/>
  <c r="S35" i="2"/>
  <c r="D9" i="2"/>
  <c r="V12" i="2"/>
  <c r="R54" i="2"/>
  <c r="E14" i="2"/>
  <c r="L34" i="2"/>
  <c r="U36" i="2"/>
  <c r="N18" i="2"/>
  <c r="Q21" i="2"/>
  <c r="F17" i="2"/>
  <c r="H13" i="2"/>
  <c r="U7" i="2"/>
  <c r="E31" i="2"/>
  <c r="T13" i="2"/>
  <c r="P30" i="2"/>
  <c r="M15" i="2"/>
  <c r="Q32" i="2"/>
  <c r="AR93" i="3"/>
  <c r="J16" i="2"/>
  <c r="P12" i="2"/>
  <c r="E21" i="2"/>
  <c r="D37" i="3"/>
  <c r="E18" i="3"/>
  <c r="D11" i="3"/>
  <c r="F24" i="3"/>
  <c r="F30" i="3"/>
  <c r="F38" i="3"/>
  <c r="Y16" i="4" a="1"/>
  <c r="BU12" i="4" a="1"/>
  <c r="BP7" i="4" a="1"/>
  <c r="AC16" i="4" a="1"/>
  <c r="BU8" i="4" a="1"/>
  <c r="BH6" i="4" a="1"/>
  <c r="BZ9" i="4" a="1"/>
  <c r="EB8" i="4" a="1"/>
  <c r="DS6" i="4" a="1"/>
  <c r="X7" i="2"/>
  <c r="M16" i="2"/>
  <c r="G19" i="2"/>
  <c r="D34" i="2"/>
  <c r="P15" i="2"/>
  <c r="H49" i="2"/>
  <c r="W32" i="2"/>
  <c r="N17" i="2"/>
  <c r="G30" i="2"/>
  <c r="I30" i="2"/>
  <c r="V13" i="2"/>
  <c r="W7" i="2"/>
  <c r="E34" i="2"/>
  <c r="O21" i="2"/>
  <c r="D5" i="2"/>
  <c r="F14" i="2"/>
  <c r="G18" i="2"/>
  <c r="AR41" i="3"/>
  <c r="D12" i="3"/>
  <c r="AG46" i="3"/>
  <c r="F37" i="3"/>
  <c r="Y46" i="3"/>
  <c r="F23" i="2"/>
  <c r="H8" i="2"/>
  <c r="L23" i="2"/>
  <c r="L20" i="2"/>
  <c r="L33" i="2"/>
  <c r="S17" i="2"/>
  <c r="C28" i="2"/>
  <c r="R34" i="2"/>
  <c r="I35" i="2"/>
  <c r="R14" i="2"/>
  <c r="E24" i="2"/>
  <c r="V31" i="2"/>
  <c r="R27" i="2"/>
  <c r="J11" i="2"/>
  <c r="M31" i="2"/>
  <c r="K27" i="2"/>
  <c r="V15" i="2"/>
  <c r="F20" i="3"/>
  <c r="AD13" i="3"/>
  <c r="O45" i="3"/>
  <c r="E31" i="3"/>
  <c r="AD16" i="3"/>
  <c r="CI14" i="4" a="1"/>
  <c r="AG7" i="4" a="1"/>
  <c r="AC11" i="4" a="1"/>
  <c r="CD5" i="4" a="1"/>
  <c r="AH8" i="4" a="1"/>
  <c r="K26" i="2"/>
  <c r="F75" i="2"/>
  <c r="K32" i="2"/>
  <c r="V28" i="2"/>
  <c r="O12" i="2"/>
  <c r="W31" i="2"/>
  <c r="J19" i="2"/>
  <c r="K16" i="2"/>
  <c r="E10" i="2"/>
  <c r="K59" i="2"/>
  <c r="H15" i="2"/>
  <c r="J32" i="2"/>
  <c r="T8" i="2"/>
  <c r="R11" i="2"/>
  <c r="I11" i="2"/>
  <c r="L27" i="2"/>
  <c r="F22" i="3"/>
  <c r="AR33" i="3"/>
  <c r="K46" i="3"/>
  <c r="U19" i="2"/>
  <c r="W46" i="2"/>
  <c r="V35" i="2"/>
  <c r="O19" i="2"/>
  <c r="T15" i="2"/>
  <c r="R13" i="2"/>
  <c r="T29" i="2"/>
  <c r="S139" i="1" s="1"/>
  <c r="R20" i="2"/>
  <c r="J31" i="2"/>
  <c r="E8" i="2"/>
  <c r="M36" i="2"/>
  <c r="M7" i="2"/>
  <c r="E17" i="2"/>
  <c r="X36" i="2"/>
  <c r="AR80" i="3"/>
  <c r="Q54" i="2"/>
  <c r="AR34" i="3"/>
  <c r="F25" i="3"/>
  <c r="N45" i="3"/>
  <c r="V34" i="2"/>
  <c r="U12" i="2"/>
  <c r="W21" i="2"/>
  <c r="I8" i="2"/>
  <c r="G31" i="2"/>
  <c r="T30" i="2"/>
  <c r="H6" i="2"/>
  <c r="P8" i="2"/>
  <c r="O11" i="2"/>
  <c r="V22" i="2"/>
  <c r="W15" i="2"/>
  <c r="T6" i="2"/>
  <c r="AR49" i="3"/>
  <c r="J23" i="2"/>
  <c r="N8" i="2"/>
  <c r="U9" i="2"/>
  <c r="W45" i="3"/>
  <c r="D26" i="3"/>
  <c r="AH46" i="3"/>
  <c r="F11" i="3"/>
  <c r="X19" i="2"/>
  <c r="N11" i="2"/>
  <c r="Q56" i="2"/>
  <c r="I31" i="2"/>
  <c r="U34" i="2"/>
  <c r="W12" i="2"/>
  <c r="C22" i="2"/>
  <c r="V10" i="2"/>
  <c r="I24" i="2"/>
  <c r="L21" i="2"/>
  <c r="P32" i="2"/>
  <c r="E23" i="2"/>
  <c r="T11" i="2"/>
  <c r="R26" i="2"/>
  <c r="AR95" i="3"/>
  <c r="I21" i="2"/>
  <c r="AJ46" i="3"/>
  <c r="E26" i="3"/>
  <c r="D15" i="3"/>
  <c r="AJ111" i="1" s="1"/>
  <c r="AD46" i="3"/>
  <c r="AO46" i="3"/>
  <c r="D35" i="3"/>
  <c r="AL12" i="4" a="1"/>
  <c r="J9" i="4" a="1"/>
  <c r="BO8" i="4" a="1"/>
  <c r="CN16" i="4" a="1"/>
  <c r="DM15" i="4" a="1"/>
  <c r="O28" i="2"/>
  <c r="AR79" i="3"/>
  <c r="D10" i="3"/>
  <c r="AR29" i="3"/>
  <c r="EC15" i="4" a="1"/>
  <c r="CR8" i="4" a="1"/>
  <c r="DC9" i="4" a="1"/>
  <c r="R6" i="4" a="1"/>
  <c r="BT9" i="4" a="1"/>
  <c r="DP16" i="4" a="1"/>
  <c r="AK5" i="4" a="1"/>
  <c r="DP5" i="4" a="1"/>
  <c r="BA6" i="4" a="1"/>
  <c r="Z5" i="4" a="1"/>
  <c r="BT16" i="4" a="1"/>
  <c r="EG7" i="4" a="1"/>
  <c r="BM9" i="4" a="1"/>
  <c r="AV11" i="4" a="1"/>
  <c r="DC13" i="4" a="1"/>
  <c r="DP6" i="4" a="1"/>
  <c r="EE15" i="4" a="1"/>
  <c r="DJ7" i="4" a="1"/>
  <c r="DB6" i="4" a="1"/>
  <c r="M12" i="4" a="1"/>
  <c r="BH8" i="4" a="1"/>
  <c r="CE14" i="4" a="1"/>
  <c r="CH11" i="4" a="1"/>
  <c r="H28" i="2"/>
  <c r="E5" i="3"/>
  <c r="AD12" i="3"/>
  <c r="ED16" i="4" a="1"/>
  <c r="CT11" i="4" a="1"/>
  <c r="DS12" i="4" a="1"/>
  <c r="K15" i="4" a="1"/>
  <c r="DZ16" i="4" a="1"/>
  <c r="AM5" i="4" a="1"/>
  <c r="ED9" i="4" a="1"/>
  <c r="EA8" i="4" a="1"/>
  <c r="L5" i="4" a="1"/>
  <c r="I5" i="4" a="1"/>
  <c r="CJ8" i="4" a="1"/>
  <c r="DE8" i="4" a="1"/>
  <c r="W6" i="4" a="1"/>
  <c r="E6" i="4" a="1"/>
  <c r="BA15" i="4" a="1"/>
  <c r="DS13" i="4" a="1"/>
  <c r="EC12" i="4" a="1"/>
  <c r="CT9" i="4" a="1"/>
  <c r="CW13" i="4" a="1"/>
  <c r="EF11" i="4" a="1"/>
  <c r="CA5" i="4" a="1"/>
  <c r="CG9" i="4" a="1"/>
  <c r="DH9" i="4" a="1"/>
  <c r="AC13" i="4" a="1"/>
  <c r="DN5" i="4" a="1"/>
  <c r="BA8" i="4" a="1"/>
  <c r="X31" i="2"/>
  <c r="V25" i="2"/>
  <c r="AL45" i="3"/>
  <c r="G22" i="3"/>
  <c r="BC9" i="4" a="1"/>
  <c r="BS6" i="4" a="1"/>
  <c r="AK14" i="4" a="1"/>
  <c r="AG15" i="4" a="1"/>
  <c r="CC8" i="4" a="1"/>
  <c r="DW6" i="4" a="1"/>
  <c r="CS15" i="4" a="1"/>
  <c r="AM6" i="4" a="1"/>
  <c r="BV16" i="4" a="1"/>
  <c r="Z7" i="4" a="1"/>
  <c r="DX7" i="4" a="1"/>
  <c r="AL8" i="4" a="1"/>
  <c r="N14" i="4" a="1"/>
  <c r="AS13" i="4" a="1"/>
  <c r="CN9" i="4" a="1"/>
  <c r="CD12" i="4" a="1"/>
  <c r="V11" i="4" a="1"/>
  <c r="DZ7" i="4" a="1"/>
  <c r="DK6" i="4" a="1"/>
  <c r="S28" i="2"/>
  <c r="X35" i="2"/>
  <c r="AR15" i="3"/>
  <c r="BX111" i="1" s="1"/>
  <c r="Q46" i="3"/>
  <c r="BK8" i="4" a="1"/>
  <c r="DL14" i="4" a="1"/>
  <c r="DQ16" i="4" a="1"/>
  <c r="AE6" i="4" a="1"/>
  <c r="CH7" i="4" a="1"/>
  <c r="K36" i="2"/>
  <c r="T25" i="2"/>
  <c r="D17" i="3"/>
  <c r="F23" i="3"/>
  <c r="DL9" i="4" a="1"/>
  <c r="DE11" i="4" a="1"/>
  <c r="BG5" i="4" a="1"/>
  <c r="BE12" i="4" a="1"/>
  <c r="AE7" i="4" a="1"/>
  <c r="DQ9" i="4" a="1"/>
  <c r="BI7" i="4" a="1"/>
  <c r="D15" i="4" a="1"/>
  <c r="K16" i="4" a="1"/>
  <c r="CL16" i="4" a="1"/>
  <c r="CT5" i="4" a="1"/>
  <c r="DT6" i="4" a="1"/>
  <c r="BQ15" i="4" a="1"/>
  <c r="DC14" i="4" a="1"/>
  <c r="O8" i="4" a="1"/>
  <c r="EK12" i="4" a="1"/>
  <c r="J36" i="2"/>
  <c r="C15" i="2"/>
  <c r="U45" i="3"/>
  <c r="AB46" i="3"/>
  <c r="AK11" i="4" a="1"/>
  <c r="K43" i="2"/>
  <c r="G13" i="2"/>
  <c r="E38" i="3"/>
  <c r="AD11" i="3"/>
  <c r="DH14" i="4" a="1"/>
  <c r="BQ7" i="4" a="1"/>
  <c r="BN11" i="4" a="1"/>
  <c r="BS7" i="4" a="1"/>
  <c r="BE8" i="4" a="1"/>
  <c r="BH14" i="4" a="1"/>
  <c r="DP12" i="4" a="1"/>
  <c r="DE16" i="4" a="1"/>
  <c r="CK11" i="4" a="1"/>
  <c r="BG7" i="4" a="1"/>
  <c r="BV9" i="4" a="1"/>
  <c r="AK15" i="4" a="1"/>
  <c r="AP7" i="4" a="1"/>
  <c r="G7" i="4" a="1"/>
  <c r="BM5" i="4" a="1"/>
  <c r="AP13" i="4" a="1"/>
  <c r="S12" i="4" a="1"/>
  <c r="DI5" i="4" a="1"/>
  <c r="BG6" i="4" a="1"/>
  <c r="CC5" i="4" a="1"/>
  <c r="EF9" i="4" a="1"/>
  <c r="BN13" i="4" a="1"/>
  <c r="CW16" i="4" a="1"/>
  <c r="EF16" i="4" a="1"/>
  <c r="AG5" i="4" a="1"/>
  <c r="EI7" i="4" a="1"/>
  <c r="AJ11" i="4" a="1"/>
  <c r="CJ15" i="4" a="1"/>
  <c r="AR90" i="3"/>
  <c r="AR13" i="3"/>
  <c r="Z46" i="3"/>
  <c r="X13" i="4" a="1"/>
  <c r="AI16" i="4" a="1"/>
  <c r="DY11" i="4" a="1"/>
  <c r="CQ13" i="4" a="1"/>
  <c r="V14" i="4" a="1"/>
  <c r="J7" i="4" a="1"/>
  <c r="EA13" i="4" a="1"/>
  <c r="ED6" i="4" a="1"/>
  <c r="DO6" i="4" a="1"/>
  <c r="X9" i="4" a="1"/>
  <c r="BW16" i="4" a="1"/>
  <c r="AJ5" i="4" a="1"/>
  <c r="BI15" i="4" a="1"/>
  <c r="CA11" i="4" a="1"/>
  <c r="BR11" i="4" a="1"/>
  <c r="AB16" i="4" a="1"/>
  <c r="CM14" i="4" a="1"/>
  <c r="CU5" i="4" a="1"/>
  <c r="DM8" i="4" a="1"/>
  <c r="X11" i="4" a="1"/>
  <c r="CX12" i="4" a="1"/>
  <c r="AQ8" i="4" a="1"/>
  <c r="CK9" i="4" a="1"/>
  <c r="Z13" i="4" a="1"/>
  <c r="DM9" i="4" a="1"/>
  <c r="EH11" i="4" a="1"/>
  <c r="R15" i="4" a="1"/>
  <c r="CE12" i="4" a="1"/>
  <c r="BO6" i="4" a="1"/>
  <c r="C36" i="2"/>
  <c r="AF48" i="3"/>
  <c r="E13" i="3"/>
  <c r="F28" i="3"/>
  <c r="BJ12" i="4" a="1"/>
  <c r="C15" i="4" a="1"/>
  <c r="DE14" i="4" a="1"/>
  <c r="DU8" i="4" a="1"/>
  <c r="AG9" i="4" a="1"/>
  <c r="O6" i="4" a="1"/>
  <c r="CE5" i="4" a="1"/>
  <c r="CT7" i="4" a="1"/>
  <c r="U5" i="4" a="1"/>
  <c r="AD16" i="4" a="1"/>
  <c r="T6" i="4" a="1"/>
  <c r="AU5" i="4" a="1"/>
  <c r="CI8" i="4" a="1"/>
  <c r="BO15" i="4" a="1"/>
  <c r="CQ5" i="4" a="1"/>
  <c r="EC14" i="4" a="1"/>
  <c r="CO5" i="4" a="1"/>
  <c r="CQ7" i="4" a="1"/>
  <c r="DA9" i="4" a="1"/>
  <c r="S9" i="4" a="1"/>
  <c r="R9" i="4" a="1"/>
  <c r="M8" i="4" a="1"/>
  <c r="BX7" i="4" a="1"/>
  <c r="DE6" i="4" a="1"/>
  <c r="T7" i="2"/>
  <c r="AR84" i="3"/>
  <c r="E21" i="3"/>
  <c r="F21" i="3"/>
  <c r="CK15" i="4" a="1"/>
  <c r="D8" i="4" a="1"/>
  <c r="CQ14" i="4" a="1"/>
  <c r="J5" i="4" a="1"/>
  <c r="CZ15" i="4" a="1"/>
  <c r="AD5" i="4" a="1"/>
  <c r="AP16" i="4" a="1"/>
  <c r="DA8" i="4" a="1"/>
  <c r="EJ12" i="4" a="1"/>
  <c r="T31" i="2"/>
  <c r="F32" i="3"/>
  <c r="AD5" i="3"/>
  <c r="R16" i="4" a="1"/>
  <c r="CF7" i="4" a="1"/>
  <c r="AI7" i="4" a="1"/>
  <c r="EG5" i="4" a="1"/>
  <c r="CS8" i="4" a="1"/>
  <c r="BY5" i="4" a="1"/>
  <c r="EC11" i="4" a="1"/>
  <c r="E29" i="2"/>
  <c r="D139" i="1" s="1"/>
  <c r="AV16" i="4" a="1"/>
  <c r="CP8" i="4" a="1"/>
  <c r="O11" i="4" a="1"/>
  <c r="DF14" i="4" a="1"/>
  <c r="CE11" i="4" a="1"/>
  <c r="CY9" i="4" a="1"/>
  <c r="X16" i="4" a="1"/>
  <c r="DN7" i="4" a="1"/>
  <c r="S14" i="4" a="1"/>
  <c r="CV16" i="4" a="1"/>
  <c r="BD8" i="4" a="1"/>
  <c r="BI11" i="4" a="1"/>
  <c r="AG6" i="4" a="1"/>
  <c r="EH12" i="4" a="1"/>
  <c r="CS11" i="4" a="1"/>
  <c r="BL5" i="4" a="1"/>
  <c r="DY15" i="4" a="1"/>
  <c r="BQ5" i="4" a="1"/>
  <c r="DN15" i="4" a="1"/>
  <c r="CG5" i="4" a="1"/>
  <c r="DI11" i="4" a="1"/>
  <c r="EI8" i="4" a="1"/>
  <c r="BS8" i="4" a="1"/>
  <c r="M7" i="4" a="1"/>
  <c r="BK11" i="4" a="1"/>
  <c r="AJ9" i="4" a="1"/>
  <c r="D12" i="4" a="1"/>
  <c r="C13" i="4" a="1"/>
  <c r="BQ16" i="4" a="1"/>
  <c r="CV15" i="4" a="1"/>
  <c r="H16" i="4" a="1"/>
  <c r="AB7" i="4" a="1"/>
  <c r="AC8" i="4" a="1"/>
  <c r="BF6" i="4" a="1"/>
  <c r="EK13" i="4" a="1"/>
  <c r="CI16" i="4" a="1"/>
  <c r="DN16" i="4" a="1"/>
  <c r="DK15" i="4" a="1"/>
  <c r="DE5" i="4" a="1"/>
  <c r="CX9" i="4" a="1"/>
  <c r="DT15" i="4" a="1"/>
  <c r="U16" i="4" a="1"/>
  <c r="P8" i="4" a="1"/>
  <c r="BJ6" i="4" a="1"/>
  <c r="AS5" i="4" a="1"/>
  <c r="AU15" i="4" a="1"/>
  <c r="AS11" i="4" a="1"/>
  <c r="BD16" i="4" a="1"/>
  <c r="Y14" i="4" a="1"/>
  <c r="DQ12" i="4" a="1"/>
  <c r="DW11" i="4" a="1"/>
  <c r="BP6" i="4" a="1"/>
  <c r="N16" i="4" a="1"/>
  <c r="CO12" i="4" a="1"/>
  <c r="DO8" i="4" a="1"/>
  <c r="T34" i="2"/>
  <c r="H12" i="2"/>
  <c r="G20" i="2"/>
  <c r="O27" i="2"/>
  <c r="T33" i="2"/>
  <c r="S34" i="2"/>
  <c r="P17" i="2"/>
  <c r="X5" i="2"/>
  <c r="K30" i="2"/>
  <c r="O29" i="2"/>
  <c r="W28" i="2"/>
  <c r="X17" i="2"/>
  <c r="AR62" i="3"/>
  <c r="V30" i="2"/>
  <c r="AR67" i="3"/>
  <c r="P10" i="2"/>
  <c r="F10" i="3"/>
  <c r="G26" i="3"/>
  <c r="AR30" i="3"/>
  <c r="H46" i="3"/>
  <c r="G19" i="3"/>
  <c r="L45" i="3"/>
  <c r="O13" i="2"/>
  <c r="O9" i="2"/>
  <c r="Q35" i="2"/>
  <c r="X66" i="2"/>
  <c r="K21" i="2"/>
  <c r="C27" i="2"/>
  <c r="F5" i="2"/>
  <c r="D23" i="2"/>
  <c r="M35" i="2"/>
  <c r="S31" i="2"/>
  <c r="D27" i="2"/>
  <c r="S21" i="2"/>
  <c r="AR70" i="3"/>
  <c r="W74" i="2"/>
  <c r="AR58" i="3"/>
  <c r="G7" i="2"/>
  <c r="K28" i="2"/>
  <c r="L35" i="2"/>
  <c r="L16" i="2"/>
  <c r="S36" i="2"/>
  <c r="N28" i="2"/>
  <c r="W18" i="2"/>
  <c r="S30" i="2"/>
  <c r="X25" i="2"/>
  <c r="P24" i="2"/>
  <c r="N5" i="2"/>
  <c r="X14" i="2"/>
  <c r="P9" i="2"/>
  <c r="L10" i="2"/>
  <c r="V33" i="2"/>
  <c r="C9" i="2"/>
  <c r="J6" i="2"/>
  <c r="M5" i="2"/>
  <c r="T27" i="2"/>
  <c r="M29" i="2"/>
  <c r="L139" i="1" s="1"/>
  <c r="H21" i="2"/>
  <c r="M10" i="2"/>
  <c r="AR88" i="3"/>
  <c r="J14" i="2"/>
  <c r="AR65" i="3"/>
  <c r="J30" i="2"/>
  <c r="F17" i="3"/>
  <c r="D34" i="3"/>
  <c r="AR17" i="3"/>
  <c r="D45" i="3"/>
  <c r="AR26" i="3"/>
  <c r="AK45" i="3"/>
  <c r="K5" i="2"/>
  <c r="O16" i="2"/>
  <c r="V26" i="2"/>
  <c r="C17" i="2"/>
  <c r="V29" i="2"/>
  <c r="U139" i="1" s="1"/>
  <c r="Q19" i="2"/>
  <c r="U14" i="2"/>
  <c r="G29" i="2"/>
  <c r="J21" i="2"/>
  <c r="S13" i="2"/>
  <c r="Q55" i="2"/>
  <c r="Q9" i="2"/>
  <c r="N10" i="2"/>
  <c r="U20" i="2"/>
  <c r="L36" i="2"/>
  <c r="E15" i="2"/>
  <c r="T10" i="2"/>
  <c r="P18" i="2"/>
  <c r="K19" i="2"/>
  <c r="C11" i="2"/>
  <c r="AR81" i="3"/>
  <c r="AI46" i="3"/>
  <c r="D40" i="3"/>
  <c r="AD14" i="3"/>
  <c r="BJ115" i="1" s="1"/>
  <c r="F27" i="3"/>
  <c r="D25" i="3"/>
  <c r="F11" i="4" a="1"/>
  <c r="F12" i="4" a="1"/>
  <c r="BX8" i="4" a="1"/>
  <c r="BV13" i="4" a="1"/>
  <c r="CT8" i="4" a="1"/>
  <c r="BT13" i="4" a="1"/>
  <c r="DE15" i="4" a="1"/>
  <c r="DD13" i="4" a="1"/>
  <c r="BS12" i="4" a="1"/>
  <c r="CF6" i="4" a="1"/>
  <c r="E33" i="2"/>
  <c r="U21" i="2"/>
  <c r="N24" i="2"/>
  <c r="W13" i="2"/>
  <c r="U35" i="2"/>
  <c r="F31" i="2"/>
  <c r="W20" i="2"/>
  <c r="S22" i="2"/>
  <c r="M26" i="2"/>
  <c r="L26" i="2"/>
  <c r="F36" i="2"/>
  <c r="I7" i="2"/>
  <c r="L5" i="2"/>
  <c r="E18" i="2"/>
  <c r="AR87" i="3"/>
  <c r="N22" i="2"/>
  <c r="AM46" i="3"/>
  <c r="D16" i="3"/>
  <c r="AR11" i="3"/>
  <c r="D9" i="3"/>
  <c r="AO6" i="3"/>
  <c r="G8" i="3"/>
  <c r="H9" i="2"/>
  <c r="U29" i="2"/>
  <c r="T139" i="1" s="1"/>
  <c r="X11" i="2"/>
  <c r="U30" i="2"/>
  <c r="P22" i="2"/>
  <c r="W35" i="2"/>
  <c r="L19" i="2"/>
  <c r="S19" i="2"/>
  <c r="I17" i="2"/>
  <c r="L31" i="2"/>
  <c r="O34" i="2"/>
  <c r="E12" i="2"/>
  <c r="V11" i="2"/>
  <c r="U33" i="2"/>
  <c r="AR75" i="3"/>
  <c r="D14" i="2"/>
  <c r="AG45" i="3"/>
  <c r="E41" i="3"/>
  <c r="R46" i="3"/>
  <c r="Z45" i="3"/>
  <c r="AJ45" i="3"/>
  <c r="U46" i="3"/>
  <c r="AF7" i="4" a="1"/>
  <c r="AO12" i="4" a="1"/>
  <c r="AK8" i="4" a="1"/>
  <c r="CF9" i="4" a="1"/>
  <c r="M14" i="2"/>
  <c r="G23" i="2"/>
  <c r="L17" i="2"/>
  <c r="D8" i="2"/>
  <c r="D20" i="2"/>
  <c r="I20" i="2"/>
  <c r="R21" i="2"/>
  <c r="C59" i="2"/>
  <c r="V36" i="2"/>
  <c r="L18" i="2"/>
  <c r="P35" i="2"/>
  <c r="J20" i="2"/>
  <c r="R17" i="2"/>
  <c r="F26" i="2"/>
  <c r="M30" i="2"/>
  <c r="I34" i="2"/>
  <c r="O14" i="2"/>
  <c r="AR12" i="3"/>
  <c r="D29" i="3"/>
  <c r="E35" i="3"/>
  <c r="Q18" i="2"/>
  <c r="O6" i="2"/>
  <c r="N36" i="2"/>
  <c r="W5" i="2"/>
  <c r="O25" i="2"/>
  <c r="N33" i="2"/>
  <c r="H23" i="2"/>
  <c r="V5" i="2"/>
  <c r="P13" i="2"/>
  <c r="G28" i="2"/>
  <c r="D31" i="2"/>
  <c r="T20" i="2"/>
  <c r="AS49" i="3"/>
  <c r="Q57" i="2"/>
  <c r="V8" i="2"/>
  <c r="D25" i="2"/>
  <c r="X46" i="3"/>
  <c r="AC46" i="3"/>
  <c r="G14" i="3"/>
  <c r="AM115" i="1" s="1"/>
  <c r="O8" i="2"/>
  <c r="G16" i="2"/>
  <c r="L12" i="2"/>
  <c r="X8" i="2"/>
  <c r="K23" i="2"/>
  <c r="J25" i="2"/>
  <c r="S20" i="2"/>
  <c r="P6" i="2"/>
  <c r="X27" i="2"/>
  <c r="T14" i="2"/>
  <c r="C18" i="2"/>
  <c r="J17" i="2"/>
  <c r="J5" i="2"/>
  <c r="C23" i="2"/>
  <c r="P21" i="2"/>
  <c r="J34" i="2"/>
  <c r="G11" i="3"/>
  <c r="AD18" i="3"/>
  <c r="C46" i="3"/>
  <c r="G10" i="3"/>
  <c r="T5" i="2"/>
  <c r="N9" i="2"/>
  <c r="K33" i="2"/>
  <c r="T12" i="2"/>
  <c r="P23" i="2"/>
  <c r="D28" i="2"/>
  <c r="O22" i="2"/>
  <c r="D10" i="2"/>
  <c r="G24" i="2"/>
  <c r="D33" i="2"/>
  <c r="Q20" i="2"/>
  <c r="C14" i="2"/>
  <c r="AR55" i="3"/>
  <c r="C26" i="2"/>
  <c r="X26" i="2"/>
  <c r="C30" i="2"/>
  <c r="H45" i="3"/>
  <c r="E20" i="3"/>
  <c r="AR32" i="3"/>
  <c r="P45" i="3"/>
  <c r="E29" i="3"/>
  <c r="F26" i="3"/>
  <c r="DZ14" i="4" a="1"/>
  <c r="CM16" i="4" a="1"/>
  <c r="L9" i="4" a="1"/>
  <c r="T7" i="4" a="1"/>
  <c r="R14" i="4" a="1"/>
  <c r="Q23" i="2"/>
  <c r="U32" i="2"/>
  <c r="G6" i="3"/>
  <c r="J45" i="3"/>
  <c r="AK9" i="4" a="1"/>
  <c r="BU7" i="4" a="1"/>
  <c r="S15" i="4" a="1"/>
  <c r="AC14" i="4" a="1"/>
  <c r="DG11" i="4" a="1"/>
  <c r="BF12" i="4" a="1"/>
  <c r="AH15" i="4" a="1"/>
  <c r="CA12" i="4" a="1"/>
  <c r="BM14" i="4" a="1"/>
  <c r="AT8" i="4" a="1"/>
  <c r="F15" i="4" a="1"/>
  <c r="AS15" i="4" a="1"/>
  <c r="BC16" i="4" a="1"/>
  <c r="BC13" i="4" a="1"/>
  <c r="DX11" i="4" a="1"/>
  <c r="DZ13" i="4" a="1"/>
  <c r="DJ9" i="4" a="1"/>
  <c r="CC6" i="4" a="1"/>
  <c r="DK9" i="4" a="1"/>
  <c r="S7" i="4" a="1"/>
  <c r="AG13" i="4" a="1"/>
  <c r="EK9" i="4" a="1"/>
  <c r="D17" i="2"/>
  <c r="U24" i="2"/>
  <c r="X45" i="3"/>
  <c r="E30" i="3"/>
  <c r="DA11" i="4" a="1"/>
  <c r="D14" i="4" a="1"/>
  <c r="EC7" i="4" a="1"/>
  <c r="AQ12" i="4" a="1"/>
  <c r="R11" i="4" a="1"/>
  <c r="DX6" i="4" a="1"/>
  <c r="DF13" i="4" a="1"/>
  <c r="DI13" i="4" a="1"/>
  <c r="BO13" i="4" a="1"/>
  <c r="CH6" i="4" a="1"/>
  <c r="BM16" i="4" a="1"/>
  <c r="DK14" i="4" a="1"/>
  <c r="AN9" i="4" a="1"/>
  <c r="DM11" i="4" a="1"/>
  <c r="CD16" i="4" a="1"/>
  <c r="CT13" i="4" a="1"/>
  <c r="BM6" i="4" a="1"/>
  <c r="CN13" i="4" a="1"/>
  <c r="AS14" i="4" a="1"/>
  <c r="C11" i="4" a="1"/>
  <c r="AW15" i="4" a="1"/>
  <c r="AO13" i="4" a="1"/>
  <c r="DR15" i="4" a="1"/>
  <c r="AL9" i="4" a="1"/>
  <c r="O5" i="4" a="1"/>
  <c r="DS7" i="4" a="1"/>
  <c r="L25" i="2"/>
  <c r="F8" i="3"/>
  <c r="G23" i="3"/>
  <c r="DV16" i="4" a="1"/>
  <c r="BR12" i="4" a="1"/>
  <c r="AJ14" i="4" a="1"/>
  <c r="BZ5" i="4" a="1"/>
  <c r="V12" i="4" a="1"/>
  <c r="AY7" i="4" a="1"/>
  <c r="DP11" i="4" a="1"/>
  <c r="CQ8" i="4" a="1"/>
  <c r="W8" i="4" a="1"/>
  <c r="DT9" i="4" a="1"/>
  <c r="I16" i="4" a="1"/>
  <c r="AO14" i="4" a="1"/>
  <c r="AJ16" i="4" a="1"/>
  <c r="DF6" i="4" a="1"/>
  <c r="CA6" i="4" a="1"/>
  <c r="BO9" i="4" a="1"/>
  <c r="L13" i="4" a="1"/>
  <c r="CO14" i="4" a="1"/>
  <c r="CD14" i="4" a="1"/>
  <c r="DS16" i="4" a="1"/>
  <c r="C25" i="2"/>
  <c r="AR82" i="3"/>
  <c r="D8" i="3"/>
  <c r="D28" i="3"/>
  <c r="AM11" i="4" a="1"/>
  <c r="BZ15" i="4" a="1"/>
  <c r="DI14" i="4" a="1"/>
  <c r="M5" i="4" a="1"/>
  <c r="CA8" i="4" a="1"/>
  <c r="K24" i="2"/>
  <c r="G12" i="2"/>
  <c r="AD8" i="3"/>
  <c r="AD6" i="3"/>
  <c r="BM8" i="4" a="1"/>
  <c r="AG12" i="4" a="1"/>
  <c r="BB13" i="4" a="1"/>
  <c r="X7" i="4" a="1"/>
  <c r="AQ15" i="4" a="1"/>
  <c r="F16" i="4" a="1"/>
  <c r="DF11" i="4" a="1"/>
  <c r="BV15" i="4" a="1"/>
  <c r="BJ5" i="4" a="1"/>
  <c r="CB5" i="4" a="1"/>
  <c r="AA9" i="4" a="1"/>
  <c r="EA16" i="4" a="1"/>
  <c r="AG11" i="4" a="1"/>
  <c r="CE7" i="4" a="1"/>
  <c r="AJ7" i="4" a="1"/>
  <c r="AQ16" i="4" a="1"/>
  <c r="X92" i="2"/>
  <c r="AR96" i="3"/>
  <c r="AR45" i="3"/>
  <c r="F41" i="3"/>
  <c r="CZ16" i="4" a="1"/>
  <c r="AR64" i="3"/>
  <c r="D36" i="3"/>
  <c r="D38" i="3"/>
  <c r="AZ14" i="4" a="1"/>
  <c r="AN7" i="4" a="1"/>
  <c r="D6" i="4" a="1"/>
  <c r="CA15" i="4" a="1"/>
  <c r="CO9" i="4" a="1"/>
  <c r="AC12" i="4" a="1"/>
  <c r="EK8" i="4" a="1"/>
  <c r="AR12" i="4" a="1"/>
  <c r="AE12" i="4" a="1"/>
  <c r="BM13" i="4" a="1"/>
  <c r="M6" i="4" a="1"/>
  <c r="CK5" i="4" a="1"/>
  <c r="J14" i="4" a="1"/>
  <c r="DX5" i="4" a="1"/>
  <c r="Y11" i="4" a="1"/>
  <c r="CF8" i="4" a="1"/>
  <c r="N11" i="4" a="1"/>
  <c r="AY16" i="4" a="1"/>
  <c r="AA7" i="4" a="1"/>
  <c r="P12" i="4" a="1"/>
  <c r="DV8" i="4" a="1"/>
  <c r="BX14" i="4" a="1"/>
  <c r="G13" i="4" a="1"/>
  <c r="AX7" i="4" a="1"/>
  <c r="BS5" i="4" a="1"/>
  <c r="P15" i="4" a="1"/>
  <c r="BY6" i="4" a="1"/>
  <c r="DZ5" i="4" a="1"/>
  <c r="N16" i="2"/>
  <c r="Q34" i="2"/>
  <c r="E6" i="3"/>
  <c r="G30" i="3"/>
  <c r="CY6" i="4" a="1"/>
  <c r="DV5" i="4" a="1"/>
  <c r="DP9" i="4" a="1"/>
  <c r="ED14" i="4" a="1"/>
  <c r="AC15" i="4" a="1"/>
  <c r="AX6" i="4" a="1"/>
  <c r="DN12" i="4" a="1"/>
  <c r="CH8" i="4" a="1"/>
  <c r="BQ8" i="4" a="1"/>
  <c r="AC6" i="4" a="1"/>
  <c r="AT15" i="4" a="1"/>
  <c r="AW5" i="4" a="1"/>
  <c r="AX13" i="4" a="1"/>
  <c r="DV6" i="4" a="1"/>
  <c r="I15" i="4" a="1"/>
  <c r="Y7" i="4" a="1"/>
  <c r="AV12" i="4" a="1"/>
  <c r="DU16" i="4" a="1"/>
  <c r="EH9" i="4" a="1"/>
  <c r="EJ6" i="4" a="1"/>
  <c r="Y9" i="4" a="1"/>
  <c r="DZ8" i="4" a="1"/>
  <c r="CA7" i="4" a="1"/>
  <c r="AE14" i="4" a="1"/>
  <c r="DD7" i="4" a="1"/>
  <c r="BA12" i="4" a="1"/>
  <c r="AF15" i="4" a="1"/>
  <c r="AF6" i="4" a="1"/>
  <c r="AC7" i="4" a="1"/>
  <c r="AR76" i="3"/>
  <c r="AR24" i="3"/>
  <c r="AR14" i="3"/>
  <c r="EJ14" i="4" a="1"/>
  <c r="DL6" i="4" a="1"/>
  <c r="AX16" i="4" a="1"/>
  <c r="DO16" i="4" a="1"/>
  <c r="BP14" i="4" a="1"/>
  <c r="G8" i="4" a="1"/>
  <c r="BW8" i="4" a="1"/>
  <c r="F40" i="3"/>
  <c r="BL12" i="4" a="1"/>
  <c r="CE6" i="4" a="1"/>
  <c r="AR8" i="3"/>
  <c r="AR11" i="4" a="1"/>
  <c r="E45" i="3"/>
  <c r="BP15" i="4" a="1"/>
  <c r="CJ7" i="4" a="1"/>
  <c r="K11" i="4" a="1"/>
  <c r="EJ15" i="4" a="1"/>
  <c r="W7" i="4" a="1"/>
  <c r="O7" i="4" a="1"/>
  <c r="AC9" i="4" a="1"/>
  <c r="EE9" i="4" a="1"/>
  <c r="M16" i="4" a="1"/>
  <c r="AP8" i="4" a="1"/>
  <c r="AN13" i="4" a="1"/>
  <c r="I8" i="4" a="1"/>
  <c r="EC13" i="4" a="1"/>
  <c r="BB7" i="4" a="1"/>
  <c r="CL14" i="4" a="1"/>
  <c r="T11" i="4" a="1"/>
  <c r="J15" i="4" a="1"/>
  <c r="R12" i="4" a="1"/>
  <c r="CO8" i="4" a="1"/>
  <c r="BE14" i="4" a="1"/>
  <c r="AS16" i="4" a="1"/>
  <c r="AM15" i="4" a="1"/>
  <c r="CT16" i="4" a="1"/>
  <c r="DV14" i="4" a="1"/>
  <c r="CB9" i="4" a="1"/>
  <c r="CJ13" i="4" a="1"/>
  <c r="D30" i="2"/>
  <c r="C8" i="4" a="1"/>
  <c r="AW14" i="4" a="1"/>
  <c r="AA13" i="4" a="1"/>
  <c r="CL6" i="4" a="1"/>
  <c r="CO15" i="4" a="1"/>
  <c r="AB14" i="4" a="1"/>
  <c r="BY9" i="4" a="1"/>
  <c r="AW11" i="4" a="1"/>
  <c r="DR13" i="4" a="1"/>
  <c r="W14" i="4" a="1"/>
  <c r="P16" i="4" a="1"/>
  <c r="C12" i="4" a="1"/>
  <c r="AE16" i="4" a="1"/>
  <c r="DZ6" i="4" a="1"/>
  <c r="DP8" i="4" a="1"/>
  <c r="CQ11" i="4" a="1"/>
  <c r="U8" i="4" a="1"/>
  <c r="CO7" i="4" a="1"/>
  <c r="AY13" i="4" a="1"/>
  <c r="AW8" i="4" a="1"/>
  <c r="AG8" i="4" a="1"/>
  <c r="O16" i="4" a="1"/>
  <c r="BU16" i="4" a="1"/>
  <c r="DJ15" i="4" a="1"/>
  <c r="CQ16" i="4" a="1"/>
  <c r="DO7" i="4" a="1"/>
  <c r="CJ5" i="4" a="1"/>
  <c r="AV6" i="4" a="1"/>
  <c r="AU6" i="4" a="1"/>
  <c r="K5" i="4" a="1"/>
  <c r="AI12" i="4" a="1"/>
  <c r="AU8" i="4" a="1"/>
  <c r="DL13" i="4" a="1"/>
  <c r="DP7" i="4" a="1"/>
  <c r="DW14" i="4" a="1"/>
  <c r="AB6" i="4" a="1"/>
  <c r="CI11" i="4" a="1"/>
  <c r="EK14" i="4" a="1"/>
  <c r="DI15" i="4" a="1"/>
  <c r="CW12" i="4" a="1"/>
  <c r="EG13" i="4" a="1"/>
  <c r="AH14" i="4" a="1"/>
  <c r="AP6" i="4" a="1"/>
  <c r="AQ11" i="4" a="1"/>
  <c r="AY12" i="4" a="1"/>
  <c r="M11" i="4" a="1"/>
  <c r="EI15" i="4" a="1"/>
  <c r="CT14" i="4" a="1"/>
  <c r="F8" i="4" a="1"/>
  <c r="AR8" i="4" a="1"/>
  <c r="DN6" i="4" a="1"/>
  <c r="DG9" i="4" a="1"/>
  <c r="CQ12" i="4" a="1"/>
  <c r="EE8" i="4" a="1"/>
  <c r="AR15" i="4" a="1"/>
  <c r="BR8" i="4" a="1"/>
  <c r="DJ13" i="4" a="1"/>
  <c r="Y15" i="4" a="1"/>
  <c r="J6" i="4" a="1"/>
  <c r="BS9" i="4" a="1"/>
  <c r="CG15" i="4" a="1"/>
  <c r="DS14" i="4" a="1"/>
  <c r="EI11" i="4" a="1"/>
  <c r="CK12" i="4" a="1"/>
  <c r="CX5" i="4" a="1"/>
  <c r="S13" i="4" a="1"/>
  <c r="BZ11" i="4" a="1"/>
  <c r="AY15" i="4" a="1"/>
  <c r="E22" i="3"/>
  <c r="AK6" i="4" a="1"/>
  <c r="CS7" i="4" a="1"/>
  <c r="U11" i="4" a="1"/>
  <c r="EE6" i="4" a="1"/>
  <c r="BN6" i="4" a="1"/>
  <c r="F6" i="4" a="1"/>
  <c r="EF8" i="4" a="1"/>
  <c r="CP5" i="4" a="1"/>
  <c r="H11" i="4" a="1"/>
  <c r="AO6" i="4" a="1"/>
  <c r="DH11" i="4" a="1"/>
  <c r="AX5" i="4" a="1"/>
  <c r="CS5" i="4" a="1"/>
  <c r="CR16" i="4" a="1"/>
  <c r="BY16" i="4" a="1"/>
  <c r="CV8" i="4" a="1"/>
  <c r="BV12" i="4" a="1"/>
  <c r="I9" i="4" a="1"/>
  <c r="EG12" i="4" a="1"/>
  <c r="G12" i="4" a="1"/>
  <c r="DO9" i="4" a="1"/>
  <c r="P11" i="4" a="1"/>
  <c r="CU15" i="4" a="1"/>
  <c r="EB5" i="4" a="1"/>
  <c r="U15" i="4" a="1"/>
  <c r="BE16" i="4" a="1"/>
  <c r="CW14" i="4" a="1"/>
  <c r="CR9" i="4" a="1"/>
  <c r="BY14" i="4" a="1"/>
  <c r="CE13" i="4" a="1"/>
  <c r="EK16" i="4" a="1"/>
  <c r="K6" i="4" a="1"/>
  <c r="DL12" i="4" a="1"/>
  <c r="BN15" i="4" a="1"/>
  <c r="CW6" i="4" a="1"/>
  <c r="BN5" i="4" a="1"/>
  <c r="BQ12" i="4" a="1"/>
  <c r="BW14" i="4" a="1"/>
  <c r="BU15" i="4" a="1"/>
  <c r="Q9" i="4" a="1"/>
  <c r="F79" i="3"/>
  <c r="AD72" i="3"/>
  <c r="AD73" i="3"/>
  <c r="E71" i="3"/>
  <c r="AD92" i="3"/>
  <c r="D60" i="3"/>
  <c r="F75" i="3"/>
  <c r="E93" i="3"/>
  <c r="AD78" i="3"/>
  <c r="F94" i="3"/>
  <c r="F72" i="3"/>
  <c r="AD69" i="3"/>
  <c r="E95" i="3"/>
  <c r="D80" i="3"/>
  <c r="E92" i="3"/>
  <c r="F90" i="3"/>
  <c r="D79" i="3"/>
  <c r="D55" i="3"/>
  <c r="AD65" i="3"/>
  <c r="F77" i="3"/>
  <c r="D87" i="3"/>
  <c r="AD81" i="3"/>
  <c r="E61" i="3"/>
  <c r="D77" i="3"/>
  <c r="E59" i="3"/>
  <c r="AI14" i="4" a="1"/>
  <c r="X15" i="4" a="1"/>
  <c r="H6" i="4" a="1"/>
  <c r="CY8" i="4" a="1"/>
  <c r="G9" i="4" a="1"/>
  <c r="F14" i="4" a="1"/>
  <c r="L22" i="2"/>
  <c r="J8" i="4" a="1"/>
  <c r="CU6" i="4" a="1"/>
  <c r="CC13" i="4" a="1"/>
  <c r="DO14" i="4" a="1"/>
  <c r="DC7" i="4" a="1"/>
  <c r="BD5" i="4" a="1"/>
  <c r="W15" i="4" a="1"/>
  <c r="BA11" i="4" a="1"/>
  <c r="EH14" i="4" a="1"/>
  <c r="BC11" i="4" a="1"/>
  <c r="AH11" i="4" a="1"/>
  <c r="BA7" i="4" a="1"/>
  <c r="ED7" i="4" a="1"/>
  <c r="EB14" i="4" a="1"/>
  <c r="DI6" i="4" a="1"/>
  <c r="E6" i="2"/>
  <c r="AL13" i="4" a="1"/>
  <c r="AP14" i="4" a="1"/>
  <c r="CH5" i="4" a="1"/>
  <c r="AM13" i="4" a="1"/>
  <c r="EE5" i="4" a="1"/>
  <c r="AR9" i="4" a="1"/>
  <c r="T5" i="4" a="1"/>
  <c r="CP16" i="4" a="1"/>
  <c r="DE7" i="4" a="1"/>
  <c r="AL16" i="4" a="1"/>
  <c r="BR9" i="4" a="1"/>
  <c r="AQ7" i="4" a="1"/>
  <c r="CG13" i="4" a="1"/>
  <c r="AR92" i="3"/>
  <c r="CM7" i="4" a="1"/>
  <c r="AT6" i="4" a="1"/>
  <c r="BN7" i="4" a="1"/>
  <c r="AH5" i="4" a="1"/>
  <c r="AU16" i="4" a="1"/>
  <c r="G11" i="4" a="1"/>
  <c r="CQ15" i="4" a="1"/>
  <c r="DC16" i="4" a="1"/>
  <c r="CO16" i="4" a="1"/>
  <c r="CJ6" i="4" a="1"/>
  <c r="BL15" i="4" a="1"/>
  <c r="E11" i="4" a="1"/>
  <c r="DF8" i="4" a="1"/>
  <c r="DU14" i="4" a="1"/>
  <c r="V27" i="2"/>
  <c r="CU8" i="4" a="1"/>
  <c r="AY11" i="4" a="1"/>
  <c r="I7" i="4" a="1"/>
  <c r="EH7" i="4" a="1"/>
  <c r="AL7" i="4" a="1"/>
  <c r="AH7" i="4" a="1"/>
  <c r="CR12" i="4" a="1"/>
  <c r="CU16" i="4" a="1"/>
  <c r="O14" i="4" a="1"/>
  <c r="CY11" i="4" a="1"/>
  <c r="EB13" i="4" a="1"/>
  <c r="AS7" i="4" a="1"/>
  <c r="DL8" i="4" a="1"/>
  <c r="DM7" i="4" a="1"/>
  <c r="EJ13" i="4" a="1"/>
  <c r="AU9" i="4" a="1"/>
  <c r="AO8" i="4" a="1"/>
  <c r="DJ12" i="4" a="1"/>
  <c r="AJ6" i="4" a="1"/>
  <c r="AQ6" i="3"/>
  <c r="X6" i="4" a="1"/>
  <c r="BE5" i="4" a="1"/>
  <c r="F9" i="4" a="1"/>
  <c r="EA6" i="4" a="1"/>
  <c r="CM11" i="4" a="1"/>
  <c r="AW13" i="4" a="1"/>
  <c r="CL5" i="4" a="1"/>
  <c r="DD14" i="4" a="1"/>
  <c r="DN11" i="4" a="1"/>
  <c r="DR8" i="4" a="1"/>
  <c r="AT11" i="4" a="1"/>
  <c r="CZ14" i="4" a="1"/>
  <c r="BP16" i="4" a="1"/>
  <c r="CR15" i="4" a="1"/>
  <c r="DV13" i="4" a="1"/>
  <c r="AO11" i="4" a="1"/>
  <c r="BX5" i="4" a="1"/>
  <c r="BQ11" i="4" a="1"/>
  <c r="F7" i="4" a="1"/>
  <c r="AV5" i="4" a="1"/>
  <c r="BL11" i="4" a="1"/>
  <c r="DT14" i="4" a="1"/>
  <c r="BG16" i="4" a="1"/>
  <c r="ED8" i="4" a="1"/>
  <c r="AF5" i="4" a="1"/>
  <c r="AN6" i="4" a="1"/>
  <c r="CB11" i="4" a="1"/>
  <c r="AJ15" i="4" a="1"/>
  <c r="U13" i="4" a="1"/>
  <c r="BT8" i="4" a="1"/>
  <c r="I6" i="4" a="1"/>
  <c r="DA5" i="4" a="1"/>
  <c r="CR7" i="4" a="1"/>
  <c r="AW6" i="4" a="1"/>
  <c r="EI12" i="4" a="1"/>
  <c r="DB11" i="4" a="1"/>
  <c r="BW11" i="4" a="1"/>
  <c r="DK13" i="4" a="1"/>
  <c r="L6" i="4" a="1"/>
  <c r="DB7" i="4" a="1"/>
  <c r="AZ9" i="4" a="1"/>
  <c r="BY11" i="4" a="1"/>
  <c r="CW5" i="4" a="1"/>
  <c r="AT9" i="4" a="1"/>
  <c r="X12" i="4" a="1"/>
  <c r="O15" i="4" a="1"/>
  <c r="CX11" i="4" a="1"/>
  <c r="BU5" i="4" a="1"/>
  <c r="DK8" i="4" a="1"/>
  <c r="CD9" i="4" a="1"/>
  <c r="R5" i="4" a="1"/>
  <c r="DR9" i="4" a="1"/>
  <c r="H13" i="4" a="1"/>
  <c r="S11" i="4" a="1"/>
  <c r="C14" i="4" a="1"/>
  <c r="CG12" i="4" a="1"/>
  <c r="DR12" i="4" a="1"/>
  <c r="CW9" i="4" a="1"/>
  <c r="EG9" i="4" a="1"/>
  <c r="AL11" i="4" a="1"/>
  <c r="EI5" i="4" a="1"/>
  <c r="BL14" i="4" a="1"/>
  <c r="G15" i="4" a="1"/>
  <c r="CN14" i="4" a="1"/>
  <c r="DQ5" i="4" a="1"/>
  <c r="AA16" i="4" a="1"/>
  <c r="DG7" i="4" a="1"/>
  <c r="E12" i="4" a="1"/>
  <c r="BT14" i="4" a="1"/>
  <c r="DQ6" i="4" a="1"/>
  <c r="AI6" i="4" a="1"/>
  <c r="M15" i="4" a="1"/>
  <c r="DH16" i="4" a="1"/>
  <c r="CU13" i="4" a="1"/>
  <c r="BW9" i="4" a="1"/>
  <c r="DU12" i="4" a="1"/>
  <c r="BL6" i="4" a="1"/>
  <c r="F89" i="3"/>
  <c r="E80" i="3"/>
  <c r="D57" i="3"/>
  <c r="E57" i="3"/>
  <c r="F59" i="3"/>
  <c r="E72" i="3"/>
  <c r="AD94" i="3"/>
  <c r="F50" i="3"/>
  <c r="F47" i="3"/>
  <c r="D54" i="3"/>
  <c r="D86" i="3"/>
  <c r="F67" i="3"/>
  <c r="F66" i="3"/>
  <c r="E64" i="3"/>
  <c r="E86" i="3"/>
  <c r="AD85" i="3"/>
  <c r="F78" i="3"/>
  <c r="E82" i="3"/>
  <c r="E81" i="3"/>
  <c r="D67" i="3"/>
  <c r="D70" i="3"/>
  <c r="F70" i="3"/>
  <c r="F76" i="3"/>
  <c r="D62" i="3"/>
  <c r="E70" i="3"/>
  <c r="E54" i="3"/>
  <c r="F56" i="3"/>
  <c r="D91" i="3"/>
  <c r="AD55" i="3"/>
  <c r="E75" i="3"/>
  <c r="AD80" i="3"/>
  <c r="F81" i="3"/>
  <c r="F73" i="3"/>
  <c r="E96" i="3"/>
  <c r="E69" i="3"/>
  <c r="AD89" i="3"/>
  <c r="AD87" i="3"/>
  <c r="F82" i="3"/>
  <c r="F64" i="3"/>
  <c r="D65" i="3"/>
  <c r="D73" i="3"/>
  <c r="D84" i="3"/>
  <c r="D75" i="3"/>
  <c r="AD62" i="3"/>
  <c r="F85" i="3"/>
  <c r="AD54" i="3"/>
  <c r="E66" i="3"/>
  <c r="F55" i="3"/>
  <c r="E55" i="3"/>
  <c r="AD60" i="3"/>
  <c r="AD86" i="3"/>
  <c r="D69" i="3"/>
  <c r="D74" i="3"/>
  <c r="F48" i="3"/>
  <c r="E94" i="3"/>
  <c r="F71" i="3"/>
  <c r="AD74" i="3"/>
  <c r="E90" i="3"/>
  <c r="E74" i="3"/>
  <c r="D90" i="3"/>
  <c r="F68" i="3"/>
  <c r="D76" i="3"/>
  <c r="AD68" i="3"/>
  <c r="F84" i="3"/>
  <c r="E89" i="3"/>
  <c r="AD67" i="3"/>
  <c r="AD93" i="3"/>
  <c r="AD82" i="3"/>
  <c r="AD75" i="3"/>
  <c r="E91" i="3"/>
  <c r="F63" i="3"/>
  <c r="AD77" i="3"/>
  <c r="D64" i="3"/>
  <c r="AD59" i="3"/>
  <c r="D82" i="3"/>
  <c r="K7" i="4" a="1"/>
  <c r="CM6" i="4" a="1"/>
  <c r="K9" i="4" a="1"/>
  <c r="DM16" i="4" a="1"/>
  <c r="BL7" i="4" a="1"/>
  <c r="DI9" i="4" a="1"/>
  <c r="I13" i="2"/>
  <c r="BH5" i="4" a="1"/>
  <c r="DD9" i="4" a="1"/>
  <c r="AR68" i="3"/>
  <c r="CR13" i="4" a="1"/>
  <c r="BO12" i="4" a="1"/>
  <c r="DG14" i="4" a="1"/>
  <c r="EA14" i="4" a="1"/>
  <c r="H9" i="4" a="1"/>
  <c r="BH11" i="4" a="1"/>
  <c r="O13" i="4" a="1"/>
  <c r="BO7" i="4" a="1"/>
  <c r="N12" i="4" a="1"/>
  <c r="CD7" i="4" a="1"/>
  <c r="BW5" i="4" a="1"/>
  <c r="E7" i="4" a="1"/>
  <c r="BI6" i="4" a="1"/>
  <c r="BG15" i="4" a="1"/>
  <c r="BK5" i="4" a="1"/>
  <c r="N15" i="4" a="1"/>
  <c r="L8" i="4" a="1"/>
  <c r="CM5" i="4" a="1"/>
  <c r="AZ13" i="4" a="1"/>
  <c r="AF12" i="4" a="1"/>
  <c r="H8" i="4" a="1"/>
  <c r="Z14" i="4" a="1"/>
  <c r="CI6" i="4" a="1"/>
  <c r="EF12" i="4" a="1"/>
  <c r="BE9" i="4" a="1"/>
  <c r="AL14" i="4" a="1"/>
  <c r="DP14" i="4" a="1"/>
  <c r="EJ16" i="4" a="1"/>
  <c r="BH16" i="4" a="1"/>
  <c r="C9" i="4" a="1"/>
  <c r="AU13" i="4" a="1"/>
  <c r="CL12" i="4" a="1"/>
  <c r="BW7" i="4" a="1"/>
  <c r="C16" i="4" a="1"/>
  <c r="DT13" i="4" a="1"/>
  <c r="AD6" i="4" a="1"/>
  <c r="CH12" i="4" a="1"/>
  <c r="EB7" i="4" a="1"/>
  <c r="Z11" i="4" a="1"/>
  <c r="DP13" i="4" a="1"/>
  <c r="BC6" i="4" a="1"/>
  <c r="BL13" i="4" a="1"/>
  <c r="BO5" i="4" a="1"/>
  <c r="DY14" i="4" a="1"/>
  <c r="EB6" i="4" a="1"/>
  <c r="T9" i="4" a="1"/>
  <c r="BR7" i="4" a="1"/>
  <c r="CV7" i="4" a="1"/>
  <c r="AA14" i="4" a="1"/>
  <c r="CK8" i="4" a="1"/>
  <c r="AF14" i="4" a="1"/>
  <c r="DS15" i="4" a="1"/>
  <c r="DB15" i="4" a="1"/>
  <c r="AE8" i="4" a="1"/>
  <c r="S6" i="4" a="1"/>
  <c r="AS12" i="4" a="1"/>
  <c r="DJ8" i="4" a="1"/>
  <c r="BH13" i="4" a="1"/>
  <c r="BG14" i="4" a="1"/>
  <c r="EE7" i="4" a="1"/>
  <c r="D5" i="4" a="1"/>
  <c r="EI16" i="4" a="1"/>
  <c r="BS16" i="4" a="1"/>
  <c r="DJ16" i="4" a="1"/>
  <c r="AO7" i="4" a="1"/>
  <c r="DH13" i="4" a="1"/>
  <c r="DR7" i="4" a="1"/>
  <c r="CS13" i="4" a="1"/>
  <c r="DM14" i="4" a="1"/>
  <c r="CC9" i="4" a="1"/>
  <c r="AV13" i="4" a="1"/>
  <c r="L14" i="4" a="1"/>
  <c r="AB8" i="4" a="1"/>
  <c r="DE9" i="4" a="1"/>
  <c r="V8" i="4" a="1"/>
  <c r="H7" i="4" a="1"/>
  <c r="AR21" i="3"/>
  <c r="BI16" i="4" a="1"/>
  <c r="BH7" i="4" a="1"/>
  <c r="BW12" i="4" a="1"/>
  <c r="CF11" i="4" a="1"/>
  <c r="DZ9" i="4" a="1"/>
  <c r="DF9" i="4" a="1"/>
  <c r="CE8" i="4" a="1"/>
  <c r="Z6" i="4" a="1"/>
  <c r="BF16" i="4" a="1"/>
  <c r="DW9" i="4" a="1"/>
  <c r="CA14" i="4" a="1"/>
  <c r="CP11" i="4" a="1"/>
  <c r="EB9" i="4" a="1"/>
  <c r="DS11" i="4" a="1"/>
  <c r="BE13" i="4" a="1"/>
  <c r="DK12" i="4" a="1"/>
  <c r="DB13" i="4" a="1"/>
  <c r="E5" i="4" a="1"/>
  <c r="N8" i="4" a="1"/>
  <c r="Y12" i="4" a="1"/>
  <c r="EJ9" i="4" a="1"/>
  <c r="V15" i="4" a="1"/>
  <c r="BB16" i="4" a="1"/>
  <c r="AB5" i="4" a="1"/>
  <c r="AX15" i="4" a="1"/>
  <c r="CV13" i="4" a="1"/>
  <c r="AQ9" i="4" a="1"/>
  <c r="DX15" i="4" a="1"/>
  <c r="DO13" i="4" a="1"/>
  <c r="CB6" i="4" a="1"/>
  <c r="CC15" i="4" a="1"/>
  <c r="AO15" i="4" a="1"/>
  <c r="BN14" i="4" a="1"/>
  <c r="AA6" i="4" a="1"/>
  <c r="DB12" i="4" a="1"/>
  <c r="AH9" i="4" a="1"/>
  <c r="CE9" i="4" a="1"/>
  <c r="DG6" i="4" a="1"/>
  <c r="DJ6" i="4" a="1"/>
  <c r="DJ5" i="4" a="1"/>
  <c r="CV6" i="4" a="1"/>
  <c r="T12" i="4" a="1"/>
  <c r="BZ7" i="4" a="1"/>
  <c r="AM12" i="4" a="1"/>
  <c r="EE12" i="4" a="1"/>
  <c r="V9" i="4" a="1"/>
  <c r="V7" i="4" a="1"/>
  <c r="AR20" i="3"/>
  <c r="BL8" i="4" a="1"/>
  <c r="AK12" i="4" a="1"/>
  <c r="BD11" i="4" a="1"/>
  <c r="L11" i="4" a="1"/>
  <c r="DR14" i="4" a="1"/>
  <c r="AV14" i="4" a="1"/>
  <c r="DD8" i="4" a="1"/>
  <c r="BT12" i="4" a="1"/>
  <c r="Q15" i="4" a="1"/>
  <c r="EA12" i="4" a="1"/>
  <c r="EK6" i="4" a="1"/>
  <c r="CE15" i="4" a="1"/>
  <c r="EJ8" i="4" a="1"/>
  <c r="D68" i="3"/>
  <c r="D85" i="3"/>
  <c r="F96" i="3"/>
  <c r="D71" i="3"/>
  <c r="F87" i="3"/>
  <c r="F69" i="3"/>
  <c r="E60" i="3"/>
  <c r="E84" i="3"/>
  <c r="AD70" i="3"/>
  <c r="AD63" i="3"/>
  <c r="E78" i="3"/>
  <c r="AD64" i="3"/>
  <c r="E85" i="3"/>
  <c r="F57" i="3"/>
  <c r="AD90" i="3"/>
  <c r="E76" i="3"/>
  <c r="F95" i="3"/>
  <c r="AD57" i="3"/>
  <c r="F54" i="3"/>
  <c r="F60" i="3"/>
  <c r="D58" i="3"/>
  <c r="DN9" i="4" a="1"/>
  <c r="CG8" i="4" a="1"/>
  <c r="CH15" i="4" a="1"/>
  <c r="DC11" i="4" a="1"/>
  <c r="BB12" i="4" a="1"/>
  <c r="F5" i="4" a="1"/>
  <c r="G9" i="3"/>
  <c r="T16" i="4" a="1"/>
  <c r="AP15" i="4" a="1"/>
  <c r="F29" i="3"/>
  <c r="CX14" i="4" a="1"/>
  <c r="BC5" i="4" a="1"/>
  <c r="E9" i="4" a="1"/>
  <c r="AH6" i="4" a="1"/>
  <c r="DI12" i="4" a="1"/>
  <c r="EH15" i="4" a="1"/>
  <c r="BB5" i="4" a="1"/>
  <c r="W27" i="2"/>
  <c r="CV14" i="4" a="1"/>
  <c r="CP6" i="4" a="1"/>
  <c r="AV7" i="4" a="1"/>
  <c r="AA8" i="4" a="1"/>
  <c r="CJ11" i="4" a="1"/>
  <c r="BJ7" i="4" a="1"/>
  <c r="CY13" i="4" a="1"/>
  <c r="EG8" i="4" a="1"/>
  <c r="DU15" i="4" a="1"/>
  <c r="G5" i="4" a="1"/>
  <c r="BZ6" i="4" a="1"/>
  <c r="DU13" i="4" a="1"/>
  <c r="ED13" i="4" a="1"/>
  <c r="AM9" i="4" a="1"/>
  <c r="CO11" i="4" a="1"/>
  <c r="AN16" i="4" a="1"/>
  <c r="DU6" i="4" a="1"/>
  <c r="CN5" i="4" a="1"/>
  <c r="DF7" i="4" a="1"/>
  <c r="DC15" i="4" a="1"/>
  <c r="AB15" i="4" a="1"/>
  <c r="BX16" i="4" a="1"/>
  <c r="BG12" i="4" a="1"/>
  <c r="DH6" i="4" a="1"/>
  <c r="CP9" i="4" a="1"/>
  <c r="AC5" i="4" a="1"/>
  <c r="J13" i="4" a="1"/>
  <c r="CX16" i="4" a="1"/>
  <c r="T13" i="4" a="1"/>
  <c r="N5" i="4" a="1"/>
  <c r="AT7" i="4" a="1"/>
  <c r="CQ9" i="4" a="1"/>
  <c r="AP12" i="4" a="1"/>
  <c r="CQ6" i="4" a="1"/>
  <c r="DJ14" i="4" a="1"/>
  <c r="DS5" i="4" a="1"/>
  <c r="CM15" i="4" a="1"/>
  <c r="BT5" i="4" a="1"/>
  <c r="DC8" i="4" a="1"/>
  <c r="CZ5" i="4" a="1"/>
  <c r="BZ12" i="4" a="1"/>
  <c r="EC16" i="4" a="1"/>
  <c r="DB9" i="4" a="1"/>
  <c r="CL8" i="4" a="1"/>
  <c r="G16" i="4" a="1"/>
  <c r="BF15" i="4" a="1"/>
  <c r="DD16" i="4" a="1"/>
  <c r="DT8" i="4" a="1"/>
  <c r="BN12" i="4" a="1"/>
  <c r="AU14" i="4" a="1"/>
  <c r="CX13" i="4" a="1"/>
  <c r="BO11" i="4" a="1"/>
  <c r="D16" i="4" a="1"/>
  <c r="CS14" i="4" a="1"/>
  <c r="BJ9" i="4" a="1"/>
  <c r="BV11" i="4" a="1"/>
  <c r="BW6" i="4" a="1"/>
  <c r="H14" i="4" a="1"/>
  <c r="E13" i="4" a="1"/>
  <c r="DC5" i="4" a="1"/>
  <c r="ED15" i="4" a="1"/>
  <c r="CI9" i="4" a="1"/>
  <c r="CH9" i="4" a="1"/>
  <c r="DS9" i="4" a="1"/>
  <c r="CW15" i="4" a="1"/>
  <c r="E36" i="3"/>
  <c r="AX9" i="4" a="1"/>
  <c r="AT12" i="4" a="1"/>
  <c r="DK7" i="4" a="1"/>
  <c r="V5" i="4" a="1"/>
  <c r="AZ6" i="4" a="1"/>
  <c r="CB12" i="4" a="1"/>
  <c r="DX12" i="4" a="1"/>
  <c r="BW13" i="4" a="1"/>
  <c r="DX14" i="4" a="1"/>
  <c r="EC5" i="4" a="1"/>
  <c r="DV12" i="4" a="1"/>
  <c r="AA15" i="4" a="1"/>
  <c r="AH16" i="4" a="1"/>
  <c r="DE13" i="4" a="1"/>
  <c r="AD14" i="4" a="1"/>
  <c r="BK16" i="4" a="1"/>
  <c r="DW16" i="4" a="1"/>
  <c r="BZ16" i="4" a="1"/>
  <c r="CZ6" i="4" a="1"/>
  <c r="AY14" i="4" a="1"/>
  <c r="BI8" i="4" a="1"/>
  <c r="DG15" i="4" a="1"/>
  <c r="CR6" i="4" a="1"/>
  <c r="DN13" i="4" a="1"/>
  <c r="DI8" i="4" a="1"/>
  <c r="D7" i="4" a="1"/>
  <c r="BS14" i="4" a="1"/>
  <c r="EA9" i="4" a="1"/>
  <c r="AE11" i="4" a="1"/>
  <c r="AN12" i="4" a="1"/>
  <c r="BF5" i="4" a="1"/>
  <c r="AD13" i="4" a="1"/>
  <c r="CZ7" i="4" a="1"/>
  <c r="DV9" i="4" a="1"/>
  <c r="BD7" i="4" a="1"/>
  <c r="DW12" i="4" a="1"/>
  <c r="BX12" i="4" a="1"/>
  <c r="BN9" i="4" a="1"/>
  <c r="BK9" i="4" a="1"/>
  <c r="Z12" i="4" a="1"/>
  <c r="BK7" i="4" a="1"/>
  <c r="V6" i="4" a="1"/>
  <c r="Q45" i="3"/>
  <c r="CU9" i="4" a="1"/>
  <c r="DL5" i="4" a="1"/>
  <c r="H12" i="4" a="1"/>
  <c r="CB16" i="4" a="1"/>
  <c r="DW5" i="4" a="1"/>
  <c r="DO11" i="4" a="1"/>
  <c r="DZ15" i="4" a="1"/>
  <c r="BT7" i="4" a="1"/>
  <c r="AI8" i="4" a="1"/>
  <c r="AV8" i="4" a="1"/>
  <c r="EC9" i="4" a="1"/>
  <c r="CC14" i="4" a="1"/>
  <c r="AF11" i="4" a="1"/>
  <c r="BZ14" i="4" a="1"/>
  <c r="BV6" i="4" a="1"/>
  <c r="CN6" i="4" a="1"/>
  <c r="AR14" i="4" a="1"/>
  <c r="AO16" i="4" a="1"/>
  <c r="EI13" i="4" a="1"/>
  <c r="BT11" i="4" a="1"/>
  <c r="Q11" i="4" a="1"/>
  <c r="D95" i="3"/>
  <c r="D93" i="3"/>
  <c r="AD56" i="3"/>
  <c r="E87" i="3"/>
  <c r="E58" i="3"/>
  <c r="F88" i="3"/>
  <c r="F80" i="3"/>
  <c r="E79" i="3"/>
  <c r="D81" i="3"/>
  <c r="AD88" i="3"/>
  <c r="AD58" i="3"/>
  <c r="F65" i="3"/>
  <c r="D88" i="3"/>
  <c r="F83" i="3"/>
  <c r="E68" i="3"/>
  <c r="F97" i="3"/>
  <c r="AD66" i="3"/>
  <c r="AD96" i="3"/>
  <c r="AD83" i="3"/>
  <c r="AD84" i="3"/>
  <c r="D66" i="3"/>
  <c r="D83" i="3"/>
  <c r="F62" i="3"/>
  <c r="AD97" i="3"/>
  <c r="E56" i="3"/>
  <c r="E65" i="3"/>
  <c r="E77" i="3"/>
  <c r="E63" i="3"/>
  <c r="D72" i="3"/>
  <c r="F91" i="3"/>
  <c r="D78" i="3"/>
  <c r="E67" i="3"/>
  <c r="D97" i="3"/>
  <c r="AD76" i="3"/>
  <c r="E73" i="3"/>
  <c r="AD91" i="3"/>
  <c r="F49" i="3"/>
  <c r="F86" i="3"/>
  <c r="F74" i="3"/>
  <c r="D92" i="3"/>
  <c r="E88" i="3"/>
  <c r="E83" i="3"/>
  <c r="E97" i="3"/>
  <c r="D59" i="3"/>
  <c r="D94" i="3"/>
  <c r="F92" i="3"/>
  <c r="AD79" i="3"/>
  <c r="D56" i="3"/>
  <c r="D61" i="3"/>
  <c r="F61" i="3"/>
  <c r="E62" i="3"/>
  <c r="D96" i="3"/>
  <c r="AD61" i="3"/>
  <c r="AD71" i="3"/>
  <c r="D63" i="3"/>
  <c r="F58" i="3"/>
  <c r="F93" i="3"/>
  <c r="D89" i="3"/>
  <c r="AD95" i="3"/>
  <c r="G79" i="3" l="1"/>
  <c r="G58" i="3"/>
  <c r="G85" i="3"/>
  <c r="G75" i="3"/>
  <c r="G68" i="3"/>
  <c r="G77" i="3"/>
  <c r="G83" i="3"/>
  <c r="G55" i="3"/>
  <c r="G91" i="3"/>
  <c r="G76" i="3"/>
  <c r="G54" i="3"/>
  <c r="G78" i="3"/>
  <c r="G89" i="3"/>
  <c r="G70" i="3"/>
  <c r="G69" i="3"/>
  <c r="G86" i="3"/>
  <c r="G66" i="3"/>
  <c r="G60" i="3"/>
  <c r="G80" i="3"/>
  <c r="G59" i="3"/>
  <c r="G92" i="3"/>
  <c r="G63" i="3"/>
  <c r="G74" i="3"/>
  <c r="G87" i="3"/>
  <c r="G72" i="3"/>
  <c r="G73" i="3"/>
  <c r="G82" i="3"/>
  <c r="G96" i="3"/>
  <c r="G84" i="3"/>
  <c r="G93" i="3"/>
  <c r="G57" i="3"/>
  <c r="G62" i="3"/>
  <c r="G88" i="3"/>
  <c r="G56" i="3"/>
  <c r="G90" i="3"/>
  <c r="G95" i="3"/>
  <c r="G61" i="3"/>
  <c r="G67" i="3"/>
  <c r="G65" i="3"/>
  <c r="G97" i="3"/>
  <c r="G71" i="3"/>
  <c r="G64" i="3"/>
  <c r="G81" i="3"/>
  <c r="M139" i="1"/>
  <c r="O139" i="1"/>
  <c r="B139" i="1"/>
  <c r="I139" i="1"/>
  <c r="H139" i="1"/>
  <c r="G139" i="1"/>
  <c r="V139" i="1"/>
  <c r="C139" i="1"/>
  <c r="E139" i="1"/>
  <c r="BJ111" i="1"/>
  <c r="AM111" i="1"/>
  <c r="AK111" i="1"/>
  <c r="J139" i="1"/>
  <c r="F139" i="1"/>
  <c r="N139" i="1"/>
  <c r="BJ256" i="1"/>
  <c r="AJ245" i="1"/>
  <c r="AL211" i="1"/>
  <c r="AJ217" i="1"/>
  <c r="AK217" i="1" s="1"/>
  <c r="AJ255" i="1"/>
  <c r="AK255" i="1" s="1"/>
  <c r="AJ209" i="1"/>
  <c r="AK209" i="1" s="1"/>
  <c r="BJ235" i="1"/>
  <c r="BK235" i="1" s="1"/>
  <c r="AL247" i="1"/>
  <c r="AM247" i="1" s="1"/>
  <c r="AJ247" i="1"/>
  <c r="AK247" i="1" s="1"/>
  <c r="AL229" i="1"/>
  <c r="AM229" i="1" s="1"/>
  <c r="AL165" i="1"/>
  <c r="BJ246" i="1"/>
  <c r="BK246" i="1" s="1"/>
  <c r="AJ234" i="1"/>
  <c r="AK234" i="1" s="1"/>
  <c r="AL246" i="1"/>
  <c r="AM246" i="1" s="1"/>
  <c r="AJ227" i="1"/>
  <c r="AK227" i="1" s="1"/>
  <c r="AL216" i="1"/>
  <c r="AM216" i="1" s="1"/>
  <c r="AJ252" i="1"/>
  <c r="AJ243" i="1"/>
  <c r="AK243" i="1" s="1"/>
  <c r="BJ238" i="1"/>
  <c r="BK238" i="1" s="1"/>
  <c r="BJ252" i="1"/>
  <c r="BJ255" i="1"/>
  <c r="BK255" i="1" s="1"/>
  <c r="BJ243" i="1"/>
  <c r="BK243" i="1" s="1"/>
  <c r="AL252" i="1"/>
  <c r="AJ219" i="1"/>
  <c r="AK219" i="1" s="1"/>
  <c r="AL242" i="1"/>
  <c r="AM242" i="1" s="1"/>
  <c r="BJ211" i="1"/>
  <c r="BJ219" i="1"/>
  <c r="BK219" i="1" s="1"/>
  <c r="AJ236" i="1"/>
  <c r="AL251" i="1"/>
  <c r="AL219" i="1"/>
  <c r="AM219" i="1" s="1"/>
  <c r="BJ209" i="1"/>
  <c r="BK209" i="1" s="1"/>
  <c r="AJ256" i="1"/>
  <c r="AK256" i="1" s="1"/>
  <c r="IU9" i="4" s="1"/>
  <c r="II9" i="4" s="1"/>
  <c r="IJ9" i="4" s="1"/>
  <c r="JD9" i="4" s="1"/>
  <c r="IN16" i="4" s="1"/>
  <c r="II16" i="4" s="1"/>
  <c r="JC9" i="4" s="1"/>
  <c r="IQ9" i="4" s="1"/>
  <c r="IX16" i="4" s="1"/>
  <c r="IV16" i="4" s="1"/>
  <c r="IA9" i="4" s="1"/>
  <c r="V124" i="1"/>
  <c r="V286" i="1" s="1"/>
  <c r="AL131" i="1"/>
  <c r="AJ211" i="1"/>
  <c r="AL214" i="1"/>
  <c r="AM214" i="1" s="1"/>
  <c r="BJ210" i="1"/>
  <c r="BK210" i="1" s="1"/>
  <c r="AL256" i="1"/>
  <c r="AM256" i="1" s="1"/>
  <c r="BJ218" i="1"/>
  <c r="BK218" i="1" s="1"/>
  <c r="AL210" i="1"/>
  <c r="AM210" i="1" s="1"/>
  <c r="BJ241" i="1"/>
  <c r="BK241" i="1" s="1"/>
  <c r="BJ217" i="1"/>
  <c r="BK217" i="1" s="1"/>
  <c r="BJ225" i="1"/>
  <c r="AL224" i="1"/>
  <c r="AL244" i="1"/>
  <c r="AM244" i="1" s="1"/>
  <c r="AL255" i="1"/>
  <c r="AM255" i="1" s="1"/>
  <c r="AJ239" i="1"/>
  <c r="AK239" i="1" s="1"/>
  <c r="AJ223" i="1"/>
  <c r="BX100" i="1"/>
  <c r="IF16" i="4" s="1"/>
  <c r="JF9" i="4" s="1"/>
  <c r="BX114" i="1"/>
  <c r="IO9" i="4" s="1"/>
  <c r="IZ16" i="4" s="1"/>
  <c r="IH16" i="4" s="1"/>
  <c r="IG9" i="4" s="1"/>
  <c r="BX223" i="1"/>
  <c r="IX9" i="4" s="1"/>
  <c r="H111" i="1"/>
  <c r="JA16" i="4" s="1"/>
  <c r="AJ237" i="1"/>
  <c r="AJ241" i="1"/>
  <c r="AK241" i="1" s="1"/>
  <c r="BJ232" i="1"/>
  <c r="BK232" i="1" s="1"/>
  <c r="BL294" i="1" s="1"/>
  <c r="AL217" i="1"/>
  <c r="AM217" i="1" s="1"/>
  <c r="BJ237" i="1"/>
  <c r="AL238" i="1"/>
  <c r="AM238" i="1" s="1"/>
  <c r="BJ223" i="1"/>
  <c r="AL223" i="1"/>
  <c r="AJ218" i="1"/>
  <c r="AK218" i="1" s="1"/>
  <c r="BJ229" i="1"/>
  <c r="BK229" i="1" s="1"/>
  <c r="AJ229" i="1"/>
  <c r="AK229" i="1" s="1"/>
  <c r="AJ224" i="1"/>
  <c r="BJ214" i="1"/>
  <c r="BK214" i="1" s="1"/>
  <c r="AL239" i="1"/>
  <c r="AM239" i="1" s="1"/>
  <c r="BJ216" i="1"/>
  <c r="BK216" i="1" s="1"/>
  <c r="AJ238" i="1"/>
  <c r="AK238" i="1" s="1"/>
  <c r="AJ242" i="1"/>
  <c r="AK242" i="1" s="1"/>
  <c r="AL241" i="1"/>
  <c r="AM241" i="1" s="1"/>
  <c r="AL237" i="1"/>
  <c r="BJ244" i="1"/>
  <c r="BK244" i="1" s="1"/>
  <c r="BJ245" i="1"/>
  <c r="AL236" i="1"/>
  <c r="BJ251" i="1"/>
  <c r="AJ246" i="1"/>
  <c r="AK246" i="1" s="1"/>
  <c r="AL209" i="1"/>
  <c r="AM209" i="1" s="1"/>
  <c r="AJ216" i="1"/>
  <c r="AK216" i="1" s="1"/>
  <c r="AL225" i="1"/>
  <c r="AJ225" i="1"/>
  <c r="AL234" i="1"/>
  <c r="AM234" i="1" s="1"/>
  <c r="BJ239" i="1"/>
  <c r="BK239" i="1" s="1"/>
  <c r="AL243" i="1"/>
  <c r="AM243" i="1" s="1"/>
  <c r="AL166" i="1"/>
  <c r="AJ210" i="1"/>
  <c r="AK210" i="1" s="1"/>
  <c r="AL245" i="1"/>
  <c r="IM9" i="4" s="1"/>
  <c r="HW16" i="4" s="1"/>
  <c r="HP9" i="4" s="1"/>
  <c r="IU16" i="4" s="1"/>
  <c r="U124" i="1"/>
  <c r="U345" i="1" s="1"/>
  <c r="IS16" i="4" s="1"/>
  <c r="BX247" i="1"/>
  <c r="BY247" i="1" s="1"/>
  <c r="D99" i="1"/>
  <c r="AJ232" i="1"/>
  <c r="BJ236" i="1"/>
  <c r="AJ244" i="1"/>
  <c r="AK244" i="1" s="1"/>
  <c r="AL232" i="1"/>
  <c r="AM232" i="1" s="1"/>
  <c r="AM294" i="1" s="1"/>
  <c r="BJ242" i="1"/>
  <c r="BK242" i="1" s="1"/>
  <c r="AJ235" i="1"/>
  <c r="AK235" i="1" s="1"/>
  <c r="AL218" i="1"/>
  <c r="AM218" i="1" s="1"/>
  <c r="AJ251" i="1"/>
  <c r="BJ224" i="1"/>
  <c r="AL227" i="1"/>
  <c r="AM227" i="1" s="1"/>
  <c r="BJ234" i="1"/>
  <c r="BK234" i="1" s="1"/>
  <c r="AJ214" i="1"/>
  <c r="AK214" i="1" s="1"/>
  <c r="BJ247" i="1"/>
  <c r="BK247" i="1" s="1"/>
  <c r="BJ227" i="1"/>
  <c r="BK227" i="1" s="1"/>
  <c r="AL235" i="1"/>
  <c r="AM235" i="1" s="1"/>
  <c r="JI16" i="4" s="1"/>
  <c r="IT9" i="4" s="1"/>
  <c r="IG16" i="4" s="1"/>
  <c r="HQ9" i="4" s="1"/>
  <c r="IT16" i="4" s="1"/>
  <c r="IT21" i="4" s="1"/>
  <c r="BN169" i="1" s="1"/>
  <c r="IY9" i="4" s="1"/>
  <c r="HS16" i="4" s="1"/>
  <c r="C131" i="1"/>
  <c r="IC16" i="4" s="1"/>
  <c r="JG9" i="4" s="1"/>
  <c r="BX99" i="1"/>
  <c r="CA190" i="1" s="1"/>
  <c r="CA191" i="1" s="1"/>
  <c r="BX115" i="1"/>
  <c r="IX7" i="4" s="1"/>
  <c r="JH9" i="4" s="1"/>
  <c r="JB9" i="4" s="1"/>
  <c r="AK99" i="1"/>
  <c r="AK323" i="1" s="1"/>
  <c r="IE16" i="4" s="1"/>
  <c r="IS9" i="4" s="1"/>
  <c r="BX241" i="1"/>
  <c r="BY241" i="1" s="1"/>
  <c r="BX255" i="1"/>
  <c r="BY255" i="1" s="1"/>
  <c r="HW9" i="4" s="1"/>
  <c r="HP16" i="4" s="1"/>
  <c r="BJ99" i="1"/>
  <c r="BJ323" i="1" s="1"/>
  <c r="F106" i="1"/>
  <c r="AJ124" i="1"/>
  <c r="AJ286" i="1" s="1"/>
  <c r="BX237" i="1"/>
  <c r="B128" i="1"/>
  <c r="JC16" i="4" s="1"/>
  <c r="HZ16" i="4" s="1"/>
  <c r="HQ16" i="4" s="1"/>
  <c r="JD16" i="4" s="1"/>
  <c r="AM127" i="1"/>
  <c r="K128" i="1"/>
  <c r="C113" i="1"/>
  <c r="JI9" i="4" s="1"/>
  <c r="IZ9" i="4" s="1"/>
  <c r="AM99" i="1"/>
  <c r="AM323" i="1" s="1"/>
  <c r="T137" i="1"/>
  <c r="P127" i="1"/>
  <c r="HR9" i="4" s="1"/>
  <c r="AL139" i="1"/>
  <c r="AK131" i="1"/>
  <c r="AK100" i="1"/>
  <c r="B131" i="1"/>
  <c r="B112" i="1"/>
  <c r="C138" i="1"/>
  <c r="O127" i="1"/>
  <c r="S106" i="1"/>
  <c r="J138" i="1"/>
  <c r="AM104" i="1"/>
  <c r="BJ116" i="1"/>
  <c r="B127" i="1"/>
  <c r="I113" i="1"/>
  <c r="B116" i="1"/>
  <c r="S112" i="1"/>
  <c r="W124" i="1"/>
  <c r="O99" i="1"/>
  <c r="O323" i="1" s="1"/>
  <c r="I128" i="1"/>
  <c r="J127" i="1"/>
  <c r="K106" i="1"/>
  <c r="C128" i="1"/>
  <c r="P247" i="1"/>
  <c r="BY165" i="1"/>
  <c r="O111" i="1"/>
  <c r="G127" i="1"/>
  <c r="M138" i="1"/>
  <c r="N128" i="1"/>
  <c r="N99" i="1"/>
  <c r="N323" i="1" s="1"/>
  <c r="P116" i="1"/>
  <c r="AK138" i="1"/>
  <c r="AJ131" i="1"/>
  <c r="BX105" i="1"/>
  <c r="N112" i="1"/>
  <c r="L131" i="1"/>
  <c r="Q113" i="1"/>
  <c r="O143" i="1"/>
  <c r="K116" i="1"/>
  <c r="K113" i="1"/>
  <c r="F127" i="1"/>
  <c r="L112" i="1"/>
  <c r="IP9" i="4" s="1"/>
  <c r="C112" i="1"/>
  <c r="T138" i="1"/>
  <c r="U104" i="1"/>
  <c r="D106" i="1"/>
  <c r="H113" i="1"/>
  <c r="R114" i="1"/>
  <c r="K114" i="1"/>
  <c r="V143" i="1"/>
  <c r="T131" i="1"/>
  <c r="W104" i="1"/>
  <c r="AJ112" i="1"/>
  <c r="BX244" i="1"/>
  <c r="BY244" i="1" s="1"/>
  <c r="D116" i="1"/>
  <c r="H100" i="1"/>
  <c r="T143" i="1"/>
  <c r="V111" i="1"/>
  <c r="D138" i="1"/>
  <c r="AJ128" i="1"/>
  <c r="BX236" i="1"/>
  <c r="B104" i="1"/>
  <c r="J114" i="1"/>
  <c r="O116" i="1"/>
  <c r="D115" i="1"/>
  <c r="R111" i="1"/>
  <c r="T112" i="1"/>
  <c r="P114" i="1"/>
  <c r="B113" i="1"/>
  <c r="BX139" i="1"/>
  <c r="BX113" i="1"/>
  <c r="AJ137" i="1"/>
  <c r="AL113" i="1"/>
  <c r="I131" i="1"/>
  <c r="BX242" i="1"/>
  <c r="BY242" i="1" s="1"/>
  <c r="I112" i="1"/>
  <c r="BX219" i="1"/>
  <c r="BY219" i="1" s="1"/>
  <c r="S124" i="1"/>
  <c r="S286" i="1" s="1"/>
  <c r="I99" i="1"/>
  <c r="I323" i="1" s="1"/>
  <c r="U138" i="1"/>
  <c r="W112" i="1"/>
  <c r="W128" i="1"/>
  <c r="W344" i="1" s="1"/>
  <c r="R131" i="1"/>
  <c r="V116" i="1"/>
  <c r="K143" i="1"/>
  <c r="F100" i="1"/>
  <c r="BX211" i="1"/>
  <c r="BY211" i="1" s="1"/>
  <c r="BX225" i="1"/>
  <c r="C124" i="1"/>
  <c r="C286" i="1" s="1"/>
  <c r="L143" i="1"/>
  <c r="C127" i="1"/>
  <c r="B124" i="1"/>
  <c r="P143" i="1"/>
  <c r="N111" i="1"/>
  <c r="AL104" i="1"/>
  <c r="U131" i="1"/>
  <c r="BX216" i="1"/>
  <c r="BY216" i="1" s="1"/>
  <c r="W113" i="1"/>
  <c r="J131" i="1"/>
  <c r="O113" i="1"/>
  <c r="S138" i="1"/>
  <c r="N124" i="1"/>
  <c r="N286" i="1" s="1"/>
  <c r="G106" i="1"/>
  <c r="HW14" i="4" s="1"/>
  <c r="HU16" i="4" s="1"/>
  <c r="IV9" i="4" s="1"/>
  <c r="IQ16" i="4" s="1"/>
  <c r="IQ21" i="4" s="1"/>
  <c r="BK169" i="1" s="1"/>
  <c r="IK16" i="4" s="1"/>
  <c r="HZ9" i="4" s="1"/>
  <c r="JI8" i="4" s="1"/>
  <c r="HV16" i="4" s="1"/>
  <c r="ID16" i="4" s="1"/>
  <c r="HT16" i="4" s="1"/>
  <c r="IB16" i="4" s="1"/>
  <c r="AL114" i="1"/>
  <c r="AK114" i="1"/>
  <c r="BX238" i="1"/>
  <c r="BY238" i="1" s="1"/>
  <c r="S100" i="1"/>
  <c r="HT9" i="4" s="1"/>
  <c r="IW9" i="4" s="1"/>
  <c r="HX16" i="4" s="1"/>
  <c r="HY9" i="4" s="1"/>
  <c r="AL124" i="1"/>
  <c r="AL286" i="1" s="1"/>
  <c r="JA9" i="4" s="1"/>
  <c r="IM16" i="4" s="1"/>
  <c r="HV9" i="4" s="1"/>
  <c r="BX218" i="1"/>
  <c r="BY218" i="1" s="1"/>
  <c r="F111" i="1"/>
  <c r="J211" i="1"/>
  <c r="B115" i="1"/>
  <c r="IR16" i="4" s="1"/>
  <c r="AL127" i="1"/>
  <c r="AJ113" i="1"/>
  <c r="S128" i="1"/>
  <c r="W143" i="1"/>
  <c r="U128" i="1"/>
  <c r="U344" i="1" s="1"/>
  <c r="BJ105" i="1"/>
  <c r="IL16" i="4" s="1"/>
  <c r="JB16" i="4" s="1"/>
  <c r="IL9" i="4" s="1"/>
  <c r="BX131" i="1"/>
  <c r="AJ104" i="1"/>
  <c r="BX235" i="1"/>
  <c r="BY235" i="1" s="1"/>
  <c r="AJ138" i="1"/>
  <c r="AK139" i="1"/>
  <c r="BX256" i="1"/>
  <c r="BY256" i="1" s="1"/>
  <c r="S104" i="1"/>
  <c r="D127" i="1"/>
  <c r="O137" i="1"/>
  <c r="V106" i="1"/>
  <c r="P219" i="1"/>
  <c r="M104" i="1"/>
  <c r="W114" i="1"/>
  <c r="AJ139" i="1"/>
  <c r="I127" i="1"/>
  <c r="BX165" i="1"/>
  <c r="S99" i="1"/>
  <c r="S323" i="1" s="1"/>
  <c r="V115" i="1"/>
  <c r="N104" i="1"/>
  <c r="G99" i="1"/>
  <c r="G323" i="1" s="1"/>
  <c r="S131" i="1"/>
  <c r="T106" i="1"/>
  <c r="AL128" i="1"/>
  <c r="BX137" i="1"/>
  <c r="P245" i="1"/>
  <c r="BX251" i="1"/>
  <c r="D113" i="1"/>
  <c r="L100" i="1"/>
  <c r="Q111" i="1"/>
  <c r="S115" i="1"/>
  <c r="N114" i="1"/>
  <c r="U143" i="1"/>
  <c r="T114" i="1"/>
  <c r="K124" i="1"/>
  <c r="K286" i="1" s="1"/>
  <c r="H104" i="1"/>
  <c r="Q104" i="1"/>
  <c r="I137" i="1"/>
  <c r="G115" i="1"/>
  <c r="I114" i="1"/>
  <c r="N106" i="1"/>
  <c r="J137" i="1"/>
  <c r="E251" i="1"/>
  <c r="BJ112" i="1"/>
  <c r="AL100" i="1"/>
  <c r="U115" i="1"/>
  <c r="J124" i="1"/>
  <c r="J286" i="1" s="1"/>
  <c r="I104" i="1"/>
  <c r="Q124" i="1"/>
  <c r="Q286" i="1" s="1"/>
  <c r="Q112" i="1"/>
  <c r="H143" i="1"/>
  <c r="R113" i="1"/>
  <c r="K138" i="1"/>
  <c r="K127" i="1"/>
  <c r="E127" i="1"/>
  <c r="AJ105" i="1"/>
  <c r="F116" i="1"/>
  <c r="E112" i="1"/>
  <c r="V100" i="1"/>
  <c r="V101" i="1" s="1"/>
  <c r="V190" i="1" s="1"/>
  <c r="U111" i="1"/>
  <c r="H131" i="1"/>
  <c r="F131" i="1"/>
  <c r="M113" i="1"/>
  <c r="V137" i="1"/>
  <c r="G255" i="1"/>
  <c r="O115" i="1"/>
  <c r="F114" i="1"/>
  <c r="W100" i="1"/>
  <c r="W101" i="1" s="1"/>
  <c r="X280" i="1" s="1"/>
  <c r="IN9" i="4" s="1"/>
  <c r="AK116" i="1"/>
  <c r="O106" i="1"/>
  <c r="P137" i="1"/>
  <c r="L115" i="1"/>
  <c r="O131" i="1"/>
  <c r="S111" i="1"/>
  <c r="T100" i="1"/>
  <c r="G111" i="1"/>
  <c r="E113" i="1"/>
  <c r="M116" i="1"/>
  <c r="D112" i="1"/>
  <c r="Q245" i="1"/>
  <c r="U106" i="1"/>
  <c r="R143" i="1"/>
  <c r="E115" i="1"/>
  <c r="S137" i="1"/>
  <c r="BX209" i="1"/>
  <c r="BY209" i="1" s="1"/>
  <c r="E138" i="1"/>
  <c r="W115" i="1"/>
  <c r="E104" i="1"/>
  <c r="J106" i="1"/>
  <c r="O124" i="1"/>
  <c r="O286" i="1" s="1"/>
  <c r="R124" i="1"/>
  <c r="R286" i="1" s="1"/>
  <c r="E106" i="1"/>
  <c r="E100" i="1"/>
  <c r="L124" i="1"/>
  <c r="L286" i="1" s="1"/>
  <c r="G114" i="1"/>
  <c r="Q106" i="1"/>
  <c r="Q143" i="1"/>
  <c r="R137" i="1"/>
  <c r="BX229" i="1"/>
  <c r="BY229" i="1" s="1"/>
  <c r="P111" i="1"/>
  <c r="D128" i="1"/>
  <c r="D344" i="1" s="1"/>
  <c r="O114" i="1"/>
  <c r="B114" i="1"/>
  <c r="N138" i="1"/>
  <c r="G131" i="1"/>
  <c r="I111" i="1"/>
  <c r="D137" i="1"/>
  <c r="G113" i="1"/>
  <c r="AM112" i="1"/>
  <c r="AJ143" i="1"/>
  <c r="AK113" i="1"/>
  <c r="E131" i="1"/>
  <c r="BX217" i="1"/>
  <c r="BY217" i="1" s="1"/>
  <c r="S127" i="1"/>
  <c r="P115" i="1"/>
  <c r="J128" i="1"/>
  <c r="P104" i="1"/>
  <c r="K111" i="1"/>
  <c r="C99" i="1"/>
  <c r="C323" i="1" s="1"/>
  <c r="HR15" i="4" s="1"/>
  <c r="IT15" i="4" s="1"/>
  <c r="JF15" i="4" s="1"/>
  <c r="JA7" i="4" s="1"/>
  <c r="IB14" i="4" s="1"/>
  <c r="IW16" i="4" s="1"/>
  <c r="IW21" i="4" s="1"/>
  <c r="BQ169" i="1" s="1"/>
  <c r="JF16" i="4" s="1"/>
  <c r="JF21" i="4" s="1"/>
  <c r="BZ169" i="1" s="1"/>
  <c r="BZ186" i="1" s="1"/>
  <c r="JH16" i="4" s="1"/>
  <c r="JH21" i="4" s="1"/>
  <c r="CB169" i="1" s="1"/>
  <c r="CB194" i="1" s="1"/>
  <c r="AM114" i="1"/>
  <c r="S113" i="1"/>
  <c r="B143" i="1"/>
  <c r="AK112" i="1"/>
  <c r="BX166" i="1"/>
  <c r="BX127" i="1"/>
  <c r="V138" i="1"/>
  <c r="IB9" i="4" s="1"/>
  <c r="ID9" i="4" s="1"/>
  <c r="BX138" i="1"/>
  <c r="IO16" i="4" s="1"/>
  <c r="M137" i="1"/>
  <c r="L106" i="1"/>
  <c r="W137" i="1"/>
  <c r="AL116" i="1"/>
  <c r="L127" i="1"/>
  <c r="AM105" i="1"/>
  <c r="N131" i="1"/>
  <c r="AM100" i="1"/>
  <c r="BX128" i="1"/>
  <c r="HU9" i="4" s="1"/>
  <c r="R104" i="1"/>
  <c r="HS9" i="4" s="1"/>
  <c r="HR16" i="4" s="1"/>
  <c r="HR21" i="4" s="1"/>
  <c r="AL169" i="1" s="1"/>
  <c r="AJ99" i="1"/>
  <c r="AJ323" i="1" s="1"/>
  <c r="K99" i="1"/>
  <c r="K323" i="1" s="1"/>
  <c r="G104" i="1"/>
  <c r="G124" i="1"/>
  <c r="G286" i="1" s="1"/>
  <c r="T111" i="1"/>
  <c r="R115" i="1"/>
  <c r="M112" i="1"/>
  <c r="H114" i="1"/>
  <c r="T104" i="1"/>
  <c r="E99" i="1"/>
  <c r="E323" i="1" s="1"/>
  <c r="F113" i="1"/>
  <c r="S143" i="1"/>
  <c r="AM116" i="1"/>
  <c r="BX246" i="1"/>
  <c r="BY246" i="1" s="1"/>
  <c r="C104" i="1"/>
  <c r="M99" i="1"/>
  <c r="M323" i="1" s="1"/>
  <c r="M100" i="1"/>
  <c r="I115" i="1"/>
  <c r="F138" i="1"/>
  <c r="P131" i="1"/>
  <c r="R128" i="1"/>
  <c r="AL105" i="1"/>
  <c r="BJ104" i="1"/>
  <c r="M115" i="1"/>
  <c r="G138" i="1"/>
  <c r="J116" i="1"/>
  <c r="M124" i="1"/>
  <c r="M286" i="1" s="1"/>
  <c r="N100" i="1"/>
  <c r="E111" i="1"/>
  <c r="AK127" i="1"/>
  <c r="U114" i="1"/>
  <c r="BX224" i="1"/>
  <c r="L137" i="1"/>
  <c r="F124" i="1"/>
  <c r="F286" i="1" s="1"/>
  <c r="F137" i="1"/>
  <c r="C100" i="1"/>
  <c r="N113" i="1"/>
  <c r="H112" i="1"/>
  <c r="BX112" i="1"/>
  <c r="AJ100" i="1"/>
  <c r="J112" i="1"/>
  <c r="E137" i="1"/>
  <c r="N127" i="1"/>
  <c r="W131" i="1"/>
  <c r="P124" i="1"/>
  <c r="P286" i="1" s="1"/>
  <c r="P112" i="1"/>
  <c r="J111" i="1"/>
  <c r="R106" i="1"/>
  <c r="P252" i="1"/>
  <c r="T124" i="1"/>
  <c r="T286" i="1" s="1"/>
  <c r="AL137" i="1"/>
  <c r="B106" i="1"/>
  <c r="P100" i="1"/>
  <c r="C116" i="1"/>
  <c r="R99" i="1"/>
  <c r="R323" i="1" s="1"/>
  <c r="O112" i="1"/>
  <c r="F99" i="1"/>
  <c r="F323" i="1" s="1"/>
  <c r="IR9" i="4" s="1"/>
  <c r="IZ15" i="4" s="1"/>
  <c r="G128" i="1"/>
  <c r="BX252" i="1"/>
  <c r="G112" i="1"/>
  <c r="BX210" i="1"/>
  <c r="BY210" i="1" s="1"/>
  <c r="V112" i="1"/>
  <c r="G116" i="1"/>
  <c r="O138" i="1"/>
  <c r="V104" i="1"/>
  <c r="G245" i="1"/>
  <c r="H115" i="1"/>
  <c r="P138" i="1"/>
  <c r="H127" i="1"/>
  <c r="W127" i="1"/>
  <c r="W209" i="1"/>
  <c r="AJ116" i="1"/>
  <c r="BX143" i="1"/>
  <c r="AK124" i="1"/>
  <c r="AK286" i="1" s="1"/>
  <c r="BX234" i="1"/>
  <c r="BY234" i="1" s="1"/>
  <c r="B111" i="1"/>
  <c r="G137" i="1"/>
  <c r="J99" i="1"/>
  <c r="J323" i="1" s="1"/>
  <c r="Q115" i="1"/>
  <c r="E128" i="1"/>
  <c r="Q99" i="1"/>
  <c r="Q323" i="1" s="1"/>
  <c r="E124" i="1"/>
  <c r="E286" i="1" s="1"/>
  <c r="U100" i="1"/>
  <c r="U101" i="1" s="1"/>
  <c r="U190" i="1" s="1"/>
  <c r="I116" i="1"/>
  <c r="W138" i="1"/>
  <c r="W116" i="1"/>
  <c r="D131" i="1"/>
  <c r="V127" i="1"/>
  <c r="L114" i="1"/>
  <c r="Q128" i="1"/>
  <c r="F115" i="1"/>
  <c r="H99" i="1"/>
  <c r="H323" i="1" s="1"/>
  <c r="R116" i="1"/>
  <c r="I143" i="1"/>
  <c r="M131" i="1"/>
  <c r="L138" i="1"/>
  <c r="K100" i="1"/>
  <c r="AM124" i="1"/>
  <c r="AM286" i="1" s="1"/>
  <c r="E116" i="1"/>
  <c r="Q131" i="1"/>
  <c r="M106" i="1"/>
  <c r="M127" i="1"/>
  <c r="H138" i="1"/>
  <c r="D143" i="1"/>
  <c r="U112" i="1"/>
  <c r="M128" i="1"/>
  <c r="I124" i="1"/>
  <c r="I286" i="1" s="1"/>
  <c r="V128" i="1"/>
  <c r="V344" i="1" s="1"/>
  <c r="HX9" i="4" s="1"/>
  <c r="IE8" i="4" s="1"/>
  <c r="IE14" i="4" s="1"/>
  <c r="IC9" i="4" s="1"/>
  <c r="JG16" i="4" s="1"/>
  <c r="JG21" i="4" s="1"/>
  <c r="CA169" i="1" s="1"/>
  <c r="CA186" i="1" s="1"/>
  <c r="JE9" i="4" s="1"/>
  <c r="I106" i="1"/>
  <c r="AM113" i="1"/>
  <c r="BX245" i="1"/>
  <c r="AJ114" i="1"/>
  <c r="BX239" i="1"/>
  <c r="BY239" i="1" s="1"/>
  <c r="IA16" i="4" s="1"/>
  <c r="IH9" i="4" s="1"/>
  <c r="IK9" i="4" s="1"/>
  <c r="B138" i="1"/>
  <c r="AK137" i="1"/>
  <c r="AL143" i="1"/>
  <c r="BX243" i="1"/>
  <c r="BY243" i="1" s="1"/>
  <c r="D104" i="1"/>
  <c r="K104" i="1"/>
  <c r="AK105" i="1"/>
  <c r="IF9" i="4" s="1"/>
  <c r="HY16" i="4" s="1"/>
  <c r="BX104" i="1"/>
  <c r="AJ127" i="1"/>
  <c r="K115" i="1"/>
  <c r="JE16" i="4" s="1"/>
  <c r="IJ16" i="4" s="1"/>
  <c r="K112" i="1"/>
  <c r="AL138" i="1"/>
  <c r="BX124" i="1"/>
  <c r="BX286" i="1" s="1"/>
  <c r="AK143" i="1"/>
  <c r="AK128" i="1"/>
  <c r="O128" i="1"/>
  <c r="F104" i="1"/>
  <c r="E114" i="1"/>
  <c r="F128" i="1"/>
  <c r="W224" i="1"/>
  <c r="I100" i="1"/>
  <c r="M143" i="1"/>
  <c r="J113" i="1"/>
  <c r="T128" i="1"/>
  <c r="Q138" i="1"/>
  <c r="C137" i="1"/>
  <c r="C114" i="1"/>
  <c r="AL99" i="1"/>
  <c r="AL323" i="1" s="1"/>
  <c r="D214" i="1"/>
  <c r="Q100" i="1"/>
  <c r="K137" i="1"/>
  <c r="E143" i="1"/>
  <c r="L116" i="1"/>
  <c r="W106" i="1"/>
  <c r="V114" i="1"/>
  <c r="D100" i="1"/>
  <c r="L104" i="1"/>
  <c r="F112" i="1"/>
  <c r="V131" i="1"/>
  <c r="V113" i="1"/>
  <c r="J104" i="1"/>
  <c r="G143" i="1"/>
  <c r="H128" i="1"/>
  <c r="S114" i="1"/>
  <c r="U116" i="1"/>
  <c r="M114" i="1"/>
  <c r="Q127" i="1"/>
  <c r="N115" i="1"/>
  <c r="O100" i="1"/>
  <c r="P99" i="1"/>
  <c r="J115" i="1"/>
  <c r="Q114" i="1"/>
  <c r="BX214" i="1"/>
  <c r="BY214" i="1" s="1"/>
  <c r="L111" i="1"/>
  <c r="F143" i="1"/>
  <c r="J100" i="1"/>
  <c r="U127" i="1"/>
  <c r="D114" i="1"/>
  <c r="B99" i="1"/>
  <c r="B323" i="1" s="1"/>
  <c r="N137" i="1"/>
  <c r="AL112" i="1"/>
  <c r="L99" i="1"/>
  <c r="L323" i="1" s="1"/>
  <c r="D124" i="1"/>
  <c r="D286" i="1" s="1"/>
  <c r="L113" i="1"/>
  <c r="S116" i="1"/>
  <c r="C143" i="1"/>
  <c r="C115" i="1"/>
  <c r="N143" i="1"/>
  <c r="T115" i="1"/>
  <c r="IY16" i="4" s="1"/>
  <c r="IE9" i="4" s="1"/>
  <c r="IP16" i="4" s="1"/>
  <c r="BJ113" i="1"/>
  <c r="U113" i="1"/>
  <c r="B100" i="1"/>
  <c r="C111" i="1"/>
  <c r="R100" i="1"/>
  <c r="G100" i="1"/>
  <c r="C106" i="1"/>
  <c r="P106" i="1"/>
  <c r="T116" i="1"/>
  <c r="I138" i="1"/>
  <c r="T127" i="1"/>
  <c r="C216" i="1"/>
  <c r="T99" i="1"/>
  <c r="T323" i="1" s="1"/>
  <c r="BX232" i="1"/>
  <c r="BY232" i="1" s="1"/>
  <c r="BZ294" i="1" s="1"/>
  <c r="BX227" i="1"/>
  <c r="BY227" i="1" s="1"/>
  <c r="K131" i="1"/>
  <c r="B137" i="1"/>
  <c r="H137" i="1"/>
  <c r="Q116" i="1"/>
  <c r="H124" i="1"/>
  <c r="H286" i="1" s="1"/>
  <c r="L128" i="1"/>
  <c r="Q137" i="1"/>
  <c r="W111" i="1"/>
  <c r="R138" i="1"/>
  <c r="T113" i="1"/>
  <c r="U137" i="1"/>
  <c r="M111" i="1"/>
  <c r="BL166" i="1"/>
  <c r="P128" i="1"/>
  <c r="O104" i="1"/>
  <c r="J143" i="1"/>
  <c r="N116" i="1"/>
  <c r="P113" i="1"/>
  <c r="H116" i="1"/>
  <c r="AM128" i="1"/>
  <c r="AM131" i="1"/>
  <c r="AK104" i="1"/>
  <c r="D111" i="1"/>
  <c r="R112" i="1"/>
  <c r="R127" i="1"/>
  <c r="H106" i="1"/>
  <c r="IC15" i="4"/>
  <c r="II8" i="4"/>
  <c r="IF7" i="4"/>
  <c r="IP15" i="4"/>
  <c r="HV14" i="4"/>
  <c r="II7" i="4"/>
  <c r="IM7" i="4"/>
  <c r="HT14" i="4"/>
  <c r="CM124" i="1"/>
  <c r="AB169" i="1"/>
  <c r="CQ169" i="1"/>
  <c r="AC232" i="1"/>
  <c r="CN157" i="1"/>
  <c r="CO155" i="1"/>
  <c r="D323" i="1" l="1"/>
  <c r="IN14" i="4"/>
  <c r="IQ8" i="4"/>
  <c r="IY14" i="4"/>
  <c r="IS14" i="4"/>
  <c r="JG15" i="4"/>
  <c r="HU7" i="4"/>
  <c r="IR7" i="4"/>
  <c r="IM14" i="4"/>
  <c r="IG15" i="4"/>
  <c r="BX253" i="1"/>
  <c r="BY301" i="1" s="1"/>
  <c r="IM19" i="4"/>
  <c r="BG170" i="1" s="1"/>
  <c r="BG199" i="1" s="1"/>
  <c r="AK232" i="1"/>
  <c r="AL294" i="1" s="1"/>
  <c r="AK294" i="1"/>
  <c r="IY7" i="4"/>
  <c r="IY19" i="4" s="1"/>
  <c r="BS170" i="1" s="1"/>
  <c r="BS199" i="1" s="1"/>
  <c r="JE14" i="4"/>
  <c r="HP21" i="4"/>
  <c r="AJ169" i="1" s="1"/>
  <c r="JC21" i="4"/>
  <c r="BW169" i="1" s="1"/>
  <c r="HQ21" i="4"/>
  <c r="AK169" i="1" s="1"/>
  <c r="JD21" i="4"/>
  <c r="BX169" i="1" s="1"/>
  <c r="IE15" i="4"/>
  <c r="IE20" i="4" s="1"/>
  <c r="AY171" i="1" s="1"/>
  <c r="AY200" i="1" s="1"/>
  <c r="JI21" i="4"/>
  <c r="CC169" i="1" s="1"/>
  <c r="CC177" i="1" s="1"/>
  <c r="ID8" i="4"/>
  <c r="HX14" i="4"/>
  <c r="IM21" i="4"/>
  <c r="BG169" i="1" s="1"/>
  <c r="IR8" i="4"/>
  <c r="IL21" i="4"/>
  <c r="BF169" i="1" s="1"/>
  <c r="IJ8" i="4"/>
  <c r="JH8" i="4"/>
  <c r="IG8" i="4"/>
  <c r="IG20" i="4" s="1"/>
  <c r="BA171" i="1" s="1"/>
  <c r="BA200" i="1" s="1"/>
  <c r="IO21" i="4"/>
  <c r="BI169" i="1" s="1"/>
  <c r="IT14" i="4"/>
  <c r="JG8" i="4"/>
  <c r="JG20" i="4" s="1"/>
  <c r="CA171" i="1" s="1"/>
  <c r="IX8" i="4"/>
  <c r="IE7" i="4"/>
  <c r="IE19" i="4" s="1"/>
  <c r="AY170" i="1" s="1"/>
  <c r="AY199" i="1" s="1"/>
  <c r="HU8" i="4"/>
  <c r="JB14" i="4"/>
  <c r="JE15" i="4"/>
  <c r="IB8" i="4"/>
  <c r="IV15" i="4"/>
  <c r="JI14" i="4"/>
  <c r="IA21" i="4"/>
  <c r="AU169" i="1" s="1"/>
  <c r="IA14" i="4"/>
  <c r="JB8" i="4"/>
  <c r="JH15" i="4"/>
  <c r="JH20" i="4" s="1"/>
  <c r="CB171" i="1" s="1"/>
  <c r="IW15" i="4"/>
  <c r="IQ14" i="4"/>
  <c r="JC7" i="4"/>
  <c r="JC8" i="4"/>
  <c r="IA7" i="4"/>
  <c r="IN8" i="4"/>
  <c r="HU15" i="4"/>
  <c r="HU20" i="4" s="1"/>
  <c r="AO171" i="1" s="1"/>
  <c r="AO200" i="1" s="1"/>
  <c r="HY21" i="4"/>
  <c r="AS169" i="1" s="1"/>
  <c r="IG14" i="4"/>
  <c r="ID14" i="4"/>
  <c r="I101" i="1"/>
  <c r="O101" i="1"/>
  <c r="IO7" i="4"/>
  <c r="IY21" i="4"/>
  <c r="BS169" i="1" s="1"/>
  <c r="IP21" i="4"/>
  <c r="BJ169" i="1" s="1"/>
  <c r="BX272" i="1"/>
  <c r="BY272" i="1" s="1"/>
  <c r="CC186" i="1"/>
  <c r="CC194" i="1"/>
  <c r="W190" i="1"/>
  <c r="V345" i="1"/>
  <c r="AM344" i="1"/>
  <c r="AM101" i="1"/>
  <c r="AM107" i="1" s="1"/>
  <c r="AM108" i="1" s="1"/>
  <c r="U286" i="1"/>
  <c r="BY212" i="1"/>
  <c r="BY184" i="1" s="1"/>
  <c r="AL118" i="1"/>
  <c r="O344" i="1"/>
  <c r="BX118" i="1"/>
  <c r="AL344" i="1"/>
  <c r="S344" i="1"/>
  <c r="B345" i="1"/>
  <c r="AJ253" i="1"/>
  <c r="AK301" i="1" s="1"/>
  <c r="P101" i="1"/>
  <c r="AJ101" i="1"/>
  <c r="AJ107" i="1" s="1"/>
  <c r="AJ108" i="1" s="1"/>
  <c r="AL226" i="1"/>
  <c r="AM226" i="1" s="1"/>
  <c r="AM230" i="1" s="1"/>
  <c r="BK220" i="1"/>
  <c r="BL298" i="1" s="1"/>
  <c r="D118" i="1"/>
  <c r="C101" i="1"/>
  <c r="C107" i="1" s="1"/>
  <c r="C108" i="1" s="1"/>
  <c r="Q275" i="1"/>
  <c r="S101" i="1"/>
  <c r="S107" i="1" s="1"/>
  <c r="B344" i="1"/>
  <c r="BJ226" i="1"/>
  <c r="BK226" i="1" s="1"/>
  <c r="CB177" i="1"/>
  <c r="AJ294" i="1"/>
  <c r="S345" i="1"/>
  <c r="Q101" i="1"/>
  <c r="Q190" i="1" s="1"/>
  <c r="X102" i="1"/>
  <c r="M101" i="1"/>
  <c r="M107" i="1" s="1"/>
  <c r="M108" i="1" s="1"/>
  <c r="M344" i="1"/>
  <c r="S118" i="1"/>
  <c r="AJ129" i="1"/>
  <c r="BJ240" i="1"/>
  <c r="BJ274" i="1" s="1"/>
  <c r="AM220" i="1"/>
  <c r="BX226" i="1"/>
  <c r="BY226" i="1" s="1"/>
  <c r="BY230" i="1" s="1"/>
  <c r="BZ295" i="1" s="1"/>
  <c r="BZ293" i="1" s="1"/>
  <c r="AJ272" i="1"/>
  <c r="AK272" i="1" s="1"/>
  <c r="AJ271" i="1"/>
  <c r="BJ253" i="1"/>
  <c r="BK301" i="1" s="1"/>
  <c r="D345" i="1"/>
  <c r="L118" i="1"/>
  <c r="AJ226" i="1"/>
  <c r="AK125" i="1" s="1"/>
  <c r="BY220" i="1"/>
  <c r="BZ298" i="1" s="1"/>
  <c r="Q345" i="1"/>
  <c r="AJ275" i="1"/>
  <c r="D101" i="1"/>
  <c r="C344" i="1"/>
  <c r="AL253" i="1"/>
  <c r="AM301" i="1" s="1"/>
  <c r="BK294" i="1"/>
  <c r="I344" i="1"/>
  <c r="R345" i="1"/>
  <c r="BX220" i="1"/>
  <c r="BX260" i="1" s="1"/>
  <c r="BX201" i="1" s="1"/>
  <c r="AK118" i="1"/>
  <c r="CB186" i="1"/>
  <c r="AJ125" i="1"/>
  <c r="BJ220" i="1"/>
  <c r="B101" i="1"/>
  <c r="B107" i="1" s="1"/>
  <c r="B108" i="1" s="1"/>
  <c r="B118" i="1"/>
  <c r="G344" i="1"/>
  <c r="O345" i="1"/>
  <c r="R101" i="1"/>
  <c r="W118" i="1"/>
  <c r="W119" i="1" s="1"/>
  <c r="E101" i="1"/>
  <c r="K345" i="1"/>
  <c r="AL220" i="1"/>
  <c r="BJ248" i="1"/>
  <c r="BJ277" i="1" s="1"/>
  <c r="N345" i="1"/>
  <c r="K101" i="1"/>
  <c r="K190" i="1" s="1"/>
  <c r="K118" i="1"/>
  <c r="V118" i="1"/>
  <c r="V119" i="1" s="1"/>
  <c r="AK220" i="1"/>
  <c r="AJ220" i="1"/>
  <c r="P344" i="1"/>
  <c r="AM190" i="1"/>
  <c r="AM191" i="1" s="1"/>
  <c r="L101" i="1"/>
  <c r="L107" i="1" s="1"/>
  <c r="L108" i="1" s="1"/>
  <c r="N344" i="1"/>
  <c r="BX275" i="1"/>
  <c r="BY275" i="1" s="1"/>
  <c r="E118" i="1"/>
  <c r="T118" i="1"/>
  <c r="AM118" i="1"/>
  <c r="U107" i="1"/>
  <c r="U108" i="1" s="1"/>
  <c r="AJ118" i="1"/>
  <c r="I118" i="1"/>
  <c r="O118" i="1"/>
  <c r="CA194" i="1"/>
  <c r="BJ212" i="1"/>
  <c r="BJ184" i="1" s="1"/>
  <c r="P275" i="1"/>
  <c r="K344" i="1"/>
  <c r="BX271" i="1"/>
  <c r="BY271" i="1" s="1"/>
  <c r="N101" i="1"/>
  <c r="N107" i="1" s="1"/>
  <c r="N108" i="1" s="1"/>
  <c r="T344" i="1"/>
  <c r="Q344" i="1"/>
  <c r="J344" i="1"/>
  <c r="P118" i="1"/>
  <c r="G118" i="1"/>
  <c r="Q118" i="1"/>
  <c r="F118" i="1"/>
  <c r="N118" i="1"/>
  <c r="R118" i="1"/>
  <c r="BJ275" i="1"/>
  <c r="BK275" i="1" s="1"/>
  <c r="BY294" i="1"/>
  <c r="P345" i="1"/>
  <c r="H344" i="1"/>
  <c r="BX248" i="1"/>
  <c r="BX277" i="1" s="1"/>
  <c r="I345" i="1"/>
  <c r="T345" i="1"/>
  <c r="AK101" i="1"/>
  <c r="AK107" i="1" s="1"/>
  <c r="M118" i="1"/>
  <c r="C118" i="1"/>
  <c r="J118" i="1"/>
  <c r="U118" i="1"/>
  <c r="H118" i="1"/>
  <c r="AL240" i="1"/>
  <c r="AL274" i="1" s="1"/>
  <c r="AJ248" i="1"/>
  <c r="AJ277" i="1" s="1"/>
  <c r="AJ240" i="1"/>
  <c r="AJ288" i="1" s="1"/>
  <c r="AL212" i="1"/>
  <c r="V102" i="1"/>
  <c r="W102" i="1"/>
  <c r="G345" i="1"/>
  <c r="G275" i="1"/>
  <c r="C345" i="1"/>
  <c r="BJ272" i="1"/>
  <c r="BK272" i="1" s="1"/>
  <c r="F345" i="1"/>
  <c r="AJ212" i="1"/>
  <c r="BX345" i="1"/>
  <c r="AL271" i="1"/>
  <c r="AM271" i="1" s="1"/>
  <c r="V280" i="1"/>
  <c r="AL101" i="1"/>
  <c r="AL107" i="1" s="1"/>
  <c r="AL108" i="1" s="1"/>
  <c r="BJ271" i="1"/>
  <c r="BK271" i="1" s="1"/>
  <c r="J345" i="1"/>
  <c r="F344" i="1"/>
  <c r="F101" i="1"/>
  <c r="F107" i="1" s="1"/>
  <c r="F108" i="1" s="1"/>
  <c r="G101" i="1"/>
  <c r="G107" i="1" s="1"/>
  <c r="L344" i="1"/>
  <c r="BX344" i="1"/>
  <c r="AI288" i="1"/>
  <c r="AI290" i="1" s="1"/>
  <c r="AL248" i="1"/>
  <c r="AL277" i="1" s="1"/>
  <c r="AL272" i="1"/>
  <c r="AM272" i="1" s="1"/>
  <c r="BX240" i="1"/>
  <c r="BX274" i="1" s="1"/>
  <c r="H345" i="1"/>
  <c r="W280" i="1"/>
  <c r="J101" i="1"/>
  <c r="J107" i="1" s="1"/>
  <c r="J108" i="1" s="1"/>
  <c r="M345" i="1"/>
  <c r="BX101" i="1"/>
  <c r="BX107" i="1" s="1"/>
  <c r="BX108" i="1" s="1"/>
  <c r="BX323" i="1"/>
  <c r="R344" i="1"/>
  <c r="JI7" i="4"/>
  <c r="HT7" i="4"/>
  <c r="HT19" i="4" s="1"/>
  <c r="AN170" i="1" s="1"/>
  <c r="AN199" i="1" s="1"/>
  <c r="IF8" i="4"/>
  <c r="IZ7" i="4"/>
  <c r="T101" i="1"/>
  <c r="T107" i="1" s="1"/>
  <c r="HY7" i="4"/>
  <c r="IA15" i="4"/>
  <c r="IB7" i="4"/>
  <c r="IB19" i="4" s="1"/>
  <c r="AV170" i="1" s="1"/>
  <c r="AV199" i="1" s="1"/>
  <c r="JH14" i="4"/>
  <c r="HZ8" i="4"/>
  <c r="IJ14" i="4"/>
  <c r="IW7" i="4"/>
  <c r="AM345" i="1"/>
  <c r="AL275" i="1"/>
  <c r="AM275" i="1" s="1"/>
  <c r="AL345" i="1"/>
  <c r="V107" i="1"/>
  <c r="V108" i="1" s="1"/>
  <c r="IS8" i="4"/>
  <c r="JE7" i="4"/>
  <c r="IF15" i="4"/>
  <c r="IH8" i="4"/>
  <c r="HY15" i="4"/>
  <c r="IN7" i="4"/>
  <c r="JD7" i="4"/>
  <c r="IH14" i="4"/>
  <c r="IN15" i="4"/>
  <c r="HS14" i="4"/>
  <c r="HP15" i="4"/>
  <c r="HR7" i="4"/>
  <c r="IC8" i="4"/>
  <c r="IC20" i="4" s="1"/>
  <c r="AW171" i="1" s="1"/>
  <c r="AW200" i="1" s="1"/>
  <c r="JG14" i="4"/>
  <c r="HV21" i="4"/>
  <c r="AP169" i="1" s="1"/>
  <c r="JB15" i="4"/>
  <c r="HT8" i="4"/>
  <c r="IY15" i="4"/>
  <c r="IA8" i="4"/>
  <c r="IA20" i="4" s="1"/>
  <c r="AU171" i="1" s="1"/>
  <c r="AU200" i="1" s="1"/>
  <c r="HP14" i="4"/>
  <c r="IZ14" i="4"/>
  <c r="IF14" i="4"/>
  <c r="IF19" i="4" s="1"/>
  <c r="AZ170" i="1" s="1"/>
  <c r="AZ199" i="1" s="1"/>
  <c r="HR14" i="4"/>
  <c r="HR19" i="4" s="1"/>
  <c r="AL170" i="1" s="1"/>
  <c r="AL199" i="1" s="1"/>
  <c r="HW7" i="4"/>
  <c r="HW19" i="4" s="1"/>
  <c r="AQ170" i="1" s="1"/>
  <c r="AQ199" i="1" s="1"/>
  <c r="HQ8" i="4"/>
  <c r="IR14" i="4"/>
  <c r="IR19" i="4" s="1"/>
  <c r="BL170" i="1" s="1"/>
  <c r="BL187" i="1" s="1"/>
  <c r="IL8" i="4"/>
  <c r="IV8" i="4"/>
  <c r="IS7" i="4"/>
  <c r="IS19" i="4" s="1"/>
  <c r="BM170" i="1" s="1"/>
  <c r="BM199" i="1" s="1"/>
  <c r="IS21" i="4"/>
  <c r="BM169" i="1" s="1"/>
  <c r="IY8" i="4"/>
  <c r="HZ7" i="4"/>
  <c r="HQ15" i="4"/>
  <c r="HQ20" i="4" s="1"/>
  <c r="AK171" i="1" s="1"/>
  <c r="JA21" i="4"/>
  <c r="BU169" i="1" s="1"/>
  <c r="IP7" i="4"/>
  <c r="HY8" i="4"/>
  <c r="JC14" i="4"/>
  <c r="JC19" i="4" s="1"/>
  <c r="BW170" i="1" s="1"/>
  <c r="BW199" i="1" s="1"/>
  <c r="IV14" i="4"/>
  <c r="JD15" i="4"/>
  <c r="HX15" i="4"/>
  <c r="IS15" i="4"/>
  <c r="II21" i="4"/>
  <c r="BC169" i="1" s="1"/>
  <c r="IL15" i="4"/>
  <c r="IL20" i="4" s="1"/>
  <c r="BF171" i="1" s="1"/>
  <c r="BF200" i="1" s="1"/>
  <c r="JF7" i="4"/>
  <c r="IR15" i="4"/>
  <c r="HX7" i="4"/>
  <c r="IC14" i="4"/>
  <c r="JC15" i="4"/>
  <c r="IP14" i="4"/>
  <c r="IE21" i="4"/>
  <c r="AY169" i="1" s="1"/>
  <c r="HT15" i="4"/>
  <c r="IM8" i="4"/>
  <c r="HP8" i="4"/>
  <c r="IQ15" i="4"/>
  <c r="IQ20" i="4" s="1"/>
  <c r="BK171" i="1" s="1"/>
  <c r="BK200" i="1" s="1"/>
  <c r="IC7" i="4"/>
  <c r="HS15" i="4"/>
  <c r="IJ7" i="4"/>
  <c r="IL7" i="4"/>
  <c r="HY14" i="4"/>
  <c r="HV8" i="4"/>
  <c r="IH7" i="4"/>
  <c r="HV15" i="4"/>
  <c r="HV20" i="4" s="1"/>
  <c r="AP171" i="1" s="1"/>
  <c r="AP200" i="1" s="1"/>
  <c r="IH15" i="4"/>
  <c r="IH20" i="4" s="1"/>
  <c r="BB171" i="1" s="1"/>
  <c r="BB200" i="1" s="1"/>
  <c r="IU14" i="4"/>
  <c r="HQ14" i="4"/>
  <c r="H101" i="1"/>
  <c r="H107" i="1" s="1"/>
  <c r="H108" i="1" s="1"/>
  <c r="BX212" i="1"/>
  <c r="BX184" i="1" s="1"/>
  <c r="P323" i="1"/>
  <c r="L345" i="1"/>
  <c r="IK14" i="4"/>
  <c r="JE21" i="4"/>
  <c r="BY169" i="1" s="1"/>
  <c r="JE8" i="4"/>
  <c r="HU21" i="4"/>
  <c r="AO169" i="1" s="1"/>
  <c r="IQ7" i="4"/>
  <c r="W107" i="1"/>
  <c r="X109" i="1" s="1"/>
  <c r="JB21" i="4"/>
  <c r="BV169" i="1" s="1"/>
  <c r="IU15" i="4"/>
  <c r="IR21" i="4"/>
  <c r="BL169" i="1" s="1"/>
  <c r="BL186" i="1" s="1"/>
  <c r="IX14" i="4"/>
  <c r="IX19" i="4" s="1"/>
  <c r="BR170" i="1" s="1"/>
  <c r="BR199" i="1" s="1"/>
  <c r="HX21" i="4"/>
  <c r="AR169" i="1" s="1"/>
  <c r="IK15" i="4"/>
  <c r="IT7" i="4"/>
  <c r="HS8" i="4"/>
  <c r="HT21" i="4"/>
  <c r="AN169" i="1" s="1"/>
  <c r="IU8" i="4"/>
  <c r="ID21" i="4"/>
  <c r="AX169" i="1" s="1"/>
  <c r="HU14" i="4"/>
  <c r="HU19" i="4" s="1"/>
  <c r="AO170" i="1" s="1"/>
  <c r="AO199" i="1" s="1"/>
  <c r="IK21" i="4"/>
  <c r="BE169" i="1" s="1"/>
  <c r="HZ15" i="4"/>
  <c r="JA14" i="4"/>
  <c r="JA19" i="4" s="1"/>
  <c r="BU170" i="1" s="1"/>
  <c r="BU199" i="1" s="1"/>
  <c r="IT8" i="4"/>
  <c r="IT20" i="4" s="1"/>
  <c r="BN171" i="1" s="1"/>
  <c r="BN200" i="1" s="1"/>
  <c r="IO8" i="4"/>
  <c r="JF8" i="4"/>
  <c r="JF20" i="4" s="1"/>
  <c r="BZ171" i="1" s="1"/>
  <c r="IC21" i="4"/>
  <c r="AW169" i="1" s="1"/>
  <c r="HS21" i="4"/>
  <c r="AM169" i="1" s="1"/>
  <c r="JB7" i="4"/>
  <c r="HZ14" i="4"/>
  <c r="HW15" i="4"/>
  <c r="IU7" i="4"/>
  <c r="IG21" i="4"/>
  <c r="BA169" i="1" s="1"/>
  <c r="HR8" i="4"/>
  <c r="HR20" i="4" s="1"/>
  <c r="AL171" i="1" s="1"/>
  <c r="AL200" i="1" s="1"/>
  <c r="IJ15" i="4"/>
  <c r="JH7" i="4"/>
  <c r="IU21" i="4"/>
  <c r="BO169" i="1" s="1"/>
  <c r="IL14" i="4"/>
  <c r="JF14" i="4"/>
  <c r="IK7" i="4"/>
  <c r="IV7" i="4"/>
  <c r="JG7" i="4"/>
  <c r="IZ21" i="4"/>
  <c r="BT169" i="1" s="1"/>
  <c r="HQ7" i="4"/>
  <c r="IO14" i="4"/>
  <c r="IF21" i="4"/>
  <c r="AZ169" i="1" s="1"/>
  <c r="HV7" i="4"/>
  <c r="HV19" i="4" s="1"/>
  <c r="AP170" i="1" s="1"/>
  <c r="AP199" i="1" s="1"/>
  <c r="ID7" i="4"/>
  <c r="IX21" i="4"/>
  <c r="BR169" i="1" s="1"/>
  <c r="IN21" i="4"/>
  <c r="BH169" i="1" s="1"/>
  <c r="HP7" i="4"/>
  <c r="IJ21" i="4"/>
  <c r="BD169" i="1" s="1"/>
  <c r="IG7" i="4"/>
  <c r="II14" i="4"/>
  <c r="II19" i="4" s="1"/>
  <c r="BC170" i="1" s="1"/>
  <c r="BC199" i="1" s="1"/>
  <c r="IW14" i="4"/>
  <c r="IK8" i="4"/>
  <c r="II15" i="4"/>
  <c r="II20" i="4" s="1"/>
  <c r="BC171" i="1" s="1"/>
  <c r="BC200" i="1" s="1"/>
  <c r="IB21" i="4"/>
  <c r="AV169" i="1" s="1"/>
  <c r="JA15" i="4"/>
  <c r="W345" i="1"/>
  <c r="W286" i="1"/>
  <c r="HZ21" i="4"/>
  <c r="AT169" i="1" s="1"/>
  <c r="IO15" i="4"/>
  <c r="IP8" i="4"/>
  <c r="IP20" i="4" s="1"/>
  <c r="BJ171" i="1" s="1"/>
  <c r="BJ200" i="1" s="1"/>
  <c r="ID15" i="4"/>
  <c r="HS7" i="4"/>
  <c r="JI15" i="4"/>
  <c r="JI20" i="4" s="1"/>
  <c r="CC171" i="1" s="1"/>
  <c r="CC200" i="1" s="1"/>
  <c r="IM15" i="4"/>
  <c r="IW8" i="4"/>
  <c r="JA8" i="4"/>
  <c r="JD14" i="4"/>
  <c r="HW21" i="4"/>
  <c r="AQ169" i="1" s="1"/>
  <c r="IH21" i="4"/>
  <c r="BB169" i="1" s="1"/>
  <c r="IX15" i="4"/>
  <c r="IZ8" i="4"/>
  <c r="IZ20" i="4" s="1"/>
  <c r="BT171" i="1" s="1"/>
  <c r="BT200" i="1" s="1"/>
  <c r="HX8" i="4"/>
  <c r="IB15" i="4"/>
  <c r="HW8" i="4"/>
  <c r="IV21" i="4"/>
  <c r="BP169" i="1" s="1"/>
  <c r="JD8" i="4"/>
  <c r="CM286" i="1"/>
  <c r="CM224" i="1"/>
  <c r="CM226" i="1" s="1"/>
  <c r="CM230" i="1" s="1"/>
  <c r="CM295" i="1" s="1"/>
  <c r="CM293" i="1" s="1"/>
  <c r="CR169" i="1"/>
  <c r="AC294" i="1"/>
  <c r="AB241" i="1"/>
  <c r="AB209" i="1"/>
  <c r="CO157" i="1"/>
  <c r="CP155" i="1"/>
  <c r="IJ19" i="4" l="1"/>
  <c r="BD170" i="1" s="1"/>
  <c r="BD199" i="1" s="1"/>
  <c r="IS20" i="4"/>
  <c r="BM171" i="1" s="1"/>
  <c r="BM200" i="1" s="1"/>
  <c r="E119" i="1"/>
  <c r="IF20" i="4"/>
  <c r="AZ171" i="1" s="1"/>
  <c r="AZ200" i="1" s="1"/>
  <c r="IN20" i="4"/>
  <c r="BH171" i="1" s="1"/>
  <c r="BH200" i="1" s="1"/>
  <c r="JB20" i="4"/>
  <c r="BV171" i="1" s="1"/>
  <c r="BV200" i="1" s="1"/>
  <c r="IZ19" i="4"/>
  <c r="BT170" i="1" s="1"/>
  <c r="BT199" i="1" s="1"/>
  <c r="IR20" i="4"/>
  <c r="BL171" i="1" s="1"/>
  <c r="BL188" i="1" s="1"/>
  <c r="JC20" i="4"/>
  <c r="BW171" i="1" s="1"/>
  <c r="BW200" i="1" s="1"/>
  <c r="IP19" i="4"/>
  <c r="BJ170" i="1" s="1"/>
  <c r="BJ199" i="1" s="1"/>
  <c r="HT20" i="4"/>
  <c r="AN171" i="1" s="1"/>
  <c r="AN200" i="1" s="1"/>
  <c r="HY19" i="4"/>
  <c r="AS170" i="1" s="1"/>
  <c r="AS199" i="1" s="1"/>
  <c r="IO20" i="4"/>
  <c r="BI171" i="1" s="1"/>
  <c r="BI200" i="1" s="1"/>
  <c r="P102" i="1"/>
  <c r="JI19" i="4"/>
  <c r="CC170" i="1" s="1"/>
  <c r="CC187" i="1" s="1"/>
  <c r="IN19" i="4"/>
  <c r="BH170" i="1" s="1"/>
  <c r="BH199" i="1" s="1"/>
  <c r="IV20" i="4"/>
  <c r="BP171" i="1" s="1"/>
  <c r="BP200" i="1" s="1"/>
  <c r="JE19" i="4"/>
  <c r="BY170" i="1" s="1"/>
  <c r="BY181" i="1" s="1"/>
  <c r="HX19" i="4"/>
  <c r="AR170" i="1" s="1"/>
  <c r="AR199" i="1" s="1"/>
  <c r="O190" i="1"/>
  <c r="O107" i="1"/>
  <c r="BX186" i="1"/>
  <c r="JE20" i="4"/>
  <c r="BY171" i="1" s="1"/>
  <c r="IQ19" i="4"/>
  <c r="BK170" i="1" s="1"/>
  <c r="BK199" i="1" s="1"/>
  <c r="IT19" i="4"/>
  <c r="BN170" i="1" s="1"/>
  <c r="BN199" i="1" s="1"/>
  <c r="HZ20" i="4"/>
  <c r="AT171" i="1" s="1"/>
  <c r="AT200" i="1" s="1"/>
  <c r="JB19" i="4"/>
  <c r="BV170" i="1" s="1"/>
  <c r="BV199" i="1" s="1"/>
  <c r="HZ19" i="4"/>
  <c r="AT170" i="1" s="1"/>
  <c r="AT199" i="1" s="1"/>
  <c r="IJ20" i="4"/>
  <c r="BD171" i="1" s="1"/>
  <c r="BD200" i="1" s="1"/>
  <c r="JH19" i="4"/>
  <c r="CB170" i="1" s="1"/>
  <c r="IL19" i="4"/>
  <c r="BF170" i="1" s="1"/>
  <c r="BF199" i="1" s="1"/>
  <c r="JF19" i="4"/>
  <c r="BZ170" i="1" s="1"/>
  <c r="IO19" i="4"/>
  <c r="BI170" i="1" s="1"/>
  <c r="BI199" i="1" s="1"/>
  <c r="ID19" i="4"/>
  <c r="AX170" i="1" s="1"/>
  <c r="AX199" i="1" s="1"/>
  <c r="IG19" i="4"/>
  <c r="BA170" i="1" s="1"/>
  <c r="BA199" i="1" s="1"/>
  <c r="IW19" i="4"/>
  <c r="BQ170" i="1" s="1"/>
  <c r="BQ199" i="1" s="1"/>
  <c r="ID20" i="4"/>
  <c r="AX171" i="1" s="1"/>
  <c r="AX200" i="1" s="1"/>
  <c r="IM20" i="4"/>
  <c r="BG171" i="1" s="1"/>
  <c r="BG200" i="1" s="1"/>
  <c r="IW20" i="4"/>
  <c r="BQ171" i="1" s="1"/>
  <c r="BQ200" i="1" s="1"/>
  <c r="JD19" i="4"/>
  <c r="BX170" i="1" s="1"/>
  <c r="IX20" i="4"/>
  <c r="BR171" i="1" s="1"/>
  <c r="BR200" i="1" s="1"/>
  <c r="IB20" i="4"/>
  <c r="AV171" i="1" s="1"/>
  <c r="AV200" i="1" s="1"/>
  <c r="IA19" i="4"/>
  <c r="AU170" i="1" s="1"/>
  <c r="AU199" i="1" s="1"/>
  <c r="CA188" i="1"/>
  <c r="CA200" i="1"/>
  <c r="CA196" i="1"/>
  <c r="CB188" i="1"/>
  <c r="CB200" i="1"/>
  <c r="CB203" i="1" s="1"/>
  <c r="CB206" i="1" s="1"/>
  <c r="CB196" i="1"/>
  <c r="CB179" i="1"/>
  <c r="I107" i="1"/>
  <c r="J109" i="1" s="1"/>
  <c r="I190" i="1"/>
  <c r="S102" i="1"/>
  <c r="P107" i="1"/>
  <c r="P108" i="1" s="1"/>
  <c r="BZ299" i="1"/>
  <c r="BZ297" i="1" s="1"/>
  <c r="P280" i="1"/>
  <c r="AM119" i="1"/>
  <c r="AL230" i="1"/>
  <c r="AL338" i="1" s="1"/>
  <c r="AM125" i="1"/>
  <c r="BJ230" i="1"/>
  <c r="BJ338" i="1" s="1"/>
  <c r="P190" i="1"/>
  <c r="AJ119" i="1"/>
  <c r="Q107" i="1"/>
  <c r="Q108" i="1" s="1"/>
  <c r="BL341" i="1"/>
  <c r="S190" i="1"/>
  <c r="BK341" i="1"/>
  <c r="C119" i="1"/>
  <c r="D119" i="1"/>
  <c r="AM103" i="1"/>
  <c r="Q280" i="1"/>
  <c r="BZ125" i="1"/>
  <c r="M190" i="1"/>
  <c r="Q102" i="1"/>
  <c r="CC179" i="1"/>
  <c r="AJ230" i="1"/>
  <c r="AJ295" i="1" s="1"/>
  <c r="AJ293" i="1" s="1"/>
  <c r="BY125" i="1"/>
  <c r="BY221" i="1"/>
  <c r="BZ341" i="1"/>
  <c r="BZ343" i="1" s="1"/>
  <c r="BJ340" i="1"/>
  <c r="W108" i="1"/>
  <c r="AL298" i="1"/>
  <c r="AK298" i="1"/>
  <c r="F190" i="1"/>
  <c r="CC188" i="1"/>
  <c r="AK226" i="1"/>
  <c r="AK230" i="1" s="1"/>
  <c r="J102" i="1"/>
  <c r="BX278" i="1"/>
  <c r="CB281" i="1" s="1"/>
  <c r="B119" i="1"/>
  <c r="BX230" i="1"/>
  <c r="BX338" i="1" s="1"/>
  <c r="AL340" i="1"/>
  <c r="BJ260" i="1"/>
  <c r="BJ201" i="1" s="1"/>
  <c r="K107" i="1"/>
  <c r="K108" i="1" s="1"/>
  <c r="D280" i="1"/>
  <c r="D102" i="1"/>
  <c r="G190" i="1"/>
  <c r="CC196" i="1"/>
  <c r="R102" i="1"/>
  <c r="N280" i="1"/>
  <c r="M280" i="1"/>
  <c r="R190" i="1"/>
  <c r="R107" i="1"/>
  <c r="D107" i="1"/>
  <c r="D120" i="1" s="1"/>
  <c r="D126" i="1" s="1"/>
  <c r="D130" i="1" s="1"/>
  <c r="AJ120" i="1"/>
  <c r="AJ126" i="1" s="1"/>
  <c r="AJ130" i="1" s="1"/>
  <c r="AJ132" i="1" s="1"/>
  <c r="T109" i="1"/>
  <c r="S280" i="1"/>
  <c r="AK120" i="1"/>
  <c r="AK121" i="1" s="1"/>
  <c r="E102" i="1"/>
  <c r="R280" i="1"/>
  <c r="T102" i="1"/>
  <c r="BL199" i="1"/>
  <c r="BL202" i="1" s="1"/>
  <c r="AJ274" i="1"/>
  <c r="BY341" i="1"/>
  <c r="BY298" i="1"/>
  <c r="V109" i="1"/>
  <c r="AL249" i="1"/>
  <c r="BJ221" i="1"/>
  <c r="C102" i="1"/>
  <c r="W109" i="1"/>
  <c r="C120" i="1"/>
  <c r="C121" i="1" s="1"/>
  <c r="E190" i="1"/>
  <c r="AL341" i="1"/>
  <c r="AM110" i="1"/>
  <c r="U280" i="1"/>
  <c r="BK298" i="1"/>
  <c r="AL184" i="1"/>
  <c r="AL186" i="1" s="1"/>
  <c r="J280" i="1"/>
  <c r="AM120" i="1"/>
  <c r="AM324" i="1" s="1"/>
  <c r="AM325" i="1" s="1"/>
  <c r="T190" i="1"/>
  <c r="U102" i="1"/>
  <c r="AM298" i="1"/>
  <c r="W120" i="1"/>
  <c r="T280" i="1"/>
  <c r="AM341" i="1"/>
  <c r="J190" i="1"/>
  <c r="E107" i="1"/>
  <c r="E108" i="1" s="1"/>
  <c r="AL260" i="1"/>
  <c r="AL201" i="1" s="1"/>
  <c r="K280" i="1"/>
  <c r="E280" i="1"/>
  <c r="BY186" i="1"/>
  <c r="C280" i="1"/>
  <c r="K102" i="1"/>
  <c r="AL119" i="1"/>
  <c r="BJ249" i="1"/>
  <c r="AJ289" i="1"/>
  <c r="AJ290" i="1" s="1"/>
  <c r="V120" i="1"/>
  <c r="V204" i="1" s="1"/>
  <c r="BX273" i="1"/>
  <c r="AJ249" i="1"/>
  <c r="BX28" i="1"/>
  <c r="AM194" i="1"/>
  <c r="AL110" i="1"/>
  <c r="BX276" i="1"/>
  <c r="L102" i="1"/>
  <c r="O280" i="1"/>
  <c r="BJ276" i="1"/>
  <c r="AK108" i="1"/>
  <c r="AJ298" i="1"/>
  <c r="M102" i="1"/>
  <c r="BY299" i="1"/>
  <c r="CB102" i="1"/>
  <c r="AJ221" i="1"/>
  <c r="AK110" i="1"/>
  <c r="AK103" i="1"/>
  <c r="BY103" i="1"/>
  <c r="N102" i="1"/>
  <c r="AJ260" i="1"/>
  <c r="AK129" i="1" s="1"/>
  <c r="BX249" i="1"/>
  <c r="I102" i="1"/>
  <c r="L190" i="1"/>
  <c r="L280" i="1"/>
  <c r="CC280" i="1"/>
  <c r="O102" i="1"/>
  <c r="N190" i="1"/>
  <c r="G108" i="1"/>
  <c r="G109" i="1"/>
  <c r="AL221" i="1"/>
  <c r="F102" i="1"/>
  <c r="AL120" i="1"/>
  <c r="H280" i="1"/>
  <c r="H102" i="1"/>
  <c r="BX340" i="1"/>
  <c r="H190" i="1"/>
  <c r="BX119" i="1"/>
  <c r="AL103" i="1"/>
  <c r="G102" i="1"/>
  <c r="AK119" i="1"/>
  <c r="CA317" i="1"/>
  <c r="BX221" i="1"/>
  <c r="AM317" i="1"/>
  <c r="I280" i="1"/>
  <c r="F280" i="1"/>
  <c r="G280" i="1"/>
  <c r="AL276" i="1"/>
  <c r="BZ200" i="1"/>
  <c r="BZ203" i="1" s="1"/>
  <c r="BZ188" i="1"/>
  <c r="JA20" i="4"/>
  <c r="BU171" i="1" s="1"/>
  <c r="BU200" i="1" s="1"/>
  <c r="HW20" i="4"/>
  <c r="AQ171" i="1" s="1"/>
  <c r="AQ200" i="1" s="1"/>
  <c r="IK19" i="4"/>
  <c r="BE170" i="1" s="1"/>
  <c r="BE199" i="1" s="1"/>
  <c r="IU19" i="4"/>
  <c r="BO170" i="1" s="1"/>
  <c r="BO199" i="1" s="1"/>
  <c r="HS20" i="4"/>
  <c r="AM171" i="1" s="1"/>
  <c r="HX20" i="4"/>
  <c r="AR171" i="1" s="1"/>
  <c r="AR200" i="1" s="1"/>
  <c r="HP19" i="4"/>
  <c r="AJ170" i="1" s="1"/>
  <c r="IH19" i="4"/>
  <c r="BB170" i="1" s="1"/>
  <c r="BB199" i="1" s="1"/>
  <c r="HY20" i="4"/>
  <c r="AS171" i="1" s="1"/>
  <c r="AS200" i="1" s="1"/>
  <c r="IK20" i="4"/>
  <c r="BE171" i="1" s="1"/>
  <c r="BE200" i="1" s="1"/>
  <c r="IU20" i="4"/>
  <c r="BO171" i="1" s="1"/>
  <c r="BO200" i="1" s="1"/>
  <c r="IC19" i="4"/>
  <c r="AW170" i="1" s="1"/>
  <c r="AW199" i="1" s="1"/>
  <c r="JD20" i="4"/>
  <c r="BX171" i="1" s="1"/>
  <c r="HP20" i="4"/>
  <c r="AJ171" i="1" s="1"/>
  <c r="IV19" i="4"/>
  <c r="BP170" i="1" s="1"/>
  <c r="BP199" i="1" s="1"/>
  <c r="IY20" i="4"/>
  <c r="BS171" i="1" s="1"/>
  <c r="BS200" i="1" s="1"/>
  <c r="JG19" i="4"/>
  <c r="CA170" i="1" s="1"/>
  <c r="HS19" i="4"/>
  <c r="AM170" i="1" s="1"/>
  <c r="HQ19" i="4"/>
  <c r="AK170" i="1" s="1"/>
  <c r="S108" i="1"/>
  <c r="B120" i="1"/>
  <c r="B121" i="1" s="1"/>
  <c r="H109" i="1"/>
  <c r="C109" i="1"/>
  <c r="T108" i="1"/>
  <c r="U109" i="1"/>
  <c r="BX120" i="1"/>
  <c r="BX75" i="1" s="1"/>
  <c r="BY110" i="1"/>
  <c r="CB109" i="1"/>
  <c r="BY129" i="1"/>
  <c r="N109" i="1"/>
  <c r="M109" i="1"/>
  <c r="BL125" i="1"/>
  <c r="BK230" i="1"/>
  <c r="BL295" i="1" s="1"/>
  <c r="BL293" i="1" s="1"/>
  <c r="BJ186" i="1"/>
  <c r="BJ187" i="1"/>
  <c r="BJ188" i="1"/>
  <c r="BJ278" i="1"/>
  <c r="BJ273" i="1"/>
  <c r="AL273" i="1"/>
  <c r="AL278" i="1"/>
  <c r="CN124" i="1"/>
  <c r="CS169" i="1"/>
  <c r="AB255" i="1"/>
  <c r="CP157" i="1"/>
  <c r="CQ155" i="1"/>
  <c r="AC209" i="1"/>
  <c r="AC241" i="1"/>
  <c r="CB317" i="1"/>
  <c r="BQ1" i="1"/>
  <c r="BR1" i="1" s="1"/>
  <c r="BS1" i="1" s="1"/>
  <c r="BT1" i="1" s="1"/>
  <c r="BY199" i="1" l="1"/>
  <c r="BJ202" i="1"/>
  <c r="BY187" i="1"/>
  <c r="CC178" i="1"/>
  <c r="CF182" i="1" s="1"/>
  <c r="CC195" i="1"/>
  <c r="BL200" i="1"/>
  <c r="BL203" i="1" s="1"/>
  <c r="CC199" i="1"/>
  <c r="O108" i="1"/>
  <c r="O109" i="1"/>
  <c r="R109" i="1"/>
  <c r="BY200" i="1"/>
  <c r="BY188" i="1"/>
  <c r="CB178" i="1"/>
  <c r="CB199" i="1"/>
  <c r="CB202" i="1" s="1"/>
  <c r="CB205" i="1" s="1"/>
  <c r="CB187" i="1"/>
  <c r="CB195" i="1"/>
  <c r="BZ199" i="1"/>
  <c r="BZ202" i="1" s="1"/>
  <c r="BZ187" i="1"/>
  <c r="BZ181" i="1"/>
  <c r="BX181" i="1"/>
  <c r="BX199" i="1"/>
  <c r="BX202" i="1" s="1"/>
  <c r="BX187" i="1"/>
  <c r="I108" i="1"/>
  <c r="I109" i="1"/>
  <c r="P109" i="1"/>
  <c r="AM295" i="1"/>
  <c r="AM293" i="1" s="1"/>
  <c r="AL257" i="1"/>
  <c r="AL258" i="1" s="1"/>
  <c r="Q109" i="1"/>
  <c r="L109" i="1"/>
  <c r="F109" i="1"/>
  <c r="E120" i="1"/>
  <c r="E121" i="1" s="1"/>
  <c r="BY295" i="1"/>
  <c r="BY293" i="1" s="1"/>
  <c r="BX257" i="1"/>
  <c r="BX258" i="1" s="1"/>
  <c r="D108" i="1"/>
  <c r="K109" i="1"/>
  <c r="AJ257" i="1"/>
  <c r="AJ258" i="1" s="1"/>
  <c r="D109" i="1"/>
  <c r="AJ133" i="1"/>
  <c r="AJ326" i="1" s="1"/>
  <c r="AM126" i="1"/>
  <c r="AM130" i="1" s="1"/>
  <c r="AM132" i="1" s="1"/>
  <c r="AJ121" i="1"/>
  <c r="AM121" i="1"/>
  <c r="AJ324" i="1"/>
  <c r="AJ325" i="1" s="1"/>
  <c r="AK123" i="1"/>
  <c r="AK126" i="1"/>
  <c r="AK130" i="1" s="1"/>
  <c r="AK133" i="1" s="1"/>
  <c r="R108" i="1"/>
  <c r="E109" i="1"/>
  <c r="BJ203" i="1"/>
  <c r="S109" i="1"/>
  <c r="AL125" i="1"/>
  <c r="AM318" i="1"/>
  <c r="AK324" i="1"/>
  <c r="AK325" i="1" s="1"/>
  <c r="V126" i="1"/>
  <c r="V130" i="1" s="1"/>
  <c r="V133" i="1" s="1"/>
  <c r="V140" i="1" s="1"/>
  <c r="V121" i="1"/>
  <c r="W342" i="1"/>
  <c r="AL188" i="1"/>
  <c r="BY297" i="1"/>
  <c r="AL187" i="1"/>
  <c r="W126" i="1"/>
  <c r="W130" i="1" s="1"/>
  <c r="W133" i="1" s="1"/>
  <c r="W140" i="1" s="1"/>
  <c r="W144" i="1" s="1"/>
  <c r="W122" i="1"/>
  <c r="W121" i="1"/>
  <c r="W324" i="1"/>
  <c r="W325" i="1" s="1"/>
  <c r="X342" i="1"/>
  <c r="AM129" i="1"/>
  <c r="X122" i="1"/>
  <c r="W204" i="1"/>
  <c r="V324" i="1"/>
  <c r="V325" i="1" s="1"/>
  <c r="AM204" i="1"/>
  <c r="AL121" i="1"/>
  <c r="AL342" i="1"/>
  <c r="AL343" i="1" s="1"/>
  <c r="B204" i="1"/>
  <c r="C122" i="1"/>
  <c r="AL126" i="1"/>
  <c r="AL130" i="1" s="1"/>
  <c r="AL133" i="1" s="1"/>
  <c r="AL326" i="1" s="1"/>
  <c r="AL324" i="1"/>
  <c r="AL325" i="1" s="1"/>
  <c r="AM123" i="1"/>
  <c r="AM342" i="1"/>
  <c r="AM343" i="1" s="1"/>
  <c r="AL123" i="1"/>
  <c r="C342" i="1"/>
  <c r="BX121" i="1"/>
  <c r="AM195" i="1"/>
  <c r="AM199" i="1"/>
  <c r="CA195" i="1"/>
  <c r="CA199" i="1"/>
  <c r="CA187" i="1"/>
  <c r="BX200" i="1"/>
  <c r="BX203" i="1" s="1"/>
  <c r="BX188" i="1"/>
  <c r="AM200" i="1"/>
  <c r="AM196" i="1"/>
  <c r="CB122" i="1"/>
  <c r="CA204" i="1"/>
  <c r="BY342" i="1"/>
  <c r="BY343" i="1" s="1"/>
  <c r="BY123" i="1"/>
  <c r="BX324" i="1"/>
  <c r="BX325" i="1" s="1"/>
  <c r="BX126" i="1"/>
  <c r="BX130" i="1" s="1"/>
  <c r="D204" i="1"/>
  <c r="D342" i="1"/>
  <c r="D122" i="1"/>
  <c r="D324" i="1"/>
  <c r="D325" i="1" s="1"/>
  <c r="D121" i="1"/>
  <c r="AL203" i="1"/>
  <c r="AL202" i="1"/>
  <c r="AK295" i="1"/>
  <c r="AK293" i="1" s="1"/>
  <c r="AL295" i="1"/>
  <c r="AL293" i="1" s="1"/>
  <c r="D133" i="1"/>
  <c r="D132" i="1"/>
  <c r="CN224" i="1"/>
  <c r="CN226" i="1" s="1"/>
  <c r="CO124" i="1" s="1"/>
  <c r="CT169" i="1"/>
  <c r="AB229" i="1"/>
  <c r="AD241" i="1"/>
  <c r="AE241" i="1"/>
  <c r="AD209" i="1"/>
  <c r="AE209" i="1"/>
  <c r="CQ157" i="1"/>
  <c r="CR155" i="1"/>
  <c r="AC255" i="1"/>
  <c r="BU1" i="1"/>
  <c r="Q119" i="1"/>
  <c r="P119" i="1"/>
  <c r="O119" i="1"/>
  <c r="I119" i="1"/>
  <c r="H119" i="1"/>
  <c r="G119" i="1"/>
  <c r="U119" i="1"/>
  <c r="T119" i="1"/>
  <c r="S119" i="1"/>
  <c r="R119" i="1"/>
  <c r="N119" i="1"/>
  <c r="M119" i="1"/>
  <c r="L119" i="1"/>
  <c r="K119" i="1"/>
  <c r="J119" i="1"/>
  <c r="F119" i="1"/>
  <c r="CE182" i="1" l="1"/>
  <c r="AJ140" i="1"/>
  <c r="AJ299" i="1" s="1"/>
  <c r="AJ297" i="1" s="1"/>
  <c r="AJ134" i="1"/>
  <c r="E122" i="1"/>
  <c r="AM133" i="1"/>
  <c r="AM134" i="1" s="1"/>
  <c r="AM337" i="1" s="1"/>
  <c r="V134" i="1"/>
  <c r="V337" i="1" s="1"/>
  <c r="AK132" i="1"/>
  <c r="X135" i="1"/>
  <c r="W135" i="1"/>
  <c r="W134" i="1"/>
  <c r="W337" i="1" s="1"/>
  <c r="W326" i="1"/>
  <c r="V132" i="1"/>
  <c r="W132" i="1"/>
  <c r="AL134" i="1"/>
  <c r="AL337" i="1" s="1"/>
  <c r="AL140" i="1"/>
  <c r="AL144" i="1" s="1"/>
  <c r="AL132" i="1"/>
  <c r="CA147" i="1"/>
  <c r="AK326" i="1"/>
  <c r="AK140" i="1"/>
  <c r="AK211" i="1" s="1"/>
  <c r="AK212" i="1" s="1"/>
  <c r="AK221" i="1" s="1"/>
  <c r="AK134" i="1"/>
  <c r="AK136" i="1"/>
  <c r="AL136" i="1"/>
  <c r="D326" i="1"/>
  <c r="D134" i="1"/>
  <c r="D140" i="1"/>
  <c r="BX132" i="1"/>
  <c r="BX133" i="1"/>
  <c r="CO286" i="1"/>
  <c r="CO224" i="1"/>
  <c r="CN230" i="1"/>
  <c r="CN286" i="1"/>
  <c r="AC169" i="1"/>
  <c r="CU169" i="1"/>
  <c r="AD255" i="1"/>
  <c r="AE255" i="1"/>
  <c r="AD232" i="1"/>
  <c r="CR157" i="1"/>
  <c r="CS155" i="1"/>
  <c r="AC229" i="1"/>
  <c r="BV1" i="1"/>
  <c r="BW1" i="1" s="1"/>
  <c r="BX1" i="1" s="1"/>
  <c r="B324" i="1"/>
  <c r="B325" i="1" s="1"/>
  <c r="BL324" i="1"/>
  <c r="BL325" i="1" s="1"/>
  <c r="G120" i="1"/>
  <c r="O120" i="1"/>
  <c r="H120" i="1"/>
  <c r="P120" i="1"/>
  <c r="I120" i="1"/>
  <c r="Q120" i="1"/>
  <c r="J120" i="1"/>
  <c r="R120" i="1"/>
  <c r="K120" i="1"/>
  <c r="S120" i="1"/>
  <c r="L120" i="1"/>
  <c r="T120" i="1"/>
  <c r="M120" i="1"/>
  <c r="U120" i="1"/>
  <c r="F120" i="1"/>
  <c r="F342" i="1" s="1"/>
  <c r="N120" i="1"/>
  <c r="AJ285" i="1" l="1"/>
  <c r="AJ287" i="1" s="1"/>
  <c r="AJ291" i="1" s="1"/>
  <c r="AJ305" i="1" s="1"/>
  <c r="AJ158" i="1"/>
  <c r="AJ144" i="1"/>
  <c r="AM136" i="1"/>
  <c r="AM326" i="1"/>
  <c r="AM319" i="1"/>
  <c r="AL285" i="1"/>
  <c r="AL287" i="1" s="1"/>
  <c r="AL158" i="1"/>
  <c r="AJ302" i="1"/>
  <c r="AJ303" i="1" s="1"/>
  <c r="T342" i="1"/>
  <c r="P342" i="1"/>
  <c r="D285" i="1"/>
  <c r="D287" i="1" s="1"/>
  <c r="D144" i="1"/>
  <c r="CB135" i="1"/>
  <c r="BX326" i="1"/>
  <c r="BX134" i="1"/>
  <c r="BX337" i="1" s="1"/>
  <c r="BX140" i="1"/>
  <c r="BY136" i="1"/>
  <c r="AK285" i="1"/>
  <c r="AK287" i="1" s="1"/>
  <c r="AK158" i="1"/>
  <c r="AK144" i="1"/>
  <c r="M342" i="1"/>
  <c r="R342" i="1"/>
  <c r="I342" i="1"/>
  <c r="K342" i="1"/>
  <c r="G342" i="1"/>
  <c r="H342" i="1"/>
  <c r="L342" i="1"/>
  <c r="S342" i="1"/>
  <c r="O342" i="1"/>
  <c r="J342" i="1"/>
  <c r="N342" i="1"/>
  <c r="U342" i="1"/>
  <c r="V342" i="1"/>
  <c r="Q342" i="1"/>
  <c r="R204" i="1"/>
  <c r="S122" i="1"/>
  <c r="T204" i="1"/>
  <c r="U122" i="1"/>
  <c r="U204" i="1"/>
  <c r="V122" i="1"/>
  <c r="P204" i="1"/>
  <c r="Q122" i="1"/>
  <c r="Q204" i="1"/>
  <c r="R122" i="1"/>
  <c r="I204" i="1"/>
  <c r="J122" i="1"/>
  <c r="S204" i="1"/>
  <c r="T122" i="1"/>
  <c r="H204" i="1"/>
  <c r="I122" i="1"/>
  <c r="E204" i="1"/>
  <c r="F122" i="1"/>
  <c r="L204" i="1"/>
  <c r="M122" i="1"/>
  <c r="O204" i="1"/>
  <c r="P122" i="1"/>
  <c r="N204" i="1"/>
  <c r="O122" i="1"/>
  <c r="K204" i="1"/>
  <c r="L122" i="1"/>
  <c r="F204" i="1"/>
  <c r="G122" i="1"/>
  <c r="G204" i="1"/>
  <c r="H122" i="1"/>
  <c r="M204" i="1"/>
  <c r="N122" i="1"/>
  <c r="J204" i="1"/>
  <c r="K122" i="1"/>
  <c r="CN295" i="1"/>
  <c r="CN293" i="1" s="1"/>
  <c r="CO226" i="1"/>
  <c r="CV169" i="1"/>
  <c r="AD294" i="1"/>
  <c r="AB234" i="1"/>
  <c r="AE229" i="1"/>
  <c r="AD229" i="1"/>
  <c r="CT155" i="1"/>
  <c r="CS157" i="1"/>
  <c r="C204" i="1"/>
  <c r="BY1" i="1"/>
  <c r="L121" i="1"/>
  <c r="N121" i="1"/>
  <c r="F121" i="1"/>
  <c r="O121" i="1"/>
  <c r="U126" i="1"/>
  <c r="U130" i="1" s="1"/>
  <c r="U121" i="1"/>
  <c r="G121" i="1"/>
  <c r="S121" i="1"/>
  <c r="M121" i="1"/>
  <c r="R121" i="1"/>
  <c r="J121" i="1"/>
  <c r="I121" i="1"/>
  <c r="P121" i="1"/>
  <c r="H121" i="1"/>
  <c r="K121" i="1"/>
  <c r="T121" i="1"/>
  <c r="Q121" i="1"/>
  <c r="T324" i="1"/>
  <c r="T325" i="1" s="1"/>
  <c r="Q324" i="1"/>
  <c r="Q325" i="1" s="1"/>
  <c r="K324" i="1"/>
  <c r="K325" i="1" s="1"/>
  <c r="O324" i="1"/>
  <c r="O325" i="1" s="1"/>
  <c r="U324" i="1"/>
  <c r="U325" i="1" s="1"/>
  <c r="L324" i="1"/>
  <c r="L325" i="1" s="1"/>
  <c r="C324" i="1"/>
  <c r="C325" i="1" s="1"/>
  <c r="I324" i="1"/>
  <c r="I325" i="1" s="1"/>
  <c r="G324" i="1"/>
  <c r="G325" i="1" s="1"/>
  <c r="R324" i="1"/>
  <c r="R325" i="1" s="1"/>
  <c r="P324" i="1"/>
  <c r="P325" i="1" s="1"/>
  <c r="F324" i="1"/>
  <c r="F325" i="1" s="1"/>
  <c r="M324" i="1"/>
  <c r="M325" i="1" s="1"/>
  <c r="N324" i="1"/>
  <c r="N325" i="1" s="1"/>
  <c r="E324" i="1"/>
  <c r="E325" i="1" s="1"/>
  <c r="S324" i="1"/>
  <c r="S325" i="1" s="1"/>
  <c r="J324" i="1"/>
  <c r="J325" i="1" s="1"/>
  <c r="H324" i="1"/>
  <c r="H325" i="1" s="1"/>
  <c r="B126" i="1"/>
  <c r="L126" i="1"/>
  <c r="Q126" i="1"/>
  <c r="T126" i="1"/>
  <c r="N126" i="1"/>
  <c r="S126" i="1"/>
  <c r="F126" i="1"/>
  <c r="K126" i="1"/>
  <c r="H126" i="1"/>
  <c r="I126" i="1"/>
  <c r="P126" i="1"/>
  <c r="C126" i="1"/>
  <c r="O126" i="1"/>
  <c r="R126" i="1"/>
  <c r="M126" i="1"/>
  <c r="G126" i="1"/>
  <c r="E126" i="1"/>
  <c r="J126" i="1"/>
  <c r="CA146" i="1" l="1"/>
  <c r="BX158" i="1"/>
  <c r="CA161" i="1" s="1"/>
  <c r="BX285" i="1"/>
  <c r="BX287" i="1" s="1"/>
  <c r="BX144" i="1"/>
  <c r="AK299" i="1"/>
  <c r="AK297" i="1" s="1"/>
  <c r="AL299" i="1"/>
  <c r="AL297" i="1" s="1"/>
  <c r="BK256" i="1"/>
  <c r="BM256" i="1"/>
  <c r="CO230" i="1"/>
  <c r="CP124" i="1"/>
  <c r="CW169" i="1"/>
  <c r="AE232" i="1"/>
  <c r="AE294" i="1" s="1"/>
  <c r="CT157" i="1"/>
  <c r="CU155" i="1"/>
  <c r="BZ1" i="1"/>
  <c r="U133" i="1"/>
  <c r="V135" i="1" s="1"/>
  <c r="U132" i="1"/>
  <c r="P130" i="1"/>
  <c r="P133" i="1" s="1"/>
  <c r="R130" i="1"/>
  <c r="R133" i="1" s="1"/>
  <c r="E130" i="1"/>
  <c r="S130" i="1"/>
  <c r="S132" i="1" s="1"/>
  <c r="G130" i="1"/>
  <c r="G133" i="1" s="1"/>
  <c r="K130" i="1"/>
  <c r="K133" i="1" s="1"/>
  <c r="B130" i="1"/>
  <c r="O130" i="1"/>
  <c r="O133" i="1" s="1"/>
  <c r="H130" i="1"/>
  <c r="H133" i="1" s="1"/>
  <c r="N130" i="1"/>
  <c r="N133" i="1" s="1"/>
  <c r="L130" i="1"/>
  <c r="L132" i="1" s="1"/>
  <c r="C130" i="1"/>
  <c r="M130" i="1"/>
  <c r="M132" i="1" s="1"/>
  <c r="T130" i="1"/>
  <c r="T133" i="1" s="1"/>
  <c r="F130" i="1"/>
  <c r="F132" i="1" s="1"/>
  <c r="J130" i="1"/>
  <c r="J132" i="1" s="1"/>
  <c r="I130" i="1"/>
  <c r="I132" i="1" s="1"/>
  <c r="Q130" i="1"/>
  <c r="Q133" i="1" s="1"/>
  <c r="V326" i="1"/>
  <c r="R135" i="1" l="1"/>
  <c r="CE162" i="1"/>
  <c r="CA179" i="1"/>
  <c r="CA178" i="1"/>
  <c r="CD182" i="1" s="1"/>
  <c r="BW181" i="1"/>
  <c r="CA177" i="1"/>
  <c r="U135" i="1"/>
  <c r="O135" i="1"/>
  <c r="AB124" i="1"/>
  <c r="B133" i="1"/>
  <c r="B132" i="1"/>
  <c r="C133" i="1"/>
  <c r="C132" i="1"/>
  <c r="E133" i="1"/>
  <c r="E140" i="1" s="1"/>
  <c r="E132" i="1"/>
  <c r="P135" i="1"/>
  <c r="H135" i="1"/>
  <c r="Q135" i="1"/>
  <c r="BJ257" i="1"/>
  <c r="BJ258" i="1" s="1"/>
  <c r="BL257" i="1"/>
  <c r="BL258" i="1" s="1"/>
  <c r="CP286" i="1"/>
  <c r="CP224" i="1"/>
  <c r="CO295" i="1"/>
  <c r="CO293" i="1" s="1"/>
  <c r="CX169" i="1"/>
  <c r="CV155" i="1"/>
  <c r="CU157" i="1"/>
  <c r="CA1" i="1"/>
  <c r="CB1" i="1" s="1"/>
  <c r="O132" i="1"/>
  <c r="BL326" i="1"/>
  <c r="S133" i="1"/>
  <c r="U134" i="1"/>
  <c r="U337" i="1" s="1"/>
  <c r="P134" i="1"/>
  <c r="P337" i="1" s="1"/>
  <c r="Q140" i="1"/>
  <c r="Q134" i="1"/>
  <c r="Q337" i="1" s="1"/>
  <c r="L133" i="1"/>
  <c r="P132" i="1"/>
  <c r="H134" i="1"/>
  <c r="H337" i="1" s="1"/>
  <c r="G134" i="1"/>
  <c r="G337" i="1" s="1"/>
  <c r="U140" i="1"/>
  <c r="N134" i="1"/>
  <c r="N337" i="1" s="1"/>
  <c r="R134" i="1"/>
  <c r="R337" i="1" s="1"/>
  <c r="K134" i="1"/>
  <c r="K337" i="1" s="1"/>
  <c r="O140" i="1"/>
  <c r="O134" i="1"/>
  <c r="O337" i="1" s="1"/>
  <c r="T140" i="1"/>
  <c r="T134" i="1"/>
  <c r="T337" i="1" s="1"/>
  <c r="R132" i="1"/>
  <c r="K132" i="1"/>
  <c r="N132" i="1"/>
  <c r="G132" i="1"/>
  <c r="H132" i="1"/>
  <c r="J133" i="1"/>
  <c r="K135" i="1" s="1"/>
  <c r="M133" i="1"/>
  <c r="N135" i="1" s="1"/>
  <c r="T132" i="1"/>
  <c r="F133" i="1"/>
  <c r="G135" i="1" s="1"/>
  <c r="I133" i="1"/>
  <c r="I135" i="1" s="1"/>
  <c r="O326" i="1"/>
  <c r="Q132" i="1"/>
  <c r="P326" i="1"/>
  <c r="P140" i="1"/>
  <c r="K326" i="1"/>
  <c r="K140" i="1"/>
  <c r="H326" i="1"/>
  <c r="H140" i="1"/>
  <c r="R140" i="1"/>
  <c r="N140" i="1"/>
  <c r="G140" i="1"/>
  <c r="G326" i="1"/>
  <c r="R326" i="1"/>
  <c r="N326" i="1"/>
  <c r="Q326" i="1"/>
  <c r="U326" i="1"/>
  <c r="T326" i="1"/>
  <c r="V144" i="1"/>
  <c r="V285" i="1"/>
  <c r="V287" i="1" s="1"/>
  <c r="E326" i="1" l="1"/>
  <c r="AB286" i="1"/>
  <c r="E134" i="1"/>
  <c r="E337" i="1" s="1"/>
  <c r="E135" i="1"/>
  <c r="D135" i="1"/>
  <c r="C134" i="1"/>
  <c r="B134" i="1"/>
  <c r="C135" i="1"/>
  <c r="F135" i="1"/>
  <c r="M135" i="1"/>
  <c r="S134" i="1"/>
  <c r="S337" i="1" s="1"/>
  <c r="T135" i="1"/>
  <c r="L135" i="1"/>
  <c r="J135" i="1"/>
  <c r="S135" i="1"/>
  <c r="AB224" i="1"/>
  <c r="AB226" i="1" s="1"/>
  <c r="AB125" i="1" s="1"/>
  <c r="CP226" i="1"/>
  <c r="AD169" i="1"/>
  <c r="CY169" i="1"/>
  <c r="CV157" i="1"/>
  <c r="CW155" i="1"/>
  <c r="CC1" i="1"/>
  <c r="K144" i="1"/>
  <c r="G144" i="1"/>
  <c r="E144" i="1"/>
  <c r="S140" i="1"/>
  <c r="S326" i="1"/>
  <c r="L326" i="1"/>
  <c r="L140" i="1"/>
  <c r="O285" i="1"/>
  <c r="O287" i="1" s="1"/>
  <c r="O144" i="1"/>
  <c r="B326" i="1"/>
  <c r="B140" i="1"/>
  <c r="M140" i="1"/>
  <c r="M134" i="1"/>
  <c r="M337" i="1" s="1"/>
  <c r="C326" i="1"/>
  <c r="I140" i="1"/>
  <c r="I134" i="1"/>
  <c r="I337" i="1" s="1"/>
  <c r="J140" i="1"/>
  <c r="J134" i="1"/>
  <c r="J337" i="1" s="1"/>
  <c r="F140" i="1"/>
  <c r="F134" i="1"/>
  <c r="F337" i="1" s="1"/>
  <c r="L134" i="1"/>
  <c r="L337" i="1" s="1"/>
  <c r="J326" i="1"/>
  <c r="E285" i="1"/>
  <c r="E287" i="1" s="1"/>
  <c r="R285" i="1"/>
  <c r="R287" i="1" s="1"/>
  <c r="M326" i="1"/>
  <c r="R144" i="1"/>
  <c r="I326" i="1"/>
  <c r="H144" i="1"/>
  <c r="H285" i="1"/>
  <c r="H287" i="1" s="1"/>
  <c r="F326" i="1"/>
  <c r="C140" i="1"/>
  <c r="N285" i="1"/>
  <c r="N287" i="1" s="1"/>
  <c r="N144" i="1"/>
  <c r="G285" i="1"/>
  <c r="G287" i="1" s="1"/>
  <c r="P144" i="1"/>
  <c r="K285" i="1"/>
  <c r="K287" i="1" s="1"/>
  <c r="P285" i="1"/>
  <c r="P287" i="1" s="1"/>
  <c r="U144" i="1"/>
  <c r="U285" i="1"/>
  <c r="U287" i="1" s="1"/>
  <c r="Q144" i="1"/>
  <c r="Q285" i="1"/>
  <c r="Q287" i="1" s="1"/>
  <c r="T144" i="1"/>
  <c r="T285" i="1"/>
  <c r="T287" i="1" s="1"/>
  <c r="CP230" i="1" l="1"/>
  <c r="CP295" i="1" s="1"/>
  <c r="CP293" i="1" s="1"/>
  <c r="CQ124" i="1"/>
  <c r="CZ169" i="1"/>
  <c r="AC234" i="1"/>
  <c r="CX155" i="1"/>
  <c r="CW157" i="1"/>
  <c r="CD1" i="1"/>
  <c r="CE1" i="1" s="1"/>
  <c r="CF1" i="1" s="1"/>
  <c r="CG1" i="1" s="1"/>
  <c r="CH1" i="1" s="1"/>
  <c r="CI1" i="1" s="1"/>
  <c r="CJ1" i="1" s="1"/>
  <c r="CK1" i="1" s="1"/>
  <c r="CL1" i="1" s="1"/>
  <c r="L285" i="1"/>
  <c r="L287" i="1" s="1"/>
  <c r="J285" i="1"/>
  <c r="J287" i="1" s="1"/>
  <c r="M285" i="1"/>
  <c r="M287" i="1" s="1"/>
  <c r="B144" i="1"/>
  <c r="F144" i="1"/>
  <c r="I144" i="1"/>
  <c r="C144" i="1"/>
  <c r="L144" i="1"/>
  <c r="S144" i="1"/>
  <c r="J144" i="1"/>
  <c r="S285" i="1"/>
  <c r="S287" i="1" s="1"/>
  <c r="M144" i="1"/>
  <c r="I285" i="1"/>
  <c r="I287" i="1" s="1"/>
  <c r="F285" i="1"/>
  <c r="F287" i="1" s="1"/>
  <c r="C285" i="1"/>
  <c r="C287" i="1" s="1"/>
  <c r="CQ286" i="1" l="1"/>
  <c r="CQ224" i="1"/>
  <c r="DA169" i="1"/>
  <c r="CX157" i="1"/>
  <c r="CY155" i="1"/>
  <c r="AB216" i="1"/>
  <c r="CM1" i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226" i="1" l="1"/>
  <c r="DB169" i="1"/>
  <c r="CY157" i="1"/>
  <c r="CZ155" i="1"/>
  <c r="G41" i="2"/>
  <c r="X77" i="2"/>
  <c r="T98" i="2"/>
  <c r="F47" i="2"/>
  <c r="N96" i="2"/>
  <c r="F78" i="2"/>
  <c r="C48" i="2"/>
  <c r="D69" i="2"/>
  <c r="X64" i="2"/>
  <c r="U41" i="2"/>
  <c r="H105" i="2"/>
  <c r="Q52" i="2"/>
  <c r="O42" i="2"/>
  <c r="P78" i="2"/>
  <c r="V86" i="2"/>
  <c r="J108" i="2"/>
  <c r="N80" i="2"/>
  <c r="R82" i="2"/>
  <c r="K66" i="2"/>
  <c r="N87" i="2"/>
  <c r="G111" i="2"/>
  <c r="H66" i="2"/>
  <c r="R41" i="2"/>
  <c r="Q110" i="2"/>
  <c r="V64" i="2"/>
  <c r="U76" i="2"/>
  <c r="O94" i="2"/>
  <c r="J83" i="2"/>
  <c r="R92" i="2"/>
  <c r="R42" i="2"/>
  <c r="M61" i="2"/>
  <c r="S81" i="2"/>
  <c r="P75" i="2"/>
  <c r="F76" i="2"/>
  <c r="N89" i="2"/>
  <c r="Q92" i="2"/>
  <c r="I50" i="2"/>
  <c r="N94" i="2"/>
  <c r="S50" i="2"/>
  <c r="I112" i="2"/>
  <c r="X58" i="2"/>
  <c r="H52" i="2"/>
  <c r="E44" i="2"/>
  <c r="C75" i="2"/>
  <c r="O97" i="2"/>
  <c r="Q113" i="2"/>
  <c r="I57" i="2"/>
  <c r="I64" i="2"/>
  <c r="S82" i="2"/>
  <c r="H75" i="2"/>
  <c r="I48" i="2"/>
  <c r="V88" i="2"/>
  <c r="D48" i="2"/>
  <c r="I60" i="2"/>
  <c r="E49" i="2"/>
  <c r="T72" i="2"/>
  <c r="V78" i="2"/>
  <c r="V51" i="2"/>
  <c r="W72" i="2"/>
  <c r="E94" i="2"/>
  <c r="S55" i="2"/>
  <c r="W85" i="2"/>
  <c r="J54" i="2"/>
  <c r="G43" i="2"/>
  <c r="X71" i="2"/>
  <c r="X106" i="2"/>
  <c r="R46" i="2"/>
  <c r="H113" i="2"/>
  <c r="I41" i="2"/>
  <c r="D65" i="2"/>
  <c r="P79" i="2"/>
  <c r="D88" i="2"/>
  <c r="J52" i="2"/>
  <c r="S73" i="2"/>
  <c r="R57" i="2"/>
  <c r="I89" i="2"/>
  <c r="P104" i="2"/>
  <c r="U79" i="2"/>
  <c r="L75" i="2"/>
  <c r="D111" i="2"/>
  <c r="I67" i="2"/>
  <c r="X49" i="2"/>
  <c r="G45" i="2"/>
  <c r="P67" i="2"/>
  <c r="W113" i="2"/>
  <c r="K80" i="2"/>
  <c r="L113" i="2"/>
  <c r="X46" i="2"/>
  <c r="N104" i="2"/>
  <c r="N76" i="2"/>
  <c r="Q106" i="2"/>
  <c r="K109" i="2"/>
  <c r="E69" i="2"/>
  <c r="V76" i="2"/>
  <c r="G68" i="2"/>
  <c r="C82" i="2"/>
  <c r="Q75" i="2"/>
  <c r="H40" i="2"/>
  <c r="E75" i="2"/>
  <c r="P73" i="2"/>
  <c r="T44" i="2"/>
  <c r="D66" i="2"/>
  <c r="S51" i="2"/>
  <c r="K79" i="2"/>
  <c r="Q109" i="2"/>
  <c r="W90" i="2"/>
  <c r="Q67" i="2"/>
  <c r="S89" i="2"/>
  <c r="F52" i="2"/>
  <c r="U56" i="2"/>
  <c r="D105" i="2"/>
  <c r="V110" i="2"/>
  <c r="G112" i="2"/>
  <c r="J91" i="2"/>
  <c r="E55" i="2"/>
  <c r="T81" i="2"/>
  <c r="S45" i="2"/>
  <c r="T87" i="2"/>
  <c r="E105" i="2"/>
  <c r="S41" i="2"/>
  <c r="O64" i="2"/>
  <c r="H61" i="2"/>
  <c r="H80" i="2"/>
  <c r="G74" i="2"/>
  <c r="R68" i="2"/>
  <c r="W79" i="2"/>
  <c r="G51" i="2"/>
  <c r="J92" i="2"/>
  <c r="O48" i="2"/>
  <c r="R90" i="2"/>
  <c r="R44" i="2"/>
  <c r="X75" i="2"/>
  <c r="W63" i="2"/>
  <c r="G73" i="2"/>
  <c r="S104" i="2"/>
  <c r="M76" i="2"/>
  <c r="R79" i="2"/>
  <c r="K45" i="2"/>
  <c r="F87" i="2"/>
  <c r="W62" i="2"/>
  <c r="E58" i="2"/>
  <c r="P98" i="2"/>
  <c r="U47" i="2"/>
  <c r="X110" i="2"/>
  <c r="S49" i="2"/>
  <c r="S107" i="2"/>
  <c r="D87" i="2"/>
  <c r="E98" i="2"/>
  <c r="T83" i="2"/>
  <c r="V55" i="2"/>
  <c r="U44" i="2"/>
  <c r="G71" i="2"/>
  <c r="P66" i="2"/>
  <c r="F108" i="2"/>
  <c r="J46" i="2"/>
  <c r="J93" i="2"/>
  <c r="V72" i="2"/>
  <c r="O82" i="2"/>
  <c r="L48" i="2"/>
  <c r="I77" i="2"/>
  <c r="T66" i="2"/>
  <c r="F106" i="2"/>
  <c r="R87" i="2"/>
  <c r="R63" i="2"/>
  <c r="O90" i="2"/>
  <c r="Q82" i="2"/>
  <c r="R112" i="2"/>
  <c r="T108" i="2"/>
  <c r="H60" i="2"/>
  <c r="J43" i="2"/>
  <c r="W108" i="2"/>
  <c r="S94" i="2"/>
  <c r="O74" i="2"/>
  <c r="D62" i="2"/>
  <c r="T43" i="2"/>
  <c r="D63" i="2"/>
  <c r="C96" i="2"/>
  <c r="N81" i="2"/>
  <c r="Q76" i="2"/>
  <c r="I66" i="2"/>
  <c r="C69" i="2"/>
  <c r="L77" i="2"/>
  <c r="E85" i="2"/>
  <c r="U111" i="2"/>
  <c r="E71" i="2"/>
  <c r="C60" i="2"/>
  <c r="R83" i="2"/>
  <c r="H71" i="2"/>
  <c r="X76" i="2"/>
  <c r="O55" i="2"/>
  <c r="L64" i="2"/>
  <c r="P93" i="2"/>
  <c r="W45" i="2"/>
  <c r="U43" i="2"/>
  <c r="T74" i="2"/>
  <c r="G55" i="2"/>
  <c r="K63" i="2"/>
  <c r="G83" i="2"/>
  <c r="M40" i="2"/>
  <c r="P84" i="2"/>
  <c r="D80" i="2"/>
  <c r="C81" i="2"/>
  <c r="M104" i="2"/>
  <c r="P46" i="2"/>
  <c r="N50" i="2"/>
  <c r="I80" i="2"/>
  <c r="E64" i="2"/>
  <c r="F57" i="2"/>
  <c r="X93" i="2"/>
  <c r="G89" i="2"/>
  <c r="V73" i="2"/>
  <c r="E79" i="2"/>
  <c r="M78" i="2"/>
  <c r="N40" i="2"/>
  <c r="H85" i="2"/>
  <c r="Q93" i="2"/>
  <c r="D54" i="2"/>
  <c r="G52" i="2"/>
  <c r="C62" i="2"/>
  <c r="G50" i="2"/>
  <c r="J58" i="2"/>
  <c r="V93" i="2"/>
  <c r="N91" i="2"/>
  <c r="R43" i="2"/>
  <c r="Q60" i="2"/>
  <c r="N110" i="2"/>
  <c r="K83" i="2"/>
  <c r="H77" i="2"/>
  <c r="C56" i="2"/>
  <c r="N77" i="2"/>
  <c r="E90" i="2"/>
  <c r="I95" i="2"/>
  <c r="M85" i="2"/>
  <c r="X65" i="2"/>
  <c r="P64" i="2"/>
  <c r="L93" i="2"/>
  <c r="K52" i="2"/>
  <c r="U75" i="2"/>
  <c r="D45" i="2"/>
  <c r="X108" i="2"/>
  <c r="R62" i="2"/>
  <c r="W75" i="2"/>
  <c r="M86" i="2"/>
  <c r="C89" i="2"/>
  <c r="O87" i="2"/>
  <c r="P99" i="2"/>
  <c r="G53" i="2"/>
  <c r="K72" i="2"/>
  <c r="W89" i="2"/>
  <c r="O63" i="2"/>
  <c r="N43" i="2"/>
  <c r="J87" i="2"/>
  <c r="I42" i="2"/>
  <c r="C93" i="2"/>
  <c r="H42" i="2"/>
  <c r="J49" i="2"/>
  <c r="V68" i="2"/>
  <c r="K76" i="2"/>
  <c r="U55" i="2"/>
  <c r="X89" i="2"/>
  <c r="O80" i="2"/>
  <c r="U46" i="2"/>
  <c r="X87" i="2"/>
  <c r="G85" i="2"/>
  <c r="G86" i="2"/>
  <c r="R97" i="2"/>
  <c r="D42" i="2"/>
  <c r="AB77" i="3"/>
  <c r="AB49" i="3"/>
  <c r="L19" i="3"/>
  <c r="R25" i="3"/>
  <c r="V24" i="3"/>
  <c r="N19" i="3"/>
  <c r="W40" i="3"/>
  <c r="V41" i="3"/>
  <c r="AC27" i="3"/>
  <c r="AD32" i="3"/>
  <c r="H36" i="3"/>
  <c r="AG10" i="3"/>
  <c r="M33" i="3"/>
  <c r="O11" i="3"/>
  <c r="H32" i="3"/>
  <c r="AQ41" i="3"/>
  <c r="T12" i="3"/>
  <c r="H10" i="3"/>
  <c r="M12" i="3"/>
  <c r="AH25" i="3"/>
  <c r="Q15" i="3"/>
  <c r="AW111" i="1" s="1"/>
  <c r="Q12" i="3"/>
  <c r="AM31" i="3"/>
  <c r="K12" i="3"/>
  <c r="T18" i="3"/>
  <c r="O40" i="3"/>
  <c r="G47" i="3"/>
  <c r="AN15" i="3"/>
  <c r="BT111" i="1" s="1"/>
  <c r="U74" i="2"/>
  <c r="P81" i="2"/>
  <c r="G93" i="2"/>
  <c r="G104" i="2"/>
  <c r="K92" i="2"/>
  <c r="U57" i="2"/>
  <c r="H95" i="2"/>
  <c r="I86" i="2"/>
  <c r="U95" i="2"/>
  <c r="X56" i="2"/>
  <c r="T71" i="2"/>
  <c r="O52" i="2"/>
  <c r="M64" i="2"/>
  <c r="G76" i="2"/>
  <c r="J81" i="2"/>
  <c r="AB83" i="3"/>
  <c r="AP91" i="3"/>
  <c r="T23" i="3"/>
  <c r="M17" i="3"/>
  <c r="W22" i="3"/>
  <c r="X27" i="3"/>
  <c r="V31" i="3"/>
  <c r="AA30" i="3"/>
  <c r="M23" i="3"/>
  <c r="G35" i="3"/>
  <c r="AO14" i="3"/>
  <c r="BU115" i="1" s="1"/>
  <c r="T41" i="3"/>
  <c r="AC8" i="3"/>
  <c r="AJ8" i="3"/>
  <c r="AO25" i="3"/>
  <c r="W11" i="3"/>
  <c r="AK7" i="3"/>
  <c r="AA23" i="3"/>
  <c r="U23" i="3"/>
  <c r="AC26" i="3"/>
  <c r="AB36" i="3"/>
  <c r="L13" i="3"/>
  <c r="T88" i="2"/>
  <c r="D97" i="2"/>
  <c r="X51" i="2"/>
  <c r="W41" i="2"/>
  <c r="M84" i="2"/>
  <c r="H67" i="2"/>
  <c r="F85" i="2"/>
  <c r="W104" i="2"/>
  <c r="I44" i="2"/>
  <c r="S69" i="2"/>
  <c r="O105" i="2"/>
  <c r="L76" i="2"/>
  <c r="O51" i="2"/>
  <c r="D64" i="2"/>
  <c r="U93" i="2"/>
  <c r="Q98" i="2"/>
  <c r="N54" i="2"/>
  <c r="U85" i="2"/>
  <c r="C108" i="2"/>
  <c r="AB68" i="3"/>
  <c r="C72" i="2"/>
  <c r="K67" i="2"/>
  <c r="L49" i="2"/>
  <c r="J44" i="2"/>
  <c r="M75" i="2"/>
  <c r="D43" i="2"/>
  <c r="V44" i="2"/>
  <c r="M67" i="2"/>
  <c r="E78" i="2"/>
  <c r="U113" i="2"/>
  <c r="AP61" i="3"/>
  <c r="AB76" i="3"/>
  <c r="P39" i="3"/>
  <c r="AG42" i="3"/>
  <c r="K38" i="3"/>
  <c r="AA12" i="3"/>
  <c r="D50" i="2"/>
  <c r="L62" i="2"/>
  <c r="X67" i="2"/>
  <c r="V112" i="2"/>
  <c r="Q61" i="2"/>
  <c r="J77" i="2"/>
  <c r="E97" i="2"/>
  <c r="C61" i="2"/>
  <c r="L67" i="2"/>
  <c r="M59" i="2"/>
  <c r="AP90" i="3"/>
  <c r="AP72" i="3"/>
  <c r="V16" i="3"/>
  <c r="AQ29" i="3"/>
  <c r="AJ25" i="3"/>
  <c r="N40" i="3"/>
  <c r="Q33" i="3"/>
  <c r="Y34" i="3"/>
  <c r="L5" i="3"/>
  <c r="AE11" i="3"/>
  <c r="N35" i="3"/>
  <c r="AL10" i="3"/>
  <c r="AJ20" i="3"/>
  <c r="AI23" i="3"/>
  <c r="Z31" i="3"/>
  <c r="D50" i="3"/>
  <c r="Y7" i="3"/>
  <c r="C39" i="3"/>
  <c r="H15" i="3"/>
  <c r="AN111" i="1" s="1"/>
  <c r="AO28" i="3"/>
  <c r="AM7" i="3"/>
  <c r="W23" i="3"/>
  <c r="Q24" i="3"/>
  <c r="X8" i="3"/>
  <c r="H112" i="2"/>
  <c r="D84" i="2"/>
  <c r="R47" i="2"/>
  <c r="V104" i="2"/>
  <c r="M70" i="2"/>
  <c r="X111" i="2"/>
  <c r="L106" i="2"/>
  <c r="U70" i="2"/>
  <c r="X109" i="2"/>
  <c r="M47" i="2"/>
  <c r="AP83" i="3"/>
  <c r="AB70" i="3"/>
  <c r="L32" i="3"/>
  <c r="AE10" i="3"/>
  <c r="AE32" i="3"/>
  <c r="AN9" i="3"/>
  <c r="AD20" i="3"/>
  <c r="AB38" i="3"/>
  <c r="AB37" i="3"/>
  <c r="L31" i="3"/>
  <c r="C17" i="3"/>
  <c r="R17" i="3"/>
  <c r="AC25" i="3"/>
  <c r="AG32" i="3"/>
  <c r="AK36" i="3"/>
  <c r="X13" i="3"/>
  <c r="R38" i="3"/>
  <c r="P40" i="3"/>
  <c r="J32" i="3"/>
  <c r="AD25" i="3"/>
  <c r="AG31" i="3"/>
  <c r="F105" i="2"/>
  <c r="X113" i="2"/>
  <c r="V69" i="2"/>
  <c r="O99" i="2"/>
  <c r="X52" i="2"/>
  <c r="G54" i="2"/>
  <c r="T109" i="2"/>
  <c r="R65" i="2"/>
  <c r="G62" i="2"/>
  <c r="K111" i="2"/>
  <c r="AB80" i="3"/>
  <c r="AP85" i="3"/>
  <c r="O22" i="3"/>
  <c r="J41" i="3"/>
  <c r="M34" i="3"/>
  <c r="AO7" i="3"/>
  <c r="AO20" i="3"/>
  <c r="H11" i="3"/>
  <c r="AI9" i="3"/>
  <c r="O35" i="3"/>
  <c r="O18" i="3"/>
  <c r="T28" i="3"/>
  <c r="AO11" i="3"/>
  <c r="AQ12" i="3"/>
  <c r="AL42" i="3"/>
  <c r="W9" i="3"/>
  <c r="AL8" i="3"/>
  <c r="P29" i="3"/>
  <c r="I30" i="3"/>
  <c r="AE23" i="3"/>
  <c r="AL6" i="3"/>
  <c r="W38" i="3"/>
  <c r="J47" i="2"/>
  <c r="U50" i="2"/>
  <c r="C86" i="2"/>
  <c r="C68" i="2"/>
  <c r="E74" i="2"/>
  <c r="P60" i="2"/>
  <c r="X104" i="2"/>
  <c r="G79" i="2"/>
  <c r="W96" i="2"/>
  <c r="V95" i="2"/>
  <c r="AP57" i="3"/>
  <c r="AB85" i="3"/>
  <c r="N26" i="3"/>
  <c r="O21" i="3"/>
  <c r="AI41" i="3"/>
  <c r="S32" i="3"/>
  <c r="I8" i="3"/>
  <c r="R32" i="3"/>
  <c r="AM39" i="3"/>
  <c r="AB18" i="3"/>
  <c r="AI38" i="3"/>
  <c r="U12" i="3"/>
  <c r="Y31" i="3"/>
  <c r="I29" i="3"/>
  <c r="E48" i="3"/>
  <c r="I34" i="3"/>
  <c r="AE38" i="3"/>
  <c r="Q41" i="3"/>
  <c r="Z40" i="3"/>
  <c r="AL40" i="3"/>
  <c r="O41" i="2"/>
  <c r="G57" i="2"/>
  <c r="X42" i="2"/>
  <c r="V41" i="2"/>
  <c r="E56" i="2"/>
  <c r="E80" i="2"/>
  <c r="U86" i="2"/>
  <c r="E112" i="2"/>
  <c r="N55" i="2"/>
  <c r="I69" i="2"/>
  <c r="AP71" i="3"/>
  <c r="AQ39" i="3"/>
  <c r="L37" i="3"/>
  <c r="H24" i="3"/>
  <c r="C25" i="3"/>
  <c r="Q38" i="3"/>
  <c r="C8" i="3"/>
  <c r="T11" i="3"/>
  <c r="AG34" i="3"/>
  <c r="U14" i="3"/>
  <c r="BA115" i="1" s="1"/>
  <c r="AB14" i="3"/>
  <c r="BH115" i="1" s="1"/>
  <c r="AK40" i="3"/>
  <c r="Y9" i="3"/>
  <c r="AI29" i="3"/>
  <c r="AG9" i="3"/>
  <c r="O13" i="3"/>
  <c r="AD49" i="3"/>
  <c r="AC24" i="3"/>
  <c r="AO13" i="3"/>
  <c r="Q42" i="3"/>
  <c r="AL23" i="3"/>
  <c r="AQ35" i="3"/>
  <c r="W67" i="2"/>
  <c r="F67" i="2"/>
  <c r="H20" i="3"/>
  <c r="AK21" i="3"/>
  <c r="U11" i="3"/>
  <c r="AP34" i="3"/>
  <c r="Q23" i="3"/>
  <c r="S27" i="3"/>
  <c r="I21" i="3"/>
  <c r="Q40" i="3"/>
  <c r="I10" i="3"/>
  <c r="L17" i="3"/>
  <c r="AJ35" i="3"/>
  <c r="S8" i="3"/>
  <c r="Q20" i="3"/>
  <c r="D47" i="3"/>
  <c r="AA28" i="3"/>
  <c r="S28" i="3"/>
  <c r="AI14" i="3"/>
  <c r="BO115" i="1" s="1"/>
  <c r="C26" i="3"/>
  <c r="H26" i="3"/>
  <c r="K34" i="3"/>
  <c r="AM6" i="3"/>
  <c r="M14" i="3"/>
  <c r="AS115" i="1" s="1"/>
  <c r="AG29" i="3"/>
  <c r="AQ20" i="3"/>
  <c r="Z33" i="3"/>
  <c r="AL32" i="3"/>
  <c r="AK23" i="3"/>
  <c r="AA19" i="3"/>
  <c r="Z5" i="3"/>
  <c r="AK16" i="3"/>
  <c r="K106" i="2"/>
  <c r="AP76" i="3"/>
  <c r="AL27" i="3"/>
  <c r="T32" i="3"/>
  <c r="Y18" i="3"/>
  <c r="AB11" i="3"/>
  <c r="AQ9" i="3"/>
  <c r="AB6" i="3"/>
  <c r="AC14" i="3"/>
  <c r="BI115" i="1" s="1"/>
  <c r="Q28" i="3"/>
  <c r="U35" i="3"/>
  <c r="AN21" i="3"/>
  <c r="Y5" i="3"/>
  <c r="J42" i="2"/>
  <c r="E96" i="2"/>
  <c r="H34" i="3"/>
  <c r="AK12" i="3"/>
  <c r="O5" i="3"/>
  <c r="AG27" i="3"/>
  <c r="AN23" i="3"/>
  <c r="AG21" i="3"/>
  <c r="AB26" i="3"/>
  <c r="AE20" i="3"/>
  <c r="AD33" i="3"/>
  <c r="I20" i="3"/>
  <c r="AN16" i="3"/>
  <c r="P28" i="3"/>
  <c r="P26" i="3"/>
  <c r="Z16" i="3"/>
  <c r="G34" i="3"/>
  <c r="J35" i="3"/>
  <c r="AH12" i="3"/>
  <c r="AG35" i="3"/>
  <c r="T33" i="3"/>
  <c r="Y25" i="3"/>
  <c r="T30" i="3"/>
  <c r="AC6" i="3"/>
  <c r="C9" i="3"/>
  <c r="AO41" i="3"/>
  <c r="U26" i="3"/>
  <c r="AC28" i="3"/>
  <c r="U10" i="3"/>
  <c r="U8" i="3"/>
  <c r="V40" i="3"/>
  <c r="AD31" i="3"/>
  <c r="V46" i="2"/>
  <c r="AP93" i="3"/>
  <c r="Y22" i="3"/>
  <c r="M29" i="3"/>
  <c r="M68" i="2"/>
  <c r="AB55" i="3"/>
  <c r="AQ13" i="3"/>
  <c r="K40" i="3"/>
  <c r="N5" i="3"/>
  <c r="C32" i="3"/>
  <c r="AK11" i="3"/>
  <c r="G50" i="3"/>
  <c r="AB13" i="3"/>
  <c r="R37" i="3"/>
  <c r="H23" i="3"/>
  <c r="U27" i="3"/>
  <c r="C29" i="3"/>
  <c r="AP24" i="3"/>
  <c r="AK26" i="3"/>
  <c r="AM18" i="3"/>
  <c r="T36" i="3"/>
  <c r="AG25" i="3"/>
  <c r="AB15" i="3"/>
  <c r="BH111" i="1" s="1"/>
  <c r="X42" i="3"/>
  <c r="AK25" i="3"/>
  <c r="K20" i="3"/>
  <c r="N17" i="3"/>
  <c r="P49" i="2"/>
  <c r="AB48" i="3"/>
  <c r="U21" i="3"/>
  <c r="O38" i="3"/>
  <c r="U24" i="3"/>
  <c r="AP8" i="3"/>
  <c r="AM9" i="3"/>
  <c r="AJ36" i="3"/>
  <c r="AQ22" i="3"/>
  <c r="AL7" i="3"/>
  <c r="U9" i="3"/>
  <c r="AJ26" i="3"/>
  <c r="W17" i="3"/>
  <c r="AI7" i="3"/>
  <c r="AC38" i="3"/>
  <c r="T40" i="3"/>
  <c r="AG22" i="3"/>
  <c r="AH20" i="3"/>
  <c r="AQ27" i="3"/>
  <c r="X11" i="3"/>
  <c r="Y21" i="3"/>
  <c r="AN20" i="3"/>
  <c r="H41" i="2"/>
  <c r="O61" i="2"/>
  <c r="AB64" i="3"/>
  <c r="AB19" i="3"/>
  <c r="L29" i="3"/>
  <c r="AH36" i="3"/>
  <c r="L20" i="3"/>
  <c r="C15" i="3"/>
  <c r="AI111" i="1" s="1"/>
  <c r="C40" i="3"/>
  <c r="AK20" i="3"/>
  <c r="AA11" i="3"/>
  <c r="AL25" i="3"/>
  <c r="AM10" i="3"/>
  <c r="P7" i="3"/>
  <c r="AM19" i="3"/>
  <c r="AB40" i="3"/>
  <c r="AQ16" i="3"/>
  <c r="Q32" i="3"/>
  <c r="J10" i="3"/>
  <c r="M18" i="3"/>
  <c r="AL19" i="3"/>
  <c r="AA37" i="3"/>
  <c r="AQ37" i="3"/>
  <c r="N11" i="3"/>
  <c r="P36" i="3"/>
  <c r="T70" i="2"/>
  <c r="H28" i="3"/>
  <c r="AJ23" i="3"/>
  <c r="H37" i="3"/>
  <c r="Z22" i="3"/>
  <c r="AE27" i="3"/>
  <c r="L61" i="2"/>
  <c r="AB62" i="3"/>
  <c r="AN22" i="3"/>
  <c r="J37" i="3"/>
  <c r="W12" i="3"/>
  <c r="AP16" i="3"/>
  <c r="I41" i="3"/>
  <c r="AI19" i="3"/>
  <c r="AO29" i="3"/>
  <c r="S19" i="3"/>
  <c r="I33" i="3"/>
  <c r="AI37" i="3"/>
  <c r="Q21" i="3"/>
  <c r="N16" i="3"/>
  <c r="AC10" i="3"/>
  <c r="AE13" i="3"/>
  <c r="R12" i="3"/>
  <c r="Q10" i="3"/>
  <c r="AN18" i="3"/>
  <c r="T17" i="3"/>
  <c r="I15" i="3"/>
  <c r="AO111" i="1" s="1"/>
  <c r="AE6" i="3"/>
  <c r="AK32" i="3"/>
  <c r="E89" i="2"/>
  <c r="T110" i="2"/>
  <c r="AP49" i="3"/>
  <c r="I28" i="3"/>
  <c r="P25" i="3"/>
  <c r="AG7" i="3"/>
  <c r="V34" i="3"/>
  <c r="K42" i="3"/>
  <c r="AQ21" i="3"/>
  <c r="AI20" i="3"/>
  <c r="Z41" i="3"/>
  <c r="I32" i="3"/>
  <c r="X6" i="3"/>
  <c r="I36" i="3"/>
  <c r="P42" i="3"/>
  <c r="D96" i="2"/>
  <c r="V83" i="2"/>
  <c r="AB84" i="3"/>
  <c r="AE31" i="3"/>
  <c r="K36" i="3"/>
  <c r="AA36" i="3"/>
  <c r="V33" i="3"/>
  <c r="M7" i="3"/>
  <c r="K15" i="3"/>
  <c r="AQ111" i="1" s="1"/>
  <c r="Z36" i="3"/>
  <c r="Y33" i="3"/>
  <c r="J5" i="3"/>
  <c r="AI39" i="3"/>
  <c r="O14" i="3"/>
  <c r="AU115" i="1" s="1"/>
  <c r="Z39" i="3"/>
  <c r="Y27" i="3"/>
  <c r="AI26" i="3"/>
  <c r="V19" i="3"/>
  <c r="AL35" i="3"/>
  <c r="K8" i="3"/>
  <c r="AO40" i="3"/>
  <c r="V20" i="3"/>
  <c r="AQ7" i="3"/>
  <c r="J62" i="2"/>
  <c r="D51" i="2"/>
  <c r="L63" i="2"/>
  <c r="F53" i="2"/>
  <c r="L87" i="2"/>
  <c r="J72" i="2"/>
  <c r="N93" i="2"/>
  <c r="H78" i="2"/>
  <c r="I52" i="2"/>
  <c r="J104" i="2"/>
  <c r="O71" i="2"/>
  <c r="V52" i="2"/>
  <c r="C76" i="2"/>
  <c r="H81" i="2"/>
  <c r="I84" i="2"/>
  <c r="U88" i="2"/>
  <c r="O72" i="2"/>
  <c r="R49" i="2"/>
  <c r="E111" i="2"/>
  <c r="Q45" i="2"/>
  <c r="G75" i="2"/>
  <c r="I94" i="2"/>
  <c r="N85" i="2"/>
  <c r="N56" i="2"/>
  <c r="K97" i="2"/>
  <c r="I71" i="2"/>
  <c r="I65" i="2"/>
  <c r="W97" i="2"/>
  <c r="S61" i="2"/>
  <c r="U48" i="2"/>
  <c r="X60" i="2"/>
  <c r="P54" i="2"/>
  <c r="N41" i="2"/>
  <c r="L47" i="2"/>
  <c r="M77" i="2"/>
  <c r="J106" i="2"/>
  <c r="M52" i="2"/>
  <c r="I59" i="2"/>
  <c r="H98" i="2"/>
  <c r="M73" i="2"/>
  <c r="H92" i="2"/>
  <c r="M107" i="2"/>
  <c r="T60" i="2"/>
  <c r="Q80" i="2"/>
  <c r="Q111" i="2"/>
  <c r="H43" i="2"/>
  <c r="O69" i="2"/>
  <c r="T73" i="2"/>
  <c r="N68" i="2"/>
  <c r="I68" i="2"/>
  <c r="W65" i="2"/>
  <c r="U97" i="2"/>
  <c r="G113" i="2"/>
  <c r="C73" i="2"/>
  <c r="F83" i="2"/>
  <c r="E47" i="2"/>
  <c r="L59" i="2"/>
  <c r="V58" i="2"/>
  <c r="R108" i="2"/>
  <c r="D49" i="2"/>
  <c r="L89" i="2"/>
  <c r="M49" i="2"/>
  <c r="V42" i="2"/>
  <c r="C92" i="2"/>
  <c r="T92" i="2"/>
  <c r="O73" i="2"/>
  <c r="S57" i="2"/>
  <c r="O107" i="2"/>
  <c r="L88" i="2"/>
  <c r="M97" i="2"/>
  <c r="S60" i="2"/>
  <c r="G97" i="2"/>
  <c r="I92" i="2"/>
  <c r="U71" i="2"/>
  <c r="P72" i="2"/>
  <c r="O56" i="2"/>
  <c r="P85" i="2"/>
  <c r="G40" i="2"/>
  <c r="D61" i="2"/>
  <c r="S40" i="2"/>
  <c r="P65" i="2"/>
  <c r="G58" i="2"/>
  <c r="L82" i="2"/>
  <c r="E61" i="2"/>
  <c r="S99" i="2"/>
  <c r="E70" i="2"/>
  <c r="S78" i="2"/>
  <c r="G61" i="2"/>
  <c r="O58" i="2"/>
  <c r="D52" i="2"/>
  <c r="L111" i="2"/>
  <c r="V111" i="2"/>
  <c r="F48" i="2"/>
  <c r="D74" i="2"/>
  <c r="N62" i="2"/>
  <c r="N53" i="2"/>
  <c r="K113" i="2"/>
  <c r="H51" i="2"/>
  <c r="G72" i="2"/>
  <c r="S67" i="2"/>
  <c r="G46" i="2"/>
  <c r="K86" i="2"/>
  <c r="Q40" i="2"/>
  <c r="S85" i="2"/>
  <c r="H82" i="2"/>
  <c r="H65" i="2"/>
  <c r="D57" i="2"/>
  <c r="K44" i="2"/>
  <c r="Q77" i="2"/>
  <c r="M113" i="2"/>
  <c r="K99" i="2"/>
  <c r="L110" i="2"/>
  <c r="V90" i="2"/>
  <c r="I53" i="2"/>
  <c r="L58" i="2"/>
  <c r="L57" i="2"/>
  <c r="J74" i="2"/>
  <c r="U60" i="2"/>
  <c r="L104" i="2"/>
  <c r="T89" i="2"/>
  <c r="X61" i="2"/>
  <c r="K57" i="2"/>
  <c r="T93" i="2"/>
  <c r="O88" i="2"/>
  <c r="T49" i="2"/>
  <c r="I58" i="2"/>
  <c r="N61" i="2"/>
  <c r="V106" i="2"/>
  <c r="N51" i="2"/>
  <c r="P91" i="2"/>
  <c r="T64" i="2"/>
  <c r="U105" i="2"/>
  <c r="D70" i="2"/>
  <c r="J78" i="2"/>
  <c r="T67" i="2"/>
  <c r="R106" i="2"/>
  <c r="T99" i="2"/>
  <c r="J55" i="2"/>
  <c r="G48" i="2"/>
  <c r="P111" i="2"/>
  <c r="R91" i="2"/>
  <c r="H46" i="2"/>
  <c r="E92" i="2"/>
  <c r="V89" i="2"/>
  <c r="H111" i="2"/>
  <c r="J76" i="2"/>
  <c r="S71" i="2"/>
  <c r="T82" i="2"/>
  <c r="E82" i="2"/>
  <c r="S80" i="2"/>
  <c r="P76" i="2"/>
  <c r="Q85" i="2"/>
  <c r="N45" i="2"/>
  <c r="V49" i="2"/>
  <c r="T97" i="2"/>
  <c r="C46" i="2"/>
  <c r="M92" i="2"/>
  <c r="R48" i="2"/>
  <c r="S43" i="2"/>
  <c r="S53" i="2"/>
  <c r="P70" i="2"/>
  <c r="L41" i="2"/>
  <c r="T94" i="2"/>
  <c r="K105" i="2"/>
  <c r="W42" i="2"/>
  <c r="W54" i="2"/>
  <c r="P50" i="2"/>
  <c r="G98" i="2"/>
  <c r="J61" i="2"/>
  <c r="X83" i="2"/>
  <c r="W93" i="2"/>
  <c r="K94" i="2"/>
  <c r="P63" i="2"/>
  <c r="M57" i="2"/>
  <c r="C58" i="2"/>
  <c r="T50" i="2"/>
  <c r="I113" i="2"/>
  <c r="L51" i="2"/>
  <c r="U81" i="2"/>
  <c r="S63" i="2"/>
  <c r="T80" i="2"/>
  <c r="H44" i="2"/>
  <c r="R74" i="2"/>
  <c r="Q88" i="2"/>
  <c r="F51" i="2"/>
  <c r="R111" i="2"/>
  <c r="J73" i="2"/>
  <c r="L98" i="2"/>
  <c r="U89" i="2"/>
  <c r="M72" i="2"/>
  <c r="U106" i="2"/>
  <c r="C104" i="2"/>
  <c r="D67" i="2"/>
  <c r="F77" i="2"/>
  <c r="X78" i="2"/>
  <c r="I40" i="2"/>
  <c r="E77" i="2"/>
  <c r="V79" i="2"/>
  <c r="G65" i="2"/>
  <c r="U104" i="2"/>
  <c r="X59" i="2"/>
  <c r="N64" i="2"/>
  <c r="R86" i="2"/>
  <c r="P68" i="2"/>
  <c r="L65" i="2"/>
  <c r="N58" i="2"/>
  <c r="K90" i="2"/>
  <c r="K74" i="2"/>
  <c r="R56" i="2"/>
  <c r="X62" i="2"/>
  <c r="V80" i="2"/>
  <c r="C42" i="2"/>
  <c r="I61" i="2"/>
  <c r="W92" i="2"/>
  <c r="L45" i="2"/>
  <c r="V62" i="2"/>
  <c r="E51" i="2"/>
  <c r="H89" i="2"/>
  <c r="E54" i="2"/>
  <c r="O44" i="2"/>
  <c r="H62" i="2"/>
  <c r="Q107" i="2"/>
  <c r="I55" i="2"/>
  <c r="S59" i="2"/>
  <c r="D40" i="2"/>
  <c r="V97" i="2"/>
  <c r="C66" i="2"/>
  <c r="V45" i="2"/>
  <c r="N92" i="2"/>
  <c r="AB61" i="3"/>
  <c r="E106" i="2"/>
  <c r="G66" i="2"/>
  <c r="O84" i="2"/>
  <c r="F40" i="2"/>
  <c r="E52" i="2"/>
  <c r="K49" i="2"/>
  <c r="F99" i="2"/>
  <c r="V65" i="2"/>
  <c r="F41" i="2"/>
  <c r="H84" i="2"/>
  <c r="C49" i="2"/>
  <c r="E104" i="2"/>
  <c r="W83" i="2"/>
  <c r="K95" i="2"/>
  <c r="L69" i="2"/>
  <c r="I56" i="2"/>
  <c r="M89" i="2"/>
  <c r="G110" i="2"/>
  <c r="N52" i="2"/>
  <c r="R80" i="2"/>
  <c r="D71" i="2"/>
  <c r="M81" i="2"/>
  <c r="L80" i="2"/>
  <c r="V81" i="2"/>
  <c r="O79" i="2"/>
  <c r="Q72" i="2"/>
  <c r="O91" i="2"/>
  <c r="S86" i="2"/>
  <c r="I47" i="2"/>
  <c r="Q64" i="2"/>
  <c r="G105" i="2"/>
  <c r="L99" i="2"/>
  <c r="M51" i="2"/>
  <c r="S65" i="2"/>
  <c r="H45" i="2"/>
  <c r="F81" i="2"/>
  <c r="S98" i="2"/>
  <c r="AP59" i="3"/>
  <c r="AP67" i="3"/>
  <c r="H41" i="3"/>
  <c r="Z6" i="3"/>
  <c r="W33" i="3"/>
  <c r="U19" i="3"/>
  <c r="AJ41" i="3"/>
  <c r="AM21" i="3"/>
  <c r="AC36" i="3"/>
  <c r="M13" i="3"/>
  <c r="Y19" i="3"/>
  <c r="R20" i="3"/>
  <c r="O24" i="3"/>
  <c r="Y30" i="3"/>
  <c r="G48" i="3"/>
  <c r="AE5" i="3"/>
  <c r="AC5" i="3"/>
  <c r="R33" i="3"/>
  <c r="Z7" i="3"/>
  <c r="AQ15" i="3"/>
  <c r="BW111" i="1" s="1"/>
  <c r="L15" i="3"/>
  <c r="AR111" i="1" s="1"/>
  <c r="X17" i="3"/>
  <c r="AN11" i="3"/>
  <c r="V21" i="3"/>
  <c r="AI40" i="3"/>
  <c r="S15" i="3"/>
  <c r="AY111" i="1" s="1"/>
  <c r="AJ27" i="3"/>
  <c r="L21" i="3"/>
  <c r="J50" i="2"/>
  <c r="S105" i="2"/>
  <c r="C107" i="2"/>
  <c r="J113" i="2"/>
  <c r="N75" i="2"/>
  <c r="L95" i="2"/>
  <c r="E67" i="2"/>
  <c r="S88" i="2"/>
  <c r="R70" i="2"/>
  <c r="N69" i="2"/>
  <c r="N49" i="2"/>
  <c r="S56" i="2"/>
  <c r="R104" i="2"/>
  <c r="N70" i="2"/>
  <c r="X68" i="2"/>
  <c r="AB57" i="3"/>
  <c r="AB87" i="3"/>
  <c r="AI6" i="3"/>
  <c r="X30" i="3"/>
  <c r="AD24" i="3"/>
  <c r="G42" i="3"/>
  <c r="P30" i="3"/>
  <c r="AG37" i="3"/>
  <c r="AH22" i="3"/>
  <c r="X16" i="3"/>
  <c r="P27" i="3"/>
  <c r="AG26" i="3"/>
  <c r="AE18" i="3"/>
  <c r="T16" i="3"/>
  <c r="AG6" i="3"/>
  <c r="AH29" i="3"/>
  <c r="S41" i="3"/>
  <c r="M38" i="3"/>
  <c r="AN5" i="3"/>
  <c r="AP39" i="3"/>
  <c r="Z13" i="3"/>
  <c r="T7" i="3"/>
  <c r="R95" i="2"/>
  <c r="T46" i="2"/>
  <c r="J84" i="2"/>
  <c r="E50" i="2"/>
  <c r="U69" i="2"/>
  <c r="X43" i="2"/>
  <c r="I105" i="2"/>
  <c r="J45" i="2"/>
  <c r="H109" i="2"/>
  <c r="X73" i="2"/>
  <c r="F109" i="2"/>
  <c r="X88" i="2"/>
  <c r="F43" i="2"/>
  <c r="J69" i="2"/>
  <c r="G87" i="2"/>
  <c r="C80" i="2"/>
  <c r="I88" i="2"/>
  <c r="C79" i="2"/>
  <c r="F82" i="2"/>
  <c r="P88" i="2"/>
  <c r="S46" i="2"/>
  <c r="U73" i="2"/>
  <c r="E83" i="2"/>
  <c r="N86" i="2"/>
  <c r="K65" i="2"/>
  <c r="Q86" i="2"/>
  <c r="D68" i="2"/>
  <c r="N63" i="2"/>
  <c r="N57" i="2"/>
  <c r="AB60" i="3"/>
  <c r="AB63" i="3"/>
  <c r="AM33" i="3"/>
  <c r="AO33" i="3"/>
  <c r="P10" i="3"/>
  <c r="AB41" i="3"/>
  <c r="N39" i="3"/>
  <c r="C71" i="2"/>
  <c r="H73" i="2"/>
  <c r="N111" i="2"/>
  <c r="M43" i="2"/>
  <c r="X48" i="2"/>
  <c r="C40" i="2"/>
  <c r="P57" i="2"/>
  <c r="G64" i="2"/>
  <c r="R50" i="2"/>
  <c r="N47" i="2"/>
  <c r="AB94" i="3"/>
  <c r="AP60" i="3"/>
  <c r="AJ17" i="3"/>
  <c r="U30" i="3"/>
  <c r="AP41" i="3"/>
  <c r="AM25" i="3"/>
  <c r="AM11" i="3"/>
  <c r="AK17" i="3"/>
  <c r="J25" i="3"/>
  <c r="O8" i="3"/>
  <c r="N21" i="3"/>
  <c r="AC19" i="3"/>
  <c r="AC33" i="3"/>
  <c r="K21" i="3"/>
  <c r="U33" i="3"/>
  <c r="U6" i="3"/>
  <c r="W41" i="3"/>
  <c r="AE28" i="3"/>
  <c r="G49" i="3"/>
  <c r="AJ18" i="3"/>
  <c r="AH26" i="3"/>
  <c r="N7" i="3"/>
  <c r="V26" i="3"/>
  <c r="AC30" i="3"/>
  <c r="K82" i="2"/>
  <c r="F86" i="2"/>
  <c r="O110" i="2"/>
  <c r="O65" i="2"/>
  <c r="T56" i="2"/>
  <c r="G80" i="2"/>
  <c r="P52" i="2"/>
  <c r="K77" i="2"/>
  <c r="C95" i="2"/>
  <c r="L83" i="2"/>
  <c r="AB50" i="3"/>
  <c r="AP69" i="3"/>
  <c r="R18" i="3"/>
  <c r="Y17" i="3"/>
  <c r="AI16" i="3"/>
  <c r="AE21" i="3"/>
  <c r="AI21" i="3"/>
  <c r="AG28" i="3"/>
  <c r="P8" i="3"/>
  <c r="I13" i="3"/>
  <c r="AL22" i="3"/>
  <c r="AP28" i="3"/>
  <c r="O6" i="3"/>
  <c r="V27" i="3"/>
  <c r="AL15" i="3"/>
  <c r="BR111" i="1" s="1"/>
  <c r="AO23" i="3"/>
  <c r="V11" i="3"/>
  <c r="P17" i="3"/>
  <c r="AQ24" i="3"/>
  <c r="Z20" i="3"/>
  <c r="AM34" i="3"/>
  <c r="G96" i="2"/>
  <c r="F68" i="2"/>
  <c r="R93" i="2"/>
  <c r="G59" i="2"/>
  <c r="V82" i="2"/>
  <c r="H108" i="2"/>
  <c r="E73" i="2"/>
  <c r="T105" i="2"/>
  <c r="P92" i="2"/>
  <c r="L97" i="2"/>
  <c r="AB93" i="3"/>
  <c r="AP77" i="3"/>
  <c r="AC18" i="3"/>
  <c r="Y40" i="3"/>
  <c r="C7" i="3"/>
  <c r="Z34" i="3"/>
  <c r="Q35" i="3"/>
  <c r="X36" i="3"/>
  <c r="X15" i="3"/>
  <c r="BD111" i="1" s="1"/>
  <c r="L6" i="3"/>
  <c r="AH7" i="3"/>
  <c r="P6" i="3"/>
  <c r="L23" i="3"/>
  <c r="T26" i="3"/>
  <c r="AJ11" i="3"/>
  <c r="AA41" i="3"/>
  <c r="AK13" i="3"/>
  <c r="U36" i="3"/>
  <c r="AO17" i="3"/>
  <c r="H16" i="3"/>
  <c r="AK14" i="3"/>
  <c r="BQ115" i="1" s="1"/>
  <c r="E46" i="2"/>
  <c r="V92" i="2"/>
  <c r="S48" i="2"/>
  <c r="C105" i="2"/>
  <c r="X107" i="2"/>
  <c r="O104" i="2"/>
  <c r="C110" i="2"/>
  <c r="O70" i="2"/>
  <c r="Q73" i="2"/>
  <c r="I73" i="2"/>
  <c r="AB88" i="3"/>
  <c r="AP62" i="3"/>
  <c r="Z30" i="3"/>
  <c r="J16" i="3"/>
  <c r="AO15" i="3"/>
  <c r="BU111" i="1" s="1"/>
  <c r="O37" i="3"/>
  <c r="W18" i="3"/>
  <c r="AL37" i="3"/>
  <c r="AM14" i="3"/>
  <c r="BS115" i="1" s="1"/>
  <c r="Z28" i="3"/>
  <c r="AC13" i="3"/>
  <c r="AJ14" i="3"/>
  <c r="BP115" i="1" s="1"/>
  <c r="I25" i="3"/>
  <c r="AN17" i="3"/>
  <c r="AH10" i="3"/>
  <c r="Q22" i="3"/>
  <c r="G39" i="3"/>
  <c r="AK10" i="3"/>
  <c r="AO30" i="3"/>
  <c r="AL13" i="3"/>
  <c r="AN28" i="3"/>
  <c r="W73" i="2"/>
  <c r="M60" i="2"/>
  <c r="W51" i="2"/>
  <c r="E93" i="2"/>
  <c r="I45" i="2"/>
  <c r="P58" i="2"/>
  <c r="U110" i="2"/>
  <c r="E87" i="2"/>
  <c r="I79" i="2"/>
  <c r="R40" i="2"/>
  <c r="AB82" i="3"/>
  <c r="N15" i="3"/>
  <c r="AT111" i="1" s="1"/>
  <c r="N34" i="3"/>
  <c r="AM40" i="3"/>
  <c r="AK24" i="3"/>
  <c r="AI34" i="3"/>
  <c r="AC17" i="3"/>
  <c r="I18" i="3"/>
  <c r="AD40" i="3"/>
  <c r="AO12" i="3"/>
  <c r="C31" i="3"/>
  <c r="AM28" i="3"/>
  <c r="J24" i="3"/>
  <c r="M19" i="3"/>
  <c r="AM38" i="3"/>
  <c r="R7" i="3"/>
  <c r="AO8" i="3"/>
  <c r="AK15" i="3"/>
  <c r="BQ111" i="1" s="1"/>
  <c r="V23" i="3"/>
  <c r="AK38" i="3"/>
  <c r="W32" i="3"/>
  <c r="AD34" i="3"/>
  <c r="F58" i="2"/>
  <c r="AB58" i="3"/>
  <c r="AI12" i="3"/>
  <c r="Z15" i="3"/>
  <c r="BF111" i="1" s="1"/>
  <c r="I26" i="3"/>
  <c r="AM26" i="3"/>
  <c r="AK22" i="3"/>
  <c r="AL39" i="3"/>
  <c r="E50" i="3"/>
  <c r="AQ40" i="3"/>
  <c r="AE17" i="3"/>
  <c r="C20" i="3"/>
  <c r="AM35" i="3"/>
  <c r="C13" i="3"/>
  <c r="H31" i="3"/>
  <c r="Z14" i="3"/>
  <c r="BF115" i="1" s="1"/>
  <c r="S20" i="3"/>
  <c r="AA38" i="3"/>
  <c r="K26" i="3"/>
  <c r="AP21" i="3"/>
  <c r="C10" i="3"/>
  <c r="K7" i="3"/>
  <c r="R19" i="3"/>
  <c r="AB31" i="3"/>
  <c r="AA39" i="3"/>
  <c r="AQ17" i="3"/>
  <c r="C11" i="3"/>
  <c r="U38" i="3"/>
  <c r="AI17" i="3"/>
  <c r="AC15" i="3"/>
  <c r="BI111" i="1" s="1"/>
  <c r="J28" i="3"/>
  <c r="L73" i="2"/>
  <c r="L109" i="2"/>
  <c r="C28" i="3"/>
  <c r="AD35" i="3"/>
  <c r="AJ33" i="3"/>
  <c r="AN32" i="3"/>
  <c r="J34" i="3"/>
  <c r="L28" i="3"/>
  <c r="AM20" i="3"/>
  <c r="S23" i="3"/>
  <c r="AA14" i="3"/>
  <c r="BG115" i="1" s="1"/>
  <c r="R41" i="3"/>
  <c r="G33" i="3"/>
  <c r="L40" i="3"/>
  <c r="W110" i="2"/>
  <c r="AB59" i="3"/>
  <c r="AH23" i="3"/>
  <c r="AA34" i="3"/>
  <c r="AI15" i="3"/>
  <c r="BO111" i="1" s="1"/>
  <c r="H19" i="3"/>
  <c r="J27" i="3"/>
  <c r="AE8" i="3"/>
  <c r="Y24" i="3"/>
  <c r="N42" i="3"/>
  <c r="S39" i="3"/>
  <c r="AQ26" i="3"/>
  <c r="Z42" i="3"/>
  <c r="H30" i="3"/>
  <c r="AL5" i="3"/>
  <c r="H8" i="3"/>
  <c r="W39" i="3"/>
  <c r="P9" i="3"/>
  <c r="S18" i="3"/>
  <c r="AD39" i="3"/>
  <c r="X14" i="3"/>
  <c r="BD115" i="1" s="1"/>
  <c r="M32" i="3"/>
  <c r="Y28" i="3"/>
  <c r="Q5" i="3"/>
  <c r="AI32" i="3"/>
  <c r="Z26" i="3"/>
  <c r="AB25" i="3"/>
  <c r="C14" i="3"/>
  <c r="AI115" i="1" s="1"/>
  <c r="C36" i="3"/>
  <c r="L24" i="3"/>
  <c r="Q25" i="3"/>
  <c r="I42" i="3"/>
  <c r="F66" i="2"/>
  <c r="AP63" i="3"/>
  <c r="W28" i="3"/>
  <c r="Q16" i="3"/>
  <c r="P74" i="2"/>
  <c r="AB71" i="3"/>
  <c r="AO39" i="3"/>
  <c r="Y6" i="3"/>
  <c r="Y39" i="3"/>
  <c r="AN27" i="3"/>
  <c r="O20" i="3"/>
  <c r="AB24" i="3"/>
  <c r="AP22" i="3"/>
  <c r="O26" i="3"/>
  <c r="AL29" i="3"/>
  <c r="Y14" i="3"/>
  <c r="BE115" i="1" s="1"/>
  <c r="AI8" i="3"/>
  <c r="AD42" i="3"/>
  <c r="T38" i="3"/>
  <c r="AA15" i="3"/>
  <c r="BG111" i="1" s="1"/>
  <c r="AB9" i="3"/>
  <c r="AD29" i="3"/>
  <c r="W8" i="3"/>
  <c r="U13" i="3"/>
  <c r="AP32" i="3"/>
  <c r="X40" i="3"/>
  <c r="AH30" i="3"/>
  <c r="T62" i="2"/>
  <c r="AP58" i="3"/>
  <c r="AL41" i="3"/>
  <c r="Z25" i="3"/>
  <c r="AL31" i="3"/>
  <c r="M9" i="3"/>
  <c r="AL16" i="3"/>
  <c r="C24" i="3"/>
  <c r="AP17" i="3"/>
  <c r="AD21" i="3"/>
  <c r="P15" i="3"/>
  <c r="AV111" i="1" s="1"/>
  <c r="S6" i="3"/>
  <c r="AE35" i="3"/>
  <c r="T29" i="3"/>
  <c r="O31" i="3"/>
  <c r="V10" i="3"/>
  <c r="AK18" i="3"/>
  <c r="T5" i="3"/>
  <c r="K31" i="3"/>
  <c r="AB16" i="3"/>
  <c r="AH6" i="3"/>
  <c r="AI18" i="3"/>
  <c r="O112" i="2"/>
  <c r="X45" i="2"/>
  <c r="AG39" i="3"/>
  <c r="AH16" i="3"/>
  <c r="Z11" i="3"/>
  <c r="AK29" i="3"/>
  <c r="S40" i="3"/>
  <c r="Y16" i="3"/>
  <c r="X25" i="3"/>
  <c r="AL21" i="3"/>
  <c r="Y20" i="3"/>
  <c r="AA16" i="3"/>
  <c r="AD27" i="3"/>
  <c r="Y10" i="3"/>
  <c r="AG16" i="3"/>
  <c r="L34" i="3"/>
  <c r="C16" i="3"/>
  <c r="AE22" i="3"/>
  <c r="N18" i="3"/>
  <c r="U40" i="3"/>
  <c r="AA26" i="3"/>
  <c r="K5" i="3"/>
  <c r="J40" i="3"/>
  <c r="V17" i="3"/>
  <c r="Q39" i="3"/>
  <c r="AB92" i="3"/>
  <c r="M11" i="3"/>
  <c r="Q19" i="3"/>
  <c r="N8" i="3"/>
  <c r="M42" i="3"/>
  <c r="D76" i="2"/>
  <c r="S64" i="2"/>
  <c r="AB91" i="3"/>
  <c r="L25" i="3"/>
  <c r="L33" i="3"/>
  <c r="T35" i="3"/>
  <c r="AK30" i="3"/>
  <c r="S30" i="3"/>
  <c r="W36" i="3"/>
  <c r="AG36" i="3"/>
  <c r="V32" i="3"/>
  <c r="AB7" i="3"/>
  <c r="N38" i="3"/>
  <c r="X37" i="3"/>
  <c r="Y15" i="3"/>
  <c r="BE111" i="1" s="1"/>
  <c r="U32" i="3"/>
  <c r="K32" i="3"/>
  <c r="O33" i="3"/>
  <c r="Y37" i="3"/>
  <c r="F60" i="2"/>
  <c r="AP36" i="3"/>
  <c r="J17" i="3"/>
  <c r="AJ28" i="3"/>
  <c r="D48" i="3"/>
  <c r="C77" i="2"/>
  <c r="F88" i="2"/>
  <c r="J36" i="3"/>
  <c r="W37" i="3"/>
  <c r="M15" i="3"/>
  <c r="AS111" i="1" s="1"/>
  <c r="AN35" i="3"/>
  <c r="S17" i="3"/>
  <c r="U28" i="3"/>
  <c r="H18" i="3"/>
  <c r="M27" i="3"/>
  <c r="I27" i="3"/>
  <c r="AC41" i="3"/>
  <c r="N109" i="2"/>
  <c r="AP37" i="3"/>
  <c r="K30" i="3"/>
  <c r="N79" i="2"/>
  <c r="AB81" i="3"/>
  <c r="N24" i="3"/>
  <c r="AE9" i="3"/>
  <c r="W19" i="3"/>
  <c r="C22" i="3"/>
  <c r="AP26" i="3"/>
  <c r="AQ19" i="3"/>
  <c r="AN24" i="3"/>
  <c r="Y36" i="3"/>
  <c r="J20" i="3"/>
  <c r="AA7" i="3"/>
  <c r="AO35" i="3"/>
  <c r="L7" i="3"/>
  <c r="AJ42" i="3"/>
  <c r="AC40" i="3"/>
  <c r="AO27" i="3"/>
  <c r="M40" i="3"/>
  <c r="AC34" i="3"/>
  <c r="AH18" i="3"/>
  <c r="X23" i="3"/>
  <c r="N41" i="3"/>
  <c r="AE80" i="3"/>
  <c r="Q96" i="3"/>
  <c r="AE61" i="3"/>
  <c r="Q70" i="3"/>
  <c r="Q87" i="3"/>
  <c r="AL83" i="3"/>
  <c r="AL89" i="3"/>
  <c r="AL61" i="3"/>
  <c r="AC97" i="3"/>
  <c r="AC56" i="3"/>
  <c r="T80" i="3"/>
  <c r="AC75" i="3"/>
  <c r="Q97" i="3"/>
  <c r="AN88" i="3"/>
  <c r="Q89" i="3"/>
  <c r="AN62" i="3"/>
  <c r="AC69" i="3"/>
  <c r="AL94" i="3"/>
  <c r="T54" i="3"/>
  <c r="AN76" i="3"/>
  <c r="AL96" i="3"/>
  <c r="AE65" i="3"/>
  <c r="AL77" i="3"/>
  <c r="AN82" i="3"/>
  <c r="AN91" i="3"/>
  <c r="AL86" i="3"/>
  <c r="T93" i="3"/>
  <c r="AE97" i="3"/>
  <c r="AN75" i="3"/>
  <c r="AN80" i="3"/>
  <c r="Q48" i="3"/>
  <c r="AC94" i="3"/>
  <c r="AL73" i="3"/>
  <c r="T70" i="3"/>
  <c r="Q77" i="3"/>
  <c r="AN74" i="3"/>
  <c r="AE55" i="3"/>
  <c r="AN95" i="3"/>
  <c r="T59" i="3"/>
  <c r="AC50" i="3"/>
  <c r="Q59" i="3"/>
  <c r="K80" i="3"/>
  <c r="Q81" i="3"/>
  <c r="K90" i="3"/>
  <c r="Q72" i="3"/>
  <c r="K83" i="3"/>
  <c r="AL95" i="3"/>
  <c r="K96" i="3"/>
  <c r="AC80" i="3"/>
  <c r="K70" i="3"/>
  <c r="AN70" i="3"/>
  <c r="AE68" i="3"/>
  <c r="T61" i="3"/>
  <c r="AN89" i="3"/>
  <c r="AN50" i="3"/>
  <c r="AL80" i="3"/>
  <c r="Q83" i="3"/>
  <c r="K76" i="3"/>
  <c r="K97" i="3"/>
  <c r="V98" i="2"/>
  <c r="P113" i="2"/>
  <c r="R69" i="2"/>
  <c r="C70" i="2"/>
  <c r="P94" i="2"/>
  <c r="E76" i="2"/>
  <c r="F104" i="2"/>
  <c r="M50" i="2"/>
  <c r="P59" i="2"/>
  <c r="S70" i="2"/>
  <c r="J59" i="2"/>
  <c r="E65" i="2"/>
  <c r="U58" i="2"/>
  <c r="R88" i="2"/>
  <c r="X44" i="2"/>
  <c r="C64" i="2"/>
  <c r="W94" i="2"/>
  <c r="J99" i="2"/>
  <c r="G91" i="2"/>
  <c r="I97" i="2"/>
  <c r="W50" i="2"/>
  <c r="K91" i="2"/>
  <c r="F73" i="2"/>
  <c r="W91" i="2"/>
  <c r="M96" i="2"/>
  <c r="O75" i="2"/>
  <c r="O89" i="2"/>
  <c r="W43" i="2"/>
  <c r="D92" i="2"/>
  <c r="F94" i="2"/>
  <c r="W84" i="2"/>
  <c r="I62" i="2"/>
  <c r="P106" i="2"/>
  <c r="O85" i="2"/>
  <c r="L71" i="2"/>
  <c r="H94" i="2"/>
  <c r="E66" i="2"/>
  <c r="C109" i="2"/>
  <c r="N73" i="2"/>
  <c r="Q41" i="2"/>
  <c r="H96" i="2"/>
  <c r="N83" i="2"/>
  <c r="P89" i="2"/>
  <c r="S75" i="2"/>
  <c r="M74" i="2"/>
  <c r="H83" i="2"/>
  <c r="U98" i="2"/>
  <c r="P96" i="2"/>
  <c r="F84" i="2"/>
  <c r="M55" i="2"/>
  <c r="C50" i="2"/>
  <c r="M80" i="2"/>
  <c r="I54" i="2"/>
  <c r="F96" i="2"/>
  <c r="L68" i="2"/>
  <c r="I109" i="2"/>
  <c r="I70" i="2"/>
  <c r="N48" i="2"/>
  <c r="K47" i="2"/>
  <c r="W81" i="2"/>
  <c r="J110" i="2"/>
  <c r="R75" i="2"/>
  <c r="I63" i="2"/>
  <c r="F55" i="2"/>
  <c r="M88" i="2"/>
  <c r="D93" i="2"/>
  <c r="G90" i="2"/>
  <c r="Q108" i="2"/>
  <c r="J41" i="2"/>
  <c r="P109" i="2"/>
  <c r="H74" i="2"/>
  <c r="O40" i="2"/>
  <c r="C84" i="2"/>
  <c r="O57" i="2"/>
  <c r="Q99" i="2"/>
  <c r="D81" i="2"/>
  <c r="K75" i="2"/>
  <c r="K107" i="2"/>
  <c r="U42" i="2"/>
  <c r="T55" i="2"/>
  <c r="J112" i="2"/>
  <c r="V96" i="2"/>
  <c r="O49" i="2"/>
  <c r="D83" i="2"/>
  <c r="P71" i="2"/>
  <c r="W71" i="2"/>
  <c r="L72" i="2"/>
  <c r="W47" i="2"/>
  <c r="R58" i="2"/>
  <c r="K60" i="2"/>
  <c r="X82" i="2"/>
  <c r="T107" i="2"/>
  <c r="K70" i="2"/>
  <c r="W55" i="2"/>
  <c r="I99" i="2"/>
  <c r="D46" i="2"/>
  <c r="E68" i="2"/>
  <c r="Q43" i="2"/>
  <c r="P51" i="2"/>
  <c r="N60" i="2"/>
  <c r="C88" i="2"/>
  <c r="X94" i="2"/>
  <c r="G77" i="2"/>
  <c r="F80" i="2"/>
  <c r="J53" i="2"/>
  <c r="L52" i="2"/>
  <c r="Q96" i="2"/>
  <c r="Q49" i="2"/>
  <c r="E60" i="2"/>
  <c r="R61" i="2"/>
  <c r="Q70" i="2"/>
  <c r="R85" i="2"/>
  <c r="H87" i="2"/>
  <c r="L74" i="2"/>
  <c r="Q81" i="2"/>
  <c r="X95" i="2"/>
  <c r="V50" i="2"/>
  <c r="O59" i="2"/>
  <c r="N95" i="2"/>
  <c r="K96" i="2"/>
  <c r="W78" i="2"/>
  <c r="K69" i="2"/>
  <c r="S110" i="2"/>
  <c r="V108" i="2"/>
  <c r="X86" i="2"/>
  <c r="D94" i="2"/>
  <c r="U108" i="2"/>
  <c r="H107" i="2"/>
  <c r="R67" i="2"/>
  <c r="J109" i="2"/>
  <c r="S44" i="2"/>
  <c r="T77" i="2"/>
  <c r="G107" i="2"/>
  <c r="R78" i="2"/>
  <c r="U82" i="2"/>
  <c r="M105" i="2"/>
  <c r="O81" i="2"/>
  <c r="G81" i="2"/>
  <c r="X90" i="2"/>
  <c r="O83" i="2"/>
  <c r="G82" i="2"/>
  <c r="E41" i="2"/>
  <c r="E81" i="2"/>
  <c r="K42" i="2"/>
  <c r="U67" i="2"/>
  <c r="U94" i="2"/>
  <c r="W69" i="2"/>
  <c r="V99" i="2"/>
  <c r="D112" i="2"/>
  <c r="O113" i="2"/>
  <c r="P83" i="2"/>
  <c r="U99" i="2"/>
  <c r="G109" i="2"/>
  <c r="C41" i="2"/>
  <c r="H110" i="2"/>
  <c r="I85" i="2"/>
  <c r="C67" i="2"/>
  <c r="K108" i="2"/>
  <c r="P42" i="2"/>
  <c r="U53" i="2"/>
  <c r="W88" i="2"/>
  <c r="S79" i="2"/>
  <c r="J94" i="2"/>
  <c r="F49" i="2"/>
  <c r="P62" i="2"/>
  <c r="X96" i="2"/>
  <c r="D86" i="2"/>
  <c r="V67" i="2"/>
  <c r="P55" i="2"/>
  <c r="S106" i="2"/>
  <c r="U91" i="2"/>
  <c r="S109" i="2"/>
  <c r="T78" i="2"/>
  <c r="X70" i="2"/>
  <c r="D53" i="2"/>
  <c r="T95" i="2"/>
  <c r="F46" i="2"/>
  <c r="T65" i="2"/>
  <c r="U96" i="2"/>
  <c r="F111" i="2"/>
  <c r="W68" i="2"/>
  <c r="X99" i="2"/>
  <c r="W105" i="2"/>
  <c r="W107" i="2"/>
  <c r="J79" i="2"/>
  <c r="W61" i="2"/>
  <c r="W80" i="2"/>
  <c r="S72" i="2"/>
  <c r="G88" i="2"/>
  <c r="R72" i="2"/>
  <c r="C52" i="2"/>
  <c r="Q42" i="2"/>
  <c r="K112" i="2"/>
  <c r="C78" i="2"/>
  <c r="G67" i="2"/>
  <c r="D41" i="2"/>
  <c r="H97" i="2"/>
  <c r="O109" i="2"/>
  <c r="AP68" i="3"/>
  <c r="P90" i="2"/>
  <c r="L86" i="2"/>
  <c r="D78" i="2"/>
  <c r="I78" i="2"/>
  <c r="S74" i="2"/>
  <c r="I106" i="2"/>
  <c r="V75" i="2"/>
  <c r="G99" i="2"/>
  <c r="L112" i="2"/>
  <c r="P107" i="2"/>
  <c r="X98" i="2"/>
  <c r="L50" i="2"/>
  <c r="M45" i="2"/>
  <c r="K88" i="2"/>
  <c r="C74" i="2"/>
  <c r="R51" i="2"/>
  <c r="V71" i="2"/>
  <c r="U87" i="2"/>
  <c r="L108" i="2"/>
  <c r="W106" i="2"/>
  <c r="P43" i="2"/>
  <c r="E107" i="2"/>
  <c r="K40" i="2"/>
  <c r="K89" i="2"/>
  <c r="S113" i="2"/>
  <c r="T96" i="2"/>
  <c r="R45" i="2"/>
  <c r="J90" i="2"/>
  <c r="C51" i="2"/>
  <c r="S54" i="2"/>
  <c r="O108" i="2"/>
  <c r="Q62" i="2"/>
  <c r="D99" i="2"/>
  <c r="O95" i="2"/>
  <c r="M62" i="2"/>
  <c r="L81" i="2"/>
  <c r="O68" i="2"/>
  <c r="D85" i="2"/>
  <c r="G47" i="2"/>
  <c r="M82" i="2"/>
  <c r="O98" i="2"/>
  <c r="W60" i="2"/>
  <c r="R81" i="2"/>
  <c r="D72" i="2"/>
  <c r="W40" i="2"/>
  <c r="S92" i="2"/>
  <c r="T75" i="2"/>
  <c r="T48" i="2"/>
  <c r="N66" i="2"/>
  <c r="R89" i="2"/>
  <c r="R84" i="2"/>
  <c r="L56" i="2"/>
  <c r="F112" i="2"/>
  <c r="V47" i="2"/>
  <c r="E88" i="2"/>
  <c r="M109" i="2"/>
  <c r="R73" i="2"/>
  <c r="T86" i="2"/>
  <c r="M56" i="2"/>
  <c r="H70" i="2"/>
  <c r="F90" i="2"/>
  <c r="K48" i="2"/>
  <c r="E91" i="2"/>
  <c r="D59" i="2"/>
  <c r="T61" i="2"/>
  <c r="P110" i="2"/>
  <c r="P56" i="2"/>
  <c r="P45" i="2"/>
  <c r="C63" i="2"/>
  <c r="AB96" i="3"/>
  <c r="AB74" i="3"/>
  <c r="AJ31" i="3"/>
  <c r="AJ22" i="3"/>
  <c r="AA25" i="3"/>
  <c r="AA8" i="3"/>
  <c r="X35" i="3"/>
  <c r="Y11" i="3"/>
  <c r="J42" i="3"/>
  <c r="AN25" i="3"/>
  <c r="AN7" i="3"/>
  <c r="AA21" i="3"/>
  <c r="U37" i="3"/>
  <c r="AI28" i="3"/>
  <c r="Z37" i="3"/>
  <c r="W35" i="3"/>
  <c r="AJ13" i="3"/>
  <c r="I6" i="3"/>
  <c r="N9" i="3"/>
  <c r="Z38" i="3"/>
  <c r="R13" i="3"/>
  <c r="AL28" i="3"/>
  <c r="AA22" i="3"/>
  <c r="K27" i="3"/>
  <c r="AC11" i="3"/>
  <c r="AO19" i="3"/>
  <c r="I17" i="3"/>
  <c r="N27" i="3"/>
  <c r="Q66" i="2"/>
  <c r="T79" i="2"/>
  <c r="N74" i="2"/>
  <c r="C54" i="2"/>
  <c r="U59" i="2"/>
  <c r="V74" i="2"/>
  <c r="E99" i="2"/>
  <c r="S76" i="2"/>
  <c r="K81" i="2"/>
  <c r="F64" i="2"/>
  <c r="C97" i="2"/>
  <c r="Q50" i="2"/>
  <c r="P48" i="2"/>
  <c r="G69" i="2"/>
  <c r="M42" i="2"/>
  <c r="AB72" i="3"/>
  <c r="C49" i="3"/>
  <c r="M35" i="3"/>
  <c r="AD50" i="3"/>
  <c r="AI24" i="3"/>
  <c r="R35" i="3"/>
  <c r="Y13" i="3"/>
  <c r="AC22" i="3"/>
  <c r="AJ30" i="3"/>
  <c r="AH37" i="3"/>
  <c r="J18" i="3"/>
  <c r="AB10" i="3"/>
  <c r="AB12" i="3"/>
  <c r="U22" i="3"/>
  <c r="O7" i="3"/>
  <c r="I14" i="3"/>
  <c r="AO115" i="1" s="1"/>
  <c r="AP18" i="3"/>
  <c r="AI36" i="3"/>
  <c r="P11" i="3"/>
  <c r="AB35" i="3"/>
  <c r="V6" i="3"/>
  <c r="AK42" i="3"/>
  <c r="J80" i="2"/>
  <c r="V54" i="2"/>
  <c r="K84" i="2"/>
  <c r="V66" i="2"/>
  <c r="M90" i="2"/>
  <c r="F98" i="2"/>
  <c r="N71" i="2"/>
  <c r="R59" i="2"/>
  <c r="X81" i="2"/>
  <c r="X50" i="2"/>
  <c r="S84" i="2"/>
  <c r="J68" i="2"/>
  <c r="J111" i="2"/>
  <c r="N113" i="2"/>
  <c r="X91" i="2"/>
  <c r="J51" i="2"/>
  <c r="X74" i="2"/>
  <c r="H93" i="2"/>
  <c r="X84" i="2"/>
  <c r="N88" i="2"/>
  <c r="M44" i="2"/>
  <c r="L53" i="2"/>
  <c r="O92" i="2"/>
  <c r="N42" i="2"/>
  <c r="S83" i="2"/>
  <c r="W64" i="2"/>
  <c r="K73" i="2"/>
  <c r="K58" i="2"/>
  <c r="L105" i="2"/>
  <c r="C48" i="3"/>
  <c r="AP95" i="3"/>
  <c r="H17" i="3"/>
  <c r="I38" i="3"/>
  <c r="I23" i="3"/>
  <c r="H14" i="3"/>
  <c r="AN115" i="1" s="1"/>
  <c r="M48" i="2"/>
  <c r="I107" i="2"/>
  <c r="S97" i="2"/>
  <c r="U77" i="2"/>
  <c r="G63" i="2"/>
  <c r="D58" i="2"/>
  <c r="E113" i="2"/>
  <c r="G94" i="2"/>
  <c r="U107" i="2"/>
  <c r="W112" i="2"/>
  <c r="AB89" i="3"/>
  <c r="AP47" i="3"/>
  <c r="C21" i="3"/>
  <c r="AP25" i="3"/>
  <c r="AN31" i="3"/>
  <c r="Q27" i="3"/>
  <c r="I16" i="3"/>
  <c r="AH15" i="3"/>
  <c r="BN111" i="1" s="1"/>
  <c r="M36" i="3"/>
  <c r="AC37" i="3"/>
  <c r="P20" i="3"/>
  <c r="AQ32" i="3"/>
  <c r="Z24" i="3"/>
  <c r="AP15" i="3"/>
  <c r="BV111" i="1" s="1"/>
  <c r="AO31" i="3"/>
  <c r="AA5" i="3"/>
  <c r="W27" i="3"/>
  <c r="AO38" i="3"/>
  <c r="AJ12" i="3"/>
  <c r="AM23" i="3"/>
  <c r="AK35" i="3"/>
  <c r="J6" i="3"/>
  <c r="AC12" i="3"/>
  <c r="AA29" i="3"/>
  <c r="I108" i="2"/>
  <c r="R66" i="2"/>
  <c r="H79" i="2"/>
  <c r="P44" i="2"/>
  <c r="N106" i="2"/>
  <c r="P86" i="2"/>
  <c r="V59" i="2"/>
  <c r="H90" i="2"/>
  <c r="L46" i="2"/>
  <c r="D107" i="2"/>
  <c r="AP84" i="3"/>
  <c r="AP92" i="3"/>
  <c r="R29" i="3"/>
  <c r="AL20" i="3"/>
  <c r="AH33" i="3"/>
  <c r="X7" i="3"/>
  <c r="AG17" i="3"/>
  <c r="W29" i="3"/>
  <c r="AJ16" i="3"/>
  <c r="AM12" i="3"/>
  <c r="AI5" i="3"/>
  <c r="W7" i="3"/>
  <c r="X38" i="3"/>
  <c r="R28" i="3"/>
  <c r="AG30" i="3"/>
  <c r="T14" i="3"/>
  <c r="AZ115" i="1" s="1"/>
  <c r="K24" i="3"/>
  <c r="AQ42" i="3"/>
  <c r="T21" i="3"/>
  <c r="J23" i="3"/>
  <c r="AE36" i="3"/>
  <c r="Z32" i="3"/>
  <c r="R55" i="2"/>
  <c r="M94" i="2"/>
  <c r="U90" i="2"/>
  <c r="E72" i="2"/>
  <c r="D104" i="2"/>
  <c r="K78" i="2"/>
  <c r="S90" i="2"/>
  <c r="G70" i="2"/>
  <c r="S95" i="2"/>
  <c r="E42" i="2"/>
  <c r="AP65" i="3"/>
  <c r="AP73" i="3"/>
  <c r="AK5" i="3"/>
  <c r="AC20" i="3"/>
  <c r="AH13" i="3"/>
  <c r="O17" i="3"/>
  <c r="AI30" i="3"/>
  <c r="X10" i="3"/>
  <c r="AP40" i="3"/>
  <c r="AA40" i="3"/>
  <c r="Y38" i="3"/>
  <c r="L14" i="3"/>
  <c r="AR115" i="1" s="1"/>
  <c r="N36" i="3"/>
  <c r="AK41" i="3"/>
  <c r="L18" i="3"/>
  <c r="W10" i="3"/>
  <c r="AD19" i="3"/>
  <c r="R9" i="3"/>
  <c r="AM37" i="3"/>
  <c r="AL17" i="3"/>
  <c r="AK33" i="3"/>
  <c r="M110" i="2"/>
  <c r="U45" i="2"/>
  <c r="Q105" i="2"/>
  <c r="V56" i="2"/>
  <c r="M79" i="2"/>
  <c r="C83" i="2"/>
  <c r="I110" i="2"/>
  <c r="J60" i="2"/>
  <c r="X112" i="2"/>
  <c r="F97" i="2"/>
  <c r="AP86" i="3"/>
  <c r="AP80" i="3"/>
  <c r="AL33" i="3"/>
  <c r="T25" i="3"/>
  <c r="Z8" i="3"/>
  <c r="P41" i="3"/>
  <c r="AP13" i="3"/>
  <c r="AM8" i="3"/>
  <c r="K35" i="3"/>
  <c r="N10" i="3"/>
  <c r="G32" i="3"/>
  <c r="AN34" i="3"/>
  <c r="M31" i="3"/>
  <c r="P21" i="3"/>
  <c r="O19" i="3"/>
  <c r="AG18" i="3"/>
  <c r="K18" i="3"/>
  <c r="AE29" i="3"/>
  <c r="P24" i="3"/>
  <c r="S26" i="3"/>
  <c r="AO18" i="3"/>
  <c r="P87" i="2"/>
  <c r="U83" i="2"/>
  <c r="T47" i="2"/>
  <c r="M58" i="2"/>
  <c r="I111" i="2"/>
  <c r="C44" i="2"/>
  <c r="F45" i="2"/>
  <c r="N44" i="2"/>
  <c r="Q90" i="2"/>
  <c r="U40" i="2"/>
  <c r="AB95" i="3"/>
  <c r="AC39" i="3"/>
  <c r="Q31" i="3"/>
  <c r="AD38" i="3"/>
  <c r="AA6" i="3"/>
  <c r="C33" i="3"/>
  <c r="AA32" i="3"/>
  <c r="AN29" i="3"/>
  <c r="AO9" i="3"/>
  <c r="AI35" i="3"/>
  <c r="V22" i="3"/>
  <c r="K17" i="3"/>
  <c r="W25" i="3"/>
  <c r="R11" i="3"/>
  <c r="W30" i="3"/>
  <c r="AJ9" i="3"/>
  <c r="L41" i="3"/>
  <c r="AO26" i="3"/>
  <c r="AK6" i="3"/>
  <c r="AC35" i="3"/>
  <c r="AG38" i="3"/>
  <c r="V14" i="3"/>
  <c r="BB115" i="1" s="1"/>
  <c r="D75" i="2"/>
  <c r="C47" i="3"/>
  <c r="AP10" i="3"/>
  <c r="AP19" i="3"/>
  <c r="AM41" i="3"/>
  <c r="O15" i="3"/>
  <c r="AU111" i="1" s="1"/>
  <c r="AE42" i="3"/>
  <c r="AP11" i="3"/>
  <c r="L36" i="3"/>
  <c r="Y32" i="3"/>
  <c r="R21" i="3"/>
  <c r="X33" i="3"/>
  <c r="Y12" i="3"/>
  <c r="I11" i="3"/>
  <c r="AQ10" i="3"/>
  <c r="AQ34" i="3"/>
  <c r="P12" i="3"/>
  <c r="AE12" i="3"/>
  <c r="U16" i="3"/>
  <c r="AA27" i="3"/>
  <c r="AJ10" i="3"/>
  <c r="R5" i="3"/>
  <c r="AM27" i="3"/>
  <c r="M21" i="3"/>
  <c r="AO37" i="3"/>
  <c r="AG11" i="3"/>
  <c r="Z18" i="3"/>
  <c r="N37" i="3"/>
  <c r="K25" i="3"/>
  <c r="S21" i="3"/>
  <c r="T42" i="3"/>
  <c r="T91" i="2"/>
  <c r="AP75" i="3"/>
  <c r="AN33" i="3"/>
  <c r="I37" i="3"/>
  <c r="H6" i="3"/>
  <c r="C41" i="3"/>
  <c r="AB21" i="3"/>
  <c r="AJ5" i="3"/>
  <c r="AQ33" i="3"/>
  <c r="M5" i="3"/>
  <c r="AN40" i="3"/>
  <c r="AE37" i="3"/>
  <c r="AN42" i="3"/>
  <c r="K39" i="3"/>
  <c r="X80" i="2"/>
  <c r="AP79" i="3"/>
  <c r="M10" i="3"/>
  <c r="N14" i="3"/>
  <c r="AT115" i="1" s="1"/>
  <c r="W15" i="3"/>
  <c r="BC111" i="1" s="1"/>
  <c r="Q26" i="3"/>
  <c r="M26" i="3"/>
  <c r="X5" i="3"/>
  <c r="AM30" i="3"/>
  <c r="P23" i="3"/>
  <c r="T19" i="3"/>
  <c r="AG19" i="3"/>
  <c r="AQ25" i="3"/>
  <c r="AP29" i="3"/>
  <c r="AH5" i="3"/>
  <c r="AN36" i="3"/>
  <c r="X18" i="3"/>
  <c r="P38" i="3"/>
  <c r="Q11" i="3"/>
  <c r="N25" i="3"/>
  <c r="W34" i="3"/>
  <c r="P22" i="3"/>
  <c r="AP14" i="3"/>
  <c r="BV115" i="1" s="1"/>
  <c r="K19" i="3"/>
  <c r="AQ14" i="3"/>
  <c r="X21" i="3"/>
  <c r="I24" i="3"/>
  <c r="X9" i="3"/>
  <c r="X41" i="3"/>
  <c r="K22" i="3"/>
  <c r="AM42" i="3"/>
  <c r="N84" i="2"/>
  <c r="K64" i="2"/>
  <c r="AB86" i="3"/>
  <c r="R36" i="3"/>
  <c r="I83" i="2"/>
  <c r="H59" i="2"/>
  <c r="AP50" i="3"/>
  <c r="P34" i="3"/>
  <c r="S35" i="3"/>
  <c r="Z12" i="3"/>
  <c r="Q29" i="3"/>
  <c r="AO34" i="3"/>
  <c r="T10" i="3"/>
  <c r="AD48" i="3"/>
  <c r="AB27" i="3"/>
  <c r="AD36" i="3"/>
  <c r="AC21" i="3"/>
  <c r="R31" i="3"/>
  <c r="AN39" i="3"/>
  <c r="O12" i="3"/>
  <c r="C18" i="3"/>
  <c r="P14" i="3"/>
  <c r="AV115" i="1" s="1"/>
  <c r="AA24" i="3"/>
  <c r="H33" i="3"/>
  <c r="AN30" i="3"/>
  <c r="AH8" i="3"/>
  <c r="L12" i="3"/>
  <c r="J57" i="2"/>
  <c r="U65" i="2"/>
  <c r="AB69" i="3"/>
  <c r="Q36" i="3"/>
  <c r="AQ18" i="3"/>
  <c r="M39" i="3"/>
  <c r="AH11" i="3"/>
  <c r="H42" i="3"/>
  <c r="AM24" i="3"/>
  <c r="N30" i="3"/>
  <c r="K10" i="3"/>
  <c r="Q30" i="3"/>
  <c r="AG20" i="3"/>
  <c r="K14" i="3"/>
  <c r="AQ115" i="1" s="1"/>
  <c r="AL24" i="3"/>
  <c r="V42" i="3"/>
  <c r="AB17" i="3"/>
  <c r="W14" i="3"/>
  <c r="BC115" i="1" s="1"/>
  <c r="AO22" i="3"/>
  <c r="V5" i="3"/>
  <c r="K41" i="3"/>
  <c r="V91" i="2"/>
  <c r="T20" i="3"/>
  <c r="H58" i="2"/>
  <c r="AP97" i="3"/>
  <c r="AM16" i="3"/>
  <c r="AA9" i="3"/>
  <c r="AO21" i="3"/>
  <c r="AA31" i="3"/>
  <c r="AB30" i="3"/>
  <c r="AG8" i="3"/>
  <c r="L38" i="3"/>
  <c r="W13" i="3"/>
  <c r="R23" i="3"/>
  <c r="AB28" i="3"/>
  <c r="S5" i="3"/>
  <c r="U7" i="3"/>
  <c r="V28" i="3"/>
  <c r="AM36" i="3"/>
  <c r="V36" i="3"/>
  <c r="AO36" i="3"/>
  <c r="L10" i="3"/>
  <c r="V39" i="3"/>
  <c r="AQ28" i="3"/>
  <c r="AJ29" i="3"/>
  <c r="U18" i="3"/>
  <c r="O34" i="3"/>
  <c r="AK28" i="3"/>
  <c r="C37" i="3"/>
  <c r="S42" i="3"/>
  <c r="C30" i="3"/>
  <c r="AH32" i="3"/>
  <c r="X39" i="3"/>
  <c r="F79" i="2"/>
  <c r="C87" i="2"/>
  <c r="AN8" i="3"/>
  <c r="H38" i="3"/>
  <c r="V12" i="3"/>
  <c r="AH14" i="3"/>
  <c r="BN115" i="1" s="1"/>
  <c r="W24" i="3"/>
  <c r="AQ23" i="3"/>
  <c r="I35" i="3"/>
  <c r="P19" i="3"/>
  <c r="O10" i="3"/>
  <c r="Z21" i="3"/>
  <c r="AA20" i="3"/>
  <c r="J33" i="3"/>
  <c r="V35" i="3"/>
  <c r="AH9" i="3"/>
  <c r="AN26" i="3"/>
  <c r="AP38" i="3"/>
  <c r="AE41" i="3"/>
  <c r="O62" i="2"/>
  <c r="H27" i="3"/>
  <c r="W16" i="3"/>
  <c r="AN10" i="3"/>
  <c r="M16" i="3"/>
  <c r="R107" i="2"/>
  <c r="AP48" i="3"/>
  <c r="AK31" i="3"/>
  <c r="AD28" i="3"/>
  <c r="I39" i="3"/>
  <c r="H40" i="3"/>
  <c r="AM13" i="3"/>
  <c r="R14" i="3"/>
  <c r="AX115" i="1" s="1"/>
  <c r="AI42" i="3"/>
  <c r="AL36" i="3"/>
  <c r="AG33" i="3"/>
  <c r="T6" i="3"/>
  <c r="AB65" i="3"/>
  <c r="S11" i="3"/>
  <c r="M24" i="3"/>
  <c r="D56" i="2"/>
  <c r="AP55" i="3"/>
  <c r="O23" i="3"/>
  <c r="AQ38" i="3"/>
  <c r="U41" i="3"/>
  <c r="M22" i="3"/>
  <c r="AN6" i="3"/>
  <c r="AG23" i="3"/>
  <c r="AC16" i="3"/>
  <c r="L27" i="3"/>
  <c r="AN38" i="3"/>
  <c r="P37" i="3"/>
  <c r="AH27" i="3"/>
  <c r="AG41" i="3"/>
  <c r="AP27" i="3"/>
  <c r="AB32" i="3"/>
  <c r="AO5" i="3"/>
  <c r="V37" i="3"/>
  <c r="AG13" i="3"/>
  <c r="K37" i="3"/>
  <c r="T31" i="3"/>
  <c r="Y41" i="3"/>
  <c r="AI65" i="3"/>
  <c r="AE64" i="3"/>
  <c r="AE82" i="3"/>
  <c r="AO54" i="3"/>
  <c r="X69" i="3"/>
  <c r="X91" i="3"/>
  <c r="AN57" i="3"/>
  <c r="AC82" i="3"/>
  <c r="AI60" i="3"/>
  <c r="M96" i="3"/>
  <c r="AE84" i="3"/>
  <c r="Q75" i="3"/>
  <c r="AI75" i="3"/>
  <c r="Q85" i="3"/>
  <c r="AC78" i="3"/>
  <c r="X47" i="3"/>
  <c r="S72" i="3"/>
  <c r="Q71" i="3"/>
  <c r="AI87" i="3"/>
  <c r="AO68" i="3"/>
  <c r="V67" i="3"/>
  <c r="M88" i="3"/>
  <c r="AL79" i="3"/>
  <c r="AK56" i="3"/>
  <c r="AJ74" i="3"/>
  <c r="M76" i="3"/>
  <c r="AC71" i="3"/>
  <c r="AA58" i="3"/>
  <c r="AN86" i="3"/>
  <c r="R84" i="3"/>
  <c r="AO63" i="3"/>
  <c r="V85" i="3"/>
  <c r="AN63" i="3"/>
  <c r="T96" i="3"/>
  <c r="T69" i="3"/>
  <c r="AC63" i="3"/>
  <c r="AI50" i="3"/>
  <c r="AC81" i="3"/>
  <c r="V84" i="3"/>
  <c r="T76" i="3"/>
  <c r="K49" i="3"/>
  <c r="K75" i="3"/>
  <c r="K61" i="3"/>
  <c r="AE66" i="3"/>
  <c r="AN54" i="3"/>
  <c r="AA64" i="3"/>
  <c r="V48" i="3"/>
  <c r="AC65" i="3"/>
  <c r="S56" i="3"/>
  <c r="AK72" i="3"/>
  <c r="AA73" i="3"/>
  <c r="AN47" i="3"/>
  <c r="AC77" i="3"/>
  <c r="AL56" i="3"/>
  <c r="AN92" i="3"/>
  <c r="AO77" i="3"/>
  <c r="AC84" i="3"/>
  <c r="AL63" i="3"/>
  <c r="AI73" i="3"/>
  <c r="T86" i="3"/>
  <c r="T64" i="3"/>
  <c r="K48" i="3"/>
  <c r="K74" i="3"/>
  <c r="AO70" i="3"/>
  <c r="AK50" i="3"/>
  <c r="AO75" i="3"/>
  <c r="Q82" i="3"/>
  <c r="R95" i="3"/>
  <c r="T79" i="3"/>
  <c r="AC90" i="3"/>
  <c r="AK87" i="3"/>
  <c r="AE75" i="3"/>
  <c r="AO96" i="3"/>
  <c r="T67" i="3"/>
  <c r="AO69" i="3"/>
  <c r="T74" i="3"/>
  <c r="AE57" i="3"/>
  <c r="T90" i="3"/>
  <c r="AC88" i="3"/>
  <c r="S91" i="3"/>
  <c r="T83" i="3"/>
  <c r="T55" i="3"/>
  <c r="K56" i="2"/>
  <c r="P95" i="2"/>
  <c r="S91" i="2"/>
  <c r="I74" i="2"/>
  <c r="T113" i="2"/>
  <c r="Q65" i="2"/>
  <c r="H48" i="2"/>
  <c r="F65" i="2"/>
  <c r="L92" i="2"/>
  <c r="V61" i="2"/>
  <c r="P97" i="2"/>
  <c r="L91" i="2"/>
  <c r="L43" i="2"/>
  <c r="F92" i="2"/>
  <c r="I96" i="2"/>
  <c r="I72" i="2"/>
  <c r="H50" i="2"/>
  <c r="G95" i="2"/>
  <c r="O46" i="2"/>
  <c r="V57" i="2"/>
  <c r="T59" i="2"/>
  <c r="S87" i="2"/>
  <c r="J66" i="2"/>
  <c r="R52" i="2"/>
  <c r="F110" i="2"/>
  <c r="Q84" i="2"/>
  <c r="F63" i="2"/>
  <c r="Q104" i="2"/>
  <c r="L70" i="2"/>
  <c r="Q71" i="2"/>
  <c r="O43" i="2"/>
  <c r="F74" i="2"/>
  <c r="T54" i="2"/>
  <c r="I90" i="2"/>
  <c r="P80" i="2"/>
  <c r="V48" i="2"/>
  <c r="P40" i="2"/>
  <c r="K110" i="2"/>
  <c r="M98" i="2"/>
  <c r="V84" i="2"/>
  <c r="I46" i="2"/>
  <c r="J64" i="2"/>
  <c r="D77" i="2"/>
  <c r="J86" i="2"/>
  <c r="O111" i="2"/>
  <c r="U52" i="2"/>
  <c r="P105" i="2"/>
  <c r="G108" i="2"/>
  <c r="M65" i="2"/>
  <c r="L107" i="2"/>
  <c r="M87" i="2"/>
  <c r="V87" i="2"/>
  <c r="T51" i="2"/>
  <c r="X57" i="2"/>
  <c r="Q97" i="2"/>
  <c r="X40" i="2"/>
  <c r="P112" i="2"/>
  <c r="N59" i="2"/>
  <c r="T85" i="2"/>
  <c r="D44" i="2"/>
  <c r="T104" i="2"/>
  <c r="Q48" i="2"/>
  <c r="T111" i="2"/>
  <c r="L54" i="2"/>
  <c r="U54" i="2"/>
  <c r="V85" i="2"/>
  <c r="D89" i="2"/>
  <c r="R53" i="2"/>
  <c r="L90" i="2"/>
  <c r="N65" i="2"/>
  <c r="I91" i="2"/>
  <c r="G44" i="2"/>
  <c r="T53" i="2"/>
  <c r="E43" i="2"/>
  <c r="H86" i="2"/>
  <c r="M106" i="2"/>
  <c r="Q83" i="2"/>
  <c r="H91" i="2"/>
  <c r="J107" i="2"/>
  <c r="C94" i="2"/>
  <c r="G106" i="2"/>
  <c r="O76" i="2"/>
  <c r="K61" i="2"/>
  <c r="D98" i="2"/>
  <c r="N107" i="2"/>
  <c r="M54" i="2"/>
  <c r="H53" i="2"/>
  <c r="C98" i="2"/>
  <c r="W99" i="2"/>
  <c r="V113" i="2"/>
  <c r="R77" i="2"/>
  <c r="W109" i="2"/>
  <c r="K98" i="2"/>
  <c r="H72" i="2"/>
  <c r="M41" i="2"/>
  <c r="M112" i="2"/>
  <c r="V63" i="2"/>
  <c r="U49" i="2"/>
  <c r="V60" i="2"/>
  <c r="M66" i="2"/>
  <c r="E53" i="2"/>
  <c r="E63" i="2"/>
  <c r="K93" i="2"/>
  <c r="S96" i="2"/>
  <c r="C85" i="2"/>
  <c r="N78" i="2"/>
  <c r="V43" i="2"/>
  <c r="L55" i="2"/>
  <c r="W77" i="2"/>
  <c r="S112" i="2"/>
  <c r="Q95" i="2"/>
  <c r="W56" i="2"/>
  <c r="M69" i="2"/>
  <c r="S68" i="2"/>
  <c r="C45" i="2"/>
  <c r="K53" i="2"/>
  <c r="E108" i="2"/>
  <c r="T106" i="2"/>
  <c r="F54" i="2"/>
  <c r="U112" i="2"/>
  <c r="D82" i="2"/>
  <c r="H47" i="2"/>
  <c r="V53" i="2"/>
  <c r="R94" i="2"/>
  <c r="K41" i="2"/>
  <c r="G78" i="2"/>
  <c r="N98" i="2"/>
  <c r="E109" i="2"/>
  <c r="H104" i="2"/>
  <c r="L85" i="2"/>
  <c r="E110" i="2"/>
  <c r="H64" i="2"/>
  <c r="J56" i="2"/>
  <c r="S77" i="2"/>
  <c r="W57" i="2"/>
  <c r="V40" i="2"/>
  <c r="Q87" i="2"/>
  <c r="R110" i="2"/>
  <c r="J75" i="2"/>
  <c r="G84" i="2"/>
  <c r="X79" i="2"/>
  <c r="W95" i="2"/>
  <c r="X72" i="2"/>
  <c r="V105" i="2"/>
  <c r="C55" i="2"/>
  <c r="O96" i="2"/>
  <c r="P108" i="2"/>
  <c r="C106" i="2"/>
  <c r="J105" i="2"/>
  <c r="U66" i="2"/>
  <c r="T76" i="2"/>
  <c r="U80" i="2"/>
  <c r="N97" i="2"/>
  <c r="D90" i="2"/>
  <c r="J71" i="2"/>
  <c r="Q63" i="2"/>
  <c r="G92" i="2"/>
  <c r="M46" i="2"/>
  <c r="Q91" i="2"/>
  <c r="U92" i="2"/>
  <c r="F42" i="2"/>
  <c r="O106" i="2"/>
  <c r="P41" i="2"/>
  <c r="C47" i="2"/>
  <c r="L94" i="2"/>
  <c r="R98" i="2"/>
  <c r="W111" i="2"/>
  <c r="M71" i="2"/>
  <c r="I98" i="2"/>
  <c r="K54" i="2"/>
  <c r="U72" i="2"/>
  <c r="E62" i="2"/>
  <c r="E86" i="2"/>
  <c r="W98" i="2"/>
  <c r="I104" i="2"/>
  <c r="N112" i="2"/>
  <c r="O78" i="2"/>
  <c r="C53" i="2"/>
  <c r="J82" i="2"/>
  <c r="W87" i="2"/>
  <c r="N72" i="2"/>
  <c r="U62" i="2"/>
  <c r="N90" i="2"/>
  <c r="J63" i="2"/>
  <c r="U63" i="2"/>
  <c r="O86" i="2"/>
  <c r="R113" i="2"/>
  <c r="J40" i="2"/>
  <c r="O60" i="2"/>
  <c r="H69" i="2"/>
  <c r="D60" i="2"/>
  <c r="J48" i="2"/>
  <c r="I81" i="2"/>
  <c r="H63" i="2"/>
  <c r="H88" i="2"/>
  <c r="N67" i="2"/>
  <c r="S66" i="2"/>
  <c r="O47" i="2"/>
  <c r="AP96" i="3"/>
  <c r="O77" i="2"/>
  <c r="Q53" i="2"/>
  <c r="F50" i="2"/>
  <c r="K50" i="2"/>
  <c r="M91" i="2"/>
  <c r="T69" i="2"/>
  <c r="K62" i="2"/>
  <c r="Q89" i="2"/>
  <c r="K104" i="2"/>
  <c r="U68" i="2"/>
  <c r="I82" i="2"/>
  <c r="D110" i="2"/>
  <c r="N105" i="2"/>
  <c r="W44" i="2"/>
  <c r="P47" i="2"/>
  <c r="R105" i="2"/>
  <c r="R64" i="2"/>
  <c r="D91" i="2"/>
  <c r="K51" i="2"/>
  <c r="P82" i="2"/>
  <c r="U61" i="2"/>
  <c r="O53" i="2"/>
  <c r="N99" i="2"/>
  <c r="K71" i="2"/>
  <c r="S47" i="2"/>
  <c r="H106" i="2"/>
  <c r="T52" i="2"/>
  <c r="S111" i="2"/>
  <c r="J95" i="2"/>
  <c r="G60" i="2"/>
  <c r="F69" i="2"/>
  <c r="E95" i="2"/>
  <c r="D109" i="2"/>
  <c r="I49" i="2"/>
  <c r="F70" i="2"/>
  <c r="U84" i="2"/>
  <c r="F113" i="2"/>
  <c r="M53" i="2"/>
  <c r="D108" i="2"/>
  <c r="T42" i="2"/>
  <c r="F95" i="2"/>
  <c r="T90" i="2"/>
  <c r="Q74" i="2"/>
  <c r="T40" i="2"/>
  <c r="W59" i="2"/>
  <c r="L44" i="2"/>
  <c r="D79" i="2"/>
  <c r="T68" i="2"/>
  <c r="X69" i="2"/>
  <c r="S93" i="2"/>
  <c r="U109" i="2"/>
  <c r="L60" i="2"/>
  <c r="F61" i="2"/>
  <c r="J97" i="2"/>
  <c r="W53" i="2"/>
  <c r="G56" i="2"/>
  <c r="G49" i="2"/>
  <c r="I51" i="2"/>
  <c r="E84" i="2"/>
  <c r="F72" i="2"/>
  <c r="E57" i="2"/>
  <c r="X55" i="2"/>
  <c r="P53" i="2"/>
  <c r="K55" i="2"/>
  <c r="V77" i="2"/>
  <c r="F59" i="2"/>
  <c r="P77" i="2"/>
  <c r="U64" i="2"/>
  <c r="AB73" i="3"/>
  <c r="AP87" i="3"/>
  <c r="I22" i="3"/>
  <c r="Q34" i="3"/>
  <c r="P5" i="3"/>
  <c r="U15" i="3"/>
  <c r="BA111" i="1" s="1"/>
  <c r="X24" i="3"/>
  <c r="AE34" i="3"/>
  <c r="U31" i="3"/>
  <c r="AN37" i="3"/>
  <c r="O16" i="3"/>
  <c r="H9" i="3"/>
  <c r="J38" i="3"/>
  <c r="C27" i="3"/>
  <c r="I7" i="3"/>
  <c r="AC23" i="3"/>
  <c r="L39" i="3"/>
  <c r="Z29" i="3"/>
  <c r="AO16" i="3"/>
  <c r="AH28" i="3"/>
  <c r="P31" i="3"/>
  <c r="I12" i="3"/>
  <c r="Y29" i="3"/>
  <c r="AH38" i="3"/>
  <c r="AC32" i="3"/>
  <c r="N23" i="3"/>
  <c r="AJ40" i="3"/>
  <c r="AG40" i="3"/>
  <c r="W48" i="2"/>
  <c r="Q68" i="2"/>
  <c r="C57" i="2"/>
  <c r="T41" i="2"/>
  <c r="X105" i="2"/>
  <c r="R71" i="2"/>
  <c r="I76" i="2"/>
  <c r="W66" i="2"/>
  <c r="L79" i="2"/>
  <c r="W58" i="2"/>
  <c r="E59" i="2"/>
  <c r="X53" i="2"/>
  <c r="X97" i="2"/>
  <c r="N46" i="2"/>
  <c r="J67" i="2"/>
  <c r="L78" i="2"/>
  <c r="AP78" i="3"/>
  <c r="AB66" i="3"/>
  <c r="C23" i="3"/>
  <c r="X31" i="3"/>
  <c r="G41" i="3"/>
  <c r="AH17" i="3"/>
  <c r="AJ24" i="3"/>
  <c r="AP23" i="3"/>
  <c r="AE7" i="3"/>
  <c r="M25" i="3"/>
  <c r="S9" i="3"/>
  <c r="AP9" i="3"/>
  <c r="J15" i="3"/>
  <c r="AP111" i="1" s="1"/>
  <c r="AN14" i="3"/>
  <c r="BT115" i="1" s="1"/>
  <c r="M6" i="3"/>
  <c r="AL34" i="3"/>
  <c r="AI27" i="3"/>
  <c r="AK39" i="3"/>
  <c r="R39" i="3"/>
  <c r="J9" i="3"/>
  <c r="Q6" i="3"/>
  <c r="T45" i="2"/>
  <c r="M99" i="2"/>
  <c r="V94" i="2"/>
  <c r="Q112" i="2"/>
  <c r="O93" i="2"/>
  <c r="C90" i="2"/>
  <c r="M63" i="2"/>
  <c r="G42" i="2"/>
  <c r="E48" i="2"/>
  <c r="M111" i="2"/>
  <c r="F71" i="2"/>
  <c r="C99" i="2"/>
  <c r="F44" i="2"/>
  <c r="M83" i="2"/>
  <c r="W82" i="2"/>
  <c r="W76" i="2"/>
  <c r="D106" i="2"/>
  <c r="Q44" i="2"/>
  <c r="Q47" i="2"/>
  <c r="F93" i="2"/>
  <c r="O54" i="2"/>
  <c r="W49" i="2"/>
  <c r="Q79" i="2"/>
  <c r="L96" i="2"/>
  <c r="I87" i="2"/>
  <c r="H68" i="2"/>
  <c r="O67" i="2"/>
  <c r="S58" i="2"/>
  <c r="O50" i="2"/>
  <c r="L40" i="2"/>
  <c r="AP88" i="3"/>
  <c r="AB67" i="3"/>
  <c r="Z19" i="3"/>
  <c r="S16" i="3"/>
  <c r="AE24" i="3"/>
  <c r="AI11" i="3"/>
  <c r="T84" i="2"/>
  <c r="U78" i="2"/>
  <c r="H56" i="2"/>
  <c r="P61" i="2"/>
  <c r="R96" i="2"/>
  <c r="S52" i="2"/>
  <c r="W86" i="2"/>
  <c r="L42" i="2"/>
  <c r="Q51" i="2"/>
  <c r="X85" i="2"/>
  <c r="AP66" i="3"/>
  <c r="AP74" i="3"/>
  <c r="AP12" i="3"/>
  <c r="W26" i="3"/>
  <c r="H5" i="3"/>
  <c r="E47" i="3"/>
  <c r="AE25" i="3"/>
  <c r="T34" i="3"/>
  <c r="AA17" i="3"/>
  <c r="AL9" i="3"/>
  <c r="V29" i="3"/>
  <c r="J8" i="3"/>
  <c r="L16" i="3"/>
  <c r="AH35" i="3"/>
  <c r="R42" i="3"/>
  <c r="O30" i="3"/>
  <c r="N29" i="3"/>
  <c r="N28" i="3"/>
  <c r="C6" i="3"/>
  <c r="L9" i="3"/>
  <c r="W42" i="3"/>
  <c r="R27" i="3"/>
  <c r="R34" i="3"/>
  <c r="J30" i="3"/>
  <c r="V107" i="2"/>
  <c r="X47" i="2"/>
  <c r="J89" i="2"/>
  <c r="D55" i="2"/>
  <c r="D95" i="2"/>
  <c r="V109" i="2"/>
  <c r="J96" i="2"/>
  <c r="S42" i="2"/>
  <c r="F62" i="2"/>
  <c r="T63" i="2"/>
  <c r="AB78" i="3"/>
  <c r="AP54" i="3"/>
  <c r="T8" i="3"/>
  <c r="T24" i="3"/>
  <c r="X12" i="3"/>
  <c r="I9" i="3"/>
  <c r="H13" i="3"/>
  <c r="AN12" i="3"/>
  <c r="AG15" i="3"/>
  <c r="BM111" i="1" s="1"/>
  <c r="O41" i="3"/>
  <c r="AM5" i="3"/>
  <c r="L30" i="3"/>
  <c r="C34" i="3"/>
  <c r="AH40" i="3"/>
  <c r="AP31" i="3"/>
  <c r="V7" i="3"/>
  <c r="X29" i="3"/>
  <c r="AL38" i="3"/>
  <c r="M37" i="3"/>
  <c r="X32" i="3"/>
  <c r="Y8" i="3"/>
  <c r="L84" i="2"/>
  <c r="S108" i="2"/>
  <c r="O45" i="2"/>
  <c r="F91" i="2"/>
  <c r="M95" i="2"/>
  <c r="F56" i="2"/>
  <c r="K85" i="2"/>
  <c r="I75" i="2"/>
  <c r="D113" i="2"/>
  <c r="M108" i="2"/>
  <c r="AP70" i="3"/>
  <c r="AP81" i="3"/>
  <c r="S7" i="3"/>
  <c r="AM32" i="3"/>
  <c r="AK37" i="3"/>
  <c r="C38" i="3"/>
  <c r="W21" i="3"/>
  <c r="AQ8" i="3"/>
  <c r="P13" i="3"/>
  <c r="AK27" i="3"/>
  <c r="C19" i="3"/>
  <c r="AJ15" i="3"/>
  <c r="BP111" i="1" s="1"/>
  <c r="O9" i="3"/>
  <c r="P35" i="3"/>
  <c r="P16" i="3"/>
  <c r="AP33" i="3"/>
  <c r="AH41" i="3"/>
  <c r="AA10" i="3"/>
  <c r="Y23" i="3"/>
  <c r="J13" i="3"/>
  <c r="AD26" i="3"/>
  <c r="AH19" i="3"/>
  <c r="J65" i="2"/>
  <c r="C43" i="2"/>
  <c r="N108" i="2"/>
  <c r="F107" i="2"/>
  <c r="L66" i="2"/>
  <c r="D73" i="2"/>
  <c r="H57" i="2"/>
  <c r="T58" i="2"/>
  <c r="H76" i="2"/>
  <c r="H55" i="2"/>
  <c r="AB90" i="3"/>
  <c r="AP89" i="3"/>
  <c r="O39" i="3"/>
  <c r="R24" i="3"/>
  <c r="O28" i="3"/>
  <c r="L11" i="3"/>
  <c r="AE14" i="3"/>
  <c r="BK115" i="1" s="1"/>
  <c r="AE39" i="3"/>
  <c r="AC42" i="3"/>
  <c r="AA42" i="3"/>
  <c r="N20" i="3"/>
  <c r="T22" i="3"/>
  <c r="C42" i="3"/>
  <c r="V38" i="3"/>
  <c r="AO10" i="3"/>
  <c r="Q9" i="3"/>
  <c r="O27" i="3"/>
  <c r="V13" i="3"/>
  <c r="AL12" i="3"/>
  <c r="V30" i="3"/>
  <c r="R109" i="2"/>
  <c r="N82" i="2"/>
  <c r="Q94" i="2"/>
  <c r="J70" i="2"/>
  <c r="J85" i="2"/>
  <c r="E40" i="2"/>
  <c r="T112" i="2"/>
  <c r="I93" i="2"/>
  <c r="O66" i="2"/>
  <c r="V70" i="2"/>
  <c r="AP56" i="3"/>
  <c r="AJ38" i="3"/>
  <c r="I19" i="3"/>
  <c r="AP30" i="3"/>
  <c r="M20" i="3"/>
  <c r="R6" i="3"/>
  <c r="N32" i="3"/>
  <c r="AN19" i="3"/>
  <c r="X22" i="3"/>
  <c r="U25" i="3"/>
  <c r="U34" i="3"/>
  <c r="AG5" i="3"/>
  <c r="AA18" i="3"/>
  <c r="AL14" i="3"/>
  <c r="BR115" i="1" s="1"/>
  <c r="AO42" i="3"/>
  <c r="S10" i="3"/>
  <c r="X20" i="3"/>
  <c r="AL11" i="3"/>
  <c r="K16" i="3"/>
  <c r="U5" i="3"/>
  <c r="AB8" i="3"/>
  <c r="AL18" i="3"/>
  <c r="H39" i="3"/>
  <c r="W52" i="2"/>
  <c r="AB56" i="3"/>
  <c r="AH21" i="3"/>
  <c r="AL30" i="3"/>
  <c r="AC29" i="3"/>
  <c r="H21" i="3"/>
  <c r="AC7" i="3"/>
  <c r="AB42" i="3"/>
  <c r="S24" i="3"/>
  <c r="AQ30" i="3"/>
  <c r="AP20" i="3"/>
  <c r="AJ39" i="3"/>
  <c r="Q13" i="3"/>
  <c r="Y42" i="3"/>
  <c r="AG14" i="3"/>
  <c r="BM115" i="1" s="1"/>
  <c r="T15" i="3"/>
  <c r="AZ111" i="1" s="1"/>
  <c r="J22" i="3"/>
  <c r="I5" i="3"/>
  <c r="AJ7" i="3"/>
  <c r="AA35" i="3"/>
  <c r="N12" i="3"/>
  <c r="I31" i="3"/>
  <c r="AE40" i="3"/>
  <c r="X19" i="3"/>
  <c r="C35" i="3"/>
  <c r="S13" i="3"/>
  <c r="AQ5" i="3"/>
  <c r="AE26" i="3"/>
  <c r="P33" i="3"/>
  <c r="T9" i="3"/>
  <c r="Q8" i="3"/>
  <c r="J88" i="2"/>
  <c r="AB79" i="3"/>
  <c r="AH31" i="3"/>
  <c r="S33" i="3"/>
  <c r="AB34" i="3"/>
  <c r="V18" i="3"/>
  <c r="P18" i="3"/>
  <c r="H35" i="3"/>
  <c r="W31" i="3"/>
  <c r="AH34" i="3"/>
  <c r="U39" i="3"/>
  <c r="Y26" i="3"/>
  <c r="M28" i="3"/>
  <c r="M93" i="2"/>
  <c r="X54" i="2"/>
  <c r="AB97" i="3"/>
  <c r="V8" i="3"/>
  <c r="X34" i="3"/>
  <c r="Z35" i="3"/>
  <c r="K23" i="3"/>
  <c r="V25" i="3"/>
  <c r="AC9" i="3"/>
  <c r="H7" i="3"/>
  <c r="AA33" i="3"/>
  <c r="AI22" i="3"/>
  <c r="AP42" i="3"/>
  <c r="K11" i="3"/>
  <c r="T39" i="3"/>
  <c r="AI13" i="3"/>
  <c r="K28" i="3"/>
  <c r="AN13" i="3"/>
  <c r="AK19" i="3"/>
  <c r="M41" i="3"/>
  <c r="AH39" i="3"/>
  <c r="R15" i="3"/>
  <c r="AX111" i="1" s="1"/>
  <c r="AQ36" i="3"/>
  <c r="Z9" i="3"/>
  <c r="L22" i="3"/>
  <c r="AB33" i="3"/>
  <c r="AM29" i="3"/>
  <c r="O25" i="3"/>
  <c r="T37" i="3"/>
  <c r="AN41" i="3"/>
  <c r="Z27" i="3"/>
  <c r="J14" i="3"/>
  <c r="AP115" i="1" s="1"/>
  <c r="I43" i="2"/>
  <c r="C91" i="2"/>
  <c r="W5" i="3"/>
  <c r="S36" i="3"/>
  <c r="R76" i="2"/>
  <c r="U51" i="2"/>
  <c r="P32" i="3"/>
  <c r="S12" i="3"/>
  <c r="X28" i="3"/>
  <c r="V9" i="3"/>
  <c r="AO24" i="3"/>
  <c r="R26" i="3"/>
  <c r="AB29" i="3"/>
  <c r="AJ32" i="3"/>
  <c r="AD30" i="3"/>
  <c r="AI25" i="3"/>
  <c r="O36" i="3"/>
  <c r="J39" i="3"/>
  <c r="D49" i="3"/>
  <c r="AJ37" i="3"/>
  <c r="H29" i="3"/>
  <c r="S14" i="3"/>
  <c r="AY115" i="1" s="1"/>
  <c r="U20" i="3"/>
  <c r="AE15" i="3"/>
  <c r="BK111" i="1" s="1"/>
  <c r="R16" i="3"/>
  <c r="V15" i="3"/>
  <c r="BB111" i="1" s="1"/>
  <c r="S22" i="3"/>
  <c r="K68" i="2"/>
  <c r="R60" i="2"/>
  <c r="K13" i="3"/>
  <c r="AB20" i="3"/>
  <c r="AH42" i="3"/>
  <c r="S34" i="3"/>
  <c r="AE19" i="3"/>
  <c r="AI31" i="3"/>
  <c r="I40" i="3"/>
  <c r="K6" i="3"/>
  <c r="M8" i="3"/>
  <c r="AL26" i="3"/>
  <c r="U29" i="3"/>
  <c r="N31" i="3"/>
  <c r="AJ19" i="3"/>
  <c r="AP35" i="3"/>
  <c r="K33" i="3"/>
  <c r="Q17" i="3"/>
  <c r="AI33" i="3"/>
  <c r="AK8" i="3"/>
  <c r="J26" i="3"/>
  <c r="AP94" i="3"/>
  <c r="T27" i="3"/>
  <c r="T57" i="2"/>
  <c r="AB75" i="3"/>
  <c r="S31" i="3"/>
  <c r="K29" i="3"/>
  <c r="AH24" i="3"/>
  <c r="R40" i="3"/>
  <c r="W6" i="3"/>
  <c r="S38" i="3"/>
  <c r="X26" i="3"/>
  <c r="AE30" i="3"/>
  <c r="Q14" i="3"/>
  <c r="AW115" i="1" s="1"/>
  <c r="N13" i="3"/>
  <c r="AQ31" i="3"/>
  <c r="AG12" i="3"/>
  <c r="AG24" i="3"/>
  <c r="U42" i="3"/>
  <c r="AJ21" i="3"/>
  <c r="Q18" i="3"/>
  <c r="J31" i="3"/>
  <c r="Q7" i="3"/>
  <c r="AQ11" i="3"/>
  <c r="J11" i="3"/>
  <c r="C4" i="3"/>
  <c r="AD23" i="3"/>
  <c r="AD41" i="3"/>
  <c r="Z10" i="3"/>
  <c r="O42" i="3"/>
  <c r="AE33" i="3"/>
  <c r="AD47" i="3"/>
  <c r="AD22" i="3"/>
  <c r="K46" i="2"/>
  <c r="AB47" i="3"/>
  <c r="G36" i="3"/>
  <c r="J12" i="3"/>
  <c r="L8" i="3"/>
  <c r="G40" i="3"/>
  <c r="J7" i="3"/>
  <c r="L26" i="3"/>
  <c r="J21" i="3"/>
  <c r="J29" i="3"/>
  <c r="G38" i="3"/>
  <c r="O32" i="3"/>
  <c r="Y35" i="3"/>
  <c r="W20" i="3"/>
  <c r="R8" i="3"/>
  <c r="S25" i="3"/>
  <c r="Z17" i="3"/>
  <c r="T13" i="3"/>
  <c r="AC31" i="3"/>
  <c r="AP64" i="3"/>
  <c r="C12" i="3"/>
  <c r="AJ34" i="3"/>
  <c r="S29" i="3"/>
  <c r="U17" i="3"/>
  <c r="R99" i="2"/>
  <c r="AP82" i="3"/>
  <c r="O29" i="3"/>
  <c r="AM22" i="3"/>
  <c r="AB23" i="3"/>
  <c r="R30" i="3"/>
  <c r="AK9" i="3"/>
  <c r="AK34" i="3"/>
  <c r="R10" i="3"/>
  <c r="AM17" i="3"/>
  <c r="N33" i="3"/>
  <c r="N22" i="3"/>
  <c r="AD37" i="3"/>
  <c r="AA13" i="3"/>
  <c r="K9" i="3"/>
  <c r="J98" i="2"/>
  <c r="AB54" i="3"/>
  <c r="E49" i="3"/>
  <c r="G37" i="3"/>
  <c r="AB22" i="3"/>
  <c r="AI10" i="3"/>
  <c r="AO32" i="3"/>
  <c r="H25" i="3"/>
  <c r="M30" i="3"/>
  <c r="Z23" i="3"/>
  <c r="L42" i="3"/>
  <c r="N6" i="3"/>
  <c r="Q37" i="3"/>
  <c r="R22" i="3"/>
  <c r="AE16" i="3"/>
  <c r="AM15" i="3"/>
  <c r="BS111" i="1" s="1"/>
  <c r="L35" i="3"/>
  <c r="H22" i="3"/>
  <c r="J19" i="3"/>
  <c r="AJ6" i="3"/>
  <c r="H12" i="3"/>
  <c r="S37" i="3"/>
  <c r="AM59" i="3"/>
  <c r="H48" i="3"/>
  <c r="AM84" i="3"/>
  <c r="AC68" i="3"/>
  <c r="AC55" i="3"/>
  <c r="M97" i="3"/>
  <c r="M87" i="3"/>
  <c r="AM83" i="3"/>
  <c r="AN64" i="3"/>
  <c r="H97" i="3"/>
  <c r="AJ94" i="3"/>
  <c r="AK69" i="3"/>
  <c r="AM67" i="3"/>
  <c r="X54" i="3"/>
  <c r="AK68" i="3"/>
  <c r="AM47" i="3"/>
  <c r="V57" i="3"/>
  <c r="AH72" i="3"/>
  <c r="AJ85" i="3"/>
  <c r="S85" i="3"/>
  <c r="S71" i="3"/>
  <c r="AI88" i="3"/>
  <c r="W89" i="3"/>
  <c r="AE56" i="3"/>
  <c r="X56" i="3"/>
  <c r="AE83" i="3"/>
  <c r="AA63" i="3"/>
  <c r="H93" i="3"/>
  <c r="R47" i="3"/>
  <c r="H91" i="3"/>
  <c r="S75" i="3"/>
  <c r="M67" i="3"/>
  <c r="AM71" i="3"/>
  <c r="K72" i="3"/>
  <c r="AG58" i="3"/>
  <c r="V96" i="3"/>
  <c r="W50" i="3"/>
  <c r="W55" i="3"/>
  <c r="X67" i="3"/>
  <c r="I68" i="3"/>
  <c r="U79" i="3"/>
  <c r="AE74" i="3"/>
  <c r="H73" i="3"/>
  <c r="W67" i="3"/>
  <c r="S82" i="3"/>
  <c r="AL57" i="3"/>
  <c r="V77" i="3"/>
  <c r="AE54" i="3"/>
  <c r="U80" i="3"/>
  <c r="M82" i="3"/>
  <c r="V50" i="3"/>
  <c r="P73" i="3"/>
  <c r="AH59" i="3"/>
  <c r="AL68" i="3"/>
  <c r="AH57" i="3"/>
  <c r="AE92" i="3"/>
  <c r="AQ84" i="3"/>
  <c r="AK81" i="3"/>
  <c r="U77" i="3"/>
  <c r="X82" i="3"/>
  <c r="K82" i="3"/>
  <c r="AC70" i="3"/>
  <c r="AQ77" i="3"/>
  <c r="AL84" i="3"/>
  <c r="M91" i="3"/>
  <c r="AM78" i="3"/>
  <c r="K77" i="3"/>
  <c r="AQ86" i="3"/>
  <c r="AN69" i="3"/>
  <c r="AM50" i="3"/>
  <c r="X78" i="3"/>
  <c r="AG66" i="3"/>
  <c r="U87" i="3"/>
  <c r="Q78" i="3"/>
  <c r="AL59" i="3"/>
  <c r="W49" i="3"/>
  <c r="T72" i="3"/>
  <c r="AC76" i="3"/>
  <c r="I47" i="3"/>
  <c r="AJ95" i="3"/>
  <c r="W82" i="3"/>
  <c r="AC73" i="3"/>
  <c r="I56" i="3"/>
  <c r="AC95" i="3"/>
  <c r="AL62" i="3"/>
  <c r="Q56" i="3"/>
  <c r="AA96" i="3"/>
  <c r="W60" i="3"/>
  <c r="AH67" i="3"/>
  <c r="I71" i="3"/>
  <c r="AH81" i="3"/>
  <c r="AK75" i="3"/>
  <c r="Q65" i="3"/>
  <c r="U72" i="3"/>
  <c r="X63" i="3"/>
  <c r="AG88" i="3"/>
  <c r="U62" i="3"/>
  <c r="T48" i="3"/>
  <c r="U88" i="3"/>
  <c r="Q62" i="3"/>
  <c r="Q69" i="3"/>
  <c r="Q50" i="3"/>
  <c r="R69" i="3"/>
  <c r="T49" i="3"/>
  <c r="AJ97" i="3"/>
  <c r="R80" i="3"/>
  <c r="AG74" i="3"/>
  <c r="AE59" i="3"/>
  <c r="AE89" i="3"/>
  <c r="T95" i="3"/>
  <c r="AM72" i="3"/>
  <c r="AH80" i="3"/>
  <c r="H54" i="3"/>
  <c r="AI59" i="3"/>
  <c r="AM79" i="3"/>
  <c r="AL55" i="3"/>
  <c r="AA75" i="3"/>
  <c r="AE70" i="3"/>
  <c r="K89" i="3"/>
  <c r="S47" i="3"/>
  <c r="H69" i="3"/>
  <c r="U64" i="3"/>
  <c r="X90" i="3"/>
  <c r="I61" i="3"/>
  <c r="S90" i="3"/>
  <c r="H56" i="3"/>
  <c r="AM81" i="3"/>
  <c r="AJ47" i="3"/>
  <c r="AO65" i="3"/>
  <c r="S76" i="3"/>
  <c r="T68" i="3"/>
  <c r="AO87" i="3"/>
  <c r="R81" i="3"/>
  <c r="AC72" i="3"/>
  <c r="AG50" i="3"/>
  <c r="X77" i="3"/>
  <c r="X85" i="3"/>
  <c r="P90" i="3"/>
  <c r="AJ73" i="3"/>
  <c r="U81" i="3"/>
  <c r="AL66" i="3"/>
  <c r="AJ81" i="3"/>
  <c r="K92" i="3"/>
  <c r="Q95" i="3"/>
  <c r="AM90" i="3"/>
  <c r="I78" i="3"/>
  <c r="I74" i="3"/>
  <c r="W83" i="3"/>
  <c r="AA97" i="3"/>
  <c r="I90" i="3"/>
  <c r="AE48" i="3"/>
  <c r="AH61" i="3"/>
  <c r="AL69" i="3"/>
  <c r="K65" i="3"/>
  <c r="M55" i="3"/>
  <c r="AC67" i="3"/>
  <c r="AN78" i="3"/>
  <c r="I67" i="3"/>
  <c r="AN93" i="3"/>
  <c r="AH88" i="3"/>
  <c r="AN59" i="3"/>
  <c r="S70" i="3"/>
  <c r="W72" i="3"/>
  <c r="AJ79" i="3"/>
  <c r="I55" i="3"/>
  <c r="AM63" i="3"/>
  <c r="U75" i="3"/>
  <c r="M71" i="3"/>
  <c r="AM49" i="3"/>
  <c r="AO76" i="3"/>
  <c r="M66" i="3"/>
  <c r="AE93" i="3"/>
  <c r="AM93" i="3"/>
  <c r="V65" i="3"/>
  <c r="AE71" i="3"/>
  <c r="AC64" i="3"/>
  <c r="I65" i="3"/>
  <c r="U95" i="3"/>
  <c r="AI71" i="3"/>
  <c r="W95" i="3"/>
  <c r="M64" i="3"/>
  <c r="AO62" i="3"/>
  <c r="S78" i="3"/>
  <c r="I58" i="3"/>
  <c r="AK65" i="3"/>
  <c r="S62" i="3"/>
  <c r="T77" i="3"/>
  <c r="AC87" i="3"/>
  <c r="AG82" i="3"/>
  <c r="AG48" i="3"/>
  <c r="S57" i="3"/>
  <c r="Q61" i="3"/>
  <c r="H74" i="3"/>
  <c r="Q49" i="3"/>
  <c r="W94" i="3"/>
  <c r="R97" i="3"/>
  <c r="X61" i="3"/>
  <c r="AO95" i="3"/>
  <c r="I97" i="3"/>
  <c r="H80" i="3"/>
  <c r="AM85" i="3"/>
  <c r="AE87" i="3"/>
  <c r="X50" i="3"/>
  <c r="AE76" i="3"/>
  <c r="W90" i="3"/>
  <c r="W80" i="3"/>
  <c r="U89" i="3"/>
  <c r="S50" i="3"/>
  <c r="AO57" i="3"/>
  <c r="Q91" i="3"/>
  <c r="AL88" i="3"/>
  <c r="Q92" i="3"/>
  <c r="Q80" i="3"/>
  <c r="AE60" i="3"/>
  <c r="AL87" i="3"/>
  <c r="AE47" i="3"/>
  <c r="AM57" i="3"/>
  <c r="M57" i="3"/>
  <c r="R79" i="3"/>
  <c r="Q66" i="3"/>
  <c r="T84" i="3"/>
  <c r="J77" i="3"/>
  <c r="R85" i="3"/>
  <c r="W79" i="3"/>
  <c r="AA92" i="3"/>
  <c r="AA85" i="3"/>
  <c r="AI86" i="3"/>
  <c r="K78" i="3"/>
  <c r="V76" i="3"/>
  <c r="R61" i="3"/>
  <c r="AK80" i="3"/>
  <c r="T65" i="3"/>
  <c r="AJ75" i="3"/>
  <c r="AJ91" i="3"/>
  <c r="AL65" i="3"/>
  <c r="AO55" i="3"/>
  <c r="AH63" i="3"/>
  <c r="K58" i="3"/>
  <c r="U82" i="3"/>
  <c r="T62" i="3"/>
  <c r="V70" i="3"/>
  <c r="R64" i="3"/>
  <c r="S66" i="3"/>
  <c r="K55" i="3"/>
  <c r="AA71" i="3"/>
  <c r="AH49" i="3"/>
  <c r="AJ69" i="3"/>
  <c r="R60" i="3"/>
  <c r="K69" i="3"/>
  <c r="AE77" i="3"/>
  <c r="AL75" i="3"/>
  <c r="V94" i="3"/>
  <c r="AJ55" i="3"/>
  <c r="AL47" i="3"/>
  <c r="T91" i="3"/>
  <c r="AJ68" i="3"/>
  <c r="U85" i="3"/>
  <c r="U57" i="3"/>
  <c r="M72" i="3"/>
  <c r="I91" i="3"/>
  <c r="AN84" i="3"/>
  <c r="AA81" i="3"/>
  <c r="AK57" i="3"/>
  <c r="X94" i="3"/>
  <c r="AN67" i="3"/>
  <c r="J74" i="3"/>
  <c r="J64" i="3"/>
  <c r="AC89" i="3"/>
  <c r="J63" i="3"/>
  <c r="AC58" i="3"/>
  <c r="Q76" i="3"/>
  <c r="AL67" i="3"/>
  <c r="AA77" i="3"/>
  <c r="AC48" i="3"/>
  <c r="H94" i="3"/>
  <c r="AN68" i="3"/>
  <c r="AG65" i="3"/>
  <c r="AC59" i="3"/>
  <c r="R68" i="3"/>
  <c r="AO78" i="3"/>
  <c r="X75" i="3"/>
  <c r="X87" i="3"/>
  <c r="AM77" i="3"/>
  <c r="AC66" i="3"/>
  <c r="H57" i="3"/>
  <c r="S63" i="3"/>
  <c r="AI83" i="3"/>
  <c r="AG56" i="3"/>
  <c r="H84" i="3"/>
  <c r="U54" i="3"/>
  <c r="I66" i="3"/>
  <c r="AJ90" i="3"/>
  <c r="T71" i="3"/>
  <c r="AC57" i="3"/>
  <c r="H50" i="3"/>
  <c r="R57" i="3"/>
  <c r="X97" i="3"/>
  <c r="AC85" i="3"/>
  <c r="AA65" i="3"/>
  <c r="AO64" i="3"/>
  <c r="AO84" i="3"/>
  <c r="AK59" i="3"/>
  <c r="AA56" i="3"/>
  <c r="AH92" i="3"/>
  <c r="AG71" i="3"/>
  <c r="U90" i="3"/>
  <c r="V93" i="3"/>
  <c r="AN81" i="3"/>
  <c r="AH97" i="3"/>
  <c r="I86" i="3"/>
  <c r="AE94" i="3"/>
  <c r="AH48" i="3"/>
  <c r="AE49" i="3"/>
  <c r="AL76" i="3"/>
  <c r="K67" i="3"/>
  <c r="AN55" i="3"/>
  <c r="U70" i="3"/>
  <c r="I89" i="3"/>
  <c r="AH54" i="3"/>
  <c r="AK55" i="3"/>
  <c r="AN58" i="3"/>
  <c r="I76" i="3"/>
  <c r="X73" i="3"/>
  <c r="K64" i="3"/>
  <c r="S74" i="3"/>
  <c r="H59" i="3"/>
  <c r="AK47" i="3"/>
  <c r="V62" i="3"/>
  <c r="Q90" i="3"/>
  <c r="W63" i="3"/>
  <c r="AL49" i="3"/>
  <c r="AA74" i="3"/>
  <c r="AL82" i="3"/>
  <c r="AL48" i="3"/>
  <c r="AA67" i="3"/>
  <c r="V74" i="3"/>
  <c r="AL91" i="3"/>
  <c r="I88" i="3"/>
  <c r="AI94" i="3"/>
  <c r="H55" i="3"/>
  <c r="K85" i="3"/>
  <c r="AM73" i="3"/>
  <c r="AA54" i="3"/>
  <c r="T47" i="3"/>
  <c r="AH84" i="3"/>
  <c r="AO88" i="3"/>
  <c r="X64" i="3"/>
  <c r="AE58" i="3"/>
  <c r="AO89" i="3"/>
  <c r="V91" i="3"/>
  <c r="AO91" i="3"/>
  <c r="AN85" i="3"/>
  <c r="AC79" i="3"/>
  <c r="AH87" i="3"/>
  <c r="Q64" i="3"/>
  <c r="AA60" i="3"/>
  <c r="AM68" i="3"/>
  <c r="I49" i="3"/>
  <c r="AK54" i="3"/>
  <c r="AI48" i="3"/>
  <c r="AJ49" i="3"/>
  <c r="S60" i="3"/>
  <c r="AK93" i="3"/>
  <c r="M50" i="3"/>
  <c r="H67" i="3"/>
  <c r="AK73" i="3"/>
  <c r="I72" i="3"/>
  <c r="T87" i="3"/>
  <c r="AH79" i="3"/>
  <c r="J89" i="3"/>
  <c r="AL72" i="3"/>
  <c r="AE86" i="3"/>
  <c r="R73" i="3"/>
  <c r="AL90" i="3"/>
  <c r="W71" i="3"/>
  <c r="R58" i="3"/>
  <c r="AN77" i="3"/>
  <c r="X68" i="3"/>
  <c r="AJ78" i="3"/>
  <c r="AO56" i="3"/>
  <c r="AG89" i="3"/>
  <c r="AJ71" i="3"/>
  <c r="U59" i="3"/>
  <c r="U78" i="3"/>
  <c r="AL74" i="3"/>
  <c r="AI63" i="3"/>
  <c r="AL50" i="3"/>
  <c r="AC61" i="3"/>
  <c r="AI72" i="3"/>
  <c r="AL81" i="3"/>
  <c r="AO61" i="3"/>
  <c r="AJ62" i="3"/>
  <c r="AG55" i="3"/>
  <c r="U92" i="3"/>
  <c r="AC49" i="3"/>
  <c r="M62" i="3"/>
  <c r="AH78" i="3"/>
  <c r="AN66" i="3"/>
  <c r="AI93" i="3"/>
  <c r="AK71" i="3"/>
  <c r="K50" i="3"/>
  <c r="V89" i="3"/>
  <c r="K71" i="3"/>
  <c r="AA84" i="3"/>
  <c r="X93" i="3"/>
  <c r="R87" i="3"/>
  <c r="AA48" i="3"/>
  <c r="AM70" i="3"/>
  <c r="AJ77" i="3"/>
  <c r="AK92" i="3"/>
  <c r="X66" i="3"/>
  <c r="AK88" i="3"/>
  <c r="AI47" i="3"/>
  <c r="AM75" i="3"/>
  <c r="U71" i="3"/>
  <c r="AH55" i="3"/>
  <c r="Q73" i="3"/>
  <c r="AH69" i="3"/>
  <c r="AN97" i="3"/>
  <c r="V59" i="3"/>
  <c r="X74" i="3"/>
  <c r="J84" i="3"/>
  <c r="AO92" i="3"/>
  <c r="AC62" i="3"/>
  <c r="M58" i="3"/>
  <c r="V58" i="3"/>
  <c r="U55" i="3"/>
  <c r="K95" i="3"/>
  <c r="S83" i="3"/>
  <c r="AC54" i="3"/>
  <c r="V75" i="3"/>
  <c r="AH58" i="3"/>
  <c r="R77" i="3"/>
  <c r="AG76" i="3"/>
  <c r="Q55" i="3"/>
  <c r="V64" i="3"/>
  <c r="AN79" i="3"/>
  <c r="AG63" i="3"/>
  <c r="AK84" i="3"/>
  <c r="AA62" i="3"/>
  <c r="AM89" i="3"/>
  <c r="AA68" i="3"/>
  <c r="W47" i="3"/>
  <c r="T89" i="3"/>
  <c r="AM66" i="3"/>
  <c r="K84" i="3"/>
  <c r="U50" i="3"/>
  <c r="H79" i="3"/>
  <c r="W74" i="3"/>
  <c r="T88" i="3"/>
  <c r="S48" i="3"/>
  <c r="Q94" i="3"/>
  <c r="H60" i="3"/>
  <c r="M84" i="3"/>
  <c r="AJ88" i="3"/>
  <c r="K93" i="3"/>
  <c r="AM54" i="3"/>
  <c r="AN61" i="3"/>
  <c r="K57" i="3"/>
  <c r="J65" i="3"/>
  <c r="AO50" i="3"/>
  <c r="AN83" i="3"/>
  <c r="T82" i="3"/>
  <c r="I83" i="3"/>
  <c r="T50" i="3"/>
  <c r="AI96" i="3"/>
  <c r="AK90" i="3"/>
  <c r="I84" i="3"/>
  <c r="J88" i="3"/>
  <c r="U83" i="3"/>
  <c r="AO85" i="3"/>
  <c r="AM65" i="3"/>
  <c r="AE88" i="3"/>
  <c r="Q60" i="3"/>
  <c r="AN72" i="3"/>
  <c r="I63" i="3"/>
  <c r="AH75" i="3"/>
  <c r="AO48" i="3"/>
  <c r="K68" i="3"/>
  <c r="Q88" i="3"/>
  <c r="AE78" i="3"/>
  <c r="AE91" i="3"/>
  <c r="AE62" i="3"/>
  <c r="AE63" i="3"/>
  <c r="AE95" i="3"/>
  <c r="AE81" i="3"/>
  <c r="AE73" i="3"/>
  <c r="AE96" i="3"/>
  <c r="AE69" i="3"/>
  <c r="AE90" i="3"/>
  <c r="AE67" i="3"/>
  <c r="AE79" i="3"/>
  <c r="AE72" i="3"/>
  <c r="AC74" i="3"/>
  <c r="AC83" i="3"/>
  <c r="AC96" i="3"/>
  <c r="AC93" i="3"/>
  <c r="AN49" i="3"/>
  <c r="AN73" i="3"/>
  <c r="AN90" i="3"/>
  <c r="AN48" i="3"/>
  <c r="AN96" i="3"/>
  <c r="AL97" i="3"/>
  <c r="AL70" i="3"/>
  <c r="AL71" i="3"/>
  <c r="AL58" i="3"/>
  <c r="AL78" i="3"/>
  <c r="AL64" i="3"/>
  <c r="AL85" i="3"/>
  <c r="AL93" i="3"/>
  <c r="AL60" i="3"/>
  <c r="Q68" i="3"/>
  <c r="Q67" i="3"/>
  <c r="Q57" i="3"/>
  <c r="T85" i="3"/>
  <c r="T60" i="3"/>
  <c r="T66" i="3"/>
  <c r="T63" i="3"/>
  <c r="T92" i="3"/>
  <c r="T94" i="3"/>
  <c r="T75" i="3"/>
  <c r="K62" i="3"/>
  <c r="K66" i="3"/>
  <c r="K87" i="3"/>
  <c r="K73" i="3"/>
  <c r="K81" i="3"/>
  <c r="K56" i="3"/>
  <c r="K86" i="3"/>
  <c r="K63" i="3"/>
  <c r="K94" i="3"/>
  <c r="K54" i="3"/>
  <c r="AA47" i="3"/>
  <c r="AA57" i="3"/>
  <c r="AA88" i="3"/>
  <c r="AA69" i="3"/>
  <c r="AA61" i="3"/>
  <c r="AA90" i="3"/>
  <c r="AA79" i="3"/>
  <c r="AA72" i="3"/>
  <c r="AA91" i="3"/>
  <c r="AA76" i="3"/>
  <c r="AA55" i="3"/>
  <c r="AA66" i="3"/>
  <c r="AA80" i="3"/>
  <c r="AA93" i="3"/>
  <c r="AA94" i="3"/>
  <c r="AA70" i="3"/>
  <c r="AA82" i="3"/>
  <c r="AA83" i="3"/>
  <c r="AA87" i="3"/>
  <c r="AA95" i="3"/>
  <c r="AI97" i="3"/>
  <c r="AI67" i="3"/>
  <c r="AI90" i="3"/>
  <c r="AI79" i="3"/>
  <c r="AI57" i="3"/>
  <c r="AI69" i="3"/>
  <c r="AI78" i="3"/>
  <c r="AI89" i="3"/>
  <c r="AI66" i="3"/>
  <c r="AI92" i="3"/>
  <c r="AI91" i="3"/>
  <c r="AI58" i="3"/>
  <c r="AI77" i="3"/>
  <c r="AI49" i="3"/>
  <c r="AI74" i="3"/>
  <c r="AK64" i="3"/>
  <c r="AK78" i="3"/>
  <c r="AK83" i="3"/>
  <c r="AK63" i="3"/>
  <c r="AK49" i="3"/>
  <c r="AK95" i="3"/>
  <c r="AK82" i="3"/>
  <c r="AK74" i="3"/>
  <c r="AK58" i="3"/>
  <c r="AK76" i="3"/>
  <c r="AK61" i="3"/>
  <c r="AK94" i="3"/>
  <c r="AK48" i="3"/>
  <c r="AK85" i="3"/>
  <c r="AK96" i="3"/>
  <c r="AK77" i="3"/>
  <c r="R56" i="3"/>
  <c r="R75" i="3"/>
  <c r="R89" i="3"/>
  <c r="R88" i="3"/>
  <c r="R71" i="3"/>
  <c r="R70" i="3"/>
  <c r="R83" i="3"/>
  <c r="R48" i="3"/>
  <c r="R74" i="3"/>
  <c r="R59" i="3"/>
  <c r="R62" i="3"/>
  <c r="R63" i="3"/>
  <c r="R67" i="3"/>
  <c r="R90" i="3"/>
  <c r="R78" i="3"/>
  <c r="AJ59" i="3"/>
  <c r="AJ80" i="3"/>
  <c r="AJ84" i="3"/>
  <c r="AJ87" i="3"/>
  <c r="AJ57" i="3"/>
  <c r="AJ64" i="3"/>
  <c r="AJ76" i="3"/>
  <c r="AJ66" i="3"/>
  <c r="AJ67" i="3"/>
  <c r="AJ72" i="3"/>
  <c r="AJ86" i="3"/>
  <c r="AJ83" i="3"/>
  <c r="AJ56" i="3"/>
  <c r="AJ60" i="3"/>
  <c r="AJ48" i="3"/>
  <c r="AJ50" i="3"/>
  <c r="AJ61" i="3"/>
  <c r="M81" i="3"/>
  <c r="M77" i="3"/>
  <c r="M61" i="3"/>
  <c r="M78" i="3"/>
  <c r="M59" i="3"/>
  <c r="M94" i="3"/>
  <c r="M95" i="3"/>
  <c r="M92" i="3"/>
  <c r="M70" i="3"/>
  <c r="M56" i="3"/>
  <c r="M75" i="3"/>
  <c r="M63" i="3"/>
  <c r="M86" i="3"/>
  <c r="M48" i="3"/>
  <c r="M79" i="3"/>
  <c r="M49" i="3"/>
  <c r="M83" i="3"/>
  <c r="M54" i="3"/>
  <c r="M74" i="3"/>
  <c r="M69" i="3"/>
  <c r="M47" i="3"/>
  <c r="X89" i="3"/>
  <c r="X95" i="3"/>
  <c r="X71" i="3"/>
  <c r="X70" i="3"/>
  <c r="X60" i="3"/>
  <c r="X49" i="3"/>
  <c r="X80" i="3"/>
  <c r="X58" i="3"/>
  <c r="X48" i="3"/>
  <c r="X79" i="3"/>
  <c r="X55" i="3"/>
  <c r="X62" i="3"/>
  <c r="X86" i="3"/>
  <c r="X76" i="3"/>
  <c r="X59" i="3"/>
  <c r="AH95" i="3"/>
  <c r="AH93" i="3"/>
  <c r="AH89" i="3"/>
  <c r="AH91" i="3"/>
  <c r="AH85" i="3"/>
  <c r="AH60" i="3"/>
  <c r="AH74" i="3"/>
  <c r="AH71" i="3"/>
  <c r="AH64" i="3"/>
  <c r="AH68" i="3"/>
  <c r="AH83" i="3"/>
  <c r="AH76" i="3"/>
  <c r="AH70" i="3"/>
  <c r="V71" i="3"/>
  <c r="V69" i="3"/>
  <c r="V83" i="3"/>
  <c r="V60" i="3"/>
  <c r="V95" i="3"/>
  <c r="V88" i="3"/>
  <c r="V49" i="3"/>
  <c r="V61" i="3"/>
  <c r="V87" i="3"/>
  <c r="V92" i="3"/>
  <c r="V55" i="3"/>
  <c r="V78" i="3"/>
  <c r="V82" i="3"/>
  <c r="V56" i="3"/>
  <c r="V79" i="3"/>
  <c r="V97" i="3"/>
  <c r="S69" i="3"/>
  <c r="S73" i="3"/>
  <c r="S92" i="3"/>
  <c r="S67" i="3"/>
  <c r="S80" i="3"/>
  <c r="S89" i="3"/>
  <c r="S88" i="3"/>
  <c r="S49" i="3"/>
  <c r="S95" i="3"/>
  <c r="S87" i="3"/>
  <c r="S79" i="3"/>
  <c r="S61" i="3"/>
  <c r="S54" i="3"/>
  <c r="S55" i="3"/>
  <c r="S68" i="3"/>
  <c r="S58" i="3"/>
  <c r="S94" i="3"/>
  <c r="AO80" i="3"/>
  <c r="AO82" i="3"/>
  <c r="AO73" i="3"/>
  <c r="AO83" i="3"/>
  <c r="AO74" i="3"/>
  <c r="AO67" i="3"/>
  <c r="AO86" i="3"/>
  <c r="AO58" i="3"/>
  <c r="AO97" i="3"/>
  <c r="AO71" i="3"/>
  <c r="AO47" i="3"/>
  <c r="AO90" i="3"/>
  <c r="AO93" i="3"/>
  <c r="AO72" i="3"/>
  <c r="AO79" i="3"/>
  <c r="AO81" i="3"/>
  <c r="AO49" i="3"/>
  <c r="AO66" i="3"/>
  <c r="H87" i="3"/>
  <c r="H95" i="3"/>
  <c r="H61" i="3"/>
  <c r="H72" i="3"/>
  <c r="H68" i="3"/>
  <c r="H96" i="3"/>
  <c r="H70" i="3"/>
  <c r="H76" i="3"/>
  <c r="H81" i="3"/>
  <c r="H66" i="3"/>
  <c r="H78" i="3"/>
  <c r="H90" i="3"/>
  <c r="H77" i="3"/>
  <c r="H49" i="3"/>
  <c r="H92" i="3"/>
  <c r="H58" i="3"/>
  <c r="H75" i="3"/>
  <c r="H63" i="3"/>
  <c r="H62" i="3"/>
  <c r="H64" i="3"/>
  <c r="H85" i="3"/>
  <c r="H71" i="3"/>
  <c r="H86" i="3"/>
  <c r="H82" i="3"/>
  <c r="H47" i="3"/>
  <c r="H88" i="3"/>
  <c r="AM97" i="3"/>
  <c r="AM95" i="3"/>
  <c r="AM94" i="3"/>
  <c r="AM69" i="3"/>
  <c r="AM86" i="3"/>
  <c r="AM64" i="3"/>
  <c r="AM80" i="3"/>
  <c r="AM92" i="3"/>
  <c r="AM61" i="3"/>
  <c r="AM62" i="3"/>
  <c r="AM58" i="3"/>
  <c r="AM88" i="3"/>
  <c r="AM55" i="3"/>
  <c r="AM87" i="3"/>
  <c r="AM82" i="3"/>
  <c r="AM96" i="3"/>
  <c r="AM56" i="3"/>
  <c r="AM91" i="3"/>
  <c r="AM76" i="3"/>
  <c r="AM48" i="3"/>
  <c r="AM74" i="3"/>
  <c r="AM60" i="3"/>
  <c r="AG73" i="3"/>
  <c r="AG77" i="3"/>
  <c r="AG97" i="3"/>
  <c r="AG64" i="3"/>
  <c r="AG95" i="3"/>
  <c r="AG61" i="3"/>
  <c r="AG91" i="3"/>
  <c r="AG96" i="3"/>
  <c r="AG72" i="3"/>
  <c r="AG93" i="3"/>
  <c r="AG92" i="3"/>
  <c r="AG67" i="3"/>
  <c r="AG54" i="3"/>
  <c r="AG60" i="3"/>
  <c r="AG80" i="3"/>
  <c r="AG84" i="3"/>
  <c r="AG62" i="3"/>
  <c r="AG57" i="3"/>
  <c r="AG69" i="3"/>
  <c r="AG75" i="3"/>
  <c r="AG94" i="3"/>
  <c r="AG68" i="3"/>
  <c r="AG81" i="3"/>
  <c r="U73" i="3"/>
  <c r="U61" i="3"/>
  <c r="U76" i="3"/>
  <c r="U47" i="3"/>
  <c r="U66" i="3"/>
  <c r="U74" i="3"/>
  <c r="U68" i="3"/>
  <c r="U60" i="3"/>
  <c r="U67" i="3"/>
  <c r="U96" i="3"/>
  <c r="U97" i="3"/>
  <c r="U65" i="3"/>
  <c r="U93" i="3"/>
  <c r="U94" i="3"/>
  <c r="U58" i="3"/>
  <c r="U49" i="3"/>
  <c r="U86" i="3"/>
  <c r="U63" i="3"/>
  <c r="U91" i="3"/>
  <c r="U84" i="3"/>
  <c r="U69" i="3"/>
  <c r="U48" i="3"/>
  <c r="U56" i="3"/>
  <c r="I70" i="3"/>
  <c r="I95" i="3"/>
  <c r="I92" i="3"/>
  <c r="I64" i="3"/>
  <c r="I62" i="3"/>
  <c r="I93" i="3"/>
  <c r="I54" i="3"/>
  <c r="I87" i="3"/>
  <c r="I48" i="3"/>
  <c r="I80" i="3"/>
  <c r="I59" i="3"/>
  <c r="I82" i="3"/>
  <c r="I94" i="3"/>
  <c r="I96" i="3"/>
  <c r="I73" i="3"/>
  <c r="I75" i="3"/>
  <c r="I57" i="3"/>
  <c r="I77" i="3"/>
  <c r="I50" i="3"/>
  <c r="I60" i="3"/>
  <c r="I69" i="3"/>
  <c r="I81" i="3"/>
  <c r="I79" i="3"/>
  <c r="W92" i="3"/>
  <c r="W78" i="3"/>
  <c r="W54" i="3"/>
  <c r="W68" i="3"/>
  <c r="W96" i="3"/>
  <c r="W58" i="3"/>
  <c r="W64" i="3"/>
  <c r="W97" i="3"/>
  <c r="W87" i="3"/>
  <c r="W76" i="3"/>
  <c r="W56" i="3"/>
  <c r="W86" i="3"/>
  <c r="W62" i="3"/>
  <c r="W91" i="3"/>
  <c r="W61" i="3"/>
  <c r="W66" i="3"/>
  <c r="W93" i="3"/>
  <c r="W73" i="3"/>
  <c r="W88" i="3"/>
  <c r="W70" i="3"/>
  <c r="W69" i="3"/>
  <c r="W59" i="3"/>
  <c r="W75" i="3"/>
  <c r="W84" i="3"/>
  <c r="W85" i="3"/>
  <c r="W65" i="3"/>
  <c r="W57" i="3"/>
  <c r="W77" i="3"/>
  <c r="Y84" i="3" l="1"/>
  <c r="Y91" i="3"/>
  <c r="Y94" i="3"/>
  <c r="Y56" i="3"/>
  <c r="Y85" i="3"/>
  <c r="Y57" i="3"/>
  <c r="Y71" i="3"/>
  <c r="Y75" i="3"/>
  <c r="Y73" i="3"/>
  <c r="Y65" i="3"/>
  <c r="Y96" i="3"/>
  <c r="N69" i="3"/>
  <c r="N77" i="3"/>
  <c r="N54" i="3"/>
  <c r="Y54" i="3"/>
  <c r="N96" i="3"/>
  <c r="N87" i="3"/>
  <c r="N88" i="3"/>
  <c r="N58" i="3"/>
  <c r="Y76" i="3"/>
  <c r="Y68" i="3"/>
  <c r="N80" i="3"/>
  <c r="N50" i="3"/>
  <c r="Y47" i="3"/>
  <c r="Y74" i="3"/>
  <c r="Y66" i="3"/>
  <c r="Y50" i="3"/>
  <c r="Y88" i="3"/>
  <c r="Y87" i="3"/>
  <c r="Y77" i="3"/>
  <c r="Y79" i="3"/>
  <c r="Y49" i="3"/>
  <c r="Y48" i="3"/>
  <c r="Y69" i="3"/>
  <c r="Y55" i="3"/>
  <c r="Y93" i="3"/>
  <c r="N75" i="3"/>
  <c r="N64" i="3"/>
  <c r="N79" i="3"/>
  <c r="Y92" i="3"/>
  <c r="N81" i="3"/>
  <c r="Y60" i="3"/>
  <c r="N48" i="3"/>
  <c r="Y83" i="3"/>
  <c r="N86" i="3"/>
  <c r="Y90" i="3"/>
  <c r="N84" i="3"/>
  <c r="Y97" i="3"/>
  <c r="N61" i="3"/>
  <c r="N83" i="3"/>
  <c r="N73" i="3"/>
  <c r="Y67" i="3"/>
  <c r="Y81" i="3"/>
  <c r="Y89" i="3"/>
  <c r="N55" i="3"/>
  <c r="N63" i="3"/>
  <c r="N66" i="3"/>
  <c r="AO59" i="3"/>
  <c r="AI76" i="3"/>
  <c r="AN60" i="3"/>
  <c r="AH56" i="3"/>
  <c r="AC86" i="3"/>
  <c r="AN94" i="3"/>
  <c r="T58" i="3"/>
  <c r="AI56" i="3"/>
  <c r="V66" i="3"/>
  <c r="X81" i="3"/>
  <c r="V86" i="3"/>
  <c r="AJ89" i="3"/>
  <c r="K47" i="3"/>
  <c r="R66" i="3"/>
  <c r="AE50" i="3"/>
  <c r="T57" i="3"/>
  <c r="X84" i="3"/>
  <c r="AJ63" i="3"/>
  <c r="Q63" i="3"/>
  <c r="R76" i="3"/>
  <c r="R96" i="3"/>
  <c r="AC60" i="3"/>
  <c r="AA49" i="3"/>
  <c r="Q58" i="3"/>
  <c r="V63" i="3"/>
  <c r="AL92" i="3"/>
  <c r="K88" i="3"/>
  <c r="S97" i="3"/>
  <c r="Q54" i="3"/>
  <c r="Q84" i="3"/>
  <c r="Q47" i="3"/>
  <c r="AI55" i="3"/>
  <c r="AK91" i="3"/>
  <c r="AI64" i="3"/>
  <c r="AL54" i="3"/>
  <c r="X92" i="3"/>
  <c r="P92" i="3"/>
  <c r="V80" i="3"/>
  <c r="H89" i="3"/>
  <c r="AN71" i="3"/>
  <c r="AE85" i="3"/>
  <c r="AK89" i="3"/>
  <c r="AG86" i="3"/>
  <c r="Q74" i="3"/>
  <c r="P88" i="3"/>
  <c r="P84" i="3"/>
  <c r="AG70" i="3"/>
  <c r="S65" i="3"/>
  <c r="AH94" i="3"/>
  <c r="AA86" i="3"/>
  <c r="AJ96" i="3"/>
  <c r="AH77" i="3"/>
  <c r="AJ54" i="3"/>
  <c r="AH73" i="3"/>
  <c r="W81" i="3"/>
  <c r="AG90" i="3"/>
  <c r="AH50" i="3"/>
  <c r="AQ92" i="3"/>
  <c r="AG59" i="3"/>
  <c r="R82" i="3"/>
  <c r="AI61" i="3"/>
  <c r="T78" i="3"/>
  <c r="S77" i="3"/>
  <c r="AO94" i="3"/>
  <c r="AC92" i="3"/>
  <c r="W48" i="3"/>
  <c r="R91" i="3"/>
  <c r="AH86" i="3"/>
  <c r="I85" i="3"/>
  <c r="AK62" i="3"/>
  <c r="AC91" i="3"/>
  <c r="AC47" i="3"/>
  <c r="AI82" i="3"/>
  <c r="AO60" i="3"/>
  <c r="AI81" i="3"/>
  <c r="K79" i="3"/>
  <c r="AG85" i="3"/>
  <c r="X96" i="3"/>
  <c r="R94" i="3"/>
  <c r="V47" i="3"/>
  <c r="P74" i="3"/>
  <c r="H65" i="3"/>
  <c r="T97" i="3"/>
  <c r="R55" i="3"/>
  <c r="Q93" i="3"/>
  <c r="S64" i="3"/>
  <c r="Q79" i="3"/>
  <c r="AG87" i="3"/>
  <c r="AI68" i="3"/>
  <c r="V72" i="3"/>
  <c r="T73" i="3"/>
  <c r="AQ89" i="3"/>
  <c r="AN87" i="3"/>
  <c r="M68" i="3"/>
  <c r="H83" i="3"/>
  <c r="R65" i="3"/>
  <c r="Q86" i="3"/>
  <c r="AI54" i="3"/>
  <c r="AJ92" i="3"/>
  <c r="AG83" i="3"/>
  <c r="R92" i="3"/>
  <c r="AH82" i="3"/>
  <c r="K91" i="3"/>
  <c r="M89" i="3"/>
  <c r="T56" i="3"/>
  <c r="AK66" i="3"/>
  <c r="AJ58" i="3"/>
  <c r="AN65" i="3"/>
  <c r="AH96" i="3"/>
  <c r="AI62" i="3"/>
  <c r="T81" i="3"/>
  <c r="AN56" i="3"/>
  <c r="AK97" i="3"/>
  <c r="X83" i="3"/>
  <c r="X72" i="3"/>
  <c r="AA50" i="3"/>
  <c r="AJ82" i="3"/>
  <c r="AI85" i="3"/>
  <c r="AI84" i="3"/>
  <c r="AK60" i="3"/>
  <c r="M60" i="3"/>
  <c r="X65" i="3"/>
  <c r="AJ65" i="3"/>
  <c r="AA59" i="3"/>
  <c r="AK86" i="3"/>
  <c r="AI80" i="3"/>
  <c r="R72" i="3"/>
  <c r="V81" i="3"/>
  <c r="AK70" i="3"/>
  <c r="AK67" i="3"/>
  <c r="AH62" i="3"/>
  <c r="M90" i="3"/>
  <c r="AH66" i="3"/>
  <c r="V54" i="3"/>
  <c r="AG49" i="3"/>
  <c r="AI70" i="3"/>
  <c r="R54" i="3"/>
  <c r="S93" i="3"/>
  <c r="R49" i="3"/>
  <c r="AI95" i="3"/>
  <c r="R86" i="3"/>
  <c r="M93" i="3"/>
  <c r="P85" i="3"/>
  <c r="X88" i="3"/>
  <c r="K59" i="3"/>
  <c r="AQ61" i="3"/>
  <c r="P97" i="3"/>
  <c r="S81" i="3"/>
  <c r="AJ93" i="3"/>
  <c r="M85" i="3"/>
  <c r="V73" i="3"/>
  <c r="M80" i="3"/>
  <c r="AQ67" i="3"/>
  <c r="P91" i="3"/>
  <c r="AQ69" i="3"/>
  <c r="X57" i="3"/>
  <c r="S96" i="3"/>
  <c r="R93" i="3"/>
  <c r="K60" i="3"/>
  <c r="V90" i="3"/>
  <c r="AA89" i="3"/>
  <c r="AQ94" i="3"/>
  <c r="M65" i="3"/>
  <c r="S59" i="3"/>
  <c r="AG79" i="3"/>
  <c r="AJ70" i="3"/>
  <c r="S86" i="3"/>
  <c r="P75" i="3"/>
  <c r="V68" i="3"/>
  <c r="AG78" i="3"/>
  <c r="AG47" i="3"/>
  <c r="S84" i="3"/>
  <c r="P50" i="3"/>
  <c r="AH90" i="3"/>
  <c r="AH65" i="3"/>
  <c r="R50" i="3"/>
  <c r="AH47" i="3"/>
  <c r="AQ50" i="3"/>
  <c r="M73" i="3"/>
  <c r="AK79" i="3"/>
  <c r="AA78" i="3"/>
  <c r="AQ82" i="3"/>
  <c r="AQ70" i="3"/>
  <c r="P93" i="3"/>
  <c r="AQ90" i="3"/>
  <c r="AQ72" i="3"/>
  <c r="AQ49" i="3"/>
  <c r="AQ88" i="3"/>
  <c r="AQ54" i="3"/>
  <c r="AQ91" i="3"/>
  <c r="AQ60" i="3"/>
  <c r="P79" i="3"/>
  <c r="AQ95" i="3"/>
  <c r="P48" i="3"/>
  <c r="AQ93" i="3"/>
  <c r="P65" i="3"/>
  <c r="P72" i="3"/>
  <c r="AQ48" i="3"/>
  <c r="P67" i="3"/>
  <c r="AQ81" i="3"/>
  <c r="AQ56" i="3"/>
  <c r="AQ68" i="3"/>
  <c r="AQ97" i="3"/>
  <c r="P77" i="3"/>
  <c r="P63" i="3"/>
  <c r="P55" i="3"/>
  <c r="P57" i="3"/>
  <c r="P66" i="3"/>
  <c r="P56" i="3"/>
  <c r="P80" i="3"/>
  <c r="AQ76" i="3"/>
  <c r="P81" i="3"/>
  <c r="AQ78" i="3"/>
  <c r="P82" i="3"/>
  <c r="P78" i="3"/>
  <c r="P89" i="3"/>
  <c r="P87" i="3"/>
  <c r="P58" i="3"/>
  <c r="P47" i="3"/>
  <c r="P64" i="3"/>
  <c r="P95" i="3"/>
  <c r="P83" i="3"/>
  <c r="P68" i="3"/>
  <c r="P70" i="3"/>
  <c r="P96" i="3"/>
  <c r="P76" i="3"/>
  <c r="P62" i="3"/>
  <c r="P69" i="3"/>
  <c r="P49" i="3"/>
  <c r="P54" i="3"/>
  <c r="P94" i="3"/>
  <c r="P61" i="3"/>
  <c r="P59" i="3"/>
  <c r="P86" i="3"/>
  <c r="P60" i="3"/>
  <c r="P71" i="3"/>
  <c r="AQ59" i="3"/>
  <c r="AQ80" i="3"/>
  <c r="AQ75" i="3"/>
  <c r="AQ71" i="3"/>
  <c r="AQ87" i="3"/>
  <c r="AQ63" i="3"/>
  <c r="AQ83" i="3"/>
  <c r="AQ55" i="3"/>
  <c r="AQ64" i="3"/>
  <c r="AQ73" i="3"/>
  <c r="AQ66" i="3"/>
  <c r="AQ62" i="3"/>
  <c r="AQ47" i="3"/>
  <c r="AQ74" i="3"/>
  <c r="AQ65" i="3"/>
  <c r="AQ79" i="3"/>
  <c r="AQ96" i="3"/>
  <c r="AQ85" i="3"/>
  <c r="AQ57" i="3"/>
  <c r="AQ58" i="3"/>
  <c r="L61" i="3"/>
  <c r="L67" i="3"/>
  <c r="L77" i="3"/>
  <c r="AR232" i="1" s="1"/>
  <c r="AS232" i="1" s="1"/>
  <c r="L72" i="3"/>
  <c r="AR227" i="1" s="1"/>
  <c r="AS227" i="1" s="1"/>
  <c r="L79" i="3"/>
  <c r="AR235" i="1" s="1"/>
  <c r="AS235" i="1" s="1"/>
  <c r="L66" i="3"/>
  <c r="AR243" i="1" s="1"/>
  <c r="AS243" i="1" s="1"/>
  <c r="L55" i="3"/>
  <c r="L60" i="3"/>
  <c r="AR214" i="1" s="1"/>
  <c r="AS214" i="1" s="1"/>
  <c r="L74" i="3"/>
  <c r="AR229" i="1" s="1"/>
  <c r="AS229" i="1" s="1"/>
  <c r="L92" i="3"/>
  <c r="AR247" i="1" s="1"/>
  <c r="AS247" i="1" s="1"/>
  <c r="L84" i="3"/>
  <c r="AR238" i="1" s="1"/>
  <c r="AS238" i="1" s="1"/>
  <c r="L95" i="3"/>
  <c r="AR256" i="1" s="1"/>
  <c r="AS256" i="1" s="1"/>
  <c r="L87" i="3"/>
  <c r="AR244" i="1" s="1"/>
  <c r="AS244" i="1" s="1"/>
  <c r="L75" i="3"/>
  <c r="L93" i="3"/>
  <c r="L50" i="3"/>
  <c r="AR166" i="1" s="1"/>
  <c r="L62" i="3"/>
  <c r="AR216" i="1" s="1"/>
  <c r="L89" i="3"/>
  <c r="AR245" i="1" s="1"/>
  <c r="L78" i="3"/>
  <c r="AR234" i="1" s="1"/>
  <c r="AS234" i="1" s="1"/>
  <c r="L56" i="3"/>
  <c r="AR209" i="1" s="1"/>
  <c r="AS209" i="1" s="1"/>
  <c r="L64" i="3"/>
  <c r="AR241" i="1" s="1"/>
  <c r="L85" i="3"/>
  <c r="AR239" i="1" s="1"/>
  <c r="AS239" i="1" s="1"/>
  <c r="L59" i="3"/>
  <c r="L91" i="3"/>
  <c r="AR246" i="1" s="1"/>
  <c r="AS246" i="1" s="1"/>
  <c r="L58" i="3"/>
  <c r="AR211" i="1" s="1"/>
  <c r="L63" i="3"/>
  <c r="AR217" i="1" s="1"/>
  <c r="AS217" i="1" s="1"/>
  <c r="L94" i="3"/>
  <c r="L80" i="3"/>
  <c r="AR251" i="1" s="1"/>
  <c r="L83" i="3"/>
  <c r="AR252" i="1" s="1"/>
  <c r="L97" i="3"/>
  <c r="L88" i="3"/>
  <c r="AR219" i="1" s="1"/>
  <c r="AS219" i="1" s="1"/>
  <c r="L49" i="3"/>
  <c r="AR165" i="1" s="1"/>
  <c r="L73" i="3"/>
  <c r="L76" i="3"/>
  <c r="L81" i="3"/>
  <c r="AR236" i="1" s="1"/>
  <c r="L47" i="3"/>
  <c r="L65" i="3"/>
  <c r="AR242" i="1" s="1"/>
  <c r="AS242" i="1" s="1"/>
  <c r="L86" i="3"/>
  <c r="L57" i="3"/>
  <c r="AR210" i="1" s="1"/>
  <c r="AS210" i="1" s="1"/>
  <c r="L70" i="3"/>
  <c r="AR225" i="1" s="1"/>
  <c r="L68" i="3"/>
  <c r="AR223" i="1" s="1"/>
  <c r="L90" i="3"/>
  <c r="AR218" i="1" s="1"/>
  <c r="AS218" i="1" s="1"/>
  <c r="L69" i="3"/>
  <c r="AR224" i="1" s="1"/>
  <c r="L82" i="3"/>
  <c r="AR237" i="1" s="1"/>
  <c r="L54" i="3"/>
  <c r="L96" i="3"/>
  <c r="AR255" i="1" s="1"/>
  <c r="AS255" i="1" s="1"/>
  <c r="L48" i="3"/>
  <c r="L71" i="3"/>
  <c r="Z80" i="3"/>
  <c r="BF251" i="1" s="1"/>
  <c r="Z76" i="3"/>
  <c r="Z54" i="3"/>
  <c r="Z89" i="3"/>
  <c r="BF245" i="1" s="1"/>
  <c r="Z62" i="3"/>
  <c r="BF216" i="1" s="1"/>
  <c r="BG216" i="1" s="1"/>
  <c r="Z50" i="3"/>
  <c r="BF166" i="1" s="1"/>
  <c r="Z73" i="3"/>
  <c r="Z67" i="3"/>
  <c r="Z78" i="3"/>
  <c r="BF234" i="1" s="1"/>
  <c r="BG234" i="1" s="1"/>
  <c r="Z68" i="3"/>
  <c r="BF223" i="1" s="1"/>
  <c r="Z71" i="3"/>
  <c r="Z63" i="3"/>
  <c r="BF217" i="1" s="1"/>
  <c r="BG217" i="1" s="1"/>
  <c r="Z58" i="3"/>
  <c r="BF211" i="1" s="1"/>
  <c r="Z91" i="3"/>
  <c r="BF246" i="1" s="1"/>
  <c r="BG246" i="1" s="1"/>
  <c r="Z65" i="3"/>
  <c r="BF242" i="1" s="1"/>
  <c r="BG242" i="1" s="1"/>
  <c r="Z81" i="3"/>
  <c r="BF236" i="1" s="1"/>
  <c r="Z49" i="3"/>
  <c r="BF165" i="1" s="1"/>
  <c r="Z56" i="3"/>
  <c r="BF209" i="1" s="1"/>
  <c r="BG209" i="1" s="1"/>
  <c r="Z86" i="3"/>
  <c r="Z90" i="3"/>
  <c r="BF218" i="1" s="1"/>
  <c r="BG218" i="1" s="1"/>
  <c r="Z77" i="3"/>
  <c r="BF232" i="1" s="1"/>
  <c r="BG232" i="1" s="1"/>
  <c r="Z48" i="3"/>
  <c r="Z59" i="3"/>
  <c r="Z92" i="3"/>
  <c r="BF247" i="1" s="1"/>
  <c r="BG247" i="1" s="1"/>
  <c r="Z95" i="3"/>
  <c r="BF256" i="1" s="1"/>
  <c r="BG256" i="1" s="1"/>
  <c r="Z47" i="3"/>
  <c r="Z75" i="3"/>
  <c r="Z72" i="3"/>
  <c r="BF227" i="1" s="1"/>
  <c r="BG227" i="1" s="1"/>
  <c r="Z57" i="3"/>
  <c r="BF210" i="1" s="1"/>
  <c r="BG210" i="1" s="1"/>
  <c r="Z66" i="3"/>
  <c r="BF243" i="1" s="1"/>
  <c r="BG243" i="1" s="1"/>
  <c r="Z94" i="3"/>
  <c r="Z97" i="3"/>
  <c r="Z60" i="3"/>
  <c r="BF214" i="1" s="1"/>
  <c r="BG214" i="1" s="1"/>
  <c r="Z83" i="3"/>
  <c r="BF252" i="1" s="1"/>
  <c r="Z85" i="3"/>
  <c r="BF239" i="1" s="1"/>
  <c r="BG239" i="1" s="1"/>
  <c r="Z69" i="3"/>
  <c r="BF224" i="1" s="1"/>
  <c r="Z64" i="3"/>
  <c r="BF241" i="1" s="1"/>
  <c r="Z82" i="3"/>
  <c r="BF237" i="1" s="1"/>
  <c r="Z79" i="3"/>
  <c r="BF235" i="1" s="1"/>
  <c r="BG235" i="1" s="1"/>
  <c r="Z84" i="3"/>
  <c r="BF238" i="1" s="1"/>
  <c r="BG238" i="1" s="1"/>
  <c r="Z88" i="3"/>
  <c r="BF219" i="1" s="1"/>
  <c r="BG219" i="1" s="1"/>
  <c r="Z96" i="3"/>
  <c r="BF255" i="1" s="1"/>
  <c r="BG255" i="1" s="1"/>
  <c r="Z87" i="3"/>
  <c r="BF244" i="1" s="1"/>
  <c r="BG244" i="1" s="1"/>
  <c r="Z74" i="3"/>
  <c r="BF229" i="1" s="1"/>
  <c r="BG229" i="1" s="1"/>
  <c r="Z93" i="3"/>
  <c r="Z61" i="3"/>
  <c r="Z70" i="3"/>
  <c r="BF225" i="1" s="1"/>
  <c r="Z55" i="3"/>
  <c r="Y59" i="3"/>
  <c r="Y72" i="3"/>
  <c r="Y70" i="3"/>
  <c r="Y63" i="3"/>
  <c r="Y78" i="3"/>
  <c r="Y95" i="3"/>
  <c r="Y86" i="3"/>
  <c r="Y64" i="3"/>
  <c r="Y61" i="3"/>
  <c r="Y80" i="3"/>
  <c r="Y82" i="3"/>
  <c r="Y58" i="3"/>
  <c r="Y62" i="3"/>
  <c r="O85" i="3"/>
  <c r="O47" i="3"/>
  <c r="O83" i="3"/>
  <c r="O86" i="3"/>
  <c r="O89" i="3"/>
  <c r="O57" i="3"/>
  <c r="O70" i="3"/>
  <c r="O91" i="3"/>
  <c r="O59" i="3"/>
  <c r="O64" i="3"/>
  <c r="O49" i="3"/>
  <c r="AU165" i="1" s="1"/>
  <c r="O94" i="3"/>
  <c r="O90" i="3"/>
  <c r="O72" i="3"/>
  <c r="O79" i="3"/>
  <c r="O55" i="3"/>
  <c r="O50" i="3"/>
  <c r="AU166" i="1" s="1"/>
  <c r="O84" i="3"/>
  <c r="O76" i="3"/>
  <c r="O80" i="3"/>
  <c r="O96" i="3"/>
  <c r="O56" i="3"/>
  <c r="O77" i="3"/>
  <c r="O82" i="3"/>
  <c r="O81" i="3"/>
  <c r="O87" i="3"/>
  <c r="O73" i="3"/>
  <c r="O68" i="3"/>
  <c r="O58" i="3"/>
  <c r="O67" i="3"/>
  <c r="O97" i="3"/>
  <c r="O88" i="3"/>
  <c r="O66" i="3"/>
  <c r="O61" i="3"/>
  <c r="O71" i="3"/>
  <c r="O54" i="3"/>
  <c r="O63" i="3"/>
  <c r="O95" i="3"/>
  <c r="O48" i="3"/>
  <c r="O62" i="3"/>
  <c r="O69" i="3"/>
  <c r="O78" i="3"/>
  <c r="O60" i="3"/>
  <c r="O65" i="3"/>
  <c r="O92" i="3"/>
  <c r="O75" i="3"/>
  <c r="O93" i="3"/>
  <c r="O74" i="3"/>
  <c r="N94" i="3"/>
  <c r="N65" i="3"/>
  <c r="AT242" i="1" s="1"/>
  <c r="AU242" i="1" s="1"/>
  <c r="N59" i="3"/>
  <c r="N76" i="3"/>
  <c r="AT235" i="1" s="1"/>
  <c r="AU235" i="1" s="1"/>
  <c r="N78" i="3"/>
  <c r="AT234" i="1" s="1"/>
  <c r="AU234" i="1" s="1"/>
  <c r="N60" i="3"/>
  <c r="AT214" i="1" s="1"/>
  <c r="AU214" i="1" s="1"/>
  <c r="N72" i="3"/>
  <c r="AT227" i="1" s="1"/>
  <c r="AU227" i="1" s="1"/>
  <c r="N68" i="3"/>
  <c r="AT223" i="1" s="1"/>
  <c r="N85" i="3"/>
  <c r="AT239" i="1" s="1"/>
  <c r="AU239" i="1" s="1"/>
  <c r="N92" i="3"/>
  <c r="AT247" i="1" s="1"/>
  <c r="AU247" i="1" s="1"/>
  <c r="N62" i="3"/>
  <c r="AT216" i="1" s="1"/>
  <c r="AU216" i="1" s="1"/>
  <c r="N47" i="3"/>
  <c r="N56" i="3"/>
  <c r="AT209" i="1" s="1"/>
  <c r="AU209" i="1" s="1"/>
  <c r="N71" i="3"/>
  <c r="N67" i="3"/>
  <c r="N74" i="3"/>
  <c r="AT229" i="1" s="1"/>
  <c r="AU229" i="1" s="1"/>
  <c r="N95" i="3"/>
  <c r="AT256" i="1" s="1"/>
  <c r="AU256" i="1" s="1"/>
  <c r="N90" i="3"/>
  <c r="AT218" i="1" s="1"/>
  <c r="AU218" i="1" s="1"/>
  <c r="N49" i="3"/>
  <c r="AT165" i="1" s="1"/>
  <c r="N97" i="3"/>
  <c r="N93" i="3"/>
  <c r="N82" i="3"/>
  <c r="AT237" i="1" s="1"/>
  <c r="N70" i="3"/>
  <c r="AT225" i="1" s="1"/>
  <c r="N89" i="3"/>
  <c r="AT245" i="1" s="1"/>
  <c r="N91" i="3"/>
  <c r="AT246" i="1" s="1"/>
  <c r="AU246" i="1" s="1"/>
  <c r="N57" i="3"/>
  <c r="AT210" i="1" s="1"/>
  <c r="AU210" i="1" s="1"/>
  <c r="J73" i="3"/>
  <c r="J50" i="3"/>
  <c r="AP166" i="1" s="1"/>
  <c r="J61" i="3"/>
  <c r="J58" i="3"/>
  <c r="AP211" i="1" s="1"/>
  <c r="J85" i="3"/>
  <c r="AP239" i="1" s="1"/>
  <c r="AQ239" i="1" s="1"/>
  <c r="J67" i="3"/>
  <c r="J57" i="3"/>
  <c r="AP210" i="1" s="1"/>
  <c r="AQ210" i="1" s="1"/>
  <c r="J66" i="3"/>
  <c r="AP243" i="1" s="1"/>
  <c r="AQ243" i="1" s="1"/>
  <c r="J81" i="3"/>
  <c r="AP236" i="1" s="1"/>
  <c r="J96" i="3"/>
  <c r="AP255" i="1" s="1"/>
  <c r="AQ255" i="1" s="1"/>
  <c r="J47" i="3"/>
  <c r="J62" i="3"/>
  <c r="AP216" i="1" s="1"/>
  <c r="AQ216" i="1" s="1"/>
  <c r="J68" i="3"/>
  <c r="AP223" i="1" s="1"/>
  <c r="J87" i="3"/>
  <c r="AP244" i="1" s="1"/>
  <c r="AQ244" i="1" s="1"/>
  <c r="J91" i="3"/>
  <c r="AP246" i="1" s="1"/>
  <c r="AQ246" i="1" s="1"/>
  <c r="J78" i="3"/>
  <c r="AP234" i="1" s="1"/>
  <c r="AQ234" i="1" s="1"/>
  <c r="J94" i="3"/>
  <c r="J70" i="3"/>
  <c r="AP225" i="1" s="1"/>
  <c r="J79" i="3"/>
  <c r="AP235" i="1" s="1"/>
  <c r="AQ235" i="1" s="1"/>
  <c r="J93" i="3"/>
  <c r="J56" i="3"/>
  <c r="AP209" i="1" s="1"/>
  <c r="AQ209" i="1" s="1"/>
  <c r="J92" i="3"/>
  <c r="AP247" i="1" s="1"/>
  <c r="AQ247" i="1" s="1"/>
  <c r="J59" i="3"/>
  <c r="J48" i="3"/>
  <c r="J76" i="3"/>
  <c r="J54" i="3"/>
  <c r="J69" i="3"/>
  <c r="AP224" i="1" s="1"/>
  <c r="J49" i="3"/>
  <c r="AP165" i="1" s="1"/>
  <c r="J86" i="3"/>
  <c r="J75" i="3"/>
  <c r="AP229" i="1" s="1"/>
  <c r="AQ229" i="1" s="1"/>
  <c r="J83" i="3"/>
  <c r="AP252" i="1" s="1"/>
  <c r="J80" i="3"/>
  <c r="AP251" i="1" s="1"/>
  <c r="J95" i="3"/>
  <c r="AP256" i="1" s="1"/>
  <c r="AQ256" i="1" s="1"/>
  <c r="J97" i="3"/>
  <c r="J55" i="3"/>
  <c r="J72" i="3"/>
  <c r="AP227" i="1" s="1"/>
  <c r="AQ227" i="1" s="1"/>
  <c r="J60" i="3"/>
  <c r="AP214" i="1" s="1"/>
  <c r="AQ214" i="1" s="1"/>
  <c r="J90" i="3"/>
  <c r="AP218" i="1" s="1"/>
  <c r="AQ218" i="1" s="1"/>
  <c r="J82" i="3"/>
  <c r="AP237" i="1" s="1"/>
  <c r="J71" i="3"/>
  <c r="AO166" i="1"/>
  <c r="BA165" i="1"/>
  <c r="AN219" i="1"/>
  <c r="AO219" i="1" s="1"/>
  <c r="AN237" i="1"/>
  <c r="AN239" i="1"/>
  <c r="AO239" i="1" s="1"/>
  <c r="AN241" i="1"/>
  <c r="AO241" i="1" s="1"/>
  <c r="AN216" i="1"/>
  <c r="AO216" i="1" s="1"/>
  <c r="AN217" i="1"/>
  <c r="AO217" i="1" s="1"/>
  <c r="AN211" i="1"/>
  <c r="AN247" i="1"/>
  <c r="AO247" i="1" s="1"/>
  <c r="AN165" i="1"/>
  <c r="AN232" i="1"/>
  <c r="AO232" i="1" s="1"/>
  <c r="AN218" i="1"/>
  <c r="AO218" i="1" s="1"/>
  <c r="AN234" i="1"/>
  <c r="AO234" i="1" s="1"/>
  <c r="AN243" i="1"/>
  <c r="AO243" i="1" s="1"/>
  <c r="AN236" i="1"/>
  <c r="AN225" i="1"/>
  <c r="AN255" i="1"/>
  <c r="AO255" i="1" s="1"/>
  <c r="AN223" i="1"/>
  <c r="AN227" i="1"/>
  <c r="AO227" i="1" s="1"/>
  <c r="AN256" i="1"/>
  <c r="AO256" i="1" s="1"/>
  <c r="AN244" i="1"/>
  <c r="AO244" i="1" s="1"/>
  <c r="BU165" i="1"/>
  <c r="AY165" i="1"/>
  <c r="BB235" i="1"/>
  <c r="BC235" i="1" s="1"/>
  <c r="BB209" i="1"/>
  <c r="BC209" i="1" s="1"/>
  <c r="BB237" i="1"/>
  <c r="BB234" i="1"/>
  <c r="BC234" i="1" s="1"/>
  <c r="BB247" i="1"/>
  <c r="BC247" i="1" s="1"/>
  <c r="BB244" i="1"/>
  <c r="BC244" i="1" s="1"/>
  <c r="BB165" i="1"/>
  <c r="BB219" i="1"/>
  <c r="BC219" i="1" s="1"/>
  <c r="BB256" i="1"/>
  <c r="BC256" i="1" s="1"/>
  <c r="BB214" i="1"/>
  <c r="BC214" i="1" s="1"/>
  <c r="BB252" i="1"/>
  <c r="BB224" i="1"/>
  <c r="BN225" i="1"/>
  <c r="BN252" i="1"/>
  <c r="BN223" i="1"/>
  <c r="BN241" i="1"/>
  <c r="BO241" i="1" s="1"/>
  <c r="BN229" i="1"/>
  <c r="BO229" i="1" s="1"/>
  <c r="BN214" i="1"/>
  <c r="BO214" i="1" s="1"/>
  <c r="BN239" i="1"/>
  <c r="BO239" i="1" s="1"/>
  <c r="BN246" i="1"/>
  <c r="BO246" i="1" s="1"/>
  <c r="BN245" i="1"/>
  <c r="BN256" i="1"/>
  <c r="BO256" i="1" s="1"/>
  <c r="BD216" i="1"/>
  <c r="BE216" i="1" s="1"/>
  <c r="BD235" i="1"/>
  <c r="BE235" i="1" s="1"/>
  <c r="BD211" i="1"/>
  <c r="BD251" i="1"/>
  <c r="BD165" i="1"/>
  <c r="BD214" i="1"/>
  <c r="BE214" i="1" s="1"/>
  <c r="BD225" i="1"/>
  <c r="BD256" i="1"/>
  <c r="BE256" i="1" s="1"/>
  <c r="BD245" i="1"/>
  <c r="AS165" i="1"/>
  <c r="BP166" i="1"/>
  <c r="BP214" i="1"/>
  <c r="BQ214" i="1" s="1"/>
  <c r="BP209" i="1"/>
  <c r="BQ209" i="1" s="1"/>
  <c r="BP252" i="1"/>
  <c r="BP227" i="1"/>
  <c r="BQ227" i="1" s="1"/>
  <c r="BP243" i="1"/>
  <c r="BQ243" i="1" s="1"/>
  <c r="BP241" i="1"/>
  <c r="BQ241" i="1" s="1"/>
  <c r="BP210" i="1"/>
  <c r="BQ210" i="1" s="1"/>
  <c r="BP244" i="1"/>
  <c r="BQ244" i="1" s="1"/>
  <c r="BP238" i="1"/>
  <c r="BQ238" i="1" s="1"/>
  <c r="BP251" i="1"/>
  <c r="AX234" i="1"/>
  <c r="AY234" i="1" s="1"/>
  <c r="AX218" i="1"/>
  <c r="AY218" i="1" s="1"/>
  <c r="AX217" i="1"/>
  <c r="AY217" i="1" s="1"/>
  <c r="AX216" i="1"/>
  <c r="AY216" i="1" s="1"/>
  <c r="AX229" i="1"/>
  <c r="AY229" i="1" s="1"/>
  <c r="AX252" i="1"/>
  <c r="AX225" i="1"/>
  <c r="AX219" i="1"/>
  <c r="AY219" i="1" s="1"/>
  <c r="AX245" i="1"/>
  <c r="AX209" i="1"/>
  <c r="BQ165" i="1"/>
  <c r="BO165" i="1"/>
  <c r="AZ247" i="1"/>
  <c r="BA247" i="1" s="1"/>
  <c r="AZ217" i="1"/>
  <c r="BA217" i="1" s="1"/>
  <c r="AZ243" i="1"/>
  <c r="BA243" i="1" s="1"/>
  <c r="AZ214" i="1"/>
  <c r="BA214" i="1" s="1"/>
  <c r="AZ239" i="1"/>
  <c r="BA239" i="1" s="1"/>
  <c r="BR214" i="1"/>
  <c r="BS214" i="1" s="1"/>
  <c r="BR239" i="1"/>
  <c r="BS239" i="1" s="1"/>
  <c r="BR241" i="1"/>
  <c r="BS241" i="1" s="1"/>
  <c r="BR234" i="1"/>
  <c r="BS234" i="1" s="1"/>
  <c r="BR211" i="1"/>
  <c r="BR225" i="1"/>
  <c r="BT255" i="1"/>
  <c r="BU255" i="1" s="1"/>
  <c r="BT218" i="1"/>
  <c r="BU218" i="1" s="1"/>
  <c r="BT165" i="1"/>
  <c r="BT227" i="1"/>
  <c r="BU227" i="1" s="1"/>
  <c r="AP219" i="1"/>
  <c r="AQ219" i="1" s="1"/>
  <c r="AZ166" i="1"/>
  <c r="AZ237" i="1"/>
  <c r="BT252" i="1"/>
  <c r="BU166" i="1"/>
  <c r="AP242" i="1"/>
  <c r="AQ242" i="1" s="1"/>
  <c r="BP219" i="1"/>
  <c r="BQ219" i="1" s="1"/>
  <c r="AN214" i="1"/>
  <c r="AO214" i="1" s="1"/>
  <c r="AZ219" i="1"/>
  <c r="BA219" i="1" s="1"/>
  <c r="AN235" i="1"/>
  <c r="AO235" i="1" s="1"/>
  <c r="BA166" i="1"/>
  <c r="AZ245" i="1"/>
  <c r="BT235" i="1"/>
  <c r="BU235" i="1" s="1"/>
  <c r="BB241" i="1"/>
  <c r="BC241" i="1" s="1"/>
  <c r="AX232" i="1"/>
  <c r="AY232" i="1" s="1"/>
  <c r="BN211" i="1"/>
  <c r="BB211" i="1"/>
  <c r="AP238" i="1"/>
  <c r="AQ238" i="1" s="1"/>
  <c r="BD229" i="1"/>
  <c r="BE229" i="1" s="1"/>
  <c r="BN224" i="1"/>
  <c r="BD243" i="1"/>
  <c r="BE243" i="1" s="1"/>
  <c r="BP232" i="1"/>
  <c r="BQ232" i="1" s="1"/>
  <c r="AX244" i="1"/>
  <c r="AY244" i="1" s="1"/>
  <c r="BB245" i="1"/>
  <c r="AQ166" i="1"/>
  <c r="BT243" i="1"/>
  <c r="BU243" i="1" s="1"/>
  <c r="BN234" i="1"/>
  <c r="BO234" i="1" s="1"/>
  <c r="BI165" i="1"/>
  <c r="BP216" i="1"/>
  <c r="BQ216" i="1" s="1"/>
  <c r="BR236" i="1"/>
  <c r="BR166" i="1"/>
  <c r="BR229" i="1"/>
  <c r="BS229" i="1" s="1"/>
  <c r="BP234" i="1"/>
  <c r="BQ234" i="1" s="1"/>
  <c r="BD223" i="1"/>
  <c r="BT232" i="1"/>
  <c r="BU232" i="1" s="1"/>
  <c r="AX211" i="1"/>
  <c r="BR218" i="1"/>
  <c r="BS218" i="1" s="1"/>
  <c r="BR227" i="1"/>
  <c r="BS227" i="1" s="1"/>
  <c r="AP245" i="1"/>
  <c r="BN235" i="1"/>
  <c r="BO235" i="1" s="1"/>
  <c r="AZ244" i="1"/>
  <c r="BA244" i="1" s="1"/>
  <c r="AS166" i="1"/>
  <c r="BP165" i="1"/>
  <c r="AO165" i="1"/>
  <c r="BN244" i="1"/>
  <c r="BO244" i="1" s="1"/>
  <c r="BT239" i="1"/>
  <c r="BB246" i="1"/>
  <c r="BC246" i="1" s="1"/>
  <c r="BD241" i="1"/>
  <c r="BE241" i="1" s="1"/>
  <c r="BN238" i="1"/>
  <c r="BO238" i="1" s="1"/>
  <c r="BR246" i="1"/>
  <c r="BS246" i="1" s="1"/>
  <c r="BB229" i="1"/>
  <c r="BC229" i="1" s="1"/>
  <c r="BR237" i="1"/>
  <c r="BR165" i="1"/>
  <c r="BB216" i="1"/>
  <c r="BC216" i="1" s="1"/>
  <c r="BT211" i="1"/>
  <c r="BK165" i="1"/>
  <c r="BT236" i="1"/>
  <c r="BN247" i="1"/>
  <c r="BO247" i="1" s="1"/>
  <c r="AX210" i="1"/>
  <c r="AY210" i="1" s="1"/>
  <c r="AN166" i="1"/>
  <c r="BP218" i="1"/>
  <c r="BQ218" i="1" s="1"/>
  <c r="AN238" i="1"/>
  <c r="AO238" i="1" s="1"/>
  <c r="AN210" i="1"/>
  <c r="AO210" i="1" s="1"/>
  <c r="BD244" i="1"/>
  <c r="BE244" i="1" s="1"/>
  <c r="AX223" i="1"/>
  <c r="BT223" i="1"/>
  <c r="AP217" i="1"/>
  <c r="AQ217" i="1" s="1"/>
  <c r="AP241" i="1"/>
  <c r="AQ241" i="1" s="1"/>
  <c r="BT238" i="1"/>
  <c r="BU238" i="1" s="1"/>
  <c r="BP223" i="1"/>
  <c r="AZ246" i="1"/>
  <c r="BA246" i="1" s="1"/>
  <c r="AX214" i="1"/>
  <c r="AY214" i="1" s="1"/>
  <c r="BP224" i="1"/>
  <c r="BN165" i="1"/>
  <c r="AX241" i="1"/>
  <c r="AY241" i="1" s="1"/>
  <c r="BB225" i="1"/>
  <c r="AZ216" i="1"/>
  <c r="BA216" i="1" s="1"/>
  <c r="BN217" i="1"/>
  <c r="BO217" i="1" s="1"/>
  <c r="BR242" i="1"/>
  <c r="BP246" i="1"/>
  <c r="BQ246" i="1" s="1"/>
  <c r="AZ242" i="1"/>
  <c r="BA242" i="1" s="1"/>
  <c r="AX239" i="1"/>
  <c r="AY239" i="1" s="1"/>
  <c r="AP232" i="1"/>
  <c r="AQ232" i="1" s="1"/>
  <c r="AZ238" i="1"/>
  <c r="BA238" i="1" s="1"/>
  <c r="BR244" i="1"/>
  <c r="BS244" i="1" s="1"/>
  <c r="BR219" i="1"/>
  <c r="BS219" i="1" s="1"/>
  <c r="AY166" i="1"/>
  <c r="BD166" i="1"/>
  <c r="AN251" i="1"/>
  <c r="AW165" i="1"/>
  <c r="AN229" i="1"/>
  <c r="AO229" i="1" s="1"/>
  <c r="AZ232" i="1"/>
  <c r="BB242" i="1"/>
  <c r="BC242" i="1" s="1"/>
  <c r="BS165" i="1"/>
  <c r="BP235" i="1"/>
  <c r="BQ235" i="1" s="1"/>
  <c r="BN219" i="1"/>
  <c r="BO219" i="1" s="1"/>
  <c r="BT234" i="1"/>
  <c r="BU234" i="1" s="1"/>
  <c r="BR224" i="1"/>
  <c r="BP236" i="1"/>
  <c r="BR243" i="1"/>
  <c r="BS243" i="1" s="1"/>
  <c r="AV218" i="1"/>
  <c r="AW218" i="1" s="1"/>
  <c r="BD239" i="1"/>
  <c r="BE239" i="1" s="1"/>
  <c r="BD232" i="1"/>
  <c r="BE232" i="1" s="1"/>
  <c r="BM166" i="1"/>
  <c r="AX236" i="1"/>
  <c r="AZ223" i="1"/>
  <c r="AN209" i="1"/>
  <c r="AO209" i="1" s="1"/>
  <c r="BD218" i="1"/>
  <c r="BE218" i="1" s="1"/>
  <c r="AN224" i="1"/>
  <c r="BN251" i="1"/>
  <c r="AZ256" i="1"/>
  <c r="BA256" i="1" s="1"/>
  <c r="AX251" i="1"/>
  <c r="AZ165" i="1"/>
  <c r="AX224" i="1"/>
  <c r="AW166" i="1"/>
  <c r="BD217" i="1"/>
  <c r="BE217" i="1" s="1"/>
  <c r="BN236" i="1"/>
  <c r="BR216" i="1"/>
  <c r="BS216" i="1" s="1"/>
  <c r="BP256" i="1"/>
  <c r="BQ256" i="1" s="1"/>
  <c r="AZ227" i="1"/>
  <c r="BA227" i="1" s="1"/>
  <c r="BC165" i="1"/>
  <c r="BD234" i="1"/>
  <c r="BS166" i="1"/>
  <c r="BT224" i="1"/>
  <c r="BR238" i="1"/>
  <c r="BS238" i="1" s="1"/>
  <c r="BD237" i="1"/>
  <c r="BN210" i="1"/>
  <c r="BO210" i="1" s="1"/>
  <c r="BR223" i="1"/>
  <c r="BB166" i="1"/>
  <c r="BB232" i="1"/>
  <c r="BC232" i="1" s="1"/>
  <c r="BR210" i="1"/>
  <c r="BC166" i="1"/>
  <c r="BB255" i="1"/>
  <c r="BC255" i="1" s="1"/>
  <c r="AN246" i="1"/>
  <c r="AO246" i="1" s="1"/>
  <c r="BD209" i="1"/>
  <c r="BE209" i="1" s="1"/>
  <c r="BP239" i="1"/>
  <c r="BQ239" i="1" s="1"/>
  <c r="BN227" i="1"/>
  <c r="BO227" i="1" s="1"/>
  <c r="BB210" i="1"/>
  <c r="BC210" i="1" s="1"/>
  <c r="BT241" i="1"/>
  <c r="BU241" i="1" s="1"/>
  <c r="AN105" i="1"/>
  <c r="BP99" i="1"/>
  <c r="AR138" i="1"/>
  <c r="BK112" i="1"/>
  <c r="AT99" i="1"/>
  <c r="AT323" i="1" s="1"/>
  <c r="AR143" i="1"/>
  <c r="BF127" i="1"/>
  <c r="AN128" i="1"/>
  <c r="BO104" i="1"/>
  <c r="AK165" i="1"/>
  <c r="BS113" i="1"/>
  <c r="AX104" i="1"/>
  <c r="BQ137" i="1"/>
  <c r="BH127" i="1"/>
  <c r="AU131" i="1"/>
  <c r="BV237" i="1"/>
  <c r="BA113" i="1"/>
  <c r="AY131" i="1"/>
  <c r="BP137" i="1"/>
  <c r="AI105" i="1"/>
  <c r="BV241" i="1"/>
  <c r="BW241" i="1" s="1"/>
  <c r="BF113" i="1"/>
  <c r="AY128" i="1"/>
  <c r="BC100" i="1"/>
  <c r="BE138" i="1"/>
  <c r="AP131" i="1"/>
  <c r="AP114" i="1"/>
  <c r="AR139" i="1"/>
  <c r="AP105" i="1"/>
  <c r="AU143" i="1"/>
  <c r="BF104" i="1"/>
  <c r="BJ127" i="1"/>
  <c r="AW116" i="1"/>
  <c r="BP114" i="1"/>
  <c r="BA143" i="1"/>
  <c r="BM105" i="1"/>
  <c r="BD139" i="1"/>
  <c r="BC99" i="1"/>
  <c r="BC323" i="1" s="1"/>
  <c r="AQ131" i="1"/>
  <c r="S247" i="1"/>
  <c r="AP139" i="1"/>
  <c r="AW113" i="1"/>
  <c r="BV138" i="1"/>
  <c r="BA131" i="1"/>
  <c r="BR139" i="1"/>
  <c r="AQ99" i="1"/>
  <c r="AY137" i="1"/>
  <c r="BN143" i="1"/>
  <c r="BH100" i="1"/>
  <c r="J228" i="1"/>
  <c r="AX112" i="1"/>
  <c r="BA100" i="1"/>
  <c r="AN131" i="1"/>
  <c r="AJ165" i="1"/>
  <c r="BO128" i="1"/>
  <c r="BH131" i="1"/>
  <c r="AX139" i="1"/>
  <c r="BD124" i="1"/>
  <c r="BD286" i="1" s="1"/>
  <c r="AY105" i="1"/>
  <c r="T242" i="1"/>
  <c r="Q236" i="1"/>
  <c r="Q271" i="1" s="1"/>
  <c r="H211" i="1"/>
  <c r="AU128" i="1"/>
  <c r="BS131" i="1"/>
  <c r="AQ124" i="1"/>
  <c r="AQ286" i="1" s="1"/>
  <c r="BV143" i="1"/>
  <c r="BB128" i="1"/>
  <c r="AQ127" i="1"/>
  <c r="BF138" i="1"/>
  <c r="BD137" i="1"/>
  <c r="W245" i="1"/>
  <c r="L264" i="1"/>
  <c r="AS124" i="1"/>
  <c r="BE139" i="1"/>
  <c r="BN137" i="1"/>
  <c r="AN138" i="1"/>
  <c r="AV116" i="1"/>
  <c r="BB116" i="1"/>
  <c r="BH137" i="1"/>
  <c r="BH235" i="1"/>
  <c r="BI235" i="1" s="1"/>
  <c r="BK139" i="1"/>
  <c r="AI138" i="1"/>
  <c r="AT105" i="1"/>
  <c r="BG138" i="1"/>
  <c r="BE143" i="1"/>
  <c r="BV100" i="1"/>
  <c r="BH143" i="1"/>
  <c r="AN114" i="1"/>
  <c r="BI131" i="1"/>
  <c r="BN114" i="1"/>
  <c r="BH209" i="1"/>
  <c r="BI209" i="1" s="1"/>
  <c r="V243" i="1"/>
  <c r="BR116" i="1"/>
  <c r="AQ112" i="1"/>
  <c r="BD100" i="1"/>
  <c r="AY104" i="1"/>
  <c r="BU143" i="1"/>
  <c r="BG116" i="1"/>
  <c r="BA137" i="1"/>
  <c r="BA128" i="1"/>
  <c r="AX99" i="1"/>
  <c r="AS100" i="1"/>
  <c r="BV209" i="1"/>
  <c r="BW209" i="1" s="1"/>
  <c r="H264" i="1"/>
  <c r="S165" i="1"/>
  <c r="I262" i="1"/>
  <c r="BR105" i="1"/>
  <c r="BU104" i="1"/>
  <c r="AI143" i="1"/>
  <c r="AT100" i="1"/>
  <c r="BG143" i="1"/>
  <c r="BI143" i="1"/>
  <c r="AU124" i="1"/>
  <c r="BV245" i="1"/>
  <c r="BH218" i="1"/>
  <c r="BI218" i="1" s="1"/>
  <c r="G236" i="1"/>
  <c r="G271" i="1" s="1"/>
  <c r="G247" i="1"/>
  <c r="C235" i="1"/>
  <c r="E170" i="1"/>
  <c r="M171" i="1"/>
  <c r="B211" i="1"/>
  <c r="BJ139" i="1"/>
  <c r="BE127" i="1"/>
  <c r="BG104" i="1"/>
  <c r="AV112" i="1"/>
  <c r="AV138" i="1"/>
  <c r="BW99" i="1"/>
  <c r="BW323" i="1" s="1"/>
  <c r="BC114" i="1"/>
  <c r="BV236" i="1"/>
  <c r="BV225" i="1"/>
  <c r="L171" i="1"/>
  <c r="C166" i="1"/>
  <c r="H251" i="1"/>
  <c r="J262" i="1"/>
  <c r="E219" i="1"/>
  <c r="L263" i="1"/>
  <c r="N214" i="1"/>
  <c r="R171" i="1"/>
  <c r="BD131" i="1"/>
  <c r="AI137" i="1"/>
  <c r="BT105" i="1"/>
  <c r="BD105" i="1"/>
  <c r="BH234" i="1"/>
  <c r="BI234" i="1" s="1"/>
  <c r="S224" i="1"/>
  <c r="R210" i="1"/>
  <c r="C263" i="1"/>
  <c r="W216" i="1"/>
  <c r="U170" i="1"/>
  <c r="AX137" i="1"/>
  <c r="BC143" i="1"/>
  <c r="AI99" i="1"/>
  <c r="AI271" i="1" s="1"/>
  <c r="AT124" i="1"/>
  <c r="AT286" i="1" s="1"/>
  <c r="AT131" i="1"/>
  <c r="AX143" i="1"/>
  <c r="BN138" i="1"/>
  <c r="AR112" i="1"/>
  <c r="BB131" i="1"/>
  <c r="BG113" i="1"/>
  <c r="AZ137" i="1"/>
  <c r="BK128" i="1"/>
  <c r="BC139" i="1"/>
  <c r="BV105" i="1"/>
  <c r="BV229" i="1"/>
  <c r="BW229" i="1" s="1"/>
  <c r="BV243" i="1"/>
  <c r="BW243" i="1" s="1"/>
  <c r="W262" i="1"/>
  <c r="P242" i="1"/>
  <c r="K210" i="1"/>
  <c r="V227" i="1"/>
  <c r="V223" i="1" s="1"/>
  <c r="R243" i="1"/>
  <c r="G219" i="1"/>
  <c r="T252" i="1"/>
  <c r="AY112" i="1"/>
  <c r="BV219" i="1"/>
  <c r="BW219" i="1" s="1"/>
  <c r="N241" i="1"/>
  <c r="N229" i="1"/>
  <c r="G228" i="1"/>
  <c r="H218" i="1"/>
  <c r="H246" i="1" s="1"/>
  <c r="P238" i="1"/>
  <c r="V255" i="1"/>
  <c r="N245" i="1"/>
  <c r="N275" i="1" s="1"/>
  <c r="E264" i="1"/>
  <c r="P216" i="1"/>
  <c r="C169" i="1"/>
  <c r="V236" i="1"/>
  <c r="V271" i="1" s="1"/>
  <c r="L256" i="1"/>
  <c r="E232" i="1"/>
  <c r="D217" i="1"/>
  <c r="F210" i="1"/>
  <c r="L224" i="1"/>
  <c r="N264" i="1"/>
  <c r="P165" i="1"/>
  <c r="S214" i="1"/>
  <c r="AW99" i="1"/>
  <c r="AW323" i="1" s="1"/>
  <c r="BR137" i="1"/>
  <c r="AS99" i="1"/>
  <c r="AS128" i="1"/>
  <c r="BV127" i="1"/>
  <c r="BN113" i="1"/>
  <c r="AI127" i="1"/>
  <c r="BH243" i="1"/>
  <c r="BI243" i="1" s="1"/>
  <c r="BV234" i="1"/>
  <c r="BW234" i="1" s="1"/>
  <c r="K252" i="1"/>
  <c r="I229" i="1"/>
  <c r="K238" i="1"/>
  <c r="H236" i="1"/>
  <c r="H271" i="1" s="1"/>
  <c r="Q232" i="1"/>
  <c r="S209" i="1"/>
  <c r="B247" i="1"/>
  <c r="P228" i="1"/>
  <c r="V217" i="1"/>
  <c r="AT127" i="1"/>
  <c r="BE131" i="1"/>
  <c r="AO105" i="1"/>
  <c r="BN124" i="1"/>
  <c r="BU112" i="1"/>
  <c r="BF131" i="1"/>
  <c r="BI127" i="1"/>
  <c r="AU112" i="1"/>
  <c r="BK137" i="1"/>
  <c r="AW137" i="1"/>
  <c r="BV244" i="1"/>
  <c r="BW244" i="1" s="1"/>
  <c r="T225" i="1"/>
  <c r="O237" i="1"/>
  <c r="O272" i="1" s="1"/>
  <c r="U237" i="1"/>
  <c r="U272" i="1" s="1"/>
  <c r="D247" i="1"/>
  <c r="E234" i="1"/>
  <c r="H242" i="1"/>
  <c r="F255" i="1"/>
  <c r="F219" i="1"/>
  <c r="R264" i="1"/>
  <c r="S228" i="1"/>
  <c r="C238" i="1"/>
  <c r="E263" i="1"/>
  <c r="S210" i="1"/>
  <c r="C171" i="1"/>
  <c r="E166" i="1"/>
  <c r="H255" i="1"/>
  <c r="D263" i="1"/>
  <c r="I263" i="1"/>
  <c r="S243" i="1"/>
  <c r="G169" i="1"/>
  <c r="R216" i="1"/>
  <c r="J232" i="1"/>
  <c r="J242" i="1"/>
  <c r="Q225" i="1"/>
  <c r="O216" i="1"/>
  <c r="C159" i="1"/>
  <c r="T228" i="1"/>
  <c r="J241" i="1"/>
  <c r="E241" i="1"/>
  <c r="N237" i="1"/>
  <c r="N272" i="1" s="1"/>
  <c r="BV255" i="1"/>
  <c r="BW255" i="1" s="1"/>
  <c r="N216" i="1"/>
  <c r="M229" i="1"/>
  <c r="G224" i="1"/>
  <c r="I217" i="1"/>
  <c r="Q166" i="1"/>
  <c r="N227" i="1"/>
  <c r="N223" i="1" s="1"/>
  <c r="T224" i="1"/>
  <c r="I224" i="1"/>
  <c r="M234" i="1"/>
  <c r="V218" i="1"/>
  <c r="V246" i="1" s="1"/>
  <c r="N252" i="1"/>
  <c r="M165" i="1"/>
  <c r="D227" i="1"/>
  <c r="D223" i="1"/>
  <c r="T234" i="1"/>
  <c r="J245" i="1"/>
  <c r="J275" i="1" s="1"/>
  <c r="L232" i="1"/>
  <c r="B216" i="1"/>
  <c r="O209" i="1"/>
  <c r="N169" i="1"/>
  <c r="E210" i="1"/>
  <c r="P224" i="1"/>
  <c r="I232" i="1"/>
  <c r="T239" i="1"/>
  <c r="S236" i="1"/>
  <c r="S271" i="1" s="1"/>
  <c r="B169" i="1"/>
  <c r="O171" i="1"/>
  <c r="W234" i="1"/>
  <c r="V263" i="1"/>
  <c r="W238" i="1"/>
  <c r="I251" i="1"/>
  <c r="Q159" i="1"/>
  <c r="P218" i="1"/>
  <c r="P246" i="1" s="1"/>
  <c r="V247" i="1"/>
  <c r="R237" i="1"/>
  <c r="R272" i="1" s="1"/>
  <c r="I219" i="1"/>
  <c r="G225" i="1"/>
  <c r="D159" i="1"/>
  <c r="K262" i="1"/>
  <c r="F252" i="1"/>
  <c r="J209" i="1"/>
  <c r="G216" i="1"/>
  <c r="T165" i="1"/>
  <c r="E245" i="1"/>
  <c r="E275" i="1" s="1"/>
  <c r="S169" i="1"/>
  <c r="D171" i="1"/>
  <c r="B214" i="1"/>
  <c r="R228" i="1"/>
  <c r="V219" i="1"/>
  <c r="P263" i="1"/>
  <c r="R165" i="1"/>
  <c r="V237" i="1"/>
  <c r="V272" i="1" s="1"/>
  <c r="U211" i="1"/>
  <c r="M252" i="1"/>
  <c r="B262" i="1"/>
  <c r="J264" i="1"/>
  <c r="D224" i="1"/>
  <c r="T255" i="1"/>
  <c r="U224" i="1"/>
  <c r="L165" i="1"/>
  <c r="L209" i="1"/>
  <c r="G234" i="1"/>
  <c r="Q237" i="1"/>
  <c r="Q272" i="1" s="1"/>
  <c r="U166" i="1"/>
  <c r="L245" i="1"/>
  <c r="L275" i="1" s="1"/>
  <c r="M170" i="1"/>
  <c r="N236" i="1"/>
  <c r="N271" i="1" s="1"/>
  <c r="F169" i="1"/>
  <c r="I170" i="1"/>
  <c r="P256" i="1"/>
  <c r="L169" i="1"/>
  <c r="G227" i="1"/>
  <c r="G223" i="1" s="1"/>
  <c r="D211" i="1"/>
  <c r="U262" i="1"/>
  <c r="T245" i="1"/>
  <c r="T275" i="1" s="1"/>
  <c r="K245" i="1"/>
  <c r="K275" i="1" s="1"/>
  <c r="P217" i="1"/>
  <c r="S262" i="1"/>
  <c r="O165" i="1"/>
  <c r="W247" i="1"/>
  <c r="S242" i="1"/>
  <c r="U218" i="1"/>
  <c r="U246" i="1" s="1"/>
  <c r="L218" i="1"/>
  <c r="L246" i="1" s="1"/>
  <c r="K170" i="1"/>
  <c r="F171" i="1"/>
  <c r="T243" i="1"/>
  <c r="I227" i="1"/>
  <c r="I223" i="1" s="1"/>
  <c r="C237" i="1"/>
  <c r="C272" i="1" s="1"/>
  <c r="I225" i="1"/>
  <c r="J159" i="1"/>
  <c r="U217" i="1"/>
  <c r="O239" i="1"/>
  <c r="S245" i="1"/>
  <c r="S275" i="1" s="1"/>
  <c r="N211" i="1"/>
  <c r="P232" i="1"/>
  <c r="E224" i="1"/>
  <c r="E159" i="1"/>
  <c r="Q243" i="1"/>
  <c r="R218" i="1"/>
  <c r="R246" i="1" s="1"/>
  <c r="U247" i="1"/>
  <c r="F263" i="1"/>
  <c r="G241" i="1"/>
  <c r="H234" i="1"/>
  <c r="K211" i="1"/>
  <c r="G217" i="1"/>
  <c r="S166" i="1"/>
  <c r="O263" i="1"/>
  <c r="J219" i="1"/>
  <c r="AZ252" i="1"/>
  <c r="AZ218" i="1"/>
  <c r="BA218" i="1" s="1"/>
  <c r="AZ229" i="1"/>
  <c r="BA229" i="1" s="1"/>
  <c r="AZ235" i="1"/>
  <c r="BA235" i="1" s="1"/>
  <c r="AX256" i="1"/>
  <c r="AY256" i="1" s="1"/>
  <c r="BQ166" i="1"/>
  <c r="AZ241" i="1"/>
  <c r="BA241" i="1" s="1"/>
  <c r="BR217" i="1"/>
  <c r="BT247" i="1"/>
  <c r="BU247" i="1" s="1"/>
  <c r="BR209" i="1"/>
  <c r="BS209" i="1" s="1"/>
  <c r="AQ165" i="1"/>
  <c r="BB238" i="1"/>
  <c r="BC238" i="1" s="1"/>
  <c r="BO166" i="1"/>
  <c r="AZ224" i="1"/>
  <c r="AZ255" i="1"/>
  <c r="BA255" i="1" s="1"/>
  <c r="BT217" i="1"/>
  <c r="BB239" i="1"/>
  <c r="BC239" i="1" s="1"/>
  <c r="AX238" i="1"/>
  <c r="AY238" i="1" s="1"/>
  <c r="BP229" i="1"/>
  <c r="BQ229" i="1" s="1"/>
  <c r="BR235" i="1"/>
  <c r="BS235" i="1" s="1"/>
  <c r="BT210" i="1"/>
  <c r="BD246" i="1"/>
  <c r="BE246" i="1" s="1"/>
  <c r="BD224" i="1"/>
  <c r="BI112" i="1"/>
  <c r="BM127" i="1"/>
  <c r="BT99" i="1"/>
  <c r="AU127" i="1"/>
  <c r="C219" i="1"/>
  <c r="BH242" i="1"/>
  <c r="BI242" i="1" s="1"/>
  <c r="AZ99" i="1"/>
  <c r="BO143" i="1"/>
  <c r="BJ124" i="1"/>
  <c r="Q170" i="1"/>
  <c r="AS112" i="1"/>
  <c r="BT104" i="1"/>
  <c r="BC112" i="1"/>
  <c r="BT139" i="1"/>
  <c r="BB138" i="1"/>
  <c r="BG100" i="1"/>
  <c r="BF114" i="1"/>
  <c r="AU104" i="1"/>
  <c r="AO138" i="1"/>
  <c r="BW127" i="1"/>
  <c r="BB105" i="1"/>
  <c r="B218" i="1"/>
  <c r="B246" i="1" s="1"/>
  <c r="E238" i="1"/>
  <c r="AY143" i="1"/>
  <c r="BQ124" i="1"/>
  <c r="BQ286" i="1" s="1"/>
  <c r="AU137" i="1"/>
  <c r="BA116" i="1"/>
  <c r="BP131" i="1"/>
  <c r="BW124" i="1"/>
  <c r="AR104" i="1"/>
  <c r="BB124" i="1"/>
  <c r="BB286" i="1" s="1"/>
  <c r="BH124" i="1"/>
  <c r="BH286" i="1" s="1"/>
  <c r="AX127" i="1"/>
  <c r="BU114" i="1"/>
  <c r="BS112" i="1"/>
  <c r="AZ100" i="1"/>
  <c r="BH113" i="1"/>
  <c r="BB143" i="1"/>
  <c r="BM100" i="1"/>
  <c r="AQ104" i="1"/>
  <c r="AN143" i="1"/>
  <c r="BH224" i="1"/>
  <c r="I247" i="1"/>
  <c r="AR105" i="1"/>
  <c r="AI116" i="1"/>
  <c r="AU105" i="1"/>
  <c r="BI114" i="1"/>
  <c r="AZ104" i="1"/>
  <c r="BU137" i="1"/>
  <c r="AW131" i="1"/>
  <c r="BF105" i="1"/>
  <c r="AY138" i="1"/>
  <c r="AV137" i="1"/>
  <c r="BV166" i="1"/>
  <c r="H256" i="1"/>
  <c r="J225" i="1"/>
  <c r="BS143" i="1"/>
  <c r="BD114" i="1"/>
  <c r="BW115" i="1"/>
  <c r="BC137" i="1"/>
  <c r="AT128" i="1"/>
  <c r="BD116" i="1"/>
  <c r="BV131" i="1"/>
  <c r="BW128" i="1"/>
  <c r="AV127" i="1"/>
  <c r="AS139" i="1"/>
  <c r="AW139" i="1"/>
  <c r="AS104" i="1"/>
  <c r="BV235" i="1"/>
  <c r="W239" i="1"/>
  <c r="BT143" i="1"/>
  <c r="BH114" i="1"/>
  <c r="AN99" i="1"/>
  <c r="AZ143" i="1"/>
  <c r="AY114" i="1"/>
  <c r="AQ128" i="1"/>
  <c r="BF116" i="1"/>
  <c r="AS114" i="1"/>
  <c r="BP104" i="1"/>
  <c r="BA112" i="1"/>
  <c r="BK105" i="1"/>
  <c r="AV105" i="1"/>
  <c r="BW137" i="1"/>
  <c r="BW104" i="1"/>
  <c r="BE105" i="1"/>
  <c r="AX114" i="1"/>
  <c r="BK143" i="1"/>
  <c r="BV104" i="1"/>
  <c r="C251" i="1"/>
  <c r="BI138" i="1"/>
  <c r="BQ99" i="1"/>
  <c r="BU139" i="1"/>
  <c r="BC128" i="1"/>
  <c r="AQ113" i="1"/>
  <c r="BO138" i="1"/>
  <c r="BT131" i="1"/>
  <c r="BG99" i="1"/>
  <c r="BH256" i="1"/>
  <c r="BI256" i="1" s="1"/>
  <c r="E214" i="1"/>
  <c r="S216" i="1"/>
  <c r="T256" i="1"/>
  <c r="O218" i="1"/>
  <c r="O246" i="1" s="1"/>
  <c r="BU116" i="1"/>
  <c r="AY139" i="1"/>
  <c r="BK131" i="1"/>
  <c r="AQ116" i="1"/>
  <c r="BM116" i="1"/>
  <c r="AV114" i="1"/>
  <c r="BT137" i="1"/>
  <c r="AM139" i="1"/>
  <c r="AT104" i="1"/>
  <c r="AQ138" i="1"/>
  <c r="AZ128" i="1"/>
  <c r="BV251" i="1"/>
  <c r="W165" i="1"/>
  <c r="H159" i="1"/>
  <c r="B256" i="1"/>
  <c r="L238" i="1"/>
  <c r="U219" i="1"/>
  <c r="T214" i="1"/>
  <c r="L159" i="1"/>
  <c r="BR113" i="1"/>
  <c r="BC104" i="1"/>
  <c r="AR116" i="1"/>
  <c r="BD104" i="1"/>
  <c r="AU113" i="1"/>
  <c r="BI100" i="1"/>
  <c r="BV242" i="1"/>
  <c r="BW242" i="1" s="1"/>
  <c r="D210" i="1"/>
  <c r="R263" i="1"/>
  <c r="J252" i="1"/>
  <c r="C155" i="1"/>
  <c r="D234" i="1"/>
  <c r="AP127" i="1"/>
  <c r="AZ114" i="1"/>
  <c r="BW143" i="1"/>
  <c r="AX124" i="1"/>
  <c r="AX286" i="1" s="1"/>
  <c r="BS105" i="1"/>
  <c r="BP112" i="1"/>
  <c r="BC131" i="1"/>
  <c r="BM113" i="1"/>
  <c r="BR100" i="1"/>
  <c r="AX131" i="1"/>
  <c r="BV247" i="1"/>
  <c r="BW247" i="1" s="1"/>
  <c r="BV238" i="1"/>
  <c r="BW238" i="1" s="1"/>
  <c r="C170" i="1"/>
  <c r="O227" i="1"/>
  <c r="O223" i="1" s="1"/>
  <c r="M169" i="1"/>
  <c r="G238" i="1"/>
  <c r="H171" i="1"/>
  <c r="BG131" i="1"/>
  <c r="BI105" i="1"/>
  <c r="AP99" i="1"/>
  <c r="AP323" i="1" s="1"/>
  <c r="BQ138" i="1"/>
  <c r="BS127" i="1"/>
  <c r="BP105" i="1"/>
  <c r="AV100" i="1"/>
  <c r="AO112" i="1"/>
  <c r="BV128" i="1"/>
  <c r="AI114" i="1"/>
  <c r="BH245" i="1"/>
  <c r="V165" i="1"/>
  <c r="T170" i="1"/>
  <c r="D166" i="1"/>
  <c r="F224" i="1"/>
  <c r="T237" i="1"/>
  <c r="T272" i="1" s="1"/>
  <c r="H170" i="1"/>
  <c r="L217" i="1"/>
  <c r="AO127" i="1"/>
  <c r="AN113" i="1"/>
  <c r="BV256" i="1"/>
  <c r="BW256" i="1" s="1"/>
  <c r="J235" i="1"/>
  <c r="V225" i="1"/>
  <c r="R256" i="1"/>
  <c r="M210" i="1"/>
  <c r="G264" i="1"/>
  <c r="I242" i="1"/>
  <c r="M166" i="1"/>
  <c r="I228" i="1"/>
  <c r="W241" i="1"/>
  <c r="M232" i="1"/>
  <c r="U245" i="1"/>
  <c r="U275" i="1" s="1"/>
  <c r="I239" i="1"/>
  <c r="BQ143" i="1"/>
  <c r="BB99" i="1"/>
  <c r="BH138" i="1"/>
  <c r="BV116" i="1"/>
  <c r="BH105" i="1"/>
  <c r="BH104" i="1"/>
  <c r="AP116" i="1"/>
  <c r="AX138" i="1"/>
  <c r="BJ166" i="1"/>
  <c r="AS138" i="1"/>
  <c r="AI165" i="1"/>
  <c r="BH227" i="1"/>
  <c r="BI227" i="1" s="1"/>
  <c r="L210" i="1"/>
  <c r="O217" i="1"/>
  <c r="P241" i="1"/>
  <c r="E225" i="1"/>
  <c r="R236" i="1"/>
  <c r="R271" i="1" s="1"/>
  <c r="B245" i="1"/>
  <c r="B275" i="1" s="1"/>
  <c r="S238" i="1"/>
  <c r="AO113" i="1"/>
  <c r="BR124" i="1"/>
  <c r="BR286" i="1" s="1"/>
  <c r="AO99" i="1"/>
  <c r="BC138" i="1"/>
  <c r="BO124" i="1"/>
  <c r="BO286" i="1" s="1"/>
  <c r="BG114" i="1"/>
  <c r="BT128" i="1"/>
  <c r="AP143" i="1"/>
  <c r="BD138" i="1"/>
  <c r="BG128" i="1"/>
  <c r="BH229" i="1"/>
  <c r="BI229" i="1" s="1"/>
  <c r="BH255" i="1"/>
  <c r="BI255" i="1" s="1"/>
  <c r="B224" i="1"/>
  <c r="O214" i="1"/>
  <c r="O219" i="1"/>
  <c r="O159" i="1"/>
  <c r="J217" i="1"/>
  <c r="L219" i="1"/>
  <c r="S227" i="1"/>
  <c r="S223" i="1" s="1"/>
  <c r="Q235" i="1"/>
  <c r="U216" i="1"/>
  <c r="E165" i="1"/>
  <c r="K219" i="1"/>
  <c r="S217" i="1"/>
  <c r="S251" i="1"/>
  <c r="C234" i="1"/>
  <c r="F216" i="1"/>
  <c r="C262" i="1"/>
  <c r="N228" i="1"/>
  <c r="N263" i="1"/>
  <c r="N171" i="1"/>
  <c r="R245" i="1"/>
  <c r="R275" i="1" s="1"/>
  <c r="B242" i="1"/>
  <c r="Q214" i="1"/>
  <c r="R166" i="1"/>
  <c r="D170" i="1"/>
  <c r="O211" i="1"/>
  <c r="V169" i="1"/>
  <c r="K171" i="1"/>
  <c r="T218" i="1"/>
  <c r="T246" i="1" s="1"/>
  <c r="U232" i="1"/>
  <c r="Q242" i="1"/>
  <c r="J218" i="1"/>
  <c r="J246" i="1" s="1"/>
  <c r="L214" i="1"/>
  <c r="K241" i="1"/>
  <c r="O170" i="1"/>
  <c r="K165" i="1"/>
  <c r="U251" i="1"/>
  <c r="H169" i="1"/>
  <c r="H252" i="1"/>
  <c r="C252" i="1"/>
  <c r="K227" i="1"/>
  <c r="K223" i="1" s="1"/>
  <c r="BV223" i="1"/>
  <c r="C209" i="1"/>
  <c r="F229" i="1"/>
  <c r="B252" i="1"/>
  <c r="J165" i="1"/>
  <c r="P210" i="1"/>
  <c r="B243" i="1"/>
  <c r="Q234" i="1"/>
  <c r="R234" i="1"/>
  <c r="V239" i="1"/>
  <c r="I238" i="1"/>
  <c r="V170" i="1"/>
  <c r="V228" i="1"/>
  <c r="S263" i="1"/>
  <c r="S252" i="1"/>
  <c r="R169" i="1"/>
  <c r="U229" i="1"/>
  <c r="C227" i="1"/>
  <c r="E255" i="1"/>
  <c r="R238" i="1"/>
  <c r="O210" i="1"/>
  <c r="J171" i="1"/>
  <c r="B229" i="1"/>
  <c r="H262" i="1"/>
  <c r="G159" i="1"/>
  <c r="B209" i="1"/>
  <c r="O256" i="1"/>
  <c r="N166" i="1"/>
  <c r="C165" i="1"/>
  <c r="T229" i="1"/>
  <c r="J210" i="1"/>
  <c r="D209" i="1"/>
  <c r="N256" i="1"/>
  <c r="Q252" i="1"/>
  <c r="F170" i="1"/>
  <c r="S237" i="1"/>
  <c r="S272" i="1" s="1"/>
  <c r="Q229" i="1"/>
  <c r="G170" i="1"/>
  <c r="T171" i="1"/>
  <c r="W227" i="1"/>
  <c r="W223" i="1" s="1"/>
  <c r="U171" i="1"/>
  <c r="R159" i="1"/>
  <c r="V252" i="1"/>
  <c r="M263" i="1"/>
  <c r="U241" i="1"/>
  <c r="W263" i="1"/>
  <c r="G218" i="1"/>
  <c r="G246" i="1" s="1"/>
  <c r="Q262" i="1"/>
  <c r="P255" i="1"/>
  <c r="K243" i="1"/>
  <c r="E239" i="1"/>
  <c r="F237" i="1"/>
  <c r="F272" i="1" s="1"/>
  <c r="O242" i="1"/>
  <c r="P211" i="1"/>
  <c r="D228" i="1"/>
  <c r="S170" i="1"/>
  <c r="V216" i="1"/>
  <c r="K234" i="1"/>
  <c r="V232" i="1"/>
  <c r="O232" i="1"/>
  <c r="C256" i="1"/>
  <c r="N255" i="1"/>
  <c r="I165" i="1"/>
  <c r="T210" i="1"/>
  <c r="J170" i="1"/>
  <c r="J251" i="1"/>
  <c r="N247" i="1"/>
  <c r="I209" i="1"/>
  <c r="P171" i="1"/>
  <c r="C264" i="1"/>
  <c r="H224" i="1"/>
  <c r="Q251" i="1"/>
  <c r="I159" i="1"/>
  <c r="J216" i="1"/>
  <c r="M217" i="1"/>
  <c r="K228" i="1"/>
  <c r="H245" i="1"/>
  <c r="H275" i="1" s="1"/>
  <c r="L239" i="1"/>
  <c r="B241" i="1"/>
  <c r="G256" i="1"/>
  <c r="R251" i="1"/>
  <c r="M256" i="1"/>
  <c r="P209" i="1"/>
  <c r="M235" i="1"/>
  <c r="K232" i="1"/>
  <c r="N262" i="1"/>
  <c r="O169" i="1"/>
  <c r="V211" i="1"/>
  <c r="N251" i="1"/>
  <c r="E235" i="1"/>
  <c r="V241" i="1"/>
  <c r="B225" i="1"/>
  <c r="L241" i="1"/>
  <c r="D236" i="1"/>
  <c r="D271" i="1" s="1"/>
  <c r="O166" i="1"/>
  <c r="BR251" i="1"/>
  <c r="BT166" i="1"/>
  <c r="BT245" i="1"/>
  <c r="BT225" i="1"/>
  <c r="BR256" i="1"/>
  <c r="BS256" i="1" s="1"/>
  <c r="BI166" i="1"/>
  <c r="BT256" i="1"/>
  <c r="BU256" i="1" s="1"/>
  <c r="BT229" i="1"/>
  <c r="BU229" i="1" s="1"/>
  <c r="AZ225" i="1"/>
  <c r="BT251" i="1"/>
  <c r="BT246" i="1"/>
  <c r="BU246" i="1" s="1"/>
  <c r="BT237" i="1"/>
  <c r="BR232" i="1"/>
  <c r="BS232" i="1" s="1"/>
  <c r="BR255" i="1"/>
  <c r="BS255" i="1" s="1"/>
  <c r="BT216" i="1"/>
  <c r="BU216" i="1" s="1"/>
  <c r="BT219" i="1"/>
  <c r="BU219" i="1" s="1"/>
  <c r="AZ251" i="1"/>
  <c r="BR245" i="1"/>
  <c r="BR252" i="1"/>
  <c r="BD127" i="1"/>
  <c r="BN116" i="1"/>
  <c r="BI137" i="1"/>
  <c r="BP143" i="1"/>
  <c r="BU138" i="1"/>
  <c r="AP100" i="1"/>
  <c r="BV139" i="1"/>
  <c r="BH236" i="1"/>
  <c r="M238" i="1"/>
  <c r="AN116" i="1"/>
  <c r="BA124" i="1"/>
  <c r="AY113" i="1"/>
  <c r="BT138" i="1"/>
  <c r="B237" i="1"/>
  <c r="B272" i="1" s="1"/>
  <c r="BP124" i="1"/>
  <c r="AP113" i="1"/>
  <c r="AZ138" i="1"/>
  <c r="AR128" i="1"/>
  <c r="BH246" i="1"/>
  <c r="BI246" i="1" s="1"/>
  <c r="R225" i="1"/>
  <c r="C236" i="1"/>
  <c r="C271" i="1" s="1"/>
  <c r="AS143" i="1"/>
  <c r="BH247" i="1"/>
  <c r="BI247" i="1" s="1"/>
  <c r="BB113" i="1"/>
  <c r="BG139" i="1"/>
  <c r="AT116" i="1"/>
  <c r="AI112" i="1"/>
  <c r="AR137" i="1"/>
  <c r="BM112" i="1"/>
  <c r="BE104" i="1"/>
  <c r="BG112" i="1"/>
  <c r="BE100" i="1"/>
  <c r="BR114" i="1"/>
  <c r="BD128" i="1"/>
  <c r="BE112" i="1"/>
  <c r="BQ131" i="1"/>
  <c r="BN112" i="1"/>
  <c r="W214" i="1"/>
  <c r="N165" i="1"/>
  <c r="BO116" i="1"/>
  <c r="BN99" i="1"/>
  <c r="BH112" i="1"/>
  <c r="BQ116" i="1"/>
  <c r="BB104" i="1"/>
  <c r="AZ131" i="1"/>
  <c r="BK138" i="1"/>
  <c r="AY99" i="1"/>
  <c r="BJ114" i="1"/>
  <c r="BJ118" i="1" s="1"/>
  <c r="BV113" i="1"/>
  <c r="BR112" i="1"/>
  <c r="BF128" i="1"/>
  <c r="BV211" i="1"/>
  <c r="BJ131" i="1"/>
  <c r="BJ143" i="1"/>
  <c r="BR131" i="1"/>
  <c r="AU139" i="1"/>
  <c r="AU100" i="1"/>
  <c r="BE99" i="1"/>
  <c r="AW112" i="1"/>
  <c r="BC124" i="1"/>
  <c r="BC286" i="1" s="1"/>
  <c r="BV217" i="1"/>
  <c r="BW217" i="1" s="1"/>
  <c r="AO143" i="1"/>
  <c r="AW128" i="1"/>
  <c r="BH128" i="1"/>
  <c r="BF139" i="1"/>
  <c r="BE124" i="1"/>
  <c r="BE286" i="1" s="1"/>
  <c r="AY116" i="1"/>
  <c r="BF143" i="1"/>
  <c r="BW139" i="1"/>
  <c r="AT143" i="1"/>
  <c r="BG137" i="1"/>
  <c r="BN127" i="1"/>
  <c r="V159" i="1"/>
  <c r="AY127" i="1"/>
  <c r="BS100" i="1"/>
  <c r="AR124" i="1"/>
  <c r="AR286" i="1" s="1"/>
  <c r="AP137" i="1"/>
  <c r="BJ138" i="1"/>
  <c r="AI124" i="1"/>
  <c r="K235" i="1"/>
  <c r="AP124" i="1"/>
  <c r="AP286" i="1" s="1"/>
  <c r="BO113" i="1"/>
  <c r="BW113" i="1"/>
  <c r="AI104" i="1"/>
  <c r="BV114" i="1"/>
  <c r="AQ139" i="1"/>
  <c r="AY100" i="1"/>
  <c r="BS138" i="1"/>
  <c r="AI100" i="1"/>
  <c r="BK113" i="1"/>
  <c r="AK166" i="1"/>
  <c r="BS139" i="1"/>
  <c r="AO139" i="1"/>
  <c r="BO105" i="1"/>
  <c r="BH211" i="1"/>
  <c r="BJ137" i="1"/>
  <c r="BB127" i="1"/>
  <c r="BU99" i="1"/>
  <c r="BU323" i="1" s="1"/>
  <c r="BS124" i="1"/>
  <c r="BS286" i="1" s="1"/>
  <c r="BU105" i="1"/>
  <c r="AO116" i="1"/>
  <c r="BI113" i="1"/>
  <c r="BO137" i="1"/>
  <c r="AT137" i="1"/>
  <c r="BH237" i="1"/>
  <c r="H238" i="1"/>
  <c r="D218" i="1"/>
  <c r="D246" i="1" s="1"/>
  <c r="T159" i="1"/>
  <c r="H214" i="1"/>
  <c r="D264" i="1"/>
  <c r="V242" i="1"/>
  <c r="V235" i="1"/>
  <c r="BT124" i="1"/>
  <c r="BT286" i="1" s="1"/>
  <c r="BQ104" i="1"/>
  <c r="BN104" i="1"/>
  <c r="BT113" i="1"/>
  <c r="AO128" i="1"/>
  <c r="BF124" i="1"/>
  <c r="BC116" i="1"/>
  <c r="AP112" i="1"/>
  <c r="BV216" i="1"/>
  <c r="BH219" i="1"/>
  <c r="BI219" i="1" s="1"/>
  <c r="H235" i="1"/>
  <c r="P235" i="1"/>
  <c r="B159" i="1"/>
  <c r="W170" i="1"/>
  <c r="B156" i="1"/>
  <c r="R217" i="1"/>
  <c r="AN112" i="1"/>
  <c r="BU113" i="1"/>
  <c r="AZ139" i="1"/>
  <c r="AR127" i="1"/>
  <c r="AV99" i="1"/>
  <c r="AR99" i="1"/>
  <c r="AR323" i="1" s="1"/>
  <c r="AW138" i="1"/>
  <c r="BF137" i="1"/>
  <c r="BI116" i="1"/>
  <c r="BV232" i="1"/>
  <c r="BW232" i="1" s="1"/>
  <c r="BX294" i="1" s="1"/>
  <c r="D235" i="1"/>
  <c r="G171" i="1"/>
  <c r="Q264" i="1"/>
  <c r="E228" i="1"/>
  <c r="BS137" i="1"/>
  <c r="BF100" i="1"/>
  <c r="AV113" i="1"/>
  <c r="BU127" i="1"/>
  <c r="AU99" i="1"/>
  <c r="BV124" i="1"/>
  <c r="BV286" i="1" s="1"/>
  <c r="BM124" i="1"/>
  <c r="BM125" i="1" s="1"/>
  <c r="BO114" i="1"/>
  <c r="BK114" i="1"/>
  <c r="BO112" i="1"/>
  <c r="BE113" i="1"/>
  <c r="AX116" i="1"/>
  <c r="BV224" i="1"/>
  <c r="BH166" i="1"/>
  <c r="K256" i="1"/>
  <c r="B263" i="1"/>
  <c r="J237" i="1"/>
  <c r="J272" i="1" s="1"/>
  <c r="O243" i="1"/>
  <c r="F239" i="1"/>
  <c r="S219" i="1"/>
  <c r="N159" i="1"/>
  <c r="E227" i="1"/>
  <c r="E223" i="1" s="1"/>
  <c r="BB139" i="1"/>
  <c r="BN139" i="1"/>
  <c r="BP116" i="1"/>
  <c r="AM165" i="1"/>
  <c r="BK124" i="1"/>
  <c r="BK125" i="1" s="1"/>
  <c r="BA99" i="1"/>
  <c r="BA323" i="1" s="1"/>
  <c r="AQ114" i="1"/>
  <c r="AT114" i="1"/>
  <c r="AP128" i="1"/>
  <c r="BQ113" i="1"/>
  <c r="BS128" i="1"/>
  <c r="BP113" i="1"/>
  <c r="BV214" i="1"/>
  <c r="BW214" i="1" s="1"/>
  <c r="M216" i="1"/>
  <c r="Q241" i="1"/>
  <c r="F225" i="1"/>
  <c r="O247" i="1"/>
  <c r="W217" i="1"/>
  <c r="L211" i="1"/>
  <c r="G235" i="1"/>
  <c r="B232" i="1"/>
  <c r="AV104" i="1"/>
  <c r="BH217" i="1"/>
  <c r="BI217" i="1" s="1"/>
  <c r="BH214" i="1"/>
  <c r="BI214" i="1" s="1"/>
  <c r="M247" i="1"/>
  <c r="M224" i="1"/>
  <c r="C228" i="1"/>
  <c r="P227" i="1"/>
  <c r="P223" i="1" s="1"/>
  <c r="M227" i="1"/>
  <c r="M223" i="1" s="1"/>
  <c r="D256" i="1"/>
  <c r="T235" i="1"/>
  <c r="B238" i="1"/>
  <c r="B239" i="1"/>
  <c r="F218" i="1"/>
  <c r="F246" i="1" s="1"/>
  <c r="E211" i="1"/>
  <c r="W235" i="1"/>
  <c r="I214" i="1"/>
  <c r="W211" i="1"/>
  <c r="D241" i="1"/>
  <c r="Q263" i="1"/>
  <c r="BN131" i="1"/>
  <c r="BM99" i="1"/>
  <c r="BM323" i="1" s="1"/>
  <c r="AZ112" i="1"/>
  <c r="BK116" i="1"/>
  <c r="BM139" i="1"/>
  <c r="BD112" i="1"/>
  <c r="AM143" i="1"/>
  <c r="BO99" i="1"/>
  <c r="BO323" i="1" s="1"/>
  <c r="BH244" i="1"/>
  <c r="BI244" i="1" s="1"/>
  <c r="BH210" i="1"/>
  <c r="BI210" i="1" s="1"/>
  <c r="W228" i="1"/>
  <c r="R219" i="1"/>
  <c r="M255" i="1"/>
  <c r="D229" i="1"/>
  <c r="K263" i="1"/>
  <c r="M251" i="1"/>
  <c r="I166" i="1"/>
  <c r="B170" i="1"/>
  <c r="I241" i="1"/>
  <c r="AR114" i="1"/>
  <c r="BB114" i="1"/>
  <c r="BD113" i="1"/>
  <c r="AX100" i="1"/>
  <c r="BS114" i="1"/>
  <c r="BF99" i="1"/>
  <c r="BF323" i="1" s="1"/>
  <c r="G214" i="1"/>
  <c r="L242" i="1"/>
  <c r="P225" i="1"/>
  <c r="H216" i="1"/>
  <c r="R227" i="1"/>
  <c r="R223" i="1" s="1"/>
  <c r="P234" i="1"/>
  <c r="N238" i="1"/>
  <c r="K239" i="1"/>
  <c r="C232" i="1"/>
  <c r="Q239" i="1"/>
  <c r="M243" i="1"/>
  <c r="F159" i="1"/>
  <c r="H219" i="1"/>
  <c r="J263" i="1"/>
  <c r="V256" i="1"/>
  <c r="D155" i="1"/>
  <c r="B255" i="1"/>
  <c r="E209" i="1"/>
  <c r="J255" i="1"/>
  <c r="D243" i="1"/>
  <c r="D169" i="1"/>
  <c r="U214" i="1"/>
  <c r="P170" i="1"/>
  <c r="D245" i="1"/>
  <c r="D275" i="1" s="1"/>
  <c r="D242" i="1"/>
  <c r="K214" i="1"/>
  <c r="B210" i="1"/>
  <c r="U239" i="1"/>
  <c r="Q219" i="1"/>
  <c r="O228" i="1"/>
  <c r="Q227" i="1"/>
  <c r="Q223" i="1" s="1"/>
  <c r="M225" i="1"/>
  <c r="U238" i="1"/>
  <c r="D237" i="1"/>
  <c r="D272" i="1" s="1"/>
  <c r="W252" i="1"/>
  <c r="E237" i="1"/>
  <c r="E272" i="1" s="1"/>
  <c r="C229" i="1"/>
  <c r="B155" i="1"/>
  <c r="T169" i="1"/>
  <c r="L234" i="1"/>
  <c r="I235" i="1"/>
  <c r="E242" i="1"/>
  <c r="S239" i="1"/>
  <c r="R224" i="1"/>
  <c r="K242" i="1"/>
  <c r="H166" i="1"/>
  <c r="S241" i="1"/>
  <c r="L247" i="1"/>
  <c r="O224" i="1"/>
  <c r="V264" i="1"/>
  <c r="W256" i="1"/>
  <c r="O241" i="1"/>
  <c r="V245" i="1"/>
  <c r="V275" i="1" s="1"/>
  <c r="V210" i="1"/>
  <c r="K209" i="1"/>
  <c r="R211" i="1"/>
  <c r="Q217" i="1"/>
  <c r="U255" i="1"/>
  <c r="M214" i="1"/>
  <c r="P262" i="1"/>
  <c r="O236" i="1"/>
  <c r="O271" i="1" s="1"/>
  <c r="R239" i="1"/>
  <c r="R232" i="1"/>
  <c r="I236" i="1"/>
  <c r="I271" i="1" s="1"/>
  <c r="F217" i="1"/>
  <c r="Q169" i="1"/>
  <c r="S229" i="1"/>
  <c r="I252" i="1"/>
  <c r="S225" i="1"/>
  <c r="M242" i="1"/>
  <c r="U169" i="1"/>
  <c r="S255" i="1"/>
  <c r="S264" i="1"/>
  <c r="S265" i="1" s="1"/>
  <c r="J247" i="1"/>
  <c r="K247" i="1"/>
  <c r="K159" i="1"/>
  <c r="L166" i="1"/>
  <c r="P237" i="1"/>
  <c r="P272" i="1" s="1"/>
  <c r="C247" i="1"/>
  <c r="R262" i="1"/>
  <c r="J227" i="1"/>
  <c r="J223" i="1" s="1"/>
  <c r="R229" i="1"/>
  <c r="F234" i="1"/>
  <c r="G242" i="1"/>
  <c r="J166" i="1"/>
  <c r="E217" i="1"/>
  <c r="C243" i="1"/>
  <c r="R252" i="1"/>
  <c r="O262" i="1"/>
  <c r="N219" i="1"/>
  <c r="O234" i="1"/>
  <c r="T232" i="1"/>
  <c r="N170" i="1"/>
  <c r="R247" i="1"/>
  <c r="N235" i="1"/>
  <c r="U210" i="1"/>
  <c r="L255" i="1"/>
  <c r="C255" i="1"/>
  <c r="Q171" i="1"/>
  <c r="D216" i="1"/>
  <c r="E256" i="1"/>
  <c r="B235" i="1"/>
  <c r="F166" i="1"/>
  <c r="H228" i="1"/>
  <c r="M228" i="1"/>
  <c r="S235" i="1"/>
  <c r="G211" i="1"/>
  <c r="P239" i="1"/>
  <c r="L170" i="1"/>
  <c r="L235" i="1"/>
  <c r="L243" i="1"/>
  <c r="I169" i="1"/>
  <c r="L237" i="1"/>
  <c r="L272" i="1" s="1"/>
  <c r="K216" i="1"/>
  <c r="M209" i="1"/>
  <c r="O245" i="1"/>
  <c r="O275" i="1" s="1"/>
  <c r="T217" i="1"/>
  <c r="H232" i="1"/>
  <c r="M219" i="1"/>
  <c r="M262" i="1"/>
  <c r="F251" i="1"/>
  <c r="P214" i="1"/>
  <c r="Q255" i="1"/>
  <c r="N234" i="1"/>
  <c r="B236" i="1"/>
  <c r="B271" i="1" s="1"/>
  <c r="U243" i="1"/>
  <c r="N232" i="1"/>
  <c r="H243" i="1"/>
  <c r="G252" i="1"/>
  <c r="M264" i="1"/>
  <c r="I234" i="1"/>
  <c r="K218" i="1"/>
  <c r="K246" i="1" s="1"/>
  <c r="K224" i="1"/>
  <c r="C242" i="1"/>
  <c r="BB100" i="1"/>
  <c r="BR138" i="1"/>
  <c r="BO139" i="1"/>
  <c r="BH238" i="1"/>
  <c r="BI238" i="1" s="1"/>
  <c r="U256" i="1"/>
  <c r="AV143" i="1"/>
  <c r="BD99" i="1"/>
  <c r="BO100" i="1"/>
  <c r="BW114" i="1"/>
  <c r="AQ143" i="1"/>
  <c r="BB137" i="1"/>
  <c r="AV128" i="1"/>
  <c r="AO124" i="1"/>
  <c r="AO286" i="1" s="1"/>
  <c r="BV165" i="1"/>
  <c r="S159" i="1"/>
  <c r="BK99" i="1"/>
  <c r="AZ113" i="1"/>
  <c r="BT116" i="1"/>
  <c r="AW104" i="1"/>
  <c r="AX105" i="1"/>
  <c r="BI104" i="1"/>
  <c r="AT112" i="1"/>
  <c r="AW114" i="1"/>
  <c r="BU131" i="1"/>
  <c r="BV112" i="1"/>
  <c r="BC105" i="1"/>
  <c r="BH216" i="1"/>
  <c r="BP127" i="1"/>
  <c r="AN124" i="1"/>
  <c r="AN286" i="1" s="1"/>
  <c r="AS116" i="1"/>
  <c r="AP104" i="1"/>
  <c r="BW112" i="1"/>
  <c r="BS104" i="1"/>
  <c r="BR128" i="1"/>
  <c r="BQ100" i="1"/>
  <c r="AR100" i="1"/>
  <c r="AR131" i="1"/>
  <c r="BH241" i="1"/>
  <c r="G209" i="1"/>
  <c r="BT100" i="1"/>
  <c r="BE114" i="1"/>
  <c r="BN100" i="1"/>
  <c r="BC113" i="1"/>
  <c r="BP139" i="1"/>
  <c r="BV99" i="1"/>
  <c r="BA114" i="1"/>
  <c r="O255" i="1"/>
  <c r="AT113" i="1"/>
  <c r="AQ100" i="1"/>
  <c r="BQ128" i="1"/>
  <c r="BD143" i="1"/>
  <c r="BM128" i="1"/>
  <c r="BS116" i="1"/>
  <c r="BQ139" i="1"/>
  <c r="AI131" i="1"/>
  <c r="AN127" i="1"/>
  <c r="AM166" i="1"/>
  <c r="L228" i="1"/>
  <c r="AS131" i="1"/>
  <c r="BA104" i="1"/>
  <c r="BI124" i="1"/>
  <c r="BI286" i="1" s="1"/>
  <c r="BA139" i="1"/>
  <c r="BI99" i="1"/>
  <c r="BE128" i="1"/>
  <c r="BM138" i="1"/>
  <c r="BN105" i="1"/>
  <c r="AP138" i="1"/>
  <c r="AM137" i="1"/>
  <c r="BF112" i="1"/>
  <c r="AV139" i="1"/>
  <c r="AV124" i="1"/>
  <c r="AV286" i="1" s="1"/>
  <c r="BT112" i="1"/>
  <c r="AO100" i="1"/>
  <c r="BK100" i="1"/>
  <c r="BH139" i="1"/>
  <c r="BM114" i="1"/>
  <c r="BT127" i="1"/>
  <c r="BQ105" i="1"/>
  <c r="AN137" i="1"/>
  <c r="I210" i="1"/>
  <c r="BT114" i="1"/>
  <c r="BA138" i="1"/>
  <c r="AW124" i="1"/>
  <c r="AW286" i="1" s="1"/>
  <c r="BH99" i="1"/>
  <c r="BH323" i="1" s="1"/>
  <c r="BE116" i="1"/>
  <c r="J169" i="1"/>
  <c r="BQ112" i="1"/>
  <c r="BQ127" i="1"/>
  <c r="BW100" i="1"/>
  <c r="BM131" i="1"/>
  <c r="BS99" i="1"/>
  <c r="BS323" i="1" s="1"/>
  <c r="AQ137" i="1"/>
  <c r="AN139" i="1"/>
  <c r="AI139" i="1"/>
  <c r="AY124" i="1"/>
  <c r="BG124" i="1"/>
  <c r="AW100" i="1"/>
  <c r="BP138" i="1"/>
  <c r="AR113" i="1"/>
  <c r="AO104" i="1"/>
  <c r="AO114" i="1"/>
  <c r="AW127" i="1"/>
  <c r="BV137" i="1"/>
  <c r="BQ114" i="1"/>
  <c r="AN100" i="1"/>
  <c r="E229" i="1"/>
  <c r="V229" i="1"/>
  <c r="BW138" i="1"/>
  <c r="BR127" i="1"/>
  <c r="AW143" i="1"/>
  <c r="BJ165" i="1"/>
  <c r="BO131" i="1"/>
  <c r="BM137" i="1"/>
  <c r="AI128" i="1"/>
  <c r="D165" i="1"/>
  <c r="T227" i="1"/>
  <c r="T223" i="1" s="1"/>
  <c r="D239" i="1"/>
  <c r="D219" i="1"/>
  <c r="U209" i="1"/>
  <c r="W210" i="1"/>
  <c r="F247" i="1"/>
  <c r="N209" i="1"/>
  <c r="AO137" i="1"/>
  <c r="AO131" i="1"/>
  <c r="BA105" i="1"/>
  <c r="BH116" i="1"/>
  <c r="AU114" i="1"/>
  <c r="AT139" i="1"/>
  <c r="BH239" i="1"/>
  <c r="BI239" i="1" s="1"/>
  <c r="BV210" i="1"/>
  <c r="BW210" i="1" s="1"/>
  <c r="U263" i="1"/>
  <c r="F238" i="1"/>
  <c r="B228" i="1"/>
  <c r="B227" i="1"/>
  <c r="T241" i="1"/>
  <c r="I216" i="1"/>
  <c r="BR99" i="1"/>
  <c r="BR323" i="1" s="1"/>
  <c r="BK127" i="1"/>
  <c r="AV131" i="1"/>
  <c r="BR143" i="1"/>
  <c r="BW105" i="1"/>
  <c r="AZ124" i="1"/>
  <c r="AU116" i="1"/>
  <c r="AU138" i="1"/>
  <c r="BU100" i="1"/>
  <c r="AS137" i="1"/>
  <c r="BV239" i="1"/>
  <c r="BW239" i="1" s="1"/>
  <c r="BH251" i="1"/>
  <c r="F245" i="1"/>
  <c r="F275" i="1" s="1"/>
  <c r="W243" i="1"/>
  <c r="W166" i="1"/>
  <c r="BJ128" i="1"/>
  <c r="BJ344" i="1" s="1"/>
  <c r="BI128" i="1"/>
  <c r="AX113" i="1"/>
  <c r="AI113" i="1"/>
  <c r="BJ100" i="1"/>
  <c r="BJ101" i="1" s="1"/>
  <c r="BJ107" i="1" s="1"/>
  <c r="BJ108" i="1" s="1"/>
  <c r="BK104" i="1"/>
  <c r="BH225" i="1"/>
  <c r="BV252" i="1"/>
  <c r="L216" i="1"/>
  <c r="K169" i="1"/>
  <c r="Q216" i="1"/>
  <c r="G165" i="1"/>
  <c r="BC127" i="1"/>
  <c r="BU124" i="1"/>
  <c r="AJ166" i="1"/>
  <c r="BO127" i="1"/>
  <c r="BP100" i="1"/>
  <c r="BR104" i="1"/>
  <c r="AT138" i="1"/>
  <c r="BE137" i="1"/>
  <c r="BP128" i="1"/>
  <c r="BW131" i="1"/>
  <c r="BB112" i="1"/>
  <c r="BV227" i="1"/>
  <c r="BW227" i="1" s="1"/>
  <c r="BV218" i="1"/>
  <c r="BW218" i="1" s="1"/>
  <c r="K229" i="1"/>
  <c r="I237" i="1"/>
  <c r="I272" i="1" s="1"/>
  <c r="U165" i="1"/>
  <c r="W229" i="1"/>
  <c r="C241" i="1"/>
  <c r="BG105" i="1"/>
  <c r="BM143" i="1"/>
  <c r="T166" i="1"/>
  <c r="D252" i="1"/>
  <c r="L229" i="1"/>
  <c r="C211" i="1"/>
  <c r="L251" i="1"/>
  <c r="K255" i="1"/>
  <c r="J229" i="1"/>
  <c r="B234" i="1"/>
  <c r="BH223" i="1"/>
  <c r="B171" i="1"/>
  <c r="T262" i="1"/>
  <c r="M245" i="1"/>
  <c r="M275" i="1" s="1"/>
  <c r="T264" i="1"/>
  <c r="C225" i="1"/>
  <c r="N242" i="1"/>
  <c r="K236" i="1"/>
  <c r="K271" i="1" s="1"/>
  <c r="E262" i="1"/>
  <c r="G229" i="1"/>
  <c r="V209" i="1"/>
  <c r="W242" i="1"/>
  <c r="BI139" i="1"/>
  <c r="BA127" i="1"/>
  <c r="BG127" i="1"/>
  <c r="BU128" i="1"/>
  <c r="AM138" i="1"/>
  <c r="AS127" i="1"/>
  <c r="AS113" i="1"/>
  <c r="AZ127" i="1"/>
  <c r="BV246" i="1"/>
  <c r="BW246" i="1" s="1"/>
  <c r="BH252" i="1"/>
  <c r="F236" i="1"/>
  <c r="F271" i="1" s="1"/>
  <c r="L225" i="1"/>
  <c r="N243" i="1"/>
  <c r="S232" i="1"/>
  <c r="W219" i="1"/>
  <c r="T263" i="1"/>
  <c r="H227" i="1"/>
  <c r="H223" i="1" s="1"/>
  <c r="G263" i="1"/>
  <c r="T247" i="1"/>
  <c r="F264" i="1"/>
  <c r="AZ116" i="1"/>
  <c r="AQ105" i="1"/>
  <c r="AW105" i="1"/>
  <c r="BN128" i="1"/>
  <c r="AS105" i="1"/>
  <c r="AN104" i="1"/>
  <c r="AZ105" i="1"/>
  <c r="BM104" i="1"/>
  <c r="AX128" i="1"/>
  <c r="BH165" i="1"/>
  <c r="BH232" i="1"/>
  <c r="C210" i="1"/>
  <c r="F227" i="1"/>
  <c r="F223" i="1" s="1"/>
  <c r="F262" i="1"/>
  <c r="W218" i="1"/>
  <c r="W246" i="1" s="1"/>
  <c r="N239" i="1"/>
  <c r="J236" i="1"/>
  <c r="J271" i="1" s="1"/>
  <c r="U228" i="1"/>
  <c r="I255" i="1"/>
  <c r="G210" i="1"/>
  <c r="B264" i="1"/>
  <c r="H210" i="1"/>
  <c r="I218" i="1"/>
  <c r="I246" i="1" s="1"/>
  <c r="M211" i="1"/>
  <c r="N224" i="1"/>
  <c r="J234" i="1"/>
  <c r="N218" i="1"/>
  <c r="N246" i="1" s="1"/>
  <c r="L227" i="1"/>
  <c r="L223" i="1" s="1"/>
  <c r="V251" i="1"/>
  <c r="W171" i="1"/>
  <c r="C214" i="1"/>
  <c r="T251" i="1"/>
  <c r="J243" i="1"/>
  <c r="K264" i="1"/>
  <c r="O225" i="1"/>
  <c r="L262" i="1"/>
  <c r="H263" i="1"/>
  <c r="M237" i="1"/>
  <c r="M272" i="1" s="1"/>
  <c r="B219" i="1"/>
  <c r="G237" i="1"/>
  <c r="G272" i="1" s="1"/>
  <c r="J256" i="1"/>
  <c r="M159" i="1"/>
  <c r="Q211" i="1"/>
  <c r="U264" i="1"/>
  <c r="F241" i="1"/>
  <c r="B223" i="1"/>
  <c r="F243" i="1"/>
  <c r="C245" i="1"/>
  <c r="C275" i="1" s="1"/>
  <c r="P264" i="1"/>
  <c r="G262" i="1"/>
  <c r="L252" i="1"/>
  <c r="D238" i="1"/>
  <c r="U235" i="1"/>
  <c r="W264" i="1"/>
  <c r="E247" i="1"/>
  <c r="D225" i="1"/>
  <c r="H239" i="1"/>
  <c r="M241" i="1"/>
  <c r="C239" i="1"/>
  <c r="F256" i="1"/>
  <c r="J224" i="1"/>
  <c r="T211" i="1"/>
  <c r="V214" i="1"/>
  <c r="O264" i="1"/>
  <c r="K225" i="1"/>
  <c r="W236" i="1"/>
  <c r="G232" i="1"/>
  <c r="Q256" i="1"/>
  <c r="D232" i="1"/>
  <c r="D262" i="1"/>
  <c r="K237" i="1"/>
  <c r="K272" i="1" s="1"/>
  <c r="P236" i="1"/>
  <c r="P271" i="1" s="1"/>
  <c r="C224" i="1"/>
  <c r="S211" i="1"/>
  <c r="C223" i="1"/>
  <c r="V171" i="1"/>
  <c r="I211" i="1"/>
  <c r="S171" i="1"/>
  <c r="Q165" i="1"/>
  <c r="Q224" i="1"/>
  <c r="Q218" i="1"/>
  <c r="Q246" i="1" s="1"/>
  <c r="E169" i="1"/>
  <c r="H237" i="1"/>
  <c r="H272" i="1" s="1"/>
  <c r="K217" i="1"/>
  <c r="U234" i="1"/>
  <c r="I264" i="1"/>
  <c r="E171" i="1"/>
  <c r="F232" i="1"/>
  <c r="S256" i="1"/>
  <c r="C218" i="1"/>
  <c r="C246" i="1" s="1"/>
  <c r="R170" i="1"/>
  <c r="R255" i="1"/>
  <c r="W159" i="1"/>
  <c r="T216" i="1"/>
  <c r="E218" i="1"/>
  <c r="E246" i="1" s="1"/>
  <c r="J214" i="1"/>
  <c r="Q238" i="1"/>
  <c r="L236" i="1"/>
  <c r="L271" i="1" s="1"/>
  <c r="F235" i="1"/>
  <c r="V224" i="1"/>
  <c r="W251" i="1"/>
  <c r="N217" i="1"/>
  <c r="F242" i="1"/>
  <c r="V238" i="1"/>
  <c r="Q228" i="1"/>
  <c r="G239" i="1"/>
  <c r="N225" i="1"/>
  <c r="R209" i="1"/>
  <c r="D156" i="1"/>
  <c r="S218" i="1"/>
  <c r="S246" i="1" s="1"/>
  <c r="R214" i="1"/>
  <c r="F165" i="1"/>
  <c r="U159" i="1"/>
  <c r="C156" i="1"/>
  <c r="T219" i="1"/>
  <c r="E243" i="1"/>
  <c r="P229" i="1"/>
  <c r="J238" i="1"/>
  <c r="R242" i="1"/>
  <c r="O235" i="1"/>
  <c r="D251" i="1"/>
  <c r="P251" i="1"/>
  <c r="P253" i="1" s="1"/>
  <c r="Q301" i="1" s="1"/>
  <c r="F228" i="1"/>
  <c r="U236" i="1"/>
  <c r="U271" i="1" s="1"/>
  <c r="P169" i="1"/>
  <c r="M236" i="1"/>
  <c r="M271" i="1" s="1"/>
  <c r="K166" i="1"/>
  <c r="J239" i="1"/>
  <c r="V166" i="1"/>
  <c r="O229" i="1"/>
  <c r="F214" i="1"/>
  <c r="W255" i="1"/>
  <c r="H229" i="1"/>
  <c r="K251" i="1"/>
  <c r="T238" i="1"/>
  <c r="Q247" i="1"/>
  <c r="R235" i="1"/>
  <c r="I243" i="1"/>
  <c r="O238" i="1"/>
  <c r="H209" i="1"/>
  <c r="G166" i="1"/>
  <c r="W169" i="1"/>
  <c r="W232" i="1"/>
  <c r="X294" i="1" s="1"/>
  <c r="F211" i="1"/>
  <c r="I245" i="1"/>
  <c r="I275" i="1" s="1"/>
  <c r="V262" i="1"/>
  <c r="V234" i="1"/>
  <c r="U242" i="1"/>
  <c r="U252" i="1"/>
  <c r="S234" i="1"/>
  <c r="D255" i="1"/>
  <c r="C217" i="1"/>
  <c r="H217" i="1"/>
  <c r="G251" i="1"/>
  <c r="H225" i="1"/>
  <c r="H247" i="1"/>
  <c r="P166" i="1"/>
  <c r="B251" i="1"/>
  <c r="G243" i="1"/>
  <c r="H165" i="1"/>
  <c r="R241" i="1"/>
  <c r="H241" i="1"/>
  <c r="E236" i="1"/>
  <c r="E271" i="1" s="1"/>
  <c r="O251" i="1"/>
  <c r="Q210" i="1"/>
  <c r="I256" i="1"/>
  <c r="T236" i="1"/>
  <c r="T271" i="1" s="1"/>
  <c r="U225" i="1"/>
  <c r="P159" i="1"/>
  <c r="Q209" i="1"/>
  <c r="M218" i="1"/>
  <c r="M246" i="1" s="1"/>
  <c r="M239" i="1"/>
  <c r="I171" i="1"/>
  <c r="U227" i="1"/>
  <c r="U223" i="1" s="1"/>
  <c r="O252" i="1"/>
  <c r="N210" i="1"/>
  <c r="P243" i="1"/>
  <c r="T209" i="1"/>
  <c r="W225" i="1"/>
  <c r="B217" i="1"/>
  <c r="E252" i="1"/>
  <c r="E253" i="1" s="1"/>
  <c r="F301" i="1" s="1"/>
  <c r="E216" i="1"/>
  <c r="W237" i="1"/>
  <c r="F209" i="1"/>
  <c r="CQ230" i="1"/>
  <c r="CR124" i="1"/>
  <c r="AE169" i="1"/>
  <c r="AB217" i="1"/>
  <c r="AB220" i="1" s="1"/>
  <c r="AB341" i="1" s="1"/>
  <c r="AD234" i="1"/>
  <c r="CZ157" i="1"/>
  <c r="DA155" i="1"/>
  <c r="AT243" i="1" l="1"/>
  <c r="AU243" i="1" s="1"/>
  <c r="AT252" i="1"/>
  <c r="AT238" i="1"/>
  <c r="AU238" i="1" s="1"/>
  <c r="AT232" i="1"/>
  <c r="AT224" i="1"/>
  <c r="AT217" i="1"/>
  <c r="AU217" i="1" s="1"/>
  <c r="AT236" i="1"/>
  <c r="AT241" i="1"/>
  <c r="AU241" i="1" s="1"/>
  <c r="BE165" i="1"/>
  <c r="BE166" i="1"/>
  <c r="AT166" i="1"/>
  <c r="AT251" i="1"/>
  <c r="AT211" i="1"/>
  <c r="AT219" i="1"/>
  <c r="AU219" i="1" s="1"/>
  <c r="AT244" i="1"/>
  <c r="AU244" i="1" s="1"/>
  <c r="AT255" i="1"/>
  <c r="AU255" i="1" s="1"/>
  <c r="AT272" i="1"/>
  <c r="AU272" i="1" s="1"/>
  <c r="AV214" i="1"/>
  <c r="AW214" i="1" s="1"/>
  <c r="AV216" i="1"/>
  <c r="AW216" i="1" s="1"/>
  <c r="AV255" i="1"/>
  <c r="AW255" i="1" s="1"/>
  <c r="AV223" i="1"/>
  <c r="AV256" i="1"/>
  <c r="AW256" i="1" s="1"/>
  <c r="AV211" i="1"/>
  <c r="AV245" i="1"/>
  <c r="AV237" i="1"/>
  <c r="AV236" i="1"/>
  <c r="AV243" i="1"/>
  <c r="AW243" i="1" s="1"/>
  <c r="AV210" i="1"/>
  <c r="AW210" i="1" s="1"/>
  <c r="AV242" i="1"/>
  <c r="AW242" i="1" s="1"/>
  <c r="AV235" i="1"/>
  <c r="AW235" i="1" s="1"/>
  <c r="AV165" i="1"/>
  <c r="AV224" i="1"/>
  <c r="AV225" i="1"/>
  <c r="AV252" i="1"/>
  <c r="AV241" i="1"/>
  <c r="AV244" i="1"/>
  <c r="AW244" i="1" s="1"/>
  <c r="AV234" i="1"/>
  <c r="AW234" i="1" s="1"/>
  <c r="AV251" i="1"/>
  <c r="AV209" i="1"/>
  <c r="AW209" i="1" s="1"/>
  <c r="AV217" i="1"/>
  <c r="AW217" i="1" s="1"/>
  <c r="AV232" i="1"/>
  <c r="AW232" i="1" s="1"/>
  <c r="AV227" i="1"/>
  <c r="AW227" i="1" s="1"/>
  <c r="BP237" i="1"/>
  <c r="BG166" i="1"/>
  <c r="BD227" i="1"/>
  <c r="BE227" i="1" s="1"/>
  <c r="BD252" i="1"/>
  <c r="AX235" i="1"/>
  <c r="AY235" i="1" s="1"/>
  <c r="BW166" i="1"/>
  <c r="BT209" i="1"/>
  <c r="BU209" i="1" s="1"/>
  <c r="AZ236" i="1"/>
  <c r="BN255" i="1"/>
  <c r="BO255" i="1" s="1"/>
  <c r="BT242" i="1"/>
  <c r="BU242" i="1" s="1"/>
  <c r="BP211" i="1"/>
  <c r="AZ209" i="1"/>
  <c r="BA209" i="1" s="1"/>
  <c r="BN237" i="1"/>
  <c r="AX247" i="1"/>
  <c r="AY247" i="1" s="1"/>
  <c r="AX166" i="1"/>
  <c r="BN242" i="1"/>
  <c r="BO242" i="1" s="1"/>
  <c r="BP247" i="1"/>
  <c r="BQ247" i="1" s="1"/>
  <c r="BN218" i="1"/>
  <c r="AV166" i="1"/>
  <c r="AX242" i="1"/>
  <c r="AY242" i="1" s="1"/>
  <c r="AN252" i="1"/>
  <c r="BT244" i="1"/>
  <c r="BU244" i="1" s="1"/>
  <c r="BW165" i="1"/>
  <c r="BB223" i="1"/>
  <c r="BB227" i="1"/>
  <c r="BC227" i="1" s="1"/>
  <c r="BP225" i="1"/>
  <c r="AN242" i="1"/>
  <c r="AO242" i="1" s="1"/>
  <c r="AV229" i="1"/>
  <c r="AW229" i="1" s="1"/>
  <c r="BD255" i="1"/>
  <c r="BE255" i="1" s="1"/>
  <c r="BB218" i="1"/>
  <c r="BC218" i="1" s="1"/>
  <c r="BD210" i="1"/>
  <c r="BE210" i="1" s="1"/>
  <c r="AV246" i="1"/>
  <c r="AW246" i="1" s="1"/>
  <c r="AX246" i="1"/>
  <c r="AY246" i="1" s="1"/>
  <c r="BD219" i="1"/>
  <c r="BE219" i="1" s="1"/>
  <c r="AZ234" i="1"/>
  <c r="BA234" i="1" s="1"/>
  <c r="AV239" i="1"/>
  <c r="AW239" i="1" s="1"/>
  <c r="AX237" i="1"/>
  <c r="BN166" i="1"/>
  <c r="BN232" i="1"/>
  <c r="BP255" i="1"/>
  <c r="BQ255" i="1" s="1"/>
  <c r="AX165" i="1"/>
  <c r="AV238" i="1"/>
  <c r="AW238" i="1" s="1"/>
  <c r="AV219" i="1"/>
  <c r="AW219" i="1" s="1"/>
  <c r="BM165" i="1"/>
  <c r="AN245" i="1"/>
  <c r="BB251" i="1"/>
  <c r="AV247" i="1"/>
  <c r="AW247" i="1" s="1"/>
  <c r="BD247" i="1"/>
  <c r="BE247" i="1" s="1"/>
  <c r="BN243" i="1"/>
  <c r="BO243" i="1" s="1"/>
  <c r="BN216" i="1"/>
  <c r="BO216" i="1" s="1"/>
  <c r="BR247" i="1"/>
  <c r="BS247" i="1" s="1"/>
  <c r="BB217" i="1"/>
  <c r="BC217" i="1" s="1"/>
  <c r="BB236" i="1"/>
  <c r="BG165" i="1"/>
  <c r="AX255" i="1"/>
  <c r="AY255" i="1" s="1"/>
  <c r="AX227" i="1"/>
  <c r="AY227" i="1" s="1"/>
  <c r="BP217" i="1"/>
  <c r="BQ217" i="1" s="1"/>
  <c r="BD238" i="1"/>
  <c r="BE238" i="1" s="1"/>
  <c r="AZ210" i="1"/>
  <c r="BA210" i="1" s="1"/>
  <c r="BK166" i="1"/>
  <c r="AX243" i="1"/>
  <c r="AY243" i="1" s="1"/>
  <c r="BP245" i="1"/>
  <c r="BD236" i="1"/>
  <c r="BB243" i="1"/>
  <c r="BC243" i="1" s="1"/>
  <c r="BP242" i="1"/>
  <c r="BQ242" i="1" s="1"/>
  <c r="AZ211" i="1"/>
  <c r="BD242" i="1"/>
  <c r="BE242" i="1" s="1"/>
  <c r="BN209" i="1"/>
  <c r="BO209" i="1" s="1"/>
  <c r="BT214" i="1"/>
  <c r="BU214" i="1" s="1"/>
  <c r="AU232" i="1"/>
  <c r="AU294" i="1"/>
  <c r="BT101" i="1"/>
  <c r="BT271" i="1"/>
  <c r="BU271" i="1" s="1"/>
  <c r="BA232" i="1"/>
  <c r="BA294" i="1"/>
  <c r="BP344" i="1"/>
  <c r="E294" i="1"/>
  <c r="BK344" i="1"/>
  <c r="AT294" i="1"/>
  <c r="BQ294" i="1"/>
  <c r="AV344" i="1"/>
  <c r="AW101" i="1"/>
  <c r="AW107" i="1" s="1"/>
  <c r="AS294" i="1"/>
  <c r="BM295" i="1"/>
  <c r="BM293" i="1" s="1"/>
  <c r="AW344" i="1"/>
  <c r="AR253" i="1"/>
  <c r="AS301" i="1" s="1"/>
  <c r="BT323" i="1"/>
  <c r="B253" i="1"/>
  <c r="C301" i="1" s="1"/>
  <c r="K253" i="1"/>
  <c r="L301" i="1" s="1"/>
  <c r="BT272" i="1"/>
  <c r="BU272" i="1" s="1"/>
  <c r="J253" i="1"/>
  <c r="K301" i="1" s="1"/>
  <c r="AX275" i="1"/>
  <c r="AY275" i="1" s="1"/>
  <c r="AQ345" i="1"/>
  <c r="S294" i="1"/>
  <c r="BI344" i="1"/>
  <c r="BO101" i="1"/>
  <c r="BO107" i="1" s="1"/>
  <c r="H212" i="1"/>
  <c r="H146" i="1" s="1"/>
  <c r="BD344" i="1"/>
  <c r="U265" i="1"/>
  <c r="BF101" i="1"/>
  <c r="BF107" i="1" s="1"/>
  <c r="BM345" i="1"/>
  <c r="O226" i="1"/>
  <c r="O125" i="1" s="1"/>
  <c r="BP253" i="1"/>
  <c r="BQ301" i="1" s="1"/>
  <c r="BM344" i="1"/>
  <c r="BO190" i="1"/>
  <c r="BO191" i="1" s="1"/>
  <c r="BO195" i="1" s="1"/>
  <c r="BM101" i="1"/>
  <c r="BM107" i="1" s="1"/>
  <c r="BM108" i="1" s="1"/>
  <c r="BN253" i="1"/>
  <c r="BO301" i="1" s="1"/>
  <c r="BR344" i="1"/>
  <c r="AZ294" i="1"/>
  <c r="BN345" i="1"/>
  <c r="R294" i="1"/>
  <c r="E265" i="1"/>
  <c r="BR271" i="1"/>
  <c r="BS271" i="1" s="1"/>
  <c r="T253" i="1"/>
  <c r="U301" i="1" s="1"/>
  <c r="AX226" i="1"/>
  <c r="AY226" i="1" s="1"/>
  <c r="F294" i="1"/>
  <c r="BT275" i="1"/>
  <c r="BU275" i="1" s="1"/>
  <c r="BM286" i="1"/>
  <c r="O253" i="1"/>
  <c r="P301" i="1" s="1"/>
  <c r="G248" i="1"/>
  <c r="G277" i="1" s="1"/>
  <c r="G276" i="1" s="1"/>
  <c r="E248" i="1"/>
  <c r="E277" i="1" s="1"/>
  <c r="E276" i="1" s="1"/>
  <c r="B220" i="1"/>
  <c r="B129" i="1" s="1"/>
  <c r="BB118" i="1"/>
  <c r="BH226" i="1"/>
  <c r="BH230" i="1" s="1"/>
  <c r="AT118" i="1"/>
  <c r="BF253" i="1"/>
  <c r="BG301" i="1" s="1"/>
  <c r="J265" i="1"/>
  <c r="AX101" i="1"/>
  <c r="BV226" i="1"/>
  <c r="BW226" i="1" s="1"/>
  <c r="BW230" i="1" s="1"/>
  <c r="AW118" i="1"/>
  <c r="BF344" i="1"/>
  <c r="BE118" i="1"/>
  <c r="AI118" i="1"/>
  <c r="BA345" i="1"/>
  <c r="BR275" i="1"/>
  <c r="BS275" i="1" s="1"/>
  <c r="P212" i="1"/>
  <c r="P340" i="1" s="1"/>
  <c r="BT344" i="1"/>
  <c r="BD190" i="1"/>
  <c r="BD191" i="1" s="1"/>
  <c r="BD196" i="1" s="1"/>
  <c r="BH275" i="1"/>
  <c r="BI275" i="1" s="1"/>
  <c r="AZ344" i="1"/>
  <c r="BG344" i="1"/>
  <c r="AN345" i="1"/>
  <c r="BI118" i="1"/>
  <c r="U226" i="1"/>
  <c r="U125" i="1" s="1"/>
  <c r="G226" i="1"/>
  <c r="G125" i="1" s="1"/>
  <c r="BU118" i="1"/>
  <c r="S212" i="1"/>
  <c r="BN226" i="1"/>
  <c r="BN230" i="1" s="1"/>
  <c r="BB212" i="1"/>
  <c r="BB184" i="1" s="1"/>
  <c r="BB186" i="1" s="1"/>
  <c r="AZ275" i="1"/>
  <c r="BA275" i="1" s="1"/>
  <c r="BF275" i="1"/>
  <c r="BG275" i="1" s="1"/>
  <c r="AX253" i="1"/>
  <c r="AY301" i="1" s="1"/>
  <c r="AT271" i="1"/>
  <c r="AU271" i="1" s="1"/>
  <c r="AZ226" i="1"/>
  <c r="BA226" i="1" s="1"/>
  <c r="N265" i="1"/>
  <c r="U248" i="1"/>
  <c r="U277" i="1" s="1"/>
  <c r="U276" i="1" s="1"/>
  <c r="BJ119" i="1"/>
  <c r="BH271" i="1"/>
  <c r="BI271" i="1" s="1"/>
  <c r="BA344" i="1"/>
  <c r="BT345" i="1"/>
  <c r="AT101" i="1"/>
  <c r="AT107" i="1" s="1"/>
  <c r="AT108" i="1" s="1"/>
  <c r="BH272" i="1"/>
  <c r="BI272" i="1" s="1"/>
  <c r="L226" i="1"/>
  <c r="L125" i="1" s="1"/>
  <c r="BM129" i="1"/>
  <c r="BH345" i="1"/>
  <c r="AR345" i="1"/>
  <c r="BG101" i="1"/>
  <c r="BD345" i="1"/>
  <c r="S220" i="1"/>
  <c r="AQ344" i="1"/>
  <c r="BC345" i="1"/>
  <c r="AR212" i="1"/>
  <c r="AR184" i="1" s="1"/>
  <c r="BC344" i="1"/>
  <c r="I226" i="1"/>
  <c r="BG220" i="1"/>
  <c r="BD226" i="1"/>
  <c r="BE125" i="1" s="1"/>
  <c r="BU101" i="1"/>
  <c r="AQ101" i="1"/>
  <c r="BV118" i="1"/>
  <c r="F253" i="1"/>
  <c r="G301" i="1" s="1"/>
  <c r="H226" i="1"/>
  <c r="H230" i="1" s="1"/>
  <c r="H294" i="1"/>
  <c r="V212" i="1"/>
  <c r="BG118" i="1"/>
  <c r="J212" i="1"/>
  <c r="AO345" i="1"/>
  <c r="AR220" i="1"/>
  <c r="BN275" i="1"/>
  <c r="BO275" i="1" s="1"/>
  <c r="AN272" i="1"/>
  <c r="AO272" i="1" s="1"/>
  <c r="AP240" i="1"/>
  <c r="AP274" i="1" s="1"/>
  <c r="BJ120" i="1"/>
  <c r="R265" i="1"/>
  <c r="BT253" i="1"/>
  <c r="BU301" i="1" s="1"/>
  <c r="BT226" i="1"/>
  <c r="BU125" i="1" s="1"/>
  <c r="L294" i="1"/>
  <c r="BE294" i="1"/>
  <c r="V220" i="1"/>
  <c r="AX323" i="1"/>
  <c r="AX271" i="1"/>
  <c r="AY271" i="1" s="1"/>
  <c r="BC101" i="1"/>
  <c r="BN344" i="1"/>
  <c r="BD294" i="1"/>
  <c r="AZ248" i="1"/>
  <c r="AZ277" i="1" s="1"/>
  <c r="AQ323" i="1"/>
  <c r="AN125" i="1"/>
  <c r="V240" i="1"/>
  <c r="V274" i="1" s="1"/>
  <c r="V273" i="1" s="1"/>
  <c r="T220" i="1"/>
  <c r="C226" i="1"/>
  <c r="C230" i="1" s="1"/>
  <c r="C240" i="1"/>
  <c r="C274" i="1" s="1"/>
  <c r="C273" i="1" s="1"/>
  <c r="Q212" i="1"/>
  <c r="N248" i="1"/>
  <c r="N277" i="1" s="1"/>
  <c r="N276" i="1" s="1"/>
  <c r="AQ220" i="1"/>
  <c r="AZ118" i="1"/>
  <c r="AY190" i="1"/>
  <c r="AY191" i="1" s="1"/>
  <c r="AY196" i="1" s="1"/>
  <c r="M294" i="1"/>
  <c r="AT344" i="1"/>
  <c r="Q294" i="1"/>
  <c r="I253" i="1"/>
  <c r="J301" i="1" s="1"/>
  <c r="AS344" i="1"/>
  <c r="AT253" i="1"/>
  <c r="AT220" i="1"/>
  <c r="BU344" i="1"/>
  <c r="AN212" i="1"/>
  <c r="AN184" i="1" s="1"/>
  <c r="AN187" i="1" s="1"/>
  <c r="AT345" i="1"/>
  <c r="BW294" i="1"/>
  <c r="P248" i="1"/>
  <c r="P277" i="1" s="1"/>
  <c r="P276" i="1" s="1"/>
  <c r="AX344" i="1"/>
  <c r="BE344" i="1"/>
  <c r="AP212" i="1"/>
  <c r="AP184" i="1" s="1"/>
  <c r="AP187" i="1" s="1"/>
  <c r="BA101" i="1"/>
  <c r="U212" i="1"/>
  <c r="AT275" i="1"/>
  <c r="AU275" i="1" s="1"/>
  <c r="E226" i="1"/>
  <c r="E125" i="1" s="1"/>
  <c r="AP253" i="1"/>
  <c r="BF271" i="1"/>
  <c r="BG271" i="1" s="1"/>
  <c r="R226" i="1"/>
  <c r="R125" i="1" s="1"/>
  <c r="BP190" i="1"/>
  <c r="BP191" i="1" s="1"/>
  <c r="BR118" i="1"/>
  <c r="AR226" i="1"/>
  <c r="AR230" i="1" s="1"/>
  <c r="BE220" i="1"/>
  <c r="BR226" i="1"/>
  <c r="BR230" i="1" s="1"/>
  <c r="D240" i="1"/>
  <c r="D274" i="1" s="1"/>
  <c r="D273" i="1" s="1"/>
  <c r="AV220" i="1"/>
  <c r="C253" i="1"/>
  <c r="D301" i="1" s="1"/>
  <c r="BB344" i="1"/>
  <c r="BB323" i="1"/>
  <c r="BZ190" i="1"/>
  <c r="BZ191" i="1" s="1"/>
  <c r="BZ194" i="1" s="1"/>
  <c r="AX220" i="1"/>
  <c r="AX260" i="1" s="1"/>
  <c r="AT190" i="1"/>
  <c r="AT191" i="1" s="1"/>
  <c r="AT196" i="1" s="1"/>
  <c r="BR101" i="1"/>
  <c r="BR107" i="1" s="1"/>
  <c r="AO323" i="1"/>
  <c r="B157" i="1"/>
  <c r="B158" i="1" s="1"/>
  <c r="B160" i="1" s="1"/>
  <c r="AP190" i="1"/>
  <c r="AP191" i="1" s="1"/>
  <c r="AP195" i="1" s="1"/>
  <c r="AO190" i="1"/>
  <c r="AO191" i="1" s="1"/>
  <c r="AO195" i="1" s="1"/>
  <c r="AR190" i="1"/>
  <c r="AR191" i="1" s="1"/>
  <c r="AL190" i="1"/>
  <c r="AL191" i="1" s="1"/>
  <c r="AL194" i="1" s="1"/>
  <c r="AP344" i="1"/>
  <c r="S240" i="1"/>
  <c r="S274" i="1" s="1"/>
  <c r="V265" i="1"/>
  <c r="D253" i="1"/>
  <c r="AN101" i="1"/>
  <c r="AN102" i="1" s="1"/>
  <c r="BF118" i="1"/>
  <c r="BW190" i="1"/>
  <c r="BW191" i="1" s="1"/>
  <c r="J226" i="1"/>
  <c r="U240" i="1"/>
  <c r="U274" i="1" s="1"/>
  <c r="U273" i="1" s="1"/>
  <c r="BD118" i="1"/>
  <c r="BH118" i="1"/>
  <c r="AP101" i="1"/>
  <c r="AP107" i="1" s="1"/>
  <c r="AP272" i="1"/>
  <c r="AQ272" i="1" s="1"/>
  <c r="BA118" i="1"/>
  <c r="BW344" i="1"/>
  <c r="AP226" i="1"/>
  <c r="AQ226" i="1" s="1"/>
  <c r="AZ253" i="1"/>
  <c r="BA301" i="1" s="1"/>
  <c r="M253" i="1"/>
  <c r="N301" i="1" s="1"/>
  <c r="P226" i="1"/>
  <c r="D226" i="1"/>
  <c r="D230" i="1" s="1"/>
  <c r="AU118" i="1"/>
  <c r="P220" i="1"/>
  <c r="AQ118" i="1"/>
  <c r="AN275" i="1"/>
  <c r="AO275" i="1" s="1"/>
  <c r="BN271" i="1"/>
  <c r="BO271" i="1" s="1"/>
  <c r="BF294" i="1"/>
  <c r="AZ271" i="1"/>
  <c r="BA271" i="1" s="1"/>
  <c r="AP275" i="1"/>
  <c r="AQ275" i="1" s="1"/>
  <c r="BV294" i="1"/>
  <c r="BB226" i="1"/>
  <c r="AN226" i="1"/>
  <c r="AO226" i="1" s="1"/>
  <c r="E212" i="1"/>
  <c r="O220" i="1"/>
  <c r="BC118" i="1"/>
  <c r="AX118" i="1"/>
  <c r="AY344" i="1"/>
  <c r="AR240" i="1"/>
  <c r="AR274" i="1" s="1"/>
  <c r="BQ220" i="1"/>
  <c r="BR294" i="1"/>
  <c r="AQ190" i="1"/>
  <c r="AQ191" i="1" s="1"/>
  <c r="AQ196" i="1" s="1"/>
  <c r="BB272" i="1"/>
  <c r="BC272" i="1" s="1"/>
  <c r="G220" i="1"/>
  <c r="G129" i="1" s="1"/>
  <c r="AP345" i="1"/>
  <c r="J248" i="1"/>
  <c r="V253" i="1"/>
  <c r="W301" i="1" s="1"/>
  <c r="F226" i="1"/>
  <c r="F125" i="1" s="1"/>
  <c r="T226" i="1"/>
  <c r="T125" i="1" s="1"/>
  <c r="BT118" i="1"/>
  <c r="AM140" i="1"/>
  <c r="AM285" i="1" s="1"/>
  <c r="AM287" i="1" s="1"/>
  <c r="BW118" i="1"/>
  <c r="AP271" i="1"/>
  <c r="AQ271" i="1" s="1"/>
  <c r="M265" i="1"/>
  <c r="P240" i="1"/>
  <c r="P265" i="1"/>
  <c r="Q265" i="1"/>
  <c r="AN118" i="1"/>
  <c r="AO344" i="1"/>
  <c r="BH240" i="1"/>
  <c r="BH274" i="1" s="1"/>
  <c r="AI101" i="1"/>
  <c r="AJ103" i="1" s="1"/>
  <c r="BN118" i="1"/>
  <c r="BM118" i="1"/>
  <c r="M240" i="1"/>
  <c r="M274" i="1" s="1"/>
  <c r="M273" i="1" s="1"/>
  <c r="BR253" i="1"/>
  <c r="BS301" i="1" s="1"/>
  <c r="N253" i="1"/>
  <c r="O301" i="1" s="1"/>
  <c r="R253" i="1"/>
  <c r="V294" i="1"/>
  <c r="B248" i="1"/>
  <c r="S253" i="1"/>
  <c r="U220" i="1"/>
  <c r="U129" i="1" s="1"/>
  <c r="J220" i="1"/>
  <c r="J260" i="1" s="1"/>
  <c r="J201" i="1" s="1"/>
  <c r="BP118" i="1"/>
  <c r="BS118" i="1"/>
  <c r="AS118" i="1"/>
  <c r="W265" i="1"/>
  <c r="R212" i="1"/>
  <c r="H253" i="1"/>
  <c r="BV271" i="1"/>
  <c r="BW271" i="1" s="1"/>
  <c r="AV118" i="1"/>
  <c r="BH101" i="1"/>
  <c r="BW286" i="1"/>
  <c r="AF124" i="1"/>
  <c r="AT226" i="1"/>
  <c r="AT230" i="1" s="1"/>
  <c r="AN240" i="1"/>
  <c r="AN274" i="1" s="1"/>
  <c r="BA286" i="1"/>
  <c r="BB275" i="1"/>
  <c r="BC275" i="1" s="1"/>
  <c r="AN344" i="1"/>
  <c r="AN323" i="1"/>
  <c r="AN190" i="1"/>
  <c r="AN191" i="1" s="1"/>
  <c r="AX345" i="1"/>
  <c r="BB345" i="1"/>
  <c r="AO101" i="1"/>
  <c r="AO102" i="1" s="1"/>
  <c r="BH212" i="1"/>
  <c r="BH184" i="1" s="1"/>
  <c r="AI275" i="1"/>
  <c r="AI323" i="1"/>
  <c r="T265" i="1"/>
  <c r="C212" i="1"/>
  <c r="C146" i="1" s="1"/>
  <c r="BQ118" i="1"/>
  <c r="G212" i="1"/>
  <c r="K212" i="1"/>
  <c r="S248" i="1"/>
  <c r="S277" i="1" s="1"/>
  <c r="S276" i="1" s="1"/>
  <c r="Q226" i="1"/>
  <c r="Q230" i="1" s="1"/>
  <c r="BO118" i="1"/>
  <c r="AP118" i="1"/>
  <c r="AU220" i="1"/>
  <c r="Q253" i="1"/>
  <c r="R301" i="1" s="1"/>
  <c r="C265" i="1"/>
  <c r="AO118" i="1"/>
  <c r="BV253" i="1"/>
  <c r="BW301" i="1" s="1"/>
  <c r="F212" i="1"/>
  <c r="AY118" i="1"/>
  <c r="V226" i="1"/>
  <c r="AR118" i="1"/>
  <c r="L265" i="1"/>
  <c r="T248" i="1"/>
  <c r="T277" i="1" s="1"/>
  <c r="T276" i="1" s="1"/>
  <c r="BK118" i="1"/>
  <c r="BI232" i="1"/>
  <c r="BJ294" i="1" s="1"/>
  <c r="I220" i="1"/>
  <c r="I129" i="1" s="1"/>
  <c r="AV323" i="1"/>
  <c r="AV101" i="1"/>
  <c r="K265" i="1"/>
  <c r="I294" i="1"/>
  <c r="J294" i="1"/>
  <c r="AU286" i="1"/>
  <c r="AU345" i="1"/>
  <c r="BG241" i="1"/>
  <c r="BF248" i="1"/>
  <c r="BF277" i="1" s="1"/>
  <c r="BS242" i="1"/>
  <c r="AX212" i="1"/>
  <c r="AX184" i="1" s="1"/>
  <c r="AY209" i="1"/>
  <c r="AY294" i="1"/>
  <c r="AY220" i="1"/>
  <c r="N220" i="1"/>
  <c r="H248" i="1"/>
  <c r="H277" i="1" s="1"/>
  <c r="H276" i="1" s="1"/>
  <c r="F265" i="1"/>
  <c r="W220" i="1"/>
  <c r="X341" i="1" s="1"/>
  <c r="X343" i="1" s="1"/>
  <c r="D212" i="1"/>
  <c r="D267" i="1" s="1"/>
  <c r="L212" i="1"/>
  <c r="L267" i="1" s="1"/>
  <c r="R220" i="1"/>
  <c r="AR272" i="1"/>
  <c r="AS272" i="1" s="1"/>
  <c r="BM190" i="1"/>
  <c r="BM191" i="1" s="1"/>
  <c r="BM196" i="1" s="1"/>
  <c r="V248" i="1"/>
  <c r="V277" i="1" s="1"/>
  <c r="V276" i="1" s="1"/>
  <c r="BG286" i="1"/>
  <c r="BG345" i="1"/>
  <c r="BV323" i="1"/>
  <c r="BV272" i="1"/>
  <c r="BW272" i="1" s="1"/>
  <c r="BV101" i="1"/>
  <c r="BX190" i="1"/>
  <c r="BX191" i="1" s="1"/>
  <c r="BX195" i="1" s="1"/>
  <c r="BI241" i="1"/>
  <c r="BH248" i="1"/>
  <c r="BH277" i="1" s="1"/>
  <c r="BK323" i="1"/>
  <c r="BK345" i="1"/>
  <c r="AS241" i="1"/>
  <c r="AR248" i="1"/>
  <c r="D248" i="1"/>
  <c r="AI286" i="1"/>
  <c r="AI125" i="1"/>
  <c r="BE345" i="1"/>
  <c r="BE323" i="1"/>
  <c r="BE101" i="1"/>
  <c r="BH190" i="1"/>
  <c r="BH191" i="1" s="1"/>
  <c r="BH194" i="1" s="1"/>
  <c r="BE190" i="1"/>
  <c r="BE191" i="1" s="1"/>
  <c r="BE196" i="1" s="1"/>
  <c r="AY323" i="1"/>
  <c r="BA190" i="1"/>
  <c r="BA191" i="1" s="1"/>
  <c r="BA196" i="1" s="1"/>
  <c r="BB190" i="1"/>
  <c r="BB191" i="1" s="1"/>
  <c r="BB194" i="1" s="1"/>
  <c r="BQ344" i="1"/>
  <c r="BQ101" i="1"/>
  <c r="BT190" i="1"/>
  <c r="BT191" i="1" s="1"/>
  <c r="BT196" i="1" s="1"/>
  <c r="BQ323" i="1"/>
  <c r="BU210" i="1"/>
  <c r="BU217" i="1"/>
  <c r="BU220" i="1" s="1"/>
  <c r="BT220" i="1"/>
  <c r="BS217" i="1"/>
  <c r="BS220" i="1" s="1"/>
  <c r="BR220" i="1"/>
  <c r="O212" i="1"/>
  <c r="K294" i="1"/>
  <c r="BS210" i="1"/>
  <c r="BR212" i="1"/>
  <c r="BR184" i="1" s="1"/>
  <c r="BR186" i="1" s="1"/>
  <c r="BE234" i="1"/>
  <c r="BA220" i="1"/>
  <c r="BU239" i="1"/>
  <c r="BT240" i="1"/>
  <c r="BT274" i="1" s="1"/>
  <c r="BF220" i="1"/>
  <c r="AT240" i="1"/>
  <c r="AT274" i="1" s="1"/>
  <c r="AS216" i="1"/>
  <c r="AS220" i="1" s="1"/>
  <c r="AN271" i="1"/>
  <c r="AO271" i="1" s="1"/>
  <c r="BF190" i="1"/>
  <c r="BF191" i="1" s="1"/>
  <c r="BF194" i="1" s="1"/>
  <c r="BF226" i="1"/>
  <c r="BF230" i="1" s="1"/>
  <c r="N240" i="1"/>
  <c r="U294" i="1"/>
  <c r="O248" i="1"/>
  <c r="O277" i="1" s="1"/>
  <c r="E240" i="1"/>
  <c r="S226" i="1"/>
  <c r="S125" i="1" s="1"/>
  <c r="AO220" i="1"/>
  <c r="BF212" i="1"/>
  <c r="BF184" i="1" s="1"/>
  <c r="AZ220" i="1"/>
  <c r="N150" i="1"/>
  <c r="BF240" i="1"/>
  <c r="BF274" i="1" s="1"/>
  <c r="AP248" i="1"/>
  <c r="AP277" i="1" s="1"/>
  <c r="AN294" i="1"/>
  <c r="AN220" i="1"/>
  <c r="AN341" i="1" s="1"/>
  <c r="P294" i="1"/>
  <c r="AZ190" i="1"/>
  <c r="AZ191" i="1" s="1"/>
  <c r="AZ194" i="1" s="1"/>
  <c r="BV275" i="1"/>
  <c r="BW275" i="1" s="1"/>
  <c r="BQ190" i="1"/>
  <c r="BQ191" i="1" s="1"/>
  <c r="BQ194" i="1" s="1"/>
  <c r="BY190" i="1"/>
  <c r="BY191" i="1" s="1"/>
  <c r="BY196" i="1" s="1"/>
  <c r="AI295" i="1"/>
  <c r="AI293" i="1" s="1"/>
  <c r="AZ345" i="1"/>
  <c r="AZ286" i="1"/>
  <c r="BI323" i="1"/>
  <c r="BI345" i="1"/>
  <c r="BI216" i="1"/>
  <c r="BI220" i="1" s="1"/>
  <c r="BJ341" i="1" s="1"/>
  <c r="BH220" i="1"/>
  <c r="BI190" i="1"/>
  <c r="BI191" i="1" s="1"/>
  <c r="BI194" i="1" s="1"/>
  <c r="AZ323" i="1"/>
  <c r="AZ272" i="1"/>
  <c r="BA272" i="1" s="1"/>
  <c r="C220" i="1"/>
  <c r="C129" i="1" s="1"/>
  <c r="AW345" i="1"/>
  <c r="AV345" i="1"/>
  <c r="BI101" i="1"/>
  <c r="H220" i="1"/>
  <c r="U253" i="1"/>
  <c r="V301" i="1" s="1"/>
  <c r="R240" i="1"/>
  <c r="R274" i="1" s="1"/>
  <c r="R273" i="1" s="1"/>
  <c r="Q240" i="1"/>
  <c r="Q248" i="1"/>
  <c r="Q277" i="1" s="1"/>
  <c r="Q276" i="1" s="1"/>
  <c r="F248" i="1"/>
  <c r="F277" i="1" s="1"/>
  <c r="F276" i="1" s="1"/>
  <c r="H265" i="1"/>
  <c r="N226" i="1"/>
  <c r="N125" i="1" s="1"/>
  <c r="G265" i="1"/>
  <c r="B240" i="1"/>
  <c r="B274" i="1" s="1"/>
  <c r="BP101" i="1"/>
  <c r="L220" i="1"/>
  <c r="N212" i="1"/>
  <c r="N146" i="1" s="1"/>
  <c r="I240" i="1"/>
  <c r="I274" i="1" s="1"/>
  <c r="I273" i="1" s="1"/>
  <c r="O240" i="1"/>
  <c r="B212" i="1"/>
  <c r="C294" i="1"/>
  <c r="BW216" i="1"/>
  <c r="BW220" i="1" s="1"/>
  <c r="BX298" i="1" s="1"/>
  <c r="BV220" i="1"/>
  <c r="BF286" i="1"/>
  <c r="BF345" i="1"/>
  <c r="BN323" i="1"/>
  <c r="BN101" i="1"/>
  <c r="BN272" i="1"/>
  <c r="BO272" i="1" s="1"/>
  <c r="BP286" i="1"/>
  <c r="BP345" i="1"/>
  <c r="F220" i="1"/>
  <c r="BW235" i="1"/>
  <c r="BV240" i="1"/>
  <c r="BV274" i="1" s="1"/>
  <c r="BJ345" i="1"/>
  <c r="BJ286" i="1"/>
  <c r="BW101" i="1"/>
  <c r="BZ317" i="1" s="1"/>
  <c r="L253" i="1"/>
  <c r="M301" i="1" s="1"/>
  <c r="BU286" i="1"/>
  <c r="BU345" i="1"/>
  <c r="AY286" i="1"/>
  <c r="AY345" i="1"/>
  <c r="BG190" i="1"/>
  <c r="BG191" i="1" s="1"/>
  <c r="BG196" i="1" s="1"/>
  <c r="BD101" i="1"/>
  <c r="BD272" i="1"/>
  <c r="BE272" i="1" s="1"/>
  <c r="AU344" i="1"/>
  <c r="AX190" i="1"/>
  <c r="AX191" i="1" s="1"/>
  <c r="AX194" i="1" s="1"/>
  <c r="AW190" i="1"/>
  <c r="AW191" i="1" s="1"/>
  <c r="AW195" i="1" s="1"/>
  <c r="C157" i="1"/>
  <c r="C199" i="1" s="1"/>
  <c r="BN125" i="1"/>
  <c r="BN286" i="1"/>
  <c r="AS323" i="1"/>
  <c r="AS190" i="1"/>
  <c r="AS191" i="1" s="1"/>
  <c r="AS195" i="1" s="1"/>
  <c r="AV190" i="1"/>
  <c r="AV191" i="1" s="1"/>
  <c r="AV195" i="1" s="1"/>
  <c r="I265" i="1"/>
  <c r="AS286" i="1"/>
  <c r="AS345" i="1"/>
  <c r="BP323" i="1"/>
  <c r="BP271" i="1"/>
  <c r="BQ271" i="1" s="1"/>
  <c r="BC294" i="1"/>
  <c r="AP220" i="1"/>
  <c r="BQ345" i="1"/>
  <c r="BO345" i="1"/>
  <c r="BC190" i="1"/>
  <c r="BC191" i="1" s="1"/>
  <c r="BC194" i="1" s="1"/>
  <c r="BF272" i="1"/>
  <c r="BG272" i="1" s="1"/>
  <c r="BK190" i="1"/>
  <c r="BK191" i="1" s="1"/>
  <c r="BK194" i="1" s="1"/>
  <c r="R248" i="1"/>
  <c r="R277" i="1" s="1"/>
  <c r="D157" i="1"/>
  <c r="I212" i="1"/>
  <c r="I146" i="1" s="1"/>
  <c r="B265" i="1"/>
  <c r="BK129" i="1"/>
  <c r="D220" i="1"/>
  <c r="D129" i="1" s="1"/>
  <c r="AI129" i="1"/>
  <c r="AT212" i="1"/>
  <c r="AT184" i="1" s="1"/>
  <c r="AT186" i="1" s="1"/>
  <c r="O294" i="1"/>
  <c r="M212" i="1"/>
  <c r="L248" i="1"/>
  <c r="L277" i="1" s="1"/>
  <c r="L276" i="1" s="1"/>
  <c r="C248" i="1"/>
  <c r="C277" i="1" s="1"/>
  <c r="C276" i="1" s="1"/>
  <c r="K248" i="1"/>
  <c r="K277" i="1" s="1"/>
  <c r="BR240" i="1"/>
  <c r="BR274" i="1" s="1"/>
  <c r="AS101" i="1"/>
  <c r="BV248" i="1"/>
  <c r="BV277" i="1" s="1"/>
  <c r="BD275" i="1"/>
  <c r="BE275" i="1" s="1"/>
  <c r="BJ190" i="1"/>
  <c r="BJ191" i="1" s="1"/>
  <c r="BJ194" i="1" s="1"/>
  <c r="BG323" i="1"/>
  <c r="K220" i="1"/>
  <c r="BD323" i="1"/>
  <c r="AU101" i="1"/>
  <c r="BW345" i="1"/>
  <c r="AZ101" i="1"/>
  <c r="AZ107" i="1" s="1"/>
  <c r="AZ108" i="1" s="1"/>
  <c r="AI277" i="1"/>
  <c r="AI274" i="1"/>
  <c r="AI272" i="1"/>
  <c r="AY101" i="1"/>
  <c r="BG294" i="1"/>
  <c r="AT248" i="1"/>
  <c r="AT277" i="1" s="1"/>
  <c r="BS344" i="1"/>
  <c r="M248" i="1"/>
  <c r="M277" i="1" s="1"/>
  <c r="H240" i="1"/>
  <c r="H274" i="1" s="1"/>
  <c r="H273" i="1" s="1"/>
  <c r="BS190" i="1"/>
  <c r="BS191" i="1" s="1"/>
  <c r="T294" i="1"/>
  <c r="M226" i="1"/>
  <c r="M230" i="1" s="1"/>
  <c r="M220" i="1"/>
  <c r="M129" i="1" s="1"/>
  <c r="BH344" i="1"/>
  <c r="B226" i="1"/>
  <c r="B230" i="1" s="1"/>
  <c r="T212" i="1"/>
  <c r="W226" i="1"/>
  <c r="W230" i="1" s="1"/>
  <c r="X295" i="1" s="1"/>
  <c r="X293" i="1" s="1"/>
  <c r="BU190" i="1"/>
  <c r="BU191" i="1" s="1"/>
  <c r="BU194" i="1" s="1"/>
  <c r="T240" i="1"/>
  <c r="T274" i="1" s="1"/>
  <c r="N294" i="1"/>
  <c r="K240" i="1"/>
  <c r="K274" i="1" s="1"/>
  <c r="K273" i="1" s="1"/>
  <c r="F240" i="1"/>
  <c r="Q220" i="1"/>
  <c r="K226" i="1"/>
  <c r="K125" i="1" s="1"/>
  <c r="G253" i="1"/>
  <c r="H301" i="1" s="1"/>
  <c r="G240" i="1"/>
  <c r="G274" i="1" s="1"/>
  <c r="G273" i="1" s="1"/>
  <c r="D265" i="1"/>
  <c r="BH253" i="1"/>
  <c r="BH294" i="1"/>
  <c r="BS101" i="1"/>
  <c r="BV212" i="1"/>
  <c r="BV184" i="1" s="1"/>
  <c r="BV188" i="1" s="1"/>
  <c r="BV345" i="1"/>
  <c r="BV190" i="1"/>
  <c r="BV191" i="1" s="1"/>
  <c r="BV194" i="1" s="1"/>
  <c r="I248" i="1"/>
  <c r="I277" i="1" s="1"/>
  <c r="I276" i="1" s="1"/>
  <c r="W294" i="1"/>
  <c r="E220" i="1"/>
  <c r="E129" i="1" s="1"/>
  <c r="BR190" i="1"/>
  <c r="BR191" i="1" s="1"/>
  <c r="BR194" i="1" s="1"/>
  <c r="BK295" i="1"/>
  <c r="BK293" i="1" s="1"/>
  <c r="G294" i="1"/>
  <c r="BK101" i="1"/>
  <c r="AR101" i="1"/>
  <c r="AR344" i="1"/>
  <c r="AR275" i="1"/>
  <c r="AS275" i="1" s="1"/>
  <c r="BN190" i="1"/>
  <c r="BN191" i="1" s="1"/>
  <c r="BN195" i="1" s="1"/>
  <c r="BR345" i="1"/>
  <c r="O265" i="1"/>
  <c r="BR272" i="1"/>
  <c r="BS272" i="1" s="1"/>
  <c r="BS345" i="1"/>
  <c r="J240" i="1"/>
  <c r="AU190" i="1"/>
  <c r="AU191" i="1" s="1"/>
  <c r="AU195" i="1" s="1"/>
  <c r="D294" i="1"/>
  <c r="BV344" i="1"/>
  <c r="AU323" i="1"/>
  <c r="BO344" i="1"/>
  <c r="BL190" i="1"/>
  <c r="BL191" i="1" s="1"/>
  <c r="BL194" i="1" s="1"/>
  <c r="BK286" i="1"/>
  <c r="L240" i="1"/>
  <c r="L274" i="1" s="1"/>
  <c r="L273" i="1" s="1"/>
  <c r="AR271" i="1"/>
  <c r="AS271" i="1" s="1"/>
  <c r="BB101" i="1"/>
  <c r="BU294" i="1"/>
  <c r="AR294" i="1"/>
  <c r="AQ294" i="1"/>
  <c r="BT294" i="1"/>
  <c r="BS294" i="1"/>
  <c r="AP294" i="1"/>
  <c r="AO294" i="1"/>
  <c r="CR286" i="1"/>
  <c r="CR224" i="1"/>
  <c r="CQ295" i="1"/>
  <c r="CQ293" i="1" s="1"/>
  <c r="AB298" i="1"/>
  <c r="DB155" i="1"/>
  <c r="DB157" i="1" s="1"/>
  <c r="DA157" i="1"/>
  <c r="AV294" i="1" l="1"/>
  <c r="BD271" i="1"/>
  <c r="BE271" i="1" s="1"/>
  <c r="BB253" i="1"/>
  <c r="BC301" i="1" s="1"/>
  <c r="BP272" i="1"/>
  <c r="BQ272" i="1" s="1"/>
  <c r="BD253" i="1"/>
  <c r="BE301" i="1" s="1"/>
  <c r="AV253" i="1"/>
  <c r="AW301" i="1" s="1"/>
  <c r="AN253" i="1"/>
  <c r="AO301" i="1" s="1"/>
  <c r="BD212" i="1"/>
  <c r="BD184" i="1" s="1"/>
  <c r="AX272" i="1"/>
  <c r="AY272" i="1" s="1"/>
  <c r="BP240" i="1"/>
  <c r="BP274" i="1" s="1"/>
  <c r="AV226" i="1"/>
  <c r="AW125" i="1" s="1"/>
  <c r="BC220" i="1"/>
  <c r="BT119" i="1"/>
  <c r="BN240" i="1"/>
  <c r="BP226" i="1"/>
  <c r="BQ125" i="1" s="1"/>
  <c r="AV275" i="1"/>
  <c r="AW275" i="1" s="1"/>
  <c r="BT248" i="1"/>
  <c r="BT277" i="1" s="1"/>
  <c r="AV271" i="1"/>
  <c r="AW271" i="1" s="1"/>
  <c r="AW220" i="1"/>
  <c r="BT212" i="1"/>
  <c r="BO232" i="1"/>
  <c r="BN294" i="1"/>
  <c r="AW241" i="1"/>
  <c r="AV272" i="1"/>
  <c r="AW272" i="1" s="1"/>
  <c r="AV212" i="1"/>
  <c r="AV184" i="1" s="1"/>
  <c r="BT107" i="1"/>
  <c r="BX109" i="1" s="1"/>
  <c r="AX294" i="1"/>
  <c r="BX102" i="1"/>
  <c r="AW294" i="1"/>
  <c r="AZ212" i="1"/>
  <c r="AZ184" i="1" s="1"/>
  <c r="AN248" i="1"/>
  <c r="AN277" i="1" s="1"/>
  <c r="BB271" i="1"/>
  <c r="BC271" i="1" s="1"/>
  <c r="BR248" i="1"/>
  <c r="BR277" i="1" s="1"/>
  <c r="BD240" i="1"/>
  <c r="BD274" i="1" s="1"/>
  <c r="BO218" i="1"/>
  <c r="BO220" i="1" s="1"/>
  <c r="BN220" i="1"/>
  <c r="BN341" i="1" s="1"/>
  <c r="AV248" i="1"/>
  <c r="AV277" i="1" s="1"/>
  <c r="AZ240" i="1"/>
  <c r="AZ274" i="1" s="1"/>
  <c r="AV240" i="1"/>
  <c r="AV274" i="1" s="1"/>
  <c r="BP220" i="1"/>
  <c r="AX240" i="1"/>
  <c r="AX274" i="1" s="1"/>
  <c r="BD248" i="1"/>
  <c r="BD277" i="1" s="1"/>
  <c r="BN212" i="1"/>
  <c r="BN184" i="1" s="1"/>
  <c r="AX248" i="1"/>
  <c r="AX277" i="1" s="1"/>
  <c r="BB294" i="1"/>
  <c r="BB240" i="1"/>
  <c r="BB274" i="1" s="1"/>
  <c r="BP212" i="1"/>
  <c r="BB248" i="1"/>
  <c r="BB277" i="1" s="1"/>
  <c r="BP248" i="1"/>
  <c r="BP277" i="1" s="1"/>
  <c r="BB220" i="1"/>
  <c r="BP275" i="1"/>
  <c r="BQ275" i="1" s="1"/>
  <c r="BD220" i="1"/>
  <c r="BN248" i="1"/>
  <c r="BN277" i="1" s="1"/>
  <c r="BC119" i="1"/>
  <c r="BA102" i="1"/>
  <c r="AW119" i="1"/>
  <c r="H221" i="1"/>
  <c r="H147" i="1" s="1"/>
  <c r="K340" i="1"/>
  <c r="AO119" i="1"/>
  <c r="AT276" i="1"/>
  <c r="AT103" i="1"/>
  <c r="AU226" i="1"/>
  <c r="AU230" i="1" s="1"/>
  <c r="J340" i="1"/>
  <c r="BH340" i="1"/>
  <c r="BH103" i="1"/>
  <c r="AZ276" i="1"/>
  <c r="BO103" i="1"/>
  <c r="AP340" i="1"/>
  <c r="AX276" i="1"/>
  <c r="BO119" i="1"/>
  <c r="BM119" i="1"/>
  <c r="BB187" i="1"/>
  <c r="H267" i="1"/>
  <c r="BO196" i="1"/>
  <c r="AT119" i="1"/>
  <c r="BO194" i="1"/>
  <c r="BP276" i="1"/>
  <c r="BQ226" i="1"/>
  <c r="BQ230" i="1" s="1"/>
  <c r="BQ102" i="1"/>
  <c r="BM120" i="1"/>
  <c r="BM126" i="1" s="1"/>
  <c r="BM130" i="1" s="1"/>
  <c r="BB188" i="1"/>
  <c r="H289" i="1"/>
  <c r="BX194" i="1"/>
  <c r="BB221" i="1"/>
  <c r="M336" i="1"/>
  <c r="P249" i="1"/>
  <c r="U230" i="1"/>
  <c r="U336" i="1" s="1"/>
  <c r="BJ102" i="1"/>
  <c r="BG103" i="1"/>
  <c r="P221" i="1"/>
  <c r="P147" i="1" s="1"/>
  <c r="BF119" i="1"/>
  <c r="O230" i="1"/>
  <c r="O338" i="1" s="1"/>
  <c r="AX102" i="1"/>
  <c r="BP230" i="1"/>
  <c r="BP338" i="1" s="1"/>
  <c r="BM110" i="1"/>
  <c r="U267" i="1"/>
  <c r="AY125" i="1"/>
  <c r="BM103" i="1"/>
  <c r="BB340" i="1"/>
  <c r="BG226" i="1"/>
  <c r="BG230" i="1" s="1"/>
  <c r="U289" i="1"/>
  <c r="BM194" i="1"/>
  <c r="BG107" i="1"/>
  <c r="BG110" i="1" s="1"/>
  <c r="BB260" i="1"/>
  <c r="BB201" i="1" s="1"/>
  <c r="BC298" i="1"/>
  <c r="BU226" i="1"/>
  <c r="BU230" i="1" s="1"/>
  <c r="AX103" i="1"/>
  <c r="I288" i="1"/>
  <c r="AW317" i="1"/>
  <c r="P146" i="1"/>
  <c r="AZ230" i="1"/>
  <c r="AZ336" i="1" s="1"/>
  <c r="AX107" i="1"/>
  <c r="AX109" i="1" s="1"/>
  <c r="BA125" i="1"/>
  <c r="BQ107" i="1"/>
  <c r="BQ120" i="1" s="1"/>
  <c r="BQ126" i="1" s="1"/>
  <c r="BQ130" i="1" s="1"/>
  <c r="BQ132" i="1" s="1"/>
  <c r="S267" i="1"/>
  <c r="BR298" i="1"/>
  <c r="S150" i="1"/>
  <c r="S221" i="1"/>
  <c r="S147" i="1" s="1"/>
  <c r="BO125" i="1"/>
  <c r="S146" i="1"/>
  <c r="BD341" i="1"/>
  <c r="BO226" i="1"/>
  <c r="BP125" i="1" s="1"/>
  <c r="AT341" i="1"/>
  <c r="BT341" i="1"/>
  <c r="BI125" i="1"/>
  <c r="BO280" i="1"/>
  <c r="R230" i="1"/>
  <c r="R338" i="1" s="1"/>
  <c r="BJ195" i="1"/>
  <c r="BI226" i="1"/>
  <c r="BJ125" i="1" s="1"/>
  <c r="AX196" i="1"/>
  <c r="AN298" i="1"/>
  <c r="AX195" i="1"/>
  <c r="BO317" i="1"/>
  <c r="BT276" i="1"/>
  <c r="AX230" i="1"/>
  <c r="AX338" i="1" s="1"/>
  <c r="BJ336" i="1"/>
  <c r="BQ119" i="1"/>
  <c r="BG298" i="1"/>
  <c r="BX125" i="1"/>
  <c r="BK103" i="1"/>
  <c r="BJ196" i="1"/>
  <c r="AN317" i="1"/>
  <c r="BA298" i="1"/>
  <c r="BR119" i="1"/>
  <c r="AN221" i="1"/>
  <c r="AP188" i="1"/>
  <c r="BS226" i="1"/>
  <c r="BT125" i="1" s="1"/>
  <c r="D221" i="1"/>
  <c r="D147" i="1" s="1"/>
  <c r="P267" i="1"/>
  <c r="BW125" i="1"/>
  <c r="BI103" i="1"/>
  <c r="AX340" i="1"/>
  <c r="AX119" i="1"/>
  <c r="AP186" i="1"/>
  <c r="H288" i="1"/>
  <c r="BX196" i="1"/>
  <c r="BD195" i="1"/>
  <c r="BV230" i="1"/>
  <c r="BV338" i="1" s="1"/>
  <c r="K298" i="1"/>
  <c r="C267" i="1"/>
  <c r="BV249" i="1"/>
  <c r="G340" i="1"/>
  <c r="X298" i="1"/>
  <c r="G230" i="1"/>
  <c r="G336" i="1" s="1"/>
  <c r="L289" i="1"/>
  <c r="M298" i="1"/>
  <c r="BW119" i="1"/>
  <c r="BG119" i="1"/>
  <c r="AU102" i="1"/>
  <c r="BV186" i="1"/>
  <c r="AQ301" i="1"/>
  <c r="S129" i="1"/>
  <c r="AS226" i="1"/>
  <c r="AT125" i="1" s="1"/>
  <c r="AO317" i="1"/>
  <c r="BB196" i="1"/>
  <c r="BV195" i="1"/>
  <c r="BR187" i="1"/>
  <c r="BV187" i="1"/>
  <c r="AS125" i="1"/>
  <c r="BH107" i="1"/>
  <c r="BH108" i="1" s="1"/>
  <c r="F230" i="1"/>
  <c r="F336" i="1" s="1"/>
  <c r="AO107" i="1"/>
  <c r="AO109" i="1" s="1"/>
  <c r="BB195" i="1"/>
  <c r="AY341" i="1"/>
  <c r="BR103" i="1"/>
  <c r="BM280" i="1"/>
  <c r="T150" i="1"/>
  <c r="AS280" i="1"/>
  <c r="BD194" i="1"/>
  <c r="B260" i="1"/>
  <c r="B201" i="1" s="1"/>
  <c r="BD230" i="1"/>
  <c r="BM195" i="1"/>
  <c r="BH273" i="1"/>
  <c r="P341" i="1"/>
  <c r="P343" i="1" s="1"/>
  <c r="BE226" i="1"/>
  <c r="BF125" i="1" s="1"/>
  <c r="AO103" i="1"/>
  <c r="U221" i="1"/>
  <c r="U147" i="1" s="1"/>
  <c r="BF276" i="1"/>
  <c r="BU119" i="1"/>
  <c r="S301" i="1"/>
  <c r="R340" i="1"/>
  <c r="AU103" i="1"/>
  <c r="AY102" i="1"/>
  <c r="AX317" i="1"/>
  <c r="BA119" i="1"/>
  <c r="AV260" i="1"/>
  <c r="AW129" i="1" s="1"/>
  <c r="AV298" i="1"/>
  <c r="AU301" i="1"/>
  <c r="AT260" i="1"/>
  <c r="AU129" i="1" s="1"/>
  <c r="AU125" i="1"/>
  <c r="F146" i="1"/>
  <c r="F340" i="1"/>
  <c r="BP195" i="1"/>
  <c r="BP196" i="1"/>
  <c r="AO298" i="1"/>
  <c r="AO341" i="1"/>
  <c r="BW196" i="1"/>
  <c r="BW195" i="1"/>
  <c r="BW194" i="1"/>
  <c r="AR195" i="1"/>
  <c r="AR194" i="1"/>
  <c r="AR196" i="1"/>
  <c r="Q146" i="1"/>
  <c r="Q299" i="1"/>
  <c r="Q267" i="1"/>
  <c r="V129" i="1"/>
  <c r="V221" i="1"/>
  <c r="V147" i="1" s="1"/>
  <c r="BU103" i="1"/>
  <c r="BF108" i="1"/>
  <c r="BJ109" i="1"/>
  <c r="T273" i="1"/>
  <c r="T278" i="1"/>
  <c r="BZ336" i="1"/>
  <c r="X150" i="1"/>
  <c r="CA102" i="1"/>
  <c r="BX280" i="1"/>
  <c r="BN274" i="1"/>
  <c r="BN273" i="1" s="1"/>
  <c r="BI317" i="1"/>
  <c r="BL102" i="1"/>
  <c r="BB230" i="1"/>
  <c r="BC226" i="1"/>
  <c r="BC230" i="1" s="1"/>
  <c r="P298" i="1"/>
  <c r="P129" i="1"/>
  <c r="AT195" i="1"/>
  <c r="AT194" i="1"/>
  <c r="AV230" i="1"/>
  <c r="AV336" i="1" s="1"/>
  <c r="AW226" i="1"/>
  <c r="AX125" i="1" s="1"/>
  <c r="O299" i="1"/>
  <c r="BK196" i="1"/>
  <c r="S289" i="1"/>
  <c r="CB280" i="1"/>
  <c r="P260" i="1"/>
  <c r="P201" i="1" s="1"/>
  <c r="E274" i="1"/>
  <c r="E249" i="1"/>
  <c r="W341" i="1"/>
  <c r="W343" i="1" s="1"/>
  <c r="W129" i="1"/>
  <c r="G299" i="1"/>
  <c r="BH187" i="1"/>
  <c r="BH188" i="1"/>
  <c r="BH186" i="1"/>
  <c r="AN276" i="1"/>
  <c r="BC125" i="1"/>
  <c r="N230" i="1"/>
  <c r="N338" i="1" s="1"/>
  <c r="H125" i="1"/>
  <c r="BU107" i="1"/>
  <c r="BU120" i="1" s="1"/>
  <c r="T249" i="1"/>
  <c r="G146" i="1"/>
  <c r="BS195" i="1"/>
  <c r="BS194" i="1"/>
  <c r="G267" i="1"/>
  <c r="BJ317" i="1"/>
  <c r="BJ103" i="1"/>
  <c r="BM102" i="1"/>
  <c r="BI119" i="1"/>
  <c r="AW341" i="1"/>
  <c r="AW298" i="1"/>
  <c r="BR317" i="1"/>
  <c r="AZ249" i="1"/>
  <c r="AO125" i="1"/>
  <c r="BR280" i="1"/>
  <c r="V289" i="1"/>
  <c r="H299" i="1"/>
  <c r="W298" i="1"/>
  <c r="BA107" i="1"/>
  <c r="BA120" i="1" s="1"/>
  <c r="BA121" i="1" s="1"/>
  <c r="Q298" i="1"/>
  <c r="BP194" i="1"/>
  <c r="AV103" i="1"/>
  <c r="AQ317" i="1"/>
  <c r="T230" i="1"/>
  <c r="T336" i="1" s="1"/>
  <c r="BJ298" i="1"/>
  <c r="C125" i="1"/>
  <c r="N288" i="1"/>
  <c r="BT221" i="1"/>
  <c r="AP119" i="1"/>
  <c r="BH119" i="1"/>
  <c r="BR341" i="1"/>
  <c r="V150" i="1"/>
  <c r="Q340" i="1"/>
  <c r="C295" i="1"/>
  <c r="C293" i="1" s="1"/>
  <c r="M278" i="1"/>
  <c r="D260" i="1"/>
  <c r="D201" i="1" s="1"/>
  <c r="BA194" i="1"/>
  <c r="BA195" i="1"/>
  <c r="J129" i="1"/>
  <c r="L230" i="1"/>
  <c r="M295" i="1" s="1"/>
  <c r="M293" i="1" s="1"/>
  <c r="BV276" i="1"/>
  <c r="BP280" i="1"/>
  <c r="AZ341" i="1"/>
  <c r="BF221" i="1"/>
  <c r="AR338" i="1"/>
  <c r="AU298" i="1"/>
  <c r="AZ119" i="1"/>
  <c r="BG102" i="1"/>
  <c r="AP109" i="1"/>
  <c r="AP120" i="1"/>
  <c r="AP324" i="1" s="1"/>
  <c r="AP325" i="1" s="1"/>
  <c r="Q274" i="1"/>
  <c r="Q273" i="1" s="1"/>
  <c r="R288" i="1"/>
  <c r="D277" i="1"/>
  <c r="D276" i="1" s="1"/>
  <c r="E289" i="1"/>
  <c r="BV107" i="1"/>
  <c r="BZ109" i="1" s="1"/>
  <c r="BZ102" i="1"/>
  <c r="T301" i="1"/>
  <c r="S260" i="1"/>
  <c r="S201" i="1" s="1"/>
  <c r="S340" i="1"/>
  <c r="AR341" i="1"/>
  <c r="AR221" i="1"/>
  <c r="BT260" i="1"/>
  <c r="BU129" i="1" s="1"/>
  <c r="AR298" i="1"/>
  <c r="BE195" i="1"/>
  <c r="BE194" i="1"/>
  <c r="R146" i="1"/>
  <c r="S299" i="1"/>
  <c r="AL336" i="1"/>
  <c r="AM102" i="1"/>
  <c r="AI119" i="1"/>
  <c r="AL317" i="1"/>
  <c r="P125" i="1"/>
  <c r="P230" i="1"/>
  <c r="I125" i="1"/>
  <c r="I230" i="1"/>
  <c r="I338" i="1" s="1"/>
  <c r="BF341" i="1"/>
  <c r="BT230" i="1"/>
  <c r="BT336" i="1" s="1"/>
  <c r="BZ196" i="1"/>
  <c r="AQ195" i="1"/>
  <c r="E230" i="1"/>
  <c r="AT187" i="1"/>
  <c r="AT188" i="1"/>
  <c r="BD119" i="1"/>
  <c r="BH280" i="1"/>
  <c r="BH102" i="1"/>
  <c r="AP194" i="1"/>
  <c r="AP196" i="1"/>
  <c r="D298" i="1"/>
  <c r="BD107" i="1"/>
  <c r="BD108" i="1" s="1"/>
  <c r="O221" i="1"/>
  <c r="O147" i="1" s="1"/>
  <c r="U146" i="1"/>
  <c r="BV280" i="1"/>
  <c r="BV102" i="1"/>
  <c r="AY195" i="1"/>
  <c r="BT102" i="1"/>
  <c r="AI107" i="1"/>
  <c r="AJ110" i="1" s="1"/>
  <c r="AY107" i="1"/>
  <c r="AY120" i="1" s="1"/>
  <c r="AY121" i="1" s="1"/>
  <c r="BC102" i="1"/>
  <c r="R150" i="1"/>
  <c r="BW107" i="1"/>
  <c r="BX103" i="1"/>
  <c r="BH298" i="1"/>
  <c r="BE107" i="1"/>
  <c r="BE108" i="1" s="1"/>
  <c r="BI280" i="1"/>
  <c r="AS119" i="1"/>
  <c r="E299" i="1"/>
  <c r="E267" i="1"/>
  <c r="E146" i="1"/>
  <c r="BH341" i="1"/>
  <c r="Q338" i="1"/>
  <c r="AX280" i="1"/>
  <c r="R249" i="1"/>
  <c r="AU280" i="1"/>
  <c r="AY194" i="1"/>
  <c r="F274" i="1"/>
  <c r="F273" i="1" s="1"/>
  <c r="G288" i="1"/>
  <c r="BV260" i="1"/>
  <c r="BW129" i="1" s="1"/>
  <c r="AV119" i="1"/>
  <c r="AY317" i="1"/>
  <c r="AV107" i="1"/>
  <c r="AV108" i="1" s="1"/>
  <c r="AZ102" i="1"/>
  <c r="K299" i="1"/>
  <c r="K146" i="1"/>
  <c r="K267" i="1"/>
  <c r="AP230" i="1"/>
  <c r="AP338" i="1" s="1"/>
  <c r="AQ125" i="1"/>
  <c r="J230" i="1"/>
  <c r="J338" i="1" s="1"/>
  <c r="J125" i="1"/>
  <c r="AL196" i="1"/>
  <c r="AL195" i="1"/>
  <c r="BJ121" i="1"/>
  <c r="BJ324" i="1"/>
  <c r="BJ325" i="1" s="1"/>
  <c r="AR340" i="1"/>
  <c r="AR260" i="1"/>
  <c r="AS129" i="1" s="1"/>
  <c r="B161" i="1"/>
  <c r="B179" i="1" s="1"/>
  <c r="V249" i="1"/>
  <c r="O260" i="1"/>
  <c r="O201" i="1" s="1"/>
  <c r="BY280" i="1"/>
  <c r="AN280" i="1"/>
  <c r="BU102" i="1"/>
  <c r="AM144" i="1"/>
  <c r="BK107" i="1"/>
  <c r="BK110" i="1" s="1"/>
  <c r="BM317" i="1"/>
  <c r="L341" i="1"/>
  <c r="L343" i="1" s="1"/>
  <c r="AV194" i="1"/>
  <c r="AV196" i="1"/>
  <c r="V125" i="1"/>
  <c r="V230" i="1"/>
  <c r="W295" i="1" s="1"/>
  <c r="W293" i="1" s="1"/>
  <c r="I301" i="1"/>
  <c r="H340" i="1"/>
  <c r="J277" i="1"/>
  <c r="J276" i="1" s="1"/>
  <c r="K289" i="1"/>
  <c r="E301" i="1"/>
  <c r="D340" i="1"/>
  <c r="T341" i="1"/>
  <c r="T343" i="1" s="1"/>
  <c r="U298" i="1"/>
  <c r="D199" i="1"/>
  <c r="D200" i="1"/>
  <c r="B221" i="1"/>
  <c r="B147" i="1" s="1"/>
  <c r="C299" i="1"/>
  <c r="BO294" i="1"/>
  <c r="BP294" i="1"/>
  <c r="AR277" i="1"/>
  <c r="AR278" i="1" s="1"/>
  <c r="AR249" i="1"/>
  <c r="AR257" i="1" s="1"/>
  <c r="AO196" i="1"/>
  <c r="AO194" i="1"/>
  <c r="R278" i="1"/>
  <c r="O274" i="1"/>
  <c r="O273" i="1" s="1"/>
  <c r="BH195" i="1"/>
  <c r="BH196" i="1"/>
  <c r="O298" i="1"/>
  <c r="N221" i="1"/>
  <c r="N147" i="1" s="1"/>
  <c r="F267" i="1"/>
  <c r="F299" i="1"/>
  <c r="J146" i="1"/>
  <c r="J267" i="1"/>
  <c r="J221" i="1"/>
  <c r="J147" i="1" s="1"/>
  <c r="AT221" i="1"/>
  <c r="Q336" i="1"/>
  <c r="N129" i="1"/>
  <c r="Q125" i="1"/>
  <c r="BG195" i="1"/>
  <c r="BG194" i="1"/>
  <c r="AQ341" i="1"/>
  <c r="AQ298" i="1"/>
  <c r="AQ102" i="1"/>
  <c r="AQ280" i="1"/>
  <c r="AQ107" i="1"/>
  <c r="AQ109" i="1" s="1"/>
  <c r="U341" i="1"/>
  <c r="U343" i="1" s="1"/>
  <c r="F221" i="1"/>
  <c r="F147" i="1" s="1"/>
  <c r="BG341" i="1"/>
  <c r="R267" i="1"/>
  <c r="BF298" i="1"/>
  <c r="C341" i="1"/>
  <c r="C343" i="1" s="1"/>
  <c r="AY280" i="1"/>
  <c r="T299" i="1"/>
  <c r="D125" i="1"/>
  <c r="BY102" i="1"/>
  <c r="AQ119" i="1"/>
  <c r="BL317" i="1"/>
  <c r="BZ195" i="1"/>
  <c r="BW28" i="1"/>
  <c r="BI301" i="1"/>
  <c r="BH336" i="1"/>
  <c r="M341" i="1"/>
  <c r="M343" i="1" s="1"/>
  <c r="L129" i="1"/>
  <c r="N274" i="1"/>
  <c r="N249" i="1"/>
  <c r="O288" i="1"/>
  <c r="AP102" i="1"/>
  <c r="AT102" i="1"/>
  <c r="AP280" i="1"/>
  <c r="BS125" i="1"/>
  <c r="T260" i="1"/>
  <c r="T201" i="1" s="1"/>
  <c r="BP107" i="1"/>
  <c r="BP103" i="1"/>
  <c r="BP119" i="1"/>
  <c r="B277" i="1"/>
  <c r="B276" i="1" s="1"/>
  <c r="C289" i="1"/>
  <c r="D341" i="1"/>
  <c r="D343" i="1" s="1"/>
  <c r="BS317" i="1"/>
  <c r="BS103" i="1"/>
  <c r="BI196" i="1"/>
  <c r="BI195" i="1"/>
  <c r="R298" i="1"/>
  <c r="S341" i="1"/>
  <c r="S343" i="1" s="1"/>
  <c r="L278" i="1"/>
  <c r="N298" i="1"/>
  <c r="Q288" i="1"/>
  <c r="AZ120" i="1"/>
  <c r="AZ121" i="1" s="1"/>
  <c r="BP102" i="1"/>
  <c r="AU107" i="1"/>
  <c r="AU110" i="1" s="1"/>
  <c r="Q150" i="1"/>
  <c r="AN196" i="1"/>
  <c r="AN195" i="1"/>
  <c r="AP273" i="1"/>
  <c r="S298" i="1"/>
  <c r="BX317" i="1"/>
  <c r="BS107" i="1"/>
  <c r="BS108" i="1" s="1"/>
  <c r="AP298" i="1"/>
  <c r="AP260" i="1"/>
  <c r="AQ129" i="1" s="1"/>
  <c r="V267" i="1"/>
  <c r="V146" i="1"/>
  <c r="V299" i="1"/>
  <c r="BF340" i="1"/>
  <c r="BF260" i="1"/>
  <c r="BG129" i="1" s="1"/>
  <c r="AY103" i="1"/>
  <c r="O129" i="1"/>
  <c r="AW103" i="1"/>
  <c r="AP341" i="1"/>
  <c r="AT340" i="1"/>
  <c r="V278" i="1"/>
  <c r="L221" i="1"/>
  <c r="L147" i="1" s="1"/>
  <c r="Q221" i="1"/>
  <c r="Q147" i="1" s="1"/>
  <c r="BG125" i="1"/>
  <c r="AN230" i="1"/>
  <c r="AN338" i="1" s="1"/>
  <c r="BQ280" i="1"/>
  <c r="AQ194" i="1"/>
  <c r="T129" i="1"/>
  <c r="T298" i="1"/>
  <c r="K129" i="1"/>
  <c r="M260" i="1"/>
  <c r="M201" i="1" s="1"/>
  <c r="R341" i="1"/>
  <c r="R343" i="1" s="1"/>
  <c r="AR317" i="1"/>
  <c r="R299" i="1"/>
  <c r="D158" i="1"/>
  <c r="D161" i="1" s="1"/>
  <c r="C181" i="1" s="1"/>
  <c r="B267" i="1"/>
  <c r="BW298" i="1"/>
  <c r="BJ126" i="1"/>
  <c r="BJ130" i="1" s="1"/>
  <c r="BJ133" i="1" s="1"/>
  <c r="BJ134" i="1" s="1"/>
  <c r="BJ337" i="1" s="1"/>
  <c r="D146" i="1"/>
  <c r="U249" i="1"/>
  <c r="C298" i="1"/>
  <c r="AQ103" i="1"/>
  <c r="N341" i="1"/>
  <c r="N343" i="1" s="1"/>
  <c r="BC107" i="1"/>
  <c r="AP103" i="1"/>
  <c r="BB107" i="1"/>
  <c r="BB108" i="1" s="1"/>
  <c r="BB103" i="1"/>
  <c r="AI276" i="1"/>
  <c r="N340" i="1"/>
  <c r="AT298" i="1"/>
  <c r="BS341" i="1"/>
  <c r="AV341" i="1"/>
  <c r="P288" i="1"/>
  <c r="G221" i="1"/>
  <c r="G147" i="1" s="1"/>
  <c r="AU119" i="1"/>
  <c r="AX298" i="1"/>
  <c r="E288" i="1"/>
  <c r="AP221" i="1"/>
  <c r="AU341" i="1"/>
  <c r="BT298" i="1"/>
  <c r="AX341" i="1"/>
  <c r="U288" i="1"/>
  <c r="L146" i="1"/>
  <c r="V288" i="1"/>
  <c r="D299" i="1"/>
  <c r="AZ196" i="1"/>
  <c r="L299" i="1"/>
  <c r="C221" i="1"/>
  <c r="C147" i="1" s="1"/>
  <c r="AS107" i="1"/>
  <c r="AT110" i="1" s="1"/>
  <c r="AZ195" i="1"/>
  <c r="BH221" i="1"/>
  <c r="AS102" i="1"/>
  <c r="P274" i="1"/>
  <c r="P278" i="1" s="1"/>
  <c r="BT103" i="1"/>
  <c r="BH317" i="1"/>
  <c r="G260" i="1"/>
  <c r="G201" i="1" s="1"/>
  <c r="BQ103" i="1"/>
  <c r="O340" i="1"/>
  <c r="S288" i="1"/>
  <c r="BK317" i="1"/>
  <c r="AV317" i="1"/>
  <c r="BD317" i="1"/>
  <c r="BS102" i="1"/>
  <c r="BU280" i="1"/>
  <c r="AN103" i="1"/>
  <c r="BU317" i="1"/>
  <c r="V340" i="1"/>
  <c r="S278" i="1"/>
  <c r="V260" i="1"/>
  <c r="V201" i="1" s="1"/>
  <c r="BE102" i="1"/>
  <c r="BE119" i="1"/>
  <c r="M340" i="1"/>
  <c r="B125" i="1"/>
  <c r="W125" i="1"/>
  <c r="BI107" i="1"/>
  <c r="B199" i="1"/>
  <c r="AI273" i="1"/>
  <c r="K278" i="1"/>
  <c r="BS119" i="1"/>
  <c r="J299" i="1"/>
  <c r="O146" i="1"/>
  <c r="BF317" i="1"/>
  <c r="T289" i="1"/>
  <c r="C340" i="1"/>
  <c r="BW102" i="1"/>
  <c r="AM211" i="1"/>
  <c r="AM212" i="1" s="1"/>
  <c r="AM146" i="1" s="1"/>
  <c r="AR280" i="1"/>
  <c r="AZ298" i="1"/>
  <c r="BT280" i="1"/>
  <c r="BW280" i="1"/>
  <c r="P299" i="1"/>
  <c r="I267" i="1"/>
  <c r="BF103" i="1"/>
  <c r="BJ280" i="1"/>
  <c r="BT317" i="1"/>
  <c r="S249" i="1"/>
  <c r="BH338" i="1"/>
  <c r="BD249" i="1"/>
  <c r="AZ340" i="1"/>
  <c r="AY298" i="1"/>
  <c r="AS341" i="1"/>
  <c r="U278" i="1"/>
  <c r="N267" i="1"/>
  <c r="BN103" i="1"/>
  <c r="K249" i="1"/>
  <c r="BV273" i="1"/>
  <c r="BE280" i="1"/>
  <c r="AT280" i="1"/>
  <c r="AW102" i="1"/>
  <c r="BY194" i="1"/>
  <c r="H249" i="1"/>
  <c r="H257" i="1" s="1"/>
  <c r="BE103" i="1"/>
  <c r="AN107" i="1"/>
  <c r="AN120" i="1" s="1"/>
  <c r="AN126" i="1" s="1"/>
  <c r="I341" i="1"/>
  <c r="I343" i="1" s="1"/>
  <c r="AN194" i="1"/>
  <c r="O150" i="1"/>
  <c r="AO280" i="1"/>
  <c r="C260" i="1"/>
  <c r="C201" i="1" s="1"/>
  <c r="C202" i="1" s="1"/>
  <c r="C205" i="1" s="1"/>
  <c r="I299" i="1"/>
  <c r="I340" i="1"/>
  <c r="AP317" i="1"/>
  <c r="O267" i="1"/>
  <c r="L260" i="1"/>
  <c r="L201" i="1" s="1"/>
  <c r="D288" i="1"/>
  <c r="H341" i="1"/>
  <c r="H343" i="1" s="1"/>
  <c r="F288" i="1"/>
  <c r="C249" i="1"/>
  <c r="C257" i="1" s="1"/>
  <c r="BI102" i="1"/>
  <c r="BY195" i="1"/>
  <c r="AN119" i="1"/>
  <c r="V341" i="1"/>
  <c r="V343" i="1" s="1"/>
  <c r="V298" i="1"/>
  <c r="Q249" i="1"/>
  <c r="Q257" i="1" s="1"/>
  <c r="AM158" i="1"/>
  <c r="AM161" i="1" s="1"/>
  <c r="AM178" i="1" s="1"/>
  <c r="H338" i="1"/>
  <c r="BP273" i="1"/>
  <c r="R260" i="1"/>
  <c r="R201" i="1" s="1"/>
  <c r="BL103" i="1"/>
  <c r="AI278" i="1"/>
  <c r="BH278" i="1"/>
  <c r="BL281" i="1" s="1"/>
  <c r="B200" i="1"/>
  <c r="BT249" i="1"/>
  <c r="BK119" i="1"/>
  <c r="BA103" i="1"/>
  <c r="AY119" i="1"/>
  <c r="BF120" i="1"/>
  <c r="BJ122" i="1" s="1"/>
  <c r="BT120" i="1"/>
  <c r="BT121" i="1" s="1"/>
  <c r="BU341" i="1"/>
  <c r="BU298" i="1"/>
  <c r="BV298" i="1"/>
  <c r="BR249" i="1"/>
  <c r="BR257" i="1" s="1"/>
  <c r="BF249" i="1"/>
  <c r="BF257" i="1" s="1"/>
  <c r="F249" i="1"/>
  <c r="BS280" i="1"/>
  <c r="BP317" i="1"/>
  <c r="BN317" i="1"/>
  <c r="G289" i="1"/>
  <c r="BQ196" i="1"/>
  <c r="R129" i="1"/>
  <c r="BI298" i="1"/>
  <c r="D249" i="1"/>
  <c r="D257" i="1" s="1"/>
  <c r="D336" i="1" s="1"/>
  <c r="BW317" i="1"/>
  <c r="N260" i="1"/>
  <c r="N201" i="1" s="1"/>
  <c r="O341" i="1"/>
  <c r="O343" i="1" s="1"/>
  <c r="O289" i="1"/>
  <c r="F129" i="1"/>
  <c r="BN107" i="1"/>
  <c r="BN110" i="1" s="1"/>
  <c r="P289" i="1"/>
  <c r="BR188" i="1"/>
  <c r="BT108" i="1"/>
  <c r="AV221" i="1"/>
  <c r="AP249" i="1"/>
  <c r="BP278" i="1"/>
  <c r="BP281" i="1" s="1"/>
  <c r="AV340" i="1"/>
  <c r="AZ260" i="1"/>
  <c r="AZ201" i="1" s="1"/>
  <c r="BN298" i="1"/>
  <c r="AX221" i="1"/>
  <c r="BR260" i="1"/>
  <c r="BR201" i="1" s="1"/>
  <c r="BP260" i="1"/>
  <c r="BQ129" i="1" s="1"/>
  <c r="AT249" i="1"/>
  <c r="AT257" i="1" s="1"/>
  <c r="AS298" i="1"/>
  <c r="G278" i="1"/>
  <c r="BN260" i="1"/>
  <c r="BN201" i="1" s="1"/>
  <c r="B273" i="1"/>
  <c r="BH249" i="1"/>
  <c r="BH257" i="1" s="1"/>
  <c r="BH276" i="1"/>
  <c r="N299" i="1"/>
  <c r="M299" i="1"/>
  <c r="BT195" i="1"/>
  <c r="BT194" i="1"/>
  <c r="S230" i="1"/>
  <c r="S338" i="1" s="1"/>
  <c r="U260" i="1"/>
  <c r="U201" i="1" s="1"/>
  <c r="BD102" i="1"/>
  <c r="BA317" i="1"/>
  <c r="BO102" i="1"/>
  <c r="BV196" i="1"/>
  <c r="BD103" i="1"/>
  <c r="K221" i="1"/>
  <c r="K147" i="1" s="1"/>
  <c r="Q341" i="1"/>
  <c r="Q343" i="1" s="1"/>
  <c r="R289" i="1"/>
  <c r="BS196" i="1"/>
  <c r="I260" i="1"/>
  <c r="I201" i="1" s="1"/>
  <c r="K341" i="1"/>
  <c r="K343" i="1" s="1"/>
  <c r="C200" i="1"/>
  <c r="H298" i="1"/>
  <c r="BK102" i="1"/>
  <c r="L298" i="1"/>
  <c r="W150" i="1"/>
  <c r="M267" i="1"/>
  <c r="BA280" i="1"/>
  <c r="B146" i="1"/>
  <c r="H129" i="1"/>
  <c r="BR102" i="1"/>
  <c r="BX341" i="1"/>
  <c r="AZ317" i="1"/>
  <c r="BL280" i="1"/>
  <c r="BI341" i="1"/>
  <c r="BL336" i="1"/>
  <c r="L340" i="1"/>
  <c r="D289" i="1"/>
  <c r="BV317" i="1"/>
  <c r="F341" i="1"/>
  <c r="F343" i="1" s="1"/>
  <c r="BD276" i="1"/>
  <c r="B249" i="1"/>
  <c r="B257" i="1" s="1"/>
  <c r="B336" i="1" s="1"/>
  <c r="F298" i="1"/>
  <c r="BL196" i="1"/>
  <c r="H260" i="1"/>
  <c r="H201" i="1" s="1"/>
  <c r="BN119" i="1"/>
  <c r="G341" i="1"/>
  <c r="G343" i="1" s="1"/>
  <c r="BG280" i="1"/>
  <c r="AU196" i="1"/>
  <c r="Q260" i="1"/>
  <c r="Q201" i="1" s="1"/>
  <c r="BU195" i="1"/>
  <c r="G298" i="1"/>
  <c r="BQ195" i="1"/>
  <c r="F260" i="1"/>
  <c r="F201" i="1" s="1"/>
  <c r="K260" i="1"/>
  <c r="K201" i="1" s="1"/>
  <c r="BN102" i="1"/>
  <c r="BI294" i="1"/>
  <c r="BQ341" i="1"/>
  <c r="BR340" i="1"/>
  <c r="BR221" i="1"/>
  <c r="BN221" i="1"/>
  <c r="BQ317" i="1"/>
  <c r="O249" i="1"/>
  <c r="BW341" i="1"/>
  <c r="BU196" i="1"/>
  <c r="BY317" i="1"/>
  <c r="AS196" i="1"/>
  <c r="BW103" i="1"/>
  <c r="CA280" i="1"/>
  <c r="C288" i="1"/>
  <c r="Q129" i="1"/>
  <c r="AU194" i="1"/>
  <c r="AW194" i="1"/>
  <c r="BB249" i="1"/>
  <c r="BP221" i="1"/>
  <c r="BA341" i="1"/>
  <c r="BV341" i="1"/>
  <c r="BS298" i="1"/>
  <c r="H278" i="1"/>
  <c r="BC196" i="1"/>
  <c r="BC195" i="1"/>
  <c r="U340" i="1"/>
  <c r="U150" i="1"/>
  <c r="P150" i="1"/>
  <c r="AS317" i="1"/>
  <c r="BN280" i="1"/>
  <c r="G249" i="1"/>
  <c r="R221" i="1"/>
  <c r="R147" i="1" s="1"/>
  <c r="I298" i="1"/>
  <c r="Q289" i="1"/>
  <c r="B340" i="1"/>
  <c r="BG317" i="1"/>
  <c r="BK195" i="1"/>
  <c r="BD280" i="1"/>
  <c r="BK280" i="1"/>
  <c r="C158" i="1"/>
  <c r="C160" i="1" s="1"/>
  <c r="M146" i="1"/>
  <c r="I221" i="1"/>
  <c r="I147" i="1" s="1"/>
  <c r="BV103" i="1"/>
  <c r="BX336" i="1"/>
  <c r="AW280" i="1"/>
  <c r="J341" i="1"/>
  <c r="J343" i="1" s="1"/>
  <c r="M221" i="1"/>
  <c r="M147" i="1" s="1"/>
  <c r="AR103" i="1"/>
  <c r="E298" i="1"/>
  <c r="F289" i="1"/>
  <c r="BZ280" i="1"/>
  <c r="AS194" i="1"/>
  <c r="J298" i="1"/>
  <c r="BF195" i="1"/>
  <c r="BF196" i="1"/>
  <c r="BC317" i="1"/>
  <c r="BL195" i="1"/>
  <c r="AZ280" i="1"/>
  <c r="E260" i="1"/>
  <c r="E201" i="1" s="1"/>
  <c r="E221" i="1"/>
  <c r="E147" i="1" s="1"/>
  <c r="AZ103" i="1"/>
  <c r="AW196" i="1"/>
  <c r="AR119" i="1"/>
  <c r="BV119" i="1"/>
  <c r="BV278" i="1"/>
  <c r="BZ281" i="1" s="1"/>
  <c r="BH260" i="1"/>
  <c r="BH201" i="1" s="1"/>
  <c r="BH202" i="1" s="1"/>
  <c r="M276" i="1"/>
  <c r="AR336" i="1"/>
  <c r="J274" i="1"/>
  <c r="J273" i="1" s="1"/>
  <c r="BB280" i="1"/>
  <c r="L288" i="1"/>
  <c r="K288" i="1"/>
  <c r="T267" i="1"/>
  <c r="U299" i="1"/>
  <c r="AR107" i="1"/>
  <c r="AR120" i="1" s="1"/>
  <c r="AR121" i="1" s="1"/>
  <c r="T288" i="1"/>
  <c r="J249" i="1"/>
  <c r="T146" i="1"/>
  <c r="T340" i="1"/>
  <c r="BN196" i="1"/>
  <c r="BB119" i="1"/>
  <c r="M338" i="1"/>
  <c r="H336" i="1"/>
  <c r="T221" i="1"/>
  <c r="T147" i="1" s="1"/>
  <c r="BB102" i="1"/>
  <c r="BE317" i="1"/>
  <c r="J288" i="1"/>
  <c r="AV102" i="1"/>
  <c r="AS103" i="1"/>
  <c r="BB317" i="1"/>
  <c r="BF280" i="1"/>
  <c r="M125" i="1"/>
  <c r="AR102" i="1"/>
  <c r="BR195" i="1"/>
  <c r="L249" i="1"/>
  <c r="AT317" i="1"/>
  <c r="AU317" i="1"/>
  <c r="BC280" i="1"/>
  <c r="M249" i="1"/>
  <c r="M257" i="1" s="1"/>
  <c r="AV280" i="1"/>
  <c r="I249" i="1"/>
  <c r="J289" i="1"/>
  <c r="N289" i="1"/>
  <c r="M289" i="1"/>
  <c r="M288" i="1"/>
  <c r="I289" i="1"/>
  <c r="K230" i="1"/>
  <c r="K338" i="1" s="1"/>
  <c r="BC103" i="1"/>
  <c r="BR196" i="1"/>
  <c r="BN194" i="1"/>
  <c r="AR273" i="1"/>
  <c r="BV221" i="1"/>
  <c r="AP108" i="1"/>
  <c r="BV340" i="1"/>
  <c r="BF102" i="1"/>
  <c r="AT109" i="1"/>
  <c r="AT120" i="1"/>
  <c r="AT121" i="1" s="1"/>
  <c r="BO120" i="1"/>
  <c r="BR120" i="1"/>
  <c r="BO108" i="1"/>
  <c r="S273" i="1"/>
  <c r="O276" i="1"/>
  <c r="K276" i="1"/>
  <c r="C278" i="1"/>
  <c r="D295" i="1"/>
  <c r="D293" i="1" s="1"/>
  <c r="R276" i="1"/>
  <c r="BR108" i="1"/>
  <c r="I278" i="1"/>
  <c r="AW120" i="1"/>
  <c r="AW108" i="1"/>
  <c r="BR338" i="1"/>
  <c r="BR336" i="1"/>
  <c r="AP125" i="1"/>
  <c r="AO230" i="1"/>
  <c r="AN186" i="1"/>
  <c r="AN188" i="1"/>
  <c r="AZ125" i="1"/>
  <c r="AY230" i="1"/>
  <c r="BN295" i="1"/>
  <c r="BN336" i="1"/>
  <c r="BF338" i="1"/>
  <c r="BF336" i="1"/>
  <c r="BA230" i="1"/>
  <c r="BB125" i="1"/>
  <c r="AN273" i="1"/>
  <c r="AR186" i="1"/>
  <c r="AR188" i="1"/>
  <c r="AR187" i="1"/>
  <c r="AX188" i="1"/>
  <c r="AX187" i="1"/>
  <c r="AX186" i="1"/>
  <c r="AQ230" i="1"/>
  <c r="AR125" i="1"/>
  <c r="AT278" i="1"/>
  <c r="AT273" i="1"/>
  <c r="BD187" i="1"/>
  <c r="BD186" i="1"/>
  <c r="BD188" i="1"/>
  <c r="AV188" i="1"/>
  <c r="AV186" i="1"/>
  <c r="AV187" i="1"/>
  <c r="AY129" i="1"/>
  <c r="AX201" i="1"/>
  <c r="AT338" i="1"/>
  <c r="AT336" i="1"/>
  <c r="AZ187" i="1"/>
  <c r="AZ188" i="1"/>
  <c r="AZ186" i="1"/>
  <c r="AP278" i="1"/>
  <c r="AP281" i="1" s="1"/>
  <c r="AP276" i="1"/>
  <c r="BF273" i="1"/>
  <c r="BF278" i="1"/>
  <c r="BJ281" i="1" s="1"/>
  <c r="BF187" i="1"/>
  <c r="BF188" i="1"/>
  <c r="BF186" i="1"/>
  <c r="BR273" i="1"/>
  <c r="BD273" i="1"/>
  <c r="BT278" i="1"/>
  <c r="BT273" i="1"/>
  <c r="BX295" i="1"/>
  <c r="BX293" i="1" s="1"/>
  <c r="AZ278" i="1"/>
  <c r="AZ273" i="1"/>
  <c r="CR226" i="1"/>
  <c r="AE234" i="1"/>
  <c r="AC216" i="1"/>
  <c r="BN276" i="1" l="1"/>
  <c r="BT184" i="1"/>
  <c r="BT188" i="1" s="1"/>
  <c r="AN249" i="1"/>
  <c r="AZ221" i="1"/>
  <c r="BE341" i="1"/>
  <c r="AV276" i="1"/>
  <c r="AX249" i="1"/>
  <c r="BN293" i="1"/>
  <c r="BN338" i="1"/>
  <c r="BN188" i="1"/>
  <c r="BN187" i="1"/>
  <c r="BN186" i="1"/>
  <c r="AN278" i="1"/>
  <c r="AX273" i="1"/>
  <c r="AX278" i="1"/>
  <c r="AV273" i="1"/>
  <c r="BB278" i="1"/>
  <c r="BB273" i="1"/>
  <c r="BD278" i="1"/>
  <c r="BR276" i="1"/>
  <c r="BD340" i="1"/>
  <c r="BQ298" i="1"/>
  <c r="BT340" i="1"/>
  <c r="AN260" i="1"/>
  <c r="AO129" i="1" s="1"/>
  <c r="AV278" i="1"/>
  <c r="BC341" i="1"/>
  <c r="AN340" i="1"/>
  <c r="AV249" i="1"/>
  <c r="BD336" i="1"/>
  <c r="BN340" i="1"/>
  <c r="BN249" i="1"/>
  <c r="BN257" i="1" s="1"/>
  <c r="BB338" i="1"/>
  <c r="BB276" i="1"/>
  <c r="BB298" i="1"/>
  <c r="BB341" i="1"/>
  <c r="BT109" i="1"/>
  <c r="BP184" i="1"/>
  <c r="BP340" i="1"/>
  <c r="BR278" i="1"/>
  <c r="BO298" i="1"/>
  <c r="BP341" i="1"/>
  <c r="BO341" i="1"/>
  <c r="BP298" i="1"/>
  <c r="BP249" i="1"/>
  <c r="BD221" i="1"/>
  <c r="BD298" i="1"/>
  <c r="BE298" i="1"/>
  <c r="BD260" i="1"/>
  <c r="BD201" i="1" s="1"/>
  <c r="AX257" i="1"/>
  <c r="D202" i="1"/>
  <c r="D205" i="1" s="1"/>
  <c r="O336" i="1"/>
  <c r="H258" i="1"/>
  <c r="AV125" i="1"/>
  <c r="G257" i="1"/>
  <c r="G258" i="1" s="1"/>
  <c r="O257" i="1"/>
  <c r="O258" i="1" s="1"/>
  <c r="BM342" i="1"/>
  <c r="BM343" i="1" s="1"/>
  <c r="U257" i="1"/>
  <c r="U258" i="1" s="1"/>
  <c r="U338" i="1"/>
  <c r="BM123" i="1"/>
  <c r="L297" i="1"/>
  <c r="AX336" i="1"/>
  <c r="BV336" i="1"/>
  <c r="L290" i="1"/>
  <c r="L291" i="1" s="1"/>
  <c r="G338" i="1"/>
  <c r="BP336" i="1"/>
  <c r="BR125" i="1"/>
  <c r="R336" i="1"/>
  <c r="L336" i="1"/>
  <c r="BE230" i="1"/>
  <c r="BE295" i="1" s="1"/>
  <c r="BE293" i="1" s="1"/>
  <c r="BU108" i="1"/>
  <c r="BM324" i="1"/>
  <c r="BM325" i="1" s="1"/>
  <c r="BM121" i="1"/>
  <c r="BP257" i="1"/>
  <c r="BP258" i="1" s="1"/>
  <c r="P295" i="1"/>
  <c r="P293" i="1" s="1"/>
  <c r="AZ257" i="1"/>
  <c r="AZ258" i="1" s="1"/>
  <c r="H290" i="1"/>
  <c r="H291" i="1" s="1"/>
  <c r="BH125" i="1"/>
  <c r="BO230" i="1"/>
  <c r="BP295" i="1" s="1"/>
  <c r="BP293" i="1" s="1"/>
  <c r="R295" i="1"/>
  <c r="R293" i="1" s="1"/>
  <c r="L338" i="1"/>
  <c r="P297" i="1"/>
  <c r="R257" i="1"/>
  <c r="R258" i="1" s="1"/>
  <c r="BF201" i="1"/>
  <c r="BF203" i="1" s="1"/>
  <c r="AM299" i="1"/>
  <c r="AM297" i="1" s="1"/>
  <c r="U290" i="1"/>
  <c r="U291" i="1" s="1"/>
  <c r="BV257" i="1"/>
  <c r="BV258" i="1" s="1"/>
  <c r="I290" i="1"/>
  <c r="I291" i="1" s="1"/>
  <c r="BY109" i="1"/>
  <c r="AX108" i="1"/>
  <c r="AX110" i="1"/>
  <c r="AN257" i="1"/>
  <c r="AN258" i="1" s="1"/>
  <c r="B202" i="1"/>
  <c r="B205" i="1" s="1"/>
  <c r="BH109" i="1"/>
  <c r="AN295" i="1"/>
  <c r="AN293" i="1" s="1"/>
  <c r="BI230" i="1"/>
  <c r="BJ295" i="1" s="1"/>
  <c r="BJ293" i="1" s="1"/>
  <c r="AN336" i="1"/>
  <c r="D203" i="1"/>
  <c r="D206" i="1" s="1"/>
  <c r="Q278" i="1"/>
  <c r="R281" i="1" s="1"/>
  <c r="R282" i="1" s="1"/>
  <c r="M281" i="1"/>
  <c r="M282" i="1" s="1"/>
  <c r="BG108" i="1"/>
  <c r="BV125" i="1"/>
  <c r="N336" i="1"/>
  <c r="BR110" i="1"/>
  <c r="BQ108" i="1"/>
  <c r="BQ121" i="1"/>
  <c r="Q297" i="1"/>
  <c r="AX120" i="1"/>
  <c r="AX123" i="1" s="1"/>
  <c r="BQ133" i="1"/>
  <c r="BQ140" i="1" s="1"/>
  <c r="AP126" i="1"/>
  <c r="AP130" i="1" s="1"/>
  <c r="AP132" i="1" s="1"/>
  <c r="AP201" i="1"/>
  <c r="AP203" i="1" s="1"/>
  <c r="BC129" i="1"/>
  <c r="BG120" i="1"/>
  <c r="BG324" i="1" s="1"/>
  <c r="BG325" i="1" s="1"/>
  <c r="BQ122" i="1"/>
  <c r="BQ109" i="1"/>
  <c r="BQ324" i="1"/>
  <c r="BQ325" i="1" s="1"/>
  <c r="AW230" i="1"/>
  <c r="AW295" i="1" s="1"/>
  <c r="AW293" i="1" s="1"/>
  <c r="V295" i="1"/>
  <c r="V293" i="1" s="1"/>
  <c r="BR342" i="1"/>
  <c r="BR343" i="1" s="1"/>
  <c r="BU122" i="1"/>
  <c r="BK120" i="1"/>
  <c r="BK121" i="1" s="1"/>
  <c r="AP122" i="1"/>
  <c r="BT186" i="1"/>
  <c r="AV338" i="1"/>
  <c r="BH110" i="1"/>
  <c r="AO120" i="1"/>
  <c r="AP342" i="1" s="1"/>
  <c r="AP343" i="1" s="1"/>
  <c r="AP336" i="1"/>
  <c r="V336" i="1"/>
  <c r="F338" i="1"/>
  <c r="T151" i="1"/>
  <c r="BE120" i="1"/>
  <c r="BE121" i="1" s="1"/>
  <c r="O295" i="1"/>
  <c r="O293" i="1" s="1"/>
  <c r="AZ338" i="1"/>
  <c r="BS230" i="1"/>
  <c r="BT295" i="1" s="1"/>
  <c r="BT293" i="1" s="1"/>
  <c r="AP121" i="1"/>
  <c r="AT201" i="1"/>
  <c r="AT202" i="1" s="1"/>
  <c r="BL109" i="1"/>
  <c r="T297" i="1"/>
  <c r="BD120" i="1"/>
  <c r="BD126" i="1" s="1"/>
  <c r="BD130" i="1" s="1"/>
  <c r="BD132" i="1" s="1"/>
  <c r="I257" i="1"/>
  <c r="I258" i="1" s="1"/>
  <c r="BT187" i="1"/>
  <c r="N151" i="1"/>
  <c r="BH120" i="1"/>
  <c r="BL122" i="1" s="1"/>
  <c r="V338" i="1"/>
  <c r="BV201" i="1"/>
  <c r="BV202" i="1" s="1"/>
  <c r="BF110" i="1"/>
  <c r="AP257" i="1"/>
  <c r="AP258" i="1" s="1"/>
  <c r="N295" i="1"/>
  <c r="N293" i="1" s="1"/>
  <c r="S257" i="1"/>
  <c r="S258" i="1" s="1"/>
  <c r="V297" i="1"/>
  <c r="S297" i="1"/>
  <c r="O297" i="1"/>
  <c r="H281" i="1"/>
  <c r="H282" i="1" s="1"/>
  <c r="R290" i="1"/>
  <c r="R291" i="1" s="1"/>
  <c r="BI129" i="1"/>
  <c r="D178" i="1"/>
  <c r="BF258" i="1"/>
  <c r="C258" i="1"/>
  <c r="V281" i="1"/>
  <c r="V282" i="1" s="1"/>
  <c r="N257" i="1"/>
  <c r="N258" i="1" s="1"/>
  <c r="C297" i="1"/>
  <c r="V257" i="1"/>
  <c r="V258" i="1" s="1"/>
  <c r="AR258" i="1"/>
  <c r="G295" i="1"/>
  <c r="G293" i="1" s="1"/>
  <c r="AW110" i="1"/>
  <c r="S336" i="1"/>
  <c r="AY108" i="1"/>
  <c r="J257" i="1"/>
  <c r="J258" i="1" s="1"/>
  <c r="D177" i="1"/>
  <c r="BU110" i="1"/>
  <c r="I295" i="1"/>
  <c r="I293" i="1" s="1"/>
  <c r="C290" i="1"/>
  <c r="C291" i="1" s="1"/>
  <c r="C305" i="1" s="1"/>
  <c r="M290" i="1"/>
  <c r="M291" i="1" s="1"/>
  <c r="M305" i="1" s="1"/>
  <c r="T281" i="1"/>
  <c r="T282" i="1" s="1"/>
  <c r="BS129" i="1"/>
  <c r="B177" i="1"/>
  <c r="AT258" i="1"/>
  <c r="V290" i="1"/>
  <c r="V291" i="1" s="1"/>
  <c r="O290" i="1"/>
  <c r="O291" i="1" s="1"/>
  <c r="G297" i="1"/>
  <c r="BD257" i="1"/>
  <c r="B203" i="1"/>
  <c r="B206" i="1" s="1"/>
  <c r="U295" i="1"/>
  <c r="U293" i="1" s="1"/>
  <c r="BJ326" i="1"/>
  <c r="BB336" i="1"/>
  <c r="AS230" i="1"/>
  <c r="AT295" i="1" s="1"/>
  <c r="AT293" i="1" s="1"/>
  <c r="BA110" i="1"/>
  <c r="AU120" i="1"/>
  <c r="AU324" i="1" s="1"/>
  <c r="AU325" i="1" s="1"/>
  <c r="K297" i="1"/>
  <c r="T257" i="1"/>
  <c r="T258" i="1" s="1"/>
  <c r="BT338" i="1"/>
  <c r="S290" i="1"/>
  <c r="S291" i="1" s="1"/>
  <c r="BU126" i="1"/>
  <c r="BU130" i="1" s="1"/>
  <c r="BU132" i="1" s="1"/>
  <c r="Q258" i="1"/>
  <c r="BY122" i="1"/>
  <c r="BI110" i="1"/>
  <c r="BD338" i="1"/>
  <c r="H295" i="1"/>
  <c r="H293" i="1" s="1"/>
  <c r="BU324" i="1"/>
  <c r="BU325" i="1" s="1"/>
  <c r="BW295" i="1"/>
  <c r="BW293" i="1" s="1"/>
  <c r="BJ132" i="1"/>
  <c r="AO108" i="1"/>
  <c r="O151" i="1"/>
  <c r="AU108" i="1"/>
  <c r="AM179" i="1"/>
  <c r="H297" i="1"/>
  <c r="BO109" i="1"/>
  <c r="D290" i="1"/>
  <c r="D291" i="1" s="1"/>
  <c r="D305" i="1" s="1"/>
  <c r="U281" i="1"/>
  <c r="U282" i="1" s="1"/>
  <c r="BU121" i="1"/>
  <c r="BD125" i="1"/>
  <c r="D179" i="1"/>
  <c r="AY110" i="1"/>
  <c r="AP110" i="1"/>
  <c r="BA108" i="1"/>
  <c r="AI120" i="1"/>
  <c r="AJ123" i="1" s="1"/>
  <c r="C203" i="1"/>
  <c r="C206" i="1" s="1"/>
  <c r="M297" i="1"/>
  <c r="F257" i="1"/>
  <c r="F258" i="1" s="1"/>
  <c r="L281" i="1"/>
  <c r="L282" i="1" s="1"/>
  <c r="F295" i="1"/>
  <c r="F293" i="1" s="1"/>
  <c r="N290" i="1"/>
  <c r="N291" i="1" s="1"/>
  <c r="AV201" i="1"/>
  <c r="AV203" i="1" s="1"/>
  <c r="BB110" i="1"/>
  <c r="BS109" i="1"/>
  <c r="BA109" i="1"/>
  <c r="E290" i="1"/>
  <c r="E291" i="1" s="1"/>
  <c r="AW109" i="1"/>
  <c r="Q295" i="1"/>
  <c r="Q293" i="1" s="1"/>
  <c r="P257" i="1"/>
  <c r="P258" i="1" s="1"/>
  <c r="BB120" i="1"/>
  <c r="BB123" i="1" s="1"/>
  <c r="T338" i="1"/>
  <c r="BU109" i="1"/>
  <c r="AQ108" i="1"/>
  <c r="BS110" i="1"/>
  <c r="P338" i="1"/>
  <c r="BF109" i="1"/>
  <c r="L257" i="1"/>
  <c r="L258" i="1" s="1"/>
  <c r="P290" i="1"/>
  <c r="P291" i="1" s="1"/>
  <c r="N297" i="1"/>
  <c r="BJ140" i="1"/>
  <c r="BJ158" i="1" s="1"/>
  <c r="BN278" i="1"/>
  <c r="BN281" i="1" s="1"/>
  <c r="AR276" i="1"/>
  <c r="E338" i="1"/>
  <c r="BS120" i="1"/>
  <c r="BT318" i="1" s="1"/>
  <c r="AU109" i="1"/>
  <c r="BB109" i="1"/>
  <c r="F290" i="1"/>
  <c r="F291" i="1" s="1"/>
  <c r="Q290" i="1"/>
  <c r="Q291" i="1" s="1"/>
  <c r="BT110" i="1"/>
  <c r="BH258" i="1"/>
  <c r="R297" i="1"/>
  <c r="D297" i="1"/>
  <c r="E273" i="1"/>
  <c r="E278" i="1"/>
  <c r="C336" i="1"/>
  <c r="AO110" i="1"/>
  <c r="T290" i="1"/>
  <c r="T291" i="1" s="1"/>
  <c r="B278" i="1"/>
  <c r="C281" i="1" s="1"/>
  <c r="C282" i="1" s="1"/>
  <c r="AN110" i="1"/>
  <c r="P336" i="1"/>
  <c r="BC110" i="1"/>
  <c r="E336" i="1"/>
  <c r="E257" i="1"/>
  <c r="E258" i="1" s="1"/>
  <c r="E295" i="1"/>
  <c r="E293" i="1" s="1"/>
  <c r="AV120" i="1"/>
  <c r="AW342" i="1" s="1"/>
  <c r="AW343" i="1" s="1"/>
  <c r="AM177" i="1"/>
  <c r="K290" i="1"/>
  <c r="K291" i="1" s="1"/>
  <c r="E297" i="1"/>
  <c r="I297" i="1"/>
  <c r="BB257" i="1"/>
  <c r="BB258" i="1" s="1"/>
  <c r="F278" i="1"/>
  <c r="G290" i="1"/>
  <c r="G291" i="1" s="1"/>
  <c r="X151" i="1"/>
  <c r="CA109" i="1"/>
  <c r="BW108" i="1"/>
  <c r="AZ126" i="1"/>
  <c r="AZ130" i="1" s="1"/>
  <c r="AZ133" i="1" s="1"/>
  <c r="AZ140" i="1" s="1"/>
  <c r="AZ123" i="1"/>
  <c r="AQ110" i="1"/>
  <c r="V151" i="1"/>
  <c r="BQ110" i="1"/>
  <c r="AV110" i="1"/>
  <c r="BT257" i="1"/>
  <c r="BT258" i="1" s="1"/>
  <c r="AZ342" i="1"/>
  <c r="AZ343" i="1" s="1"/>
  <c r="BT201" i="1"/>
  <c r="BT203" i="1" s="1"/>
  <c r="Q151" i="1"/>
  <c r="B178" i="1"/>
  <c r="D160" i="1"/>
  <c r="BC109" i="1"/>
  <c r="BX110" i="1"/>
  <c r="BV120" i="1"/>
  <c r="BV123" i="1" s="1"/>
  <c r="J295" i="1"/>
  <c r="J293" i="1" s="1"/>
  <c r="T295" i="1"/>
  <c r="T293" i="1" s="1"/>
  <c r="BD110" i="1"/>
  <c r="I281" i="1"/>
  <c r="I282" i="1" s="1"/>
  <c r="R151" i="1"/>
  <c r="BW109" i="1"/>
  <c r="AZ109" i="1"/>
  <c r="BW120" i="1"/>
  <c r="BZ318" i="1" s="1"/>
  <c r="AY324" i="1"/>
  <c r="AY325" i="1" s="1"/>
  <c r="AQ120" i="1"/>
  <c r="AQ123" i="1" s="1"/>
  <c r="AS120" i="1"/>
  <c r="AT123" i="1" s="1"/>
  <c r="AN109" i="1"/>
  <c r="L295" i="1"/>
  <c r="L293" i="1" s="1"/>
  <c r="BK109" i="1"/>
  <c r="BC120" i="1"/>
  <c r="BC126" i="1" s="1"/>
  <c r="BC130" i="1" s="1"/>
  <c r="AY109" i="1"/>
  <c r="AI108" i="1"/>
  <c r="U297" i="1"/>
  <c r="F297" i="1"/>
  <c r="BL110" i="1"/>
  <c r="BK108" i="1"/>
  <c r="BE109" i="1"/>
  <c r="O278" i="1"/>
  <c r="P281" i="1" s="1"/>
  <c r="P282" i="1" s="1"/>
  <c r="J336" i="1"/>
  <c r="BV110" i="1"/>
  <c r="B258" i="1"/>
  <c r="AS108" i="1"/>
  <c r="BP109" i="1"/>
  <c r="BP108" i="1"/>
  <c r="N278" i="1"/>
  <c r="N281" i="1" s="1"/>
  <c r="N282" i="1" s="1"/>
  <c r="N273" i="1"/>
  <c r="C161" i="1"/>
  <c r="C179" i="1" s="1"/>
  <c r="S151" i="1"/>
  <c r="BW110" i="1"/>
  <c r="BP120" i="1"/>
  <c r="BP123" i="1" s="1"/>
  <c r="BG109" i="1"/>
  <c r="BP110" i="1"/>
  <c r="AS109" i="1"/>
  <c r="AY126" i="1"/>
  <c r="AY130" i="1" s="1"/>
  <c r="AY132" i="1" s="1"/>
  <c r="S295" i="1"/>
  <c r="S293" i="1" s="1"/>
  <c r="D278" i="1"/>
  <c r="D281" i="1" s="1"/>
  <c r="D282" i="1" s="1"/>
  <c r="BD109" i="1"/>
  <c r="AN108" i="1"/>
  <c r="BE110" i="1"/>
  <c r="AZ324" i="1"/>
  <c r="AZ325" i="1" s="1"/>
  <c r="I336" i="1"/>
  <c r="BC108" i="1"/>
  <c r="AM109" i="1"/>
  <c r="BV109" i="1"/>
  <c r="BV108" i="1"/>
  <c r="AZ110" i="1"/>
  <c r="J297" i="1"/>
  <c r="S281" i="1"/>
  <c r="S282" i="1" s="1"/>
  <c r="BP201" i="1"/>
  <c r="BP202" i="1" s="1"/>
  <c r="BM109" i="1"/>
  <c r="BI120" i="1"/>
  <c r="BJ110" i="1"/>
  <c r="BI108" i="1"/>
  <c r="BA129" i="1"/>
  <c r="BO129" i="1"/>
  <c r="AM221" i="1"/>
  <c r="AM147" i="1" s="1"/>
  <c r="AM184" i="1"/>
  <c r="BT324" i="1"/>
  <c r="BT325" i="1" s="1"/>
  <c r="P273" i="1"/>
  <c r="BI109" i="1"/>
  <c r="K257" i="1"/>
  <c r="K258" i="1" s="1"/>
  <c r="K295" i="1"/>
  <c r="K293" i="1" s="1"/>
  <c r="J290" i="1"/>
  <c r="J291" i="1" s="1"/>
  <c r="BR258" i="1"/>
  <c r="K336" i="1"/>
  <c r="U151" i="1"/>
  <c r="AR109" i="1"/>
  <c r="BU342" i="1"/>
  <c r="BU343" i="1" s="1"/>
  <c r="BU123" i="1"/>
  <c r="BT126" i="1"/>
  <c r="BT130" i="1" s="1"/>
  <c r="BX122" i="1"/>
  <c r="AR126" i="1"/>
  <c r="AR130" i="1" s="1"/>
  <c r="AR133" i="1" s="1"/>
  <c r="AR134" i="1" s="1"/>
  <c r="AR337" i="1" s="1"/>
  <c r="BF121" i="1"/>
  <c r="BF126" i="1"/>
  <c r="BF130" i="1" s="1"/>
  <c r="BF132" i="1" s="1"/>
  <c r="BF324" i="1"/>
  <c r="BF325" i="1" s="1"/>
  <c r="BH203" i="1"/>
  <c r="BR109" i="1"/>
  <c r="AR324" i="1"/>
  <c r="AR325" i="1" s="1"/>
  <c r="BO110" i="1"/>
  <c r="M258" i="1"/>
  <c r="BN109" i="1"/>
  <c r="BN120" i="1"/>
  <c r="BN108" i="1"/>
  <c r="AS110" i="1"/>
  <c r="AV109" i="1"/>
  <c r="J278" i="1"/>
  <c r="K281" i="1" s="1"/>
  <c r="K282" i="1" s="1"/>
  <c r="P151" i="1"/>
  <c r="AR110" i="1"/>
  <c r="AR108" i="1"/>
  <c r="AT122" i="1"/>
  <c r="AT324" i="1"/>
  <c r="AT325" i="1" s="1"/>
  <c r="AT126" i="1"/>
  <c r="AT130" i="1" s="1"/>
  <c r="AT133" i="1" s="1"/>
  <c r="AT140" i="1" s="1"/>
  <c r="BR126" i="1"/>
  <c r="BR130" i="1" s="1"/>
  <c r="BO324" i="1"/>
  <c r="BO325" i="1" s="1"/>
  <c r="BR123" i="1"/>
  <c r="BR121" i="1"/>
  <c r="BR324" i="1"/>
  <c r="BR325" i="1" s="1"/>
  <c r="AN342" i="1"/>
  <c r="AN343" i="1" s="1"/>
  <c r="BO126" i="1"/>
  <c r="BO130" i="1" s="1"/>
  <c r="BO132" i="1" s="1"/>
  <c r="BO121" i="1"/>
  <c r="AN122" i="1"/>
  <c r="AN204" i="1"/>
  <c r="AR122" i="1"/>
  <c r="BA342" i="1"/>
  <c r="BA343" i="1" s="1"/>
  <c r="BA123" i="1"/>
  <c r="BA324" i="1"/>
  <c r="BA325" i="1" s="1"/>
  <c r="BA126" i="1"/>
  <c r="BA130" i="1" s="1"/>
  <c r="BA133" i="1" s="1"/>
  <c r="BA134" i="1" s="1"/>
  <c r="BA337" i="1" s="1"/>
  <c r="AN121" i="1"/>
  <c r="AN318" i="1"/>
  <c r="AN324" i="1"/>
  <c r="AN325" i="1" s="1"/>
  <c r="AN123" i="1"/>
  <c r="D258" i="1"/>
  <c r="AW324" i="1"/>
  <c r="AW325" i="1" s="1"/>
  <c r="AW121" i="1"/>
  <c r="AW126" i="1"/>
  <c r="AW130" i="1" s="1"/>
  <c r="BA122" i="1"/>
  <c r="AP295" i="1"/>
  <c r="AP293" i="1" s="1"/>
  <c r="AO295" i="1"/>
  <c r="AO293" i="1" s="1"/>
  <c r="BB203" i="1"/>
  <c r="BB202" i="1"/>
  <c r="BN203" i="1"/>
  <c r="BN202" i="1"/>
  <c r="AY295" i="1"/>
  <c r="AY293" i="1" s="1"/>
  <c r="AZ295" i="1"/>
  <c r="AZ293" i="1" s="1"/>
  <c r="BC295" i="1"/>
  <c r="BC293" i="1" s="1"/>
  <c r="BD295" i="1"/>
  <c r="BD293" i="1" s="1"/>
  <c r="BB295" i="1"/>
  <c r="BB293" i="1" s="1"/>
  <c r="BA295" i="1"/>
  <c r="BA293" i="1" s="1"/>
  <c r="BR295" i="1"/>
  <c r="BR293" i="1" s="1"/>
  <c r="BQ295" i="1"/>
  <c r="BQ293" i="1" s="1"/>
  <c r="BH295" i="1"/>
  <c r="BH293" i="1" s="1"/>
  <c r="BG295" i="1"/>
  <c r="BG293" i="1" s="1"/>
  <c r="AR295" i="1"/>
  <c r="AR293" i="1" s="1"/>
  <c r="AQ295" i="1"/>
  <c r="AQ293" i="1" s="1"/>
  <c r="BR202" i="1"/>
  <c r="BR203" i="1"/>
  <c r="AT281" i="1"/>
  <c r="BV295" i="1"/>
  <c r="BV293" i="1" s="1"/>
  <c r="BU295" i="1"/>
  <c r="BU293" i="1" s="1"/>
  <c r="AV295" i="1"/>
  <c r="AV293" i="1" s="1"/>
  <c r="AU295" i="1"/>
  <c r="AU293" i="1" s="1"/>
  <c r="AX202" i="1"/>
  <c r="AX203" i="1"/>
  <c r="AZ202" i="1"/>
  <c r="AZ203" i="1"/>
  <c r="BT281" i="1"/>
  <c r="BX281" i="1"/>
  <c r="BM132" i="1"/>
  <c r="BM133" i="1"/>
  <c r="AN147" i="1"/>
  <c r="AN130" i="1"/>
  <c r="CR230" i="1"/>
  <c r="CS124" i="1"/>
  <c r="AX281" i="1" l="1"/>
  <c r="BH281" i="1"/>
  <c r="BB281" i="1"/>
  <c r="AR281" i="1"/>
  <c r="BD281" i="1"/>
  <c r="BF281" i="1"/>
  <c r="AV257" i="1"/>
  <c r="AV258" i="1" s="1"/>
  <c r="AV281" i="1"/>
  <c r="AX258" i="1"/>
  <c r="AN201" i="1"/>
  <c r="AN202" i="1" s="1"/>
  <c r="BD258" i="1"/>
  <c r="BV281" i="1"/>
  <c r="AZ281" i="1"/>
  <c r="BN258" i="1"/>
  <c r="BP186" i="1"/>
  <c r="BP187" i="1"/>
  <c r="BP188" i="1"/>
  <c r="BD203" i="1"/>
  <c r="BE129" i="1"/>
  <c r="BD202" i="1"/>
  <c r="L305" i="1"/>
  <c r="BO295" i="1"/>
  <c r="BO293" i="1" s="1"/>
  <c r="BF295" i="1"/>
  <c r="BF293" i="1" s="1"/>
  <c r="BQ134" i="1"/>
  <c r="BQ337" i="1" s="1"/>
  <c r="Q281" i="1"/>
  <c r="Q282" i="1" s="1"/>
  <c r="BA318" i="1"/>
  <c r="AX324" i="1"/>
  <c r="AX325" i="1" s="1"/>
  <c r="BN204" i="1"/>
  <c r="BN206" i="1" s="1"/>
  <c r="BM204" i="1"/>
  <c r="H305" i="1"/>
  <c r="R305" i="1"/>
  <c r="P305" i="1"/>
  <c r="AU121" i="1"/>
  <c r="U305" i="1"/>
  <c r="I305" i="1"/>
  <c r="BE342" i="1"/>
  <c r="BE343" i="1" s="1"/>
  <c r="BQ326" i="1"/>
  <c r="AY123" i="1"/>
  <c r="AY122" i="1"/>
  <c r="AT203" i="1"/>
  <c r="AX121" i="1"/>
  <c r="BK342" i="1"/>
  <c r="BK343" i="1" s="1"/>
  <c r="BF202" i="1"/>
  <c r="AY342" i="1"/>
  <c r="AY343" i="1" s="1"/>
  <c r="BL123" i="1"/>
  <c r="BM318" i="1"/>
  <c r="BH126" i="1"/>
  <c r="BH130" i="1" s="1"/>
  <c r="BH133" i="1" s="1"/>
  <c r="BH140" i="1" s="1"/>
  <c r="AX342" i="1"/>
  <c r="AX343" i="1" s="1"/>
  <c r="BE123" i="1"/>
  <c r="BL342" i="1"/>
  <c r="BL343" i="1" s="1"/>
  <c r="BH342" i="1"/>
  <c r="BH343" i="1" s="1"/>
  <c r="BK123" i="1"/>
  <c r="BA204" i="1"/>
  <c r="AX126" i="1"/>
  <c r="AX130" i="1" s="1"/>
  <c r="AX133" i="1" s="1"/>
  <c r="AX122" i="1"/>
  <c r="AM122" i="1"/>
  <c r="BK126" i="1"/>
  <c r="BK130" i="1" s="1"/>
  <c r="BK133" i="1" s="1"/>
  <c r="BL136" i="1" s="1"/>
  <c r="BH121" i="1"/>
  <c r="BH324" i="1"/>
  <c r="BH325" i="1" s="1"/>
  <c r="AZ204" i="1"/>
  <c r="AZ206" i="1" s="1"/>
  <c r="BG121" i="1"/>
  <c r="AI126" i="1"/>
  <c r="AI130" i="1" s="1"/>
  <c r="AI133" i="1" s="1"/>
  <c r="AI324" i="1"/>
  <c r="AI325" i="1" s="1"/>
  <c r="BK324" i="1"/>
  <c r="BK325" i="1" s="1"/>
  <c r="AZ318" i="1"/>
  <c r="BO122" i="1"/>
  <c r="AL204" i="1"/>
  <c r="AL206" i="1" s="1"/>
  <c r="AL318" i="1"/>
  <c r="AP318" i="1"/>
  <c r="I302" i="1"/>
  <c r="I303" i="1" s="1"/>
  <c r="BD122" i="1"/>
  <c r="AX295" i="1"/>
  <c r="AX293" i="1" s="1"/>
  <c r="BE126" i="1"/>
  <c r="BE130" i="1" s="1"/>
  <c r="BE132" i="1" s="1"/>
  <c r="AP133" i="1"/>
  <c r="AP135" i="1" s="1"/>
  <c r="BI295" i="1"/>
  <c r="BI293" i="1" s="1"/>
  <c r="AP202" i="1"/>
  <c r="AO121" i="1"/>
  <c r="BE122" i="1"/>
  <c r="BF123" i="1"/>
  <c r="AV202" i="1"/>
  <c r="BJ285" i="1"/>
  <c r="BJ287" i="1" s="1"/>
  <c r="BH122" i="1"/>
  <c r="BD121" i="1"/>
  <c r="U302" i="1"/>
  <c r="U303" i="1" s="1"/>
  <c r="V305" i="1"/>
  <c r="N305" i="1"/>
  <c r="BG126" i="1"/>
  <c r="BG130" i="1" s="1"/>
  <c r="BG132" i="1" s="1"/>
  <c r="N302" i="1"/>
  <c r="N303" i="1" s="1"/>
  <c r="AY204" i="1"/>
  <c r="BG342" i="1"/>
  <c r="BG343" i="1" s="1"/>
  <c r="BI204" i="1"/>
  <c r="BJ144" i="1"/>
  <c r="AO126" i="1"/>
  <c r="AO130" i="1" s="1"/>
  <c r="AO132" i="1" s="1"/>
  <c r="AP204" i="1"/>
  <c r="AP206" i="1" s="1"/>
  <c r="BF342" i="1"/>
  <c r="BF343" i="1" s="1"/>
  <c r="BZ122" i="1"/>
  <c r="AZ122" i="1"/>
  <c r="BC122" i="1"/>
  <c r="BG123" i="1"/>
  <c r="BU133" i="1"/>
  <c r="BY135" i="1" s="1"/>
  <c r="AO324" i="1"/>
  <c r="AO325" i="1" s="1"/>
  <c r="BK122" i="1"/>
  <c r="BH123" i="1"/>
  <c r="BG204" i="1"/>
  <c r="BD324" i="1"/>
  <c r="BD325" i="1" s="1"/>
  <c r="S302" i="1"/>
  <c r="S303" i="1" s="1"/>
  <c r="BF204" i="1"/>
  <c r="BF206" i="1" s="1"/>
  <c r="AS295" i="1"/>
  <c r="AS293" i="1" s="1"/>
  <c r="H302" i="1"/>
  <c r="H303" i="1" s="1"/>
  <c r="BS295" i="1"/>
  <c r="BS293" i="1" s="1"/>
  <c r="AN203" i="1"/>
  <c r="AN206" i="1" s="1"/>
  <c r="AO342" i="1"/>
  <c r="AO343" i="1" s="1"/>
  <c r="BG318" i="1"/>
  <c r="O152" i="1"/>
  <c r="AO123" i="1"/>
  <c r="C177" i="1"/>
  <c r="BE324" i="1"/>
  <c r="BE325" i="1" s="1"/>
  <c r="AO204" i="1"/>
  <c r="T305" i="1"/>
  <c r="R302" i="1"/>
  <c r="R303" i="1" s="1"/>
  <c r="AO318" i="1"/>
  <c r="O305" i="1"/>
  <c r="G302" i="1"/>
  <c r="G303" i="1" s="1"/>
  <c r="BQ123" i="1"/>
  <c r="AP123" i="1"/>
  <c r="V302" i="1"/>
  <c r="V303" i="1" s="1"/>
  <c r="BH204" i="1"/>
  <c r="BH205" i="1" s="1"/>
  <c r="BH318" i="1"/>
  <c r="AO122" i="1"/>
  <c r="BV203" i="1"/>
  <c r="BR318" i="1"/>
  <c r="BC342" i="1"/>
  <c r="BC343" i="1" s="1"/>
  <c r="Q305" i="1"/>
  <c r="AX318" i="1"/>
  <c r="AX204" i="1"/>
  <c r="AX205" i="1" s="1"/>
  <c r="G305" i="1"/>
  <c r="AV342" i="1"/>
  <c r="AV343" i="1" s="1"/>
  <c r="BJ204" i="1"/>
  <c r="BJ205" i="1" s="1"/>
  <c r="B181" i="1"/>
  <c r="BF318" i="1"/>
  <c r="AV126" i="1"/>
  <c r="AV130" i="1" s="1"/>
  <c r="AV132" i="1" s="1"/>
  <c r="F281" i="1"/>
  <c r="F282" i="1" s="1"/>
  <c r="M302" i="1"/>
  <c r="M303" i="1" s="1"/>
  <c r="Q152" i="1"/>
  <c r="AU126" i="1"/>
  <c r="AU130" i="1" s="1"/>
  <c r="AU132" i="1" s="1"/>
  <c r="S152" i="1"/>
  <c r="AV121" i="1"/>
  <c r="AI121" i="1"/>
  <c r="D302" i="1"/>
  <c r="D303" i="1" s="1"/>
  <c r="N152" i="1"/>
  <c r="K305" i="1"/>
  <c r="Q302" i="1"/>
  <c r="Q303" i="1" s="1"/>
  <c r="AU123" i="1"/>
  <c r="BR281" i="1"/>
  <c r="AW204" i="1"/>
  <c r="BC204" i="1"/>
  <c r="AU342" i="1"/>
  <c r="AU343" i="1" s="1"/>
  <c r="AV318" i="1"/>
  <c r="C302" i="1"/>
  <c r="C303" i="1" s="1"/>
  <c r="AY133" i="1"/>
  <c r="AY140" i="1" s="1"/>
  <c r="AR123" i="1"/>
  <c r="O302" i="1"/>
  <c r="O303" i="1" s="1"/>
  <c r="F302" i="1"/>
  <c r="F303" i="1" s="1"/>
  <c r="S305" i="1"/>
  <c r="AS342" i="1"/>
  <c r="AS343" i="1" s="1"/>
  <c r="BW126" i="1"/>
  <c r="BZ147" i="1" s="1"/>
  <c r="BW122" i="1"/>
  <c r="BT342" i="1"/>
  <c r="BT343" i="1" s="1"/>
  <c r="AY318" i="1"/>
  <c r="AS122" i="1"/>
  <c r="BS324" i="1"/>
  <c r="BS325" i="1" s="1"/>
  <c r="AV123" i="1"/>
  <c r="P302" i="1"/>
  <c r="P303" i="1" s="1"/>
  <c r="BF122" i="1"/>
  <c r="F305" i="1"/>
  <c r="AW122" i="1"/>
  <c r="R152" i="1"/>
  <c r="AZ326" i="1"/>
  <c r="BY204" i="1"/>
  <c r="BB204" i="1"/>
  <c r="BB205" i="1" s="1"/>
  <c r="AU318" i="1"/>
  <c r="BS121" i="1"/>
  <c r="BT204" i="1"/>
  <c r="BT206" i="1" s="1"/>
  <c r="AW318" i="1"/>
  <c r="BG122" i="1"/>
  <c r="AV324" i="1"/>
  <c r="AV325" i="1" s="1"/>
  <c r="AQ318" i="1"/>
  <c r="AS204" i="1"/>
  <c r="AR342" i="1"/>
  <c r="AR343" i="1" s="1"/>
  <c r="AS121" i="1"/>
  <c r="BV122" i="1"/>
  <c r="BP126" i="1"/>
  <c r="BP130" i="1" s="1"/>
  <c r="BP132" i="1" s="1"/>
  <c r="BP324" i="1"/>
  <c r="BP325" i="1" s="1"/>
  <c r="BV342" i="1"/>
  <c r="BV343" i="1" s="1"/>
  <c r="G281" i="1"/>
  <c r="G282" i="1" s="1"/>
  <c r="E305" i="1"/>
  <c r="BB126" i="1"/>
  <c r="BB130" i="1" s="1"/>
  <c r="BB132" i="1" s="1"/>
  <c r="BB121" i="1"/>
  <c r="BS126" i="1"/>
  <c r="BS130" i="1" s="1"/>
  <c r="BS132" i="1" s="1"/>
  <c r="BX342" i="1"/>
  <c r="BX343" i="1" s="1"/>
  <c r="BB324" i="1"/>
  <c r="BB325" i="1" s="1"/>
  <c r="AQ126" i="1"/>
  <c r="AQ130" i="1" s="1"/>
  <c r="AQ133" i="1" s="1"/>
  <c r="BW121" i="1"/>
  <c r="BV204" i="1"/>
  <c r="BV205" i="1" s="1"/>
  <c r="AW123" i="1"/>
  <c r="E302" i="1"/>
  <c r="E303" i="1" s="1"/>
  <c r="BW318" i="1"/>
  <c r="BW123" i="1"/>
  <c r="X152" i="1"/>
  <c r="T302" i="1"/>
  <c r="T303" i="1" s="1"/>
  <c r="BS122" i="1"/>
  <c r="CA122" i="1"/>
  <c r="W152" i="1"/>
  <c r="AT318" i="1"/>
  <c r="BV318" i="1"/>
  <c r="BS342" i="1"/>
  <c r="BS343" i="1" s="1"/>
  <c r="BE318" i="1"/>
  <c r="BX318" i="1"/>
  <c r="BB122" i="1"/>
  <c r="AQ324" i="1"/>
  <c r="AQ325" i="1" s="1"/>
  <c r="BT123" i="1"/>
  <c r="BS123" i="1"/>
  <c r="AT204" i="1"/>
  <c r="AS126" i="1"/>
  <c r="AS130" i="1" s="1"/>
  <c r="AS132" i="1" s="1"/>
  <c r="BD204" i="1"/>
  <c r="BD206" i="1" s="1"/>
  <c r="BB318" i="1"/>
  <c r="BC121" i="1"/>
  <c r="AV122" i="1"/>
  <c r="J305" i="1"/>
  <c r="AS318" i="1"/>
  <c r="BK318" i="1"/>
  <c r="AQ121" i="1"/>
  <c r="BU204" i="1"/>
  <c r="BB342" i="1"/>
  <c r="BB343" i="1" s="1"/>
  <c r="BC123" i="1"/>
  <c r="BD123" i="1"/>
  <c r="BW342" i="1"/>
  <c r="BW343" i="1" s="1"/>
  <c r="K302" i="1"/>
  <c r="K303" i="1" s="1"/>
  <c r="BK204" i="1"/>
  <c r="BP342" i="1"/>
  <c r="BP343" i="1" s="1"/>
  <c r="BP203" i="1"/>
  <c r="BX204" i="1"/>
  <c r="BX206" i="1" s="1"/>
  <c r="AV204" i="1"/>
  <c r="AV206" i="1" s="1"/>
  <c r="AZ132" i="1"/>
  <c r="BR204" i="1"/>
  <c r="BR205" i="1" s="1"/>
  <c r="AS123" i="1"/>
  <c r="BI123" i="1"/>
  <c r="BP122" i="1"/>
  <c r="BP121" i="1"/>
  <c r="BT202" i="1"/>
  <c r="L302" i="1"/>
  <c r="L303" i="1" s="1"/>
  <c r="C162" i="1"/>
  <c r="BJ318" i="1"/>
  <c r="BI342" i="1"/>
  <c r="BI343" i="1" s="1"/>
  <c r="E281" i="1"/>
  <c r="E282" i="1" s="1"/>
  <c r="V152" i="1"/>
  <c r="BY318" i="1"/>
  <c r="BQ342" i="1"/>
  <c r="BQ343" i="1" s="1"/>
  <c r="BW75" i="1"/>
  <c r="AR140" i="1"/>
  <c r="AR144" i="1" s="1"/>
  <c r="P152" i="1"/>
  <c r="AS324" i="1"/>
  <c r="AS325" i="1" s="1"/>
  <c r="AU204" i="1"/>
  <c r="BS318" i="1"/>
  <c r="BS204" i="1"/>
  <c r="BW204" i="1"/>
  <c r="BW324" i="1"/>
  <c r="BW325" i="1" s="1"/>
  <c r="BT122" i="1"/>
  <c r="AZ134" i="1"/>
  <c r="AZ337" i="1" s="1"/>
  <c r="AR204" i="1"/>
  <c r="AQ122" i="1"/>
  <c r="AQ204" i="1"/>
  <c r="AT342" i="1"/>
  <c r="AT343" i="1" s="1"/>
  <c r="BZ204" i="1"/>
  <c r="BZ205" i="1" s="1"/>
  <c r="BX123" i="1"/>
  <c r="O281" i="1"/>
  <c r="O282" i="1" s="1"/>
  <c r="AR318" i="1"/>
  <c r="AQ342" i="1"/>
  <c r="AQ343" i="1" s="1"/>
  <c r="J281" i="1"/>
  <c r="J282" i="1" s="1"/>
  <c r="AU122" i="1"/>
  <c r="D162" i="1"/>
  <c r="BD342" i="1"/>
  <c r="BD343" i="1" s="1"/>
  <c r="C178" i="1"/>
  <c r="BE204" i="1"/>
  <c r="BD318" i="1"/>
  <c r="BC318" i="1"/>
  <c r="BC324" i="1"/>
  <c r="BC325" i="1" s="1"/>
  <c r="BV126" i="1"/>
  <c r="BV130" i="1" s="1"/>
  <c r="BV324" i="1"/>
  <c r="BV325" i="1" s="1"/>
  <c r="BV121" i="1"/>
  <c r="BI324" i="1"/>
  <c r="BI325" i="1" s="1"/>
  <c r="BJ123" i="1"/>
  <c r="BM122" i="1"/>
  <c r="BL204" i="1"/>
  <c r="BI126" i="1"/>
  <c r="BJ342" i="1"/>
  <c r="BJ343" i="1" s="1"/>
  <c r="BL318" i="1"/>
  <c r="BI121" i="1"/>
  <c r="BI122" i="1"/>
  <c r="T152" i="1"/>
  <c r="BI318" i="1"/>
  <c r="AM188" i="1"/>
  <c r="AM186" i="1"/>
  <c r="AM187" i="1"/>
  <c r="J302" i="1"/>
  <c r="J303" i="1" s="1"/>
  <c r="BO123" i="1"/>
  <c r="AR132" i="1"/>
  <c r="AR326" i="1"/>
  <c r="BO318" i="1"/>
  <c r="BQ318" i="1"/>
  <c r="BO204" i="1"/>
  <c r="BP318" i="1"/>
  <c r="BF133" i="1"/>
  <c r="BF134" i="1" s="1"/>
  <c r="BF337" i="1" s="1"/>
  <c r="U152" i="1"/>
  <c r="BR122" i="1"/>
  <c r="BN123" i="1"/>
  <c r="BN122" i="1"/>
  <c r="BQ204" i="1"/>
  <c r="BO342" i="1"/>
  <c r="BO343" i="1" s="1"/>
  <c r="BN121" i="1"/>
  <c r="BN324" i="1"/>
  <c r="BN325" i="1" s="1"/>
  <c r="BN126" i="1"/>
  <c r="BN130" i="1" s="1"/>
  <c r="BN133" i="1" s="1"/>
  <c r="BP204" i="1"/>
  <c r="BP205" i="1" s="1"/>
  <c r="BN318" i="1"/>
  <c r="BN342" i="1"/>
  <c r="BN343" i="1" s="1"/>
  <c r="AT326" i="1"/>
  <c r="AT134" i="1"/>
  <c r="AT337" i="1" s="1"/>
  <c r="AT132" i="1"/>
  <c r="BD133" i="1"/>
  <c r="BD140" i="1" s="1"/>
  <c r="AN205" i="1"/>
  <c r="BA132" i="1"/>
  <c r="BA326" i="1"/>
  <c r="BO133" i="1"/>
  <c r="BO140" i="1" s="1"/>
  <c r="BA140" i="1"/>
  <c r="BA144" i="1" s="1"/>
  <c r="BA136" i="1"/>
  <c r="AW132" i="1"/>
  <c r="AW133" i="1"/>
  <c r="BM140" i="1"/>
  <c r="BM136" i="1"/>
  <c r="BM326" i="1"/>
  <c r="BQ135" i="1"/>
  <c r="BM134" i="1"/>
  <c r="BM337" i="1" s="1"/>
  <c r="BC133" i="1"/>
  <c r="BC132" i="1"/>
  <c r="AZ158" i="1"/>
  <c r="AZ144" i="1"/>
  <c r="AZ285" i="1"/>
  <c r="AZ287" i="1" s="1"/>
  <c r="BR133" i="1"/>
  <c r="BR132" i="1"/>
  <c r="BT133" i="1"/>
  <c r="BT132" i="1"/>
  <c r="AN133" i="1"/>
  <c r="AN132" i="1"/>
  <c r="BQ285" i="1"/>
  <c r="BQ287" i="1" s="1"/>
  <c r="BQ211" i="1"/>
  <c r="BQ212" i="1" s="1"/>
  <c r="BQ158" i="1"/>
  <c r="BQ144" i="1"/>
  <c r="AT158" i="1"/>
  <c r="AT285" i="1"/>
  <c r="AT287" i="1" s="1"/>
  <c r="AT144" i="1"/>
  <c r="CS286" i="1"/>
  <c r="CS224" i="1"/>
  <c r="CR295" i="1"/>
  <c r="CR293" i="1" s="1"/>
  <c r="AC217" i="1"/>
  <c r="AC220" i="1" s="1"/>
  <c r="AC341" i="1" s="1"/>
  <c r="BK326" i="1" l="1"/>
  <c r="AL205" i="1"/>
  <c r="AT206" i="1"/>
  <c r="BK132" i="1"/>
  <c r="BK140" i="1"/>
  <c r="BK158" i="1" s="1"/>
  <c r="BF147" i="1"/>
  <c r="BN205" i="1"/>
  <c r="BK136" i="1"/>
  <c r="BH206" i="1"/>
  <c r="AI132" i="1"/>
  <c r="BK134" i="1"/>
  <c r="BK337" i="1" s="1"/>
  <c r="BM319" i="1"/>
  <c r="BD147" i="1"/>
  <c r="AZ205" i="1"/>
  <c r="BH134" i="1"/>
  <c r="BH337" i="1" s="1"/>
  <c r="AZ147" i="1"/>
  <c r="BH326" i="1"/>
  <c r="BH132" i="1"/>
  <c r="AL147" i="1"/>
  <c r="AX132" i="1"/>
  <c r="BW130" i="1"/>
  <c r="BW133" i="1" s="1"/>
  <c r="BW134" i="1" s="1"/>
  <c r="BW337" i="1" s="1"/>
  <c r="BU135" i="1"/>
  <c r="BL135" i="1"/>
  <c r="AP134" i="1"/>
  <c r="AP337" i="1" s="1"/>
  <c r="AP140" i="1"/>
  <c r="AP158" i="1" s="1"/>
  <c r="BP133" i="1"/>
  <c r="BQ136" i="1" s="1"/>
  <c r="BE133" i="1"/>
  <c r="BE140" i="1" s="1"/>
  <c r="BE158" i="1" s="1"/>
  <c r="AP326" i="1"/>
  <c r="AT135" i="1"/>
  <c r="BF205" i="1"/>
  <c r="BJ206" i="1"/>
  <c r="AP147" i="1"/>
  <c r="BB147" i="1"/>
  <c r="BU140" i="1"/>
  <c r="BU211" i="1" s="1"/>
  <c r="BU212" i="1" s="1"/>
  <c r="AP205" i="1"/>
  <c r="AV133" i="1"/>
  <c r="AV135" i="1" s="1"/>
  <c r="BU134" i="1"/>
  <c r="BU337" i="1" s="1"/>
  <c r="BH147" i="1"/>
  <c r="BG133" i="1"/>
  <c r="BG140" i="1" s="1"/>
  <c r="BU326" i="1"/>
  <c r="BJ147" i="1"/>
  <c r="AO133" i="1"/>
  <c r="AO140" i="1" s="1"/>
  <c r="AO158" i="1" s="1"/>
  <c r="AX147" i="1"/>
  <c r="AZ136" i="1"/>
  <c r="BB133" i="1"/>
  <c r="BC136" i="1" s="1"/>
  <c r="AU133" i="1"/>
  <c r="AU140" i="1" s="1"/>
  <c r="AU144" i="1" s="1"/>
  <c r="AT205" i="1"/>
  <c r="AT147" i="1"/>
  <c r="AX206" i="1"/>
  <c r="AY326" i="1"/>
  <c r="BT205" i="1"/>
  <c r="BR147" i="1"/>
  <c r="AV205" i="1"/>
  <c r="AY134" i="1"/>
  <c r="AY337" i="1" s="1"/>
  <c r="BT147" i="1"/>
  <c r="BB206" i="1"/>
  <c r="BD205" i="1"/>
  <c r="AQ132" i="1"/>
  <c r="BX205" i="1"/>
  <c r="AS133" i="1"/>
  <c r="AS136" i="1" s="1"/>
  <c r="AR147" i="1"/>
  <c r="AV147" i="1"/>
  <c r="BV206" i="1"/>
  <c r="BV147" i="1"/>
  <c r="BS133" i="1"/>
  <c r="BS326" i="1" s="1"/>
  <c r="BR206" i="1"/>
  <c r="AR158" i="1"/>
  <c r="BZ206" i="1"/>
  <c r="BV133" i="1"/>
  <c r="BV132" i="1"/>
  <c r="AR285" i="1"/>
  <c r="AR287" i="1" s="1"/>
  <c r="BY147" i="1"/>
  <c r="BX147" i="1"/>
  <c r="BL206" i="1"/>
  <c r="BL205" i="1"/>
  <c r="BL147" i="1"/>
  <c r="BI130" i="1"/>
  <c r="BP206" i="1"/>
  <c r="BJ135" i="1"/>
  <c r="BF326" i="1"/>
  <c r="BF140" i="1"/>
  <c r="BF158" i="1" s="1"/>
  <c r="BN132" i="1"/>
  <c r="BP147" i="1"/>
  <c r="BN147" i="1"/>
  <c r="BO134" i="1"/>
  <c r="BO337" i="1" s="1"/>
  <c r="BA158" i="1"/>
  <c r="BH135" i="1"/>
  <c r="BD135" i="1"/>
  <c r="BA211" i="1"/>
  <c r="BA212" i="1" s="1"/>
  <c r="BA221" i="1" s="1"/>
  <c r="BA147" i="1" s="1"/>
  <c r="BD326" i="1"/>
  <c r="BO326" i="1"/>
  <c r="BD134" i="1"/>
  <c r="BD337" i="1" s="1"/>
  <c r="BO135" i="1"/>
  <c r="BA285" i="1"/>
  <c r="BA287" i="1" s="1"/>
  <c r="BA135" i="1"/>
  <c r="AW140" i="1"/>
  <c r="AW326" i="1"/>
  <c r="AW134" i="1"/>
  <c r="AW337" i="1" s="1"/>
  <c r="AY285" i="1"/>
  <c r="AY287" i="1" s="1"/>
  <c r="AY158" i="1"/>
  <c r="AY211" i="1"/>
  <c r="AY212" i="1" s="1"/>
  <c r="AY144" i="1"/>
  <c r="BM158" i="1"/>
  <c r="BM144" i="1"/>
  <c r="BM211" i="1"/>
  <c r="BM212" i="1" s="1"/>
  <c r="BM285" i="1"/>
  <c r="BM287" i="1" s="1"/>
  <c r="BD136" i="1"/>
  <c r="BC135" i="1"/>
  <c r="BC140" i="1"/>
  <c r="BC326" i="1"/>
  <c r="BC134" i="1"/>
  <c r="BC337" i="1" s="1"/>
  <c r="BD144" i="1"/>
  <c r="BD285" i="1"/>
  <c r="BD287" i="1" s="1"/>
  <c r="BD158" i="1"/>
  <c r="BO144" i="1"/>
  <c r="BO158" i="1"/>
  <c r="BO285" i="1"/>
  <c r="BO287" i="1" s="1"/>
  <c r="BO211" i="1"/>
  <c r="BO212" i="1" s="1"/>
  <c r="AI134" i="1"/>
  <c r="AI326" i="1"/>
  <c r="AJ136" i="1"/>
  <c r="AM135" i="1"/>
  <c r="AI140" i="1"/>
  <c r="AL319" i="1"/>
  <c r="BR134" i="1"/>
  <c r="BR337" i="1" s="1"/>
  <c r="BR326" i="1"/>
  <c r="BR140" i="1"/>
  <c r="BR299" i="1" s="1"/>
  <c r="BR297" i="1" s="1"/>
  <c r="BR136" i="1"/>
  <c r="AN134" i="1"/>
  <c r="AN337" i="1" s="1"/>
  <c r="AN319" i="1"/>
  <c r="AN135" i="1"/>
  <c r="AR135" i="1"/>
  <c r="AN140" i="1"/>
  <c r="AN136" i="1"/>
  <c r="AN326" i="1"/>
  <c r="BX135" i="1"/>
  <c r="BT134" i="1"/>
  <c r="BT337" i="1" s="1"/>
  <c r="BT326" i="1"/>
  <c r="BT140" i="1"/>
  <c r="BU136" i="1"/>
  <c r="AR136" i="1"/>
  <c r="AQ135" i="1"/>
  <c r="AQ326" i="1"/>
  <c r="AQ140" i="1"/>
  <c r="AQ134" i="1"/>
  <c r="AQ337" i="1" s="1"/>
  <c r="AQ136" i="1"/>
  <c r="BN326" i="1"/>
  <c r="BR135" i="1"/>
  <c r="BN140" i="1"/>
  <c r="BN135" i="1"/>
  <c r="BN134" i="1"/>
  <c r="BN337" i="1" s="1"/>
  <c r="BO136" i="1"/>
  <c r="BN319" i="1"/>
  <c r="BN136" i="1"/>
  <c r="BO319" i="1"/>
  <c r="AX140" i="1"/>
  <c r="AX326" i="1"/>
  <c r="AX134" i="1"/>
  <c r="AX337" i="1" s="1"/>
  <c r="AZ319" i="1"/>
  <c r="AX136" i="1"/>
  <c r="AY136" i="1"/>
  <c r="AX135" i="1"/>
  <c r="BA319" i="1"/>
  <c r="BH144" i="1"/>
  <c r="BH158" i="1"/>
  <c r="BH285" i="1"/>
  <c r="BH287" i="1" s="1"/>
  <c r="BQ299" i="1"/>
  <c r="BQ297" i="1" s="1"/>
  <c r="BQ221" i="1"/>
  <c r="BQ147" i="1" s="1"/>
  <c r="BQ184" i="1"/>
  <c r="CS226" i="1"/>
  <c r="AC298" i="1"/>
  <c r="CA318" i="1"/>
  <c r="CB318" i="1"/>
  <c r="BU318" i="1"/>
  <c r="BK211" i="1" l="1"/>
  <c r="BK212" i="1" s="1"/>
  <c r="AU135" i="1"/>
  <c r="BK285" i="1"/>
  <c r="BK287" i="1" s="1"/>
  <c r="BK144" i="1"/>
  <c r="X153" i="1"/>
  <c r="BU285" i="1"/>
  <c r="BU287" i="1" s="1"/>
  <c r="BU144" i="1"/>
  <c r="AO285" i="1"/>
  <c r="AO287" i="1" s="1"/>
  <c r="AP136" i="1"/>
  <c r="AO144" i="1"/>
  <c r="AO136" i="1"/>
  <c r="BQ319" i="1"/>
  <c r="AR319" i="1"/>
  <c r="BT135" i="1"/>
  <c r="BR319" i="1"/>
  <c r="BE136" i="1"/>
  <c r="BP134" i="1"/>
  <c r="BP337" i="1" s="1"/>
  <c r="AO319" i="1"/>
  <c r="BE211" i="1"/>
  <c r="BE212" i="1" s="1"/>
  <c r="BE184" i="1" s="1"/>
  <c r="BE285" i="1"/>
  <c r="BE287" i="1" s="1"/>
  <c r="BF136" i="1"/>
  <c r="BE144" i="1"/>
  <c r="AP319" i="1"/>
  <c r="AP285" i="1"/>
  <c r="AP287" i="1" s="1"/>
  <c r="BP319" i="1"/>
  <c r="AO326" i="1"/>
  <c r="AO134" i="1"/>
  <c r="AO337" i="1" s="1"/>
  <c r="BP135" i="1"/>
  <c r="AQ319" i="1"/>
  <c r="AO211" i="1"/>
  <c r="AO212" i="1" s="1"/>
  <c r="AO184" i="1" s="1"/>
  <c r="BU158" i="1"/>
  <c r="AU326" i="1"/>
  <c r="AP144" i="1"/>
  <c r="BP136" i="1"/>
  <c r="BB326" i="1"/>
  <c r="AO135" i="1"/>
  <c r="CA135" i="1"/>
  <c r="BW326" i="1"/>
  <c r="BW132" i="1"/>
  <c r="BX136" i="1"/>
  <c r="BW136" i="1"/>
  <c r="BW140" i="1"/>
  <c r="BW211" i="1" s="1"/>
  <c r="BW212" i="1" s="1"/>
  <c r="BZ319" i="1"/>
  <c r="BE134" i="1"/>
  <c r="BE337" i="1" s="1"/>
  <c r="BF319" i="1"/>
  <c r="BE326" i="1"/>
  <c r="BG136" i="1"/>
  <c r="BK135" i="1"/>
  <c r="AW136" i="1"/>
  <c r="BP326" i="1"/>
  <c r="AY319" i="1"/>
  <c r="AV140" i="1"/>
  <c r="AX146" i="1" s="1"/>
  <c r="AV326" i="1"/>
  <c r="BE135" i="1"/>
  <c r="BP140" i="1"/>
  <c r="BP299" i="1" s="1"/>
  <c r="BP297" i="1" s="1"/>
  <c r="BE319" i="1"/>
  <c r="AZ135" i="1"/>
  <c r="BG134" i="1"/>
  <c r="BG337" i="1" s="1"/>
  <c r="AV136" i="1"/>
  <c r="BG326" i="1"/>
  <c r="BF135" i="1"/>
  <c r="BG319" i="1"/>
  <c r="BB134" i="1"/>
  <c r="BB337" i="1" s="1"/>
  <c r="BH136" i="1"/>
  <c r="BB135" i="1"/>
  <c r="AV134" i="1"/>
  <c r="AV337" i="1" s="1"/>
  <c r="BG135" i="1"/>
  <c r="BH319" i="1"/>
  <c r="BC319" i="1"/>
  <c r="BW319" i="1"/>
  <c r="BB140" i="1"/>
  <c r="BB144" i="1" s="1"/>
  <c r="AU134" i="1"/>
  <c r="AU337" i="1" s="1"/>
  <c r="AY135" i="1"/>
  <c r="AW319" i="1"/>
  <c r="AU136" i="1"/>
  <c r="BB136" i="1"/>
  <c r="AU211" i="1"/>
  <c r="AU212" i="1" s="1"/>
  <c r="AU184" i="1" s="1"/>
  <c r="BT319" i="1"/>
  <c r="BB319" i="1"/>
  <c r="AU285" i="1"/>
  <c r="AU287" i="1" s="1"/>
  <c r="BD319" i="1"/>
  <c r="AU158" i="1"/>
  <c r="AX319" i="1"/>
  <c r="BW135" i="1"/>
  <c r="BS319" i="1"/>
  <c r="BS136" i="1"/>
  <c r="BS140" i="1"/>
  <c r="BS158" i="1" s="1"/>
  <c r="AT136" i="1"/>
  <c r="AS319" i="1"/>
  <c r="AS134" i="1"/>
  <c r="AS337" i="1" s="1"/>
  <c r="AS326" i="1"/>
  <c r="BY319" i="1"/>
  <c r="AT319" i="1"/>
  <c r="BS135" i="1"/>
  <c r="AS140" i="1"/>
  <c r="AS158" i="1" s="1"/>
  <c r="BS134" i="1"/>
  <c r="BS337" i="1" s="1"/>
  <c r="AV319" i="1"/>
  <c r="BT136" i="1"/>
  <c r="BV319" i="1"/>
  <c r="AU319" i="1"/>
  <c r="AW135" i="1"/>
  <c r="AS135" i="1"/>
  <c r="BV134" i="1"/>
  <c r="BV337" i="1" s="1"/>
  <c r="BV326" i="1"/>
  <c r="BZ135" i="1"/>
  <c r="BV140" i="1"/>
  <c r="BV136" i="1"/>
  <c r="BV135" i="1"/>
  <c r="BX319" i="1"/>
  <c r="BI132" i="1"/>
  <c r="BI133" i="1"/>
  <c r="BF285" i="1"/>
  <c r="BF287" i="1" s="1"/>
  <c r="BF144" i="1"/>
  <c r="BA184" i="1"/>
  <c r="BA187" i="1" s="1"/>
  <c r="BA299" i="1"/>
  <c r="BA297" i="1" s="1"/>
  <c r="AW144" i="1"/>
  <c r="AW158" i="1"/>
  <c r="AW285" i="1"/>
  <c r="AW287" i="1" s="1"/>
  <c r="AW211" i="1"/>
  <c r="AW212" i="1" s="1"/>
  <c r="AX299" i="1" s="1"/>
  <c r="AX297" i="1" s="1"/>
  <c r="BM161" i="1"/>
  <c r="BI181" i="1" s="1"/>
  <c r="BU299" i="1"/>
  <c r="BU297" i="1" s="1"/>
  <c r="BU184" i="1"/>
  <c r="BU221" i="1"/>
  <c r="BU147" i="1" s="1"/>
  <c r="AY184" i="1"/>
  <c r="AY299" i="1"/>
  <c r="AY297" i="1" s="1"/>
  <c r="AY221" i="1"/>
  <c r="AY147" i="1" s="1"/>
  <c r="AZ299" i="1"/>
  <c r="AZ297" i="1" s="1"/>
  <c r="BM146" i="1"/>
  <c r="BM299" i="1"/>
  <c r="BM297" i="1" s="1"/>
  <c r="BM221" i="1"/>
  <c r="BM147" i="1" s="1"/>
  <c r="BM184" i="1"/>
  <c r="BA146" i="1"/>
  <c r="S153" i="1"/>
  <c r="BF146" i="1"/>
  <c r="BC158" i="1"/>
  <c r="BF161" i="1" s="1"/>
  <c r="BC211" i="1"/>
  <c r="BC212" i="1" s="1"/>
  <c r="BC285" i="1"/>
  <c r="BC287" i="1" s="1"/>
  <c r="BC144" i="1"/>
  <c r="BO299" i="1"/>
  <c r="BO297" i="1" s="1"/>
  <c r="BO221" i="1"/>
  <c r="BO147" i="1" s="1"/>
  <c r="BO184" i="1"/>
  <c r="AI158" i="1"/>
  <c r="AL161" i="1" s="1"/>
  <c r="AI144" i="1"/>
  <c r="AL146" i="1"/>
  <c r="N153" i="1"/>
  <c r="AI299" i="1"/>
  <c r="AI297" i="1" s="1"/>
  <c r="AI285" i="1"/>
  <c r="AI287" i="1" s="1"/>
  <c r="AI291" i="1" s="1"/>
  <c r="AI305" i="1" s="1"/>
  <c r="BR144" i="1"/>
  <c r="BR285" i="1"/>
  <c r="BR287" i="1" s="1"/>
  <c r="BR158" i="1"/>
  <c r="BO146" i="1"/>
  <c r="BN299" i="1"/>
  <c r="BN297" i="1" s="1"/>
  <c r="BN144" i="1"/>
  <c r="BN158" i="1"/>
  <c r="BN285" i="1"/>
  <c r="BN287" i="1" s="1"/>
  <c r="BN146" i="1"/>
  <c r="U153" i="1"/>
  <c r="BT285" i="1"/>
  <c r="BT287" i="1" s="1"/>
  <c r="BT144" i="1"/>
  <c r="BT158" i="1"/>
  <c r="AX144" i="1"/>
  <c r="AX158" i="1"/>
  <c r="AX285" i="1"/>
  <c r="AX287" i="1" s="1"/>
  <c r="AZ146" i="1"/>
  <c r="AQ211" i="1"/>
  <c r="AQ212" i="1" s="1"/>
  <c r="AQ285" i="1"/>
  <c r="AQ287" i="1" s="1"/>
  <c r="AQ144" i="1"/>
  <c r="AQ158" i="1"/>
  <c r="AR146" i="1"/>
  <c r="BG144" i="1"/>
  <c r="BG158" i="1"/>
  <c r="BG211" i="1"/>
  <c r="BG212" i="1" s="1"/>
  <c r="BH146" i="1"/>
  <c r="BG285" i="1"/>
  <c r="BG287" i="1" s="1"/>
  <c r="AN144" i="1"/>
  <c r="AP146" i="1"/>
  <c r="AN158" i="1"/>
  <c r="AN285" i="1"/>
  <c r="AN287" i="1" s="1"/>
  <c r="AN146" i="1"/>
  <c r="O153" i="1"/>
  <c r="AN299" i="1"/>
  <c r="AN297" i="1" s="1"/>
  <c r="BQ186" i="1"/>
  <c r="BQ187" i="1"/>
  <c r="BQ188" i="1"/>
  <c r="CS230" i="1"/>
  <c r="CT124" i="1"/>
  <c r="AD216" i="1"/>
  <c r="W151" i="1"/>
  <c r="BL299" i="1" l="1"/>
  <c r="BL297" i="1" s="1"/>
  <c r="BK184" i="1"/>
  <c r="BK221" i="1"/>
  <c r="BK147" i="1" s="1"/>
  <c r="BK299" i="1"/>
  <c r="BK297" i="1" s="1"/>
  <c r="BZ146" i="1"/>
  <c r="AO221" i="1"/>
  <c r="AO147" i="1" s="1"/>
  <c r="BE221" i="1"/>
  <c r="BE147" i="1" s="1"/>
  <c r="BW144" i="1"/>
  <c r="BE299" i="1"/>
  <c r="BE297" i="1" s="1"/>
  <c r="AP299" i="1"/>
  <c r="AP297" i="1" s="1"/>
  <c r="BP146" i="1"/>
  <c r="BF299" i="1"/>
  <c r="BF297" i="1" s="1"/>
  <c r="AO146" i="1"/>
  <c r="AO299" i="1"/>
  <c r="AO297" i="1" s="1"/>
  <c r="Q153" i="1"/>
  <c r="AV158" i="1"/>
  <c r="AV161" i="1" s="1"/>
  <c r="BQ146" i="1"/>
  <c r="BB299" i="1"/>
  <c r="BB297" i="1" s="1"/>
  <c r="BU146" i="1"/>
  <c r="BT146" i="1"/>
  <c r="BS144" i="1"/>
  <c r="V153" i="1"/>
  <c r="BS211" i="1"/>
  <c r="BS212" i="1" s="1"/>
  <c r="BS184" i="1" s="1"/>
  <c r="BS187" i="1" s="1"/>
  <c r="BY146" i="1"/>
  <c r="AT146" i="1"/>
  <c r="BR146" i="1"/>
  <c r="BB158" i="1"/>
  <c r="BC161" i="1" s="1"/>
  <c r="BW158" i="1"/>
  <c r="BZ161" i="1" s="1"/>
  <c r="BW285" i="1"/>
  <c r="BW287" i="1" s="1"/>
  <c r="AV144" i="1"/>
  <c r="AY146" i="1"/>
  <c r="AV285" i="1"/>
  <c r="AV287" i="1" s="1"/>
  <c r="BP144" i="1"/>
  <c r="BP285" i="1"/>
  <c r="BP287" i="1" s="1"/>
  <c r="BP158" i="1"/>
  <c r="BS161" i="1" s="1"/>
  <c r="BD146" i="1"/>
  <c r="R153" i="1"/>
  <c r="BB146" i="1"/>
  <c r="BB285" i="1"/>
  <c r="BB287" i="1" s="1"/>
  <c r="BE146" i="1"/>
  <c r="AU221" i="1"/>
  <c r="AU147" i="1" s="1"/>
  <c r="AU299" i="1"/>
  <c r="AU297" i="1" s="1"/>
  <c r="AV299" i="1"/>
  <c r="AV297" i="1" s="1"/>
  <c r="AU161" i="1"/>
  <c r="AU179" i="1" s="1"/>
  <c r="BV299" i="1"/>
  <c r="BV297" i="1" s="1"/>
  <c r="BX146" i="1"/>
  <c r="BS285" i="1"/>
  <c r="BS287" i="1" s="1"/>
  <c r="AS285" i="1"/>
  <c r="AS287" i="1" s="1"/>
  <c r="AS144" i="1"/>
  <c r="AV146" i="1"/>
  <c r="AU146" i="1"/>
  <c r="P153" i="1"/>
  <c r="AS211" i="1"/>
  <c r="AS212" i="1" s="1"/>
  <c r="AS184" i="1" s="1"/>
  <c r="AS186" i="1" s="1"/>
  <c r="BV285" i="1"/>
  <c r="BV287" i="1" s="1"/>
  <c r="BV158" i="1"/>
  <c r="BV144" i="1"/>
  <c r="BV146" i="1"/>
  <c r="BI136" i="1"/>
  <c r="BM135" i="1"/>
  <c r="BJ136" i="1"/>
  <c r="BJ319" i="1"/>
  <c r="BI135" i="1"/>
  <c r="BL319" i="1"/>
  <c r="BI134" i="1"/>
  <c r="BI337" i="1" s="1"/>
  <c r="BK319" i="1"/>
  <c r="BI140" i="1"/>
  <c r="BI319" i="1"/>
  <c r="BI326" i="1"/>
  <c r="BA188" i="1"/>
  <c r="BA186" i="1"/>
  <c r="AW146" i="1"/>
  <c r="AW221" i="1"/>
  <c r="AW147" i="1" s="1"/>
  <c r="AW299" i="1"/>
  <c r="AW297" i="1" s="1"/>
  <c r="AW184" i="1"/>
  <c r="BM177" i="1"/>
  <c r="BM179" i="1"/>
  <c r="BM178" i="1"/>
  <c r="BU186" i="1"/>
  <c r="BU188" i="1"/>
  <c r="BU187" i="1"/>
  <c r="AY186" i="1"/>
  <c r="AY187" i="1"/>
  <c r="AY188" i="1"/>
  <c r="BT161" i="1"/>
  <c r="AI302" i="1"/>
  <c r="AI303" i="1" s="1"/>
  <c r="BM187" i="1"/>
  <c r="BM188" i="1"/>
  <c r="BM186" i="1"/>
  <c r="BU161" i="1"/>
  <c r="BU177" i="1" s="1"/>
  <c r="BE186" i="1"/>
  <c r="BE188" i="1"/>
  <c r="BE187" i="1"/>
  <c r="BC299" i="1"/>
  <c r="BC297" i="1" s="1"/>
  <c r="BC221" i="1"/>
  <c r="BC147" i="1" s="1"/>
  <c r="BC184" i="1"/>
  <c r="BC146" i="1"/>
  <c r="BD299" i="1"/>
  <c r="BD297" i="1" s="1"/>
  <c r="BB181" i="1"/>
  <c r="BF177" i="1"/>
  <c r="BF179" i="1"/>
  <c r="BF178" i="1"/>
  <c r="BO186" i="1"/>
  <c r="BO187" i="1"/>
  <c r="BO188" i="1"/>
  <c r="AL177" i="1"/>
  <c r="AL178" i="1"/>
  <c r="AL179" i="1"/>
  <c r="AU187" i="1"/>
  <c r="AU188" i="1"/>
  <c r="AU186" i="1"/>
  <c r="AO188" i="1"/>
  <c r="AO186" i="1"/>
  <c r="AO187" i="1"/>
  <c r="BA161" i="1"/>
  <c r="AZ161" i="1"/>
  <c r="AT161" i="1"/>
  <c r="AR161" i="1"/>
  <c r="AS161" i="1"/>
  <c r="BO161" i="1"/>
  <c r="BN161" i="1"/>
  <c r="AQ161" i="1"/>
  <c r="AN161" i="1"/>
  <c r="AP161" i="1"/>
  <c r="AO161" i="1"/>
  <c r="BG161" i="1"/>
  <c r="BH161" i="1"/>
  <c r="BG299" i="1"/>
  <c r="BG297" i="1" s="1"/>
  <c r="BG221" i="1"/>
  <c r="BG147" i="1" s="1"/>
  <c r="BG184" i="1"/>
  <c r="BG146" i="1"/>
  <c r="BH299" i="1"/>
  <c r="BH297" i="1" s="1"/>
  <c r="AQ221" i="1"/>
  <c r="AQ147" i="1" s="1"/>
  <c r="AQ299" i="1"/>
  <c r="AQ297" i="1" s="1"/>
  <c r="AQ184" i="1"/>
  <c r="AR299" i="1"/>
  <c r="AR297" i="1" s="1"/>
  <c r="AQ146" i="1"/>
  <c r="BW299" i="1"/>
  <c r="BW297" i="1" s="1"/>
  <c r="BX299" i="1"/>
  <c r="BX297" i="1" s="1"/>
  <c r="BW221" i="1"/>
  <c r="BW147" i="1" s="1"/>
  <c r="BW146" i="1"/>
  <c r="BW184" i="1"/>
  <c r="AC124" i="1"/>
  <c r="CT286" i="1"/>
  <c r="CT224" i="1"/>
  <c r="CS295" i="1"/>
  <c r="CS293" i="1" s="1"/>
  <c r="BK186" i="1" l="1"/>
  <c r="BK187" i="1"/>
  <c r="BK188" i="1"/>
  <c r="BS186" i="1"/>
  <c r="BE161" i="1"/>
  <c r="BE178" i="1" s="1"/>
  <c r="AY161" i="1"/>
  <c r="AY178" i="1" s="1"/>
  <c r="BD161" i="1"/>
  <c r="BD179" i="1" s="1"/>
  <c r="BS299" i="1"/>
  <c r="BS297" i="1" s="1"/>
  <c r="BB161" i="1"/>
  <c r="BB179" i="1" s="1"/>
  <c r="BS146" i="1"/>
  <c r="BT299" i="1"/>
  <c r="BT297" i="1" s="1"/>
  <c r="BS188" i="1"/>
  <c r="AW161" i="1"/>
  <c r="AW178" i="1" s="1"/>
  <c r="AX161" i="1"/>
  <c r="AT181" i="1" s="1"/>
  <c r="BQ161" i="1"/>
  <c r="BQ162" i="1" s="1"/>
  <c r="BR161" i="1"/>
  <c r="BR178" i="1" s="1"/>
  <c r="BX161" i="1"/>
  <c r="CB162" i="1" s="1"/>
  <c r="BS221" i="1"/>
  <c r="BS147" i="1" s="1"/>
  <c r="BP161" i="1"/>
  <c r="BP178" i="1" s="1"/>
  <c r="AU177" i="1"/>
  <c r="AU178" i="1"/>
  <c r="AT299" i="1"/>
  <c r="AT297" i="1" s="1"/>
  <c r="AS188" i="1"/>
  <c r="AS187" i="1"/>
  <c r="AQ181" i="1"/>
  <c r="AS146" i="1"/>
  <c r="AS221" i="1"/>
  <c r="AS147" i="1" s="1"/>
  <c r="BV161" i="1"/>
  <c r="BR181" i="1" s="1"/>
  <c r="BW161" i="1"/>
  <c r="CA162" i="1" s="1"/>
  <c r="AS299" i="1"/>
  <c r="AS297" i="1" s="1"/>
  <c r="BY161" i="1"/>
  <c r="BY178" i="1" s="1"/>
  <c r="BI285" i="1"/>
  <c r="BI287" i="1" s="1"/>
  <c r="BK146" i="1"/>
  <c r="BI158" i="1"/>
  <c r="T153" i="1"/>
  <c r="BI144" i="1"/>
  <c r="BL146" i="1"/>
  <c r="BI211" i="1"/>
  <c r="BI212" i="1" s="1"/>
  <c r="BJ146" i="1"/>
  <c r="AW188" i="1"/>
  <c r="AW187" i="1"/>
  <c r="AW186" i="1"/>
  <c r="BP181" i="1"/>
  <c r="BT179" i="1"/>
  <c r="BT177" i="1"/>
  <c r="BT178" i="1"/>
  <c r="BS179" i="1"/>
  <c r="BO181" i="1"/>
  <c r="BS178" i="1"/>
  <c r="BS177" i="1"/>
  <c r="BV181" i="1"/>
  <c r="BQ181" i="1"/>
  <c r="BU179" i="1"/>
  <c r="BU178" i="1"/>
  <c r="BC187" i="1"/>
  <c r="BC186" i="1"/>
  <c r="BC188" i="1"/>
  <c r="AW181" i="1"/>
  <c r="AQ178" i="1"/>
  <c r="AQ177" i="1"/>
  <c r="BA179" i="1"/>
  <c r="CD162" i="1"/>
  <c r="BZ179" i="1"/>
  <c r="AN179" i="1"/>
  <c r="AR162" i="1"/>
  <c r="AN178" i="1"/>
  <c r="AN177" i="1"/>
  <c r="BO177" i="1"/>
  <c r="BK181" i="1"/>
  <c r="BO178" i="1"/>
  <c r="BO179" i="1"/>
  <c r="AP181" i="1"/>
  <c r="AU162" i="1"/>
  <c r="AQ162" i="1"/>
  <c r="AQ179" i="1"/>
  <c r="AV181" i="1"/>
  <c r="AZ179" i="1"/>
  <c r="AZ178" i="1"/>
  <c r="AZ177" i="1"/>
  <c r="AT178" i="1"/>
  <c r="AM181" i="1"/>
  <c r="BS162" i="1"/>
  <c r="BC179" i="1"/>
  <c r="AY181" i="1"/>
  <c r="BG162" i="1"/>
  <c r="BC178" i="1"/>
  <c r="BC177" i="1"/>
  <c r="AO179" i="1"/>
  <c r="AO177" i="1"/>
  <c r="AS162" i="1"/>
  <c r="AO178" i="1"/>
  <c r="AS178" i="1"/>
  <c r="AO181" i="1"/>
  <c r="AS179" i="1"/>
  <c r="AS177" i="1"/>
  <c r="AV178" i="1"/>
  <c r="AV177" i="1"/>
  <c r="AZ162" i="1"/>
  <c r="AV179" i="1"/>
  <c r="AR181" i="1"/>
  <c r="BA177" i="1"/>
  <c r="BA178" i="1"/>
  <c r="BC181" i="1"/>
  <c r="BG177" i="1"/>
  <c r="BG178" i="1"/>
  <c r="BG179" i="1"/>
  <c r="AT179" i="1"/>
  <c r="AT177" i="1"/>
  <c r="BZ178" i="1"/>
  <c r="CC182" i="1" s="1"/>
  <c r="BZ177" i="1"/>
  <c r="BH179" i="1"/>
  <c r="BH177" i="1"/>
  <c r="BD181" i="1"/>
  <c r="BH178" i="1"/>
  <c r="AT162" i="1"/>
  <c r="AP179" i="1"/>
  <c r="AP162" i="1"/>
  <c r="AL181" i="1"/>
  <c r="AP178" i="1"/>
  <c r="AP177" i="1"/>
  <c r="BJ181" i="1"/>
  <c r="BN179" i="1"/>
  <c r="BN177" i="1"/>
  <c r="BN178" i="1"/>
  <c r="AN181" i="1"/>
  <c r="AR179" i="1"/>
  <c r="AR178" i="1"/>
  <c r="AR177" i="1"/>
  <c r="AV162" i="1"/>
  <c r="BW186" i="1"/>
  <c r="BW188" i="1"/>
  <c r="BW187" i="1"/>
  <c r="BG186" i="1"/>
  <c r="BG188" i="1"/>
  <c r="BG187" i="1"/>
  <c r="AQ187" i="1"/>
  <c r="AQ188" i="1"/>
  <c r="AQ186" i="1"/>
  <c r="AC286" i="1"/>
  <c r="AC224" i="1"/>
  <c r="AC226" i="1" s="1"/>
  <c r="AC125" i="1" s="1"/>
  <c r="CT226" i="1"/>
  <c r="AD217" i="1"/>
  <c r="AD220" i="1" s="1"/>
  <c r="AD341" i="1" s="1"/>
  <c r="AR201" i="1"/>
  <c r="W153" i="1"/>
  <c r="AU181" i="1" l="1"/>
  <c r="BC162" i="1"/>
  <c r="AY177" i="1"/>
  <c r="AY179" i="1"/>
  <c r="AZ181" i="1"/>
  <c r="BE177" i="1"/>
  <c r="BE162" i="1"/>
  <c r="BD178" i="1"/>
  <c r="BG182" i="1" s="1"/>
  <c r="BD162" i="1"/>
  <c r="BE179" i="1"/>
  <c r="BA181" i="1"/>
  <c r="AY162" i="1"/>
  <c r="BH162" i="1"/>
  <c r="AX181" i="1"/>
  <c r="BD177" i="1"/>
  <c r="BF162" i="1"/>
  <c r="AW177" i="1"/>
  <c r="AX162" i="1"/>
  <c r="BB177" i="1"/>
  <c r="BB178" i="1"/>
  <c r="BB182" i="1" s="1"/>
  <c r="BB162" i="1"/>
  <c r="AX177" i="1"/>
  <c r="AX178" i="1"/>
  <c r="AZ182" i="1" s="1"/>
  <c r="AW179" i="1"/>
  <c r="AW162" i="1"/>
  <c r="BA162" i="1"/>
  <c r="AS181" i="1"/>
  <c r="BR162" i="1"/>
  <c r="BX162" i="1"/>
  <c r="AX179" i="1"/>
  <c r="BX179" i="1"/>
  <c r="BT181" i="1"/>
  <c r="BQ179" i="1"/>
  <c r="BQ177" i="1"/>
  <c r="BM181" i="1"/>
  <c r="BQ178" i="1"/>
  <c r="BQ182" i="1" s="1"/>
  <c r="BU162" i="1"/>
  <c r="BX178" i="1"/>
  <c r="CA182" i="1" s="1"/>
  <c r="BR179" i="1"/>
  <c r="BX177" i="1"/>
  <c r="BR177" i="1"/>
  <c r="BN181" i="1"/>
  <c r="BP177" i="1"/>
  <c r="BP179" i="1"/>
  <c r="BL181" i="1"/>
  <c r="BT162" i="1"/>
  <c r="BW162" i="1"/>
  <c r="BV162" i="1"/>
  <c r="BW177" i="1"/>
  <c r="BV177" i="1"/>
  <c r="BZ162" i="1"/>
  <c r="BV179" i="1"/>
  <c r="BV178" i="1"/>
  <c r="BW179" i="1"/>
  <c r="BS181" i="1"/>
  <c r="BW178" i="1"/>
  <c r="BU181" i="1"/>
  <c r="CC162" i="1"/>
  <c r="BY179" i="1"/>
  <c r="BY162" i="1"/>
  <c r="BY177" i="1"/>
  <c r="BI184" i="1"/>
  <c r="BJ299" i="1"/>
  <c r="BJ297" i="1" s="1"/>
  <c r="BI299" i="1"/>
  <c r="BI297" i="1" s="1"/>
  <c r="BI146" i="1"/>
  <c r="BI221" i="1"/>
  <c r="BI147" i="1" s="1"/>
  <c r="BL161" i="1"/>
  <c r="BK161" i="1"/>
  <c r="BJ161" i="1"/>
  <c r="BI161" i="1"/>
  <c r="CB182" i="1"/>
  <c r="BH182" i="1"/>
  <c r="AW182" i="1"/>
  <c r="AR182" i="1"/>
  <c r="AV182" i="1"/>
  <c r="AS182" i="1"/>
  <c r="AU182" i="1"/>
  <c r="AT182" i="1"/>
  <c r="AQ182" i="1"/>
  <c r="AP182" i="1"/>
  <c r="AO182" i="1"/>
  <c r="BP182" i="1"/>
  <c r="BU182" i="1"/>
  <c r="CU124" i="1"/>
  <c r="CT230" i="1"/>
  <c r="AD298" i="1"/>
  <c r="AB230" i="1"/>
  <c r="AR202" i="1"/>
  <c r="AR205" i="1" s="1"/>
  <c r="AR203" i="1"/>
  <c r="AR206" i="1" s="1"/>
  <c r="CA319" i="1"/>
  <c r="CB319" i="1"/>
  <c r="W285" i="1"/>
  <c r="W287" i="1" s="1"/>
  <c r="BU319" i="1"/>
  <c r="BF182" i="1" l="1"/>
  <c r="BD182" i="1"/>
  <c r="BC182" i="1"/>
  <c r="BE182" i="1"/>
  <c r="AY182" i="1"/>
  <c r="AX182" i="1"/>
  <c r="BA182" i="1"/>
  <c r="BR182" i="1"/>
  <c r="BT182" i="1"/>
  <c r="BS182" i="1"/>
  <c r="BY182" i="1"/>
  <c r="BZ182" i="1"/>
  <c r="BX182" i="1"/>
  <c r="BV182" i="1"/>
  <c r="BW182" i="1"/>
  <c r="BF181" i="1"/>
  <c r="BJ177" i="1"/>
  <c r="BN162" i="1"/>
  <c r="BJ178" i="1"/>
  <c r="BJ179" i="1"/>
  <c r="BJ162" i="1"/>
  <c r="BK178" i="1"/>
  <c r="BG181" i="1"/>
  <c r="BK162" i="1"/>
  <c r="BK179" i="1"/>
  <c r="BO162" i="1"/>
  <c r="BK177" i="1"/>
  <c r="BL178" i="1"/>
  <c r="BO182" i="1" s="1"/>
  <c r="BL177" i="1"/>
  <c r="BL162" i="1"/>
  <c r="BH181" i="1"/>
  <c r="BP162" i="1"/>
  <c r="BL179" i="1"/>
  <c r="BI162" i="1"/>
  <c r="BM162" i="1"/>
  <c r="BE181" i="1"/>
  <c r="BI177" i="1"/>
  <c r="BI179" i="1"/>
  <c r="BI178" i="1"/>
  <c r="BI188" i="1"/>
  <c r="BI187" i="1"/>
  <c r="BI186" i="1"/>
  <c r="CT295" i="1"/>
  <c r="CT293" i="1" s="1"/>
  <c r="CU286" i="1"/>
  <c r="CU224" i="1"/>
  <c r="AB295" i="1"/>
  <c r="AB293" i="1" s="1"/>
  <c r="AE216" i="1"/>
  <c r="CA181" i="1"/>
  <c r="BN182" i="1" l="1"/>
  <c r="BM182" i="1"/>
  <c r="BI182" i="1"/>
  <c r="BL182" i="1"/>
  <c r="BJ182" i="1"/>
  <c r="BK182" i="1"/>
  <c r="CU226" i="1"/>
  <c r="CF181" i="1"/>
  <c r="CU230" i="1" l="1"/>
  <c r="CV124" i="1"/>
  <c r="AE217" i="1"/>
  <c r="AE220" i="1" s="1"/>
  <c r="AE341" i="1" s="1"/>
  <c r="CV286" i="1" l="1"/>
  <c r="CV224" i="1"/>
  <c r="CU295" i="1"/>
  <c r="CU293" i="1" s="1"/>
  <c r="AE298" i="1"/>
  <c r="AC230" i="1"/>
  <c r="W212" i="1"/>
  <c r="CV226" i="1" l="1"/>
  <c r="W146" i="1"/>
  <c r="AC295" i="1"/>
  <c r="AC293" i="1" s="1"/>
  <c r="X299" i="1"/>
  <c r="X297" i="1" s="1"/>
  <c r="W299" i="1"/>
  <c r="W297" i="1" s="1"/>
  <c r="W221" i="1"/>
  <c r="W147" i="1" s="1"/>
  <c r="W267" i="1"/>
  <c r="CW124" i="1" l="1"/>
  <c r="CV230" i="1"/>
  <c r="CV295" i="1" l="1"/>
  <c r="CV293" i="1" s="1"/>
  <c r="CW286" i="1"/>
  <c r="CW224" i="1"/>
  <c r="CW226" i="1" l="1"/>
  <c r="CW230" i="1" l="1"/>
  <c r="CX124" i="1"/>
  <c r="AD124" i="1" l="1"/>
  <c r="CX286" i="1"/>
  <c r="CX224" i="1"/>
  <c r="CW295" i="1"/>
  <c r="CW293" i="1" s="1"/>
  <c r="AD286" i="1" l="1"/>
  <c r="AD224" i="1"/>
  <c r="AD226" i="1" s="1"/>
  <c r="CX226" i="1"/>
  <c r="AD230" i="1" l="1"/>
  <c r="AD295" i="1" s="1"/>
  <c r="AD293" i="1" s="1"/>
  <c r="AD125" i="1"/>
  <c r="CX230" i="1"/>
  <c r="CY124" i="1"/>
  <c r="CY286" i="1" l="1"/>
  <c r="CY224" i="1"/>
  <c r="CX295" i="1"/>
  <c r="CX293" i="1" s="1"/>
  <c r="CY226" i="1" l="1"/>
  <c r="W272" i="1"/>
  <c r="CY230" i="1" l="1"/>
  <c r="CZ124" i="1"/>
  <c r="W275" i="1"/>
  <c r="W248" i="1"/>
  <c r="X289" i="1" s="1"/>
  <c r="CZ286" i="1" l="1"/>
  <c r="CZ224" i="1"/>
  <c r="CY295" i="1"/>
  <c r="CY293" i="1" s="1"/>
  <c r="W277" i="1"/>
  <c r="W276" i="1" s="1"/>
  <c r="W289" i="1"/>
  <c r="W240" i="1"/>
  <c r="X288" i="1" s="1"/>
  <c r="X290" i="1" s="1"/>
  <c r="X291" i="1" s="1"/>
  <c r="X305" i="1" s="1"/>
  <c r="W271" i="1"/>
  <c r="CZ226" i="1" l="1"/>
  <c r="W274" i="1"/>
  <c r="W249" i="1"/>
  <c r="W288" i="1"/>
  <c r="W290" i="1" s="1"/>
  <c r="W291" i="1" s="1"/>
  <c r="CZ230" i="1" l="1"/>
  <c r="CZ295" i="1" s="1"/>
  <c r="CZ293" i="1" s="1"/>
  <c r="DA124" i="1"/>
  <c r="W273" i="1"/>
  <c r="W278" i="1"/>
  <c r="W302" i="1"/>
  <c r="W305" i="1"/>
  <c r="DA286" i="1" l="1"/>
  <c r="DA224" i="1"/>
  <c r="W281" i="1"/>
  <c r="W282" i="1" s="1"/>
  <c r="X281" i="1"/>
  <c r="X282" i="1" s="1"/>
  <c r="DA226" i="1" l="1"/>
  <c r="W253" i="1"/>
  <c r="X301" i="1" l="1"/>
  <c r="X302" i="1" s="1"/>
  <c r="X303" i="1" s="1"/>
  <c r="W338" i="1"/>
  <c r="W340" i="1"/>
  <c r="W336" i="1"/>
  <c r="DA230" i="1"/>
  <c r="DA295" i="1" s="1"/>
  <c r="DA293" i="1" s="1"/>
  <c r="DB124" i="1"/>
  <c r="W260" i="1"/>
  <c r="W201" i="1" s="1"/>
  <c r="W257" i="1"/>
  <c r="W303" i="1"/>
  <c r="AE124" i="1" l="1"/>
  <c r="AE286" i="1" s="1"/>
  <c r="DB286" i="1"/>
  <c r="DB224" i="1"/>
  <c r="W258" i="1"/>
  <c r="DB226" i="1" l="1"/>
  <c r="DB230" i="1" s="1"/>
  <c r="DB295" i="1" s="1"/>
  <c r="DB293" i="1" s="1"/>
  <c r="AE224" i="1"/>
  <c r="AE226" i="1" s="1"/>
  <c r="C111" i="2"/>
  <c r="C112" i="2"/>
  <c r="C113" i="2"/>
  <c r="AE230" i="1" l="1"/>
  <c r="AE295" i="1" s="1"/>
  <c r="AE293" i="1" s="1"/>
  <c r="AE125" i="1"/>
  <c r="B165" i="1"/>
  <c r="B166" i="1"/>
  <c r="AK271" i="1" l="1"/>
  <c r="AK236" i="1" s="1"/>
  <c r="AM236" i="1" l="1"/>
  <c r="AO236" i="1" l="1"/>
  <c r="AQ236" i="1" l="1"/>
  <c r="AS236" i="1" l="1"/>
  <c r="AU236" i="1" l="1"/>
  <c r="AW236" i="1" l="1"/>
  <c r="AY236" i="1" l="1"/>
  <c r="BA236" i="1" l="1"/>
  <c r="BC236" i="1" l="1"/>
  <c r="BE236" i="1" l="1"/>
  <c r="BG236" i="1" l="1"/>
  <c r="BI236" i="1" l="1"/>
  <c r="BK236" i="1" l="1"/>
  <c r="BM236" i="1" l="1"/>
  <c r="BO236" i="1" l="1"/>
  <c r="BQ236" i="1" l="1"/>
  <c r="BS236" i="1" l="1"/>
  <c r="BU236" i="1" l="1"/>
  <c r="BW236" i="1" l="1"/>
  <c r="BY236" i="1" l="1"/>
  <c r="AK237" i="1" l="1"/>
  <c r="AK240" i="1" s="1"/>
  <c r="AL288" i="1" l="1"/>
  <c r="AK288" i="1"/>
  <c r="AK274" i="1"/>
  <c r="AM237" i="1"/>
  <c r="AM240" i="1" s="1"/>
  <c r="AM274" i="1" l="1"/>
  <c r="AM273" i="1" s="1"/>
  <c r="AN288" i="1"/>
  <c r="AM288" i="1"/>
  <c r="AJ273" i="1"/>
  <c r="AK273" i="1"/>
  <c r="AO237" i="1" l="1"/>
  <c r="AO240" i="1" s="1"/>
  <c r="AP288" i="1" l="1"/>
  <c r="AO274" i="1"/>
  <c r="AO273" i="1" s="1"/>
  <c r="AO288" i="1"/>
  <c r="AQ237" i="1" l="1"/>
  <c r="AQ240" i="1" s="1"/>
  <c r="AQ274" i="1" l="1"/>
  <c r="AQ273" i="1" s="1"/>
  <c r="AR288" i="1"/>
  <c r="AQ288" i="1"/>
  <c r="AS237" i="1" l="1"/>
  <c r="AS240" i="1" s="1"/>
  <c r="AT288" i="1" l="1"/>
  <c r="AS274" i="1"/>
  <c r="AS273" i="1" s="1"/>
  <c r="AS288" i="1"/>
  <c r="AU237" i="1" l="1"/>
  <c r="AU240" i="1" s="1"/>
  <c r="AU274" i="1" l="1"/>
  <c r="AU273" i="1" s="1"/>
  <c r="AV288" i="1"/>
  <c r="AU288" i="1"/>
  <c r="AW237" i="1" l="1"/>
  <c r="AW240" i="1" s="1"/>
  <c r="AW274" i="1" l="1"/>
  <c r="AW273" i="1" s="1"/>
  <c r="AX288" i="1"/>
  <c r="AW288" i="1"/>
  <c r="AY237" i="1" l="1"/>
  <c r="AY240" i="1" s="1"/>
  <c r="AY274" i="1" l="1"/>
  <c r="AY273" i="1" s="1"/>
  <c r="AZ288" i="1"/>
  <c r="AY288" i="1"/>
  <c r="BA237" i="1" l="1"/>
  <c r="BA240" i="1" s="1"/>
  <c r="BB288" i="1" l="1"/>
  <c r="BA274" i="1"/>
  <c r="BA273" i="1" s="1"/>
  <c r="BA288" i="1"/>
  <c r="BC237" i="1" l="1"/>
  <c r="BC240" i="1" s="1"/>
  <c r="BD288" i="1" l="1"/>
  <c r="BC274" i="1"/>
  <c r="BC273" i="1" s="1"/>
  <c r="BC288" i="1"/>
  <c r="BE237" i="1" l="1"/>
  <c r="BE240" i="1" s="1"/>
  <c r="BF288" i="1" l="1"/>
  <c r="BE274" i="1"/>
  <c r="BE273" i="1" s="1"/>
  <c r="BE288" i="1"/>
  <c r="BG237" i="1" l="1"/>
  <c r="BG240" i="1" s="1"/>
  <c r="BG274" i="1" l="1"/>
  <c r="BG273" i="1" s="1"/>
  <c r="BH288" i="1"/>
  <c r="BG288" i="1"/>
  <c r="BI237" i="1" l="1"/>
  <c r="BI240" i="1" s="1"/>
  <c r="BJ288" i="1" l="1"/>
  <c r="BI274" i="1"/>
  <c r="BI273" i="1" s="1"/>
  <c r="BI288" i="1"/>
  <c r="BK237" i="1" l="1"/>
  <c r="BK240" i="1" s="1"/>
  <c r="BL288" i="1" l="1"/>
  <c r="BK274" i="1"/>
  <c r="BK273" i="1" s="1"/>
  <c r="BK288" i="1"/>
  <c r="BM237" i="1" l="1"/>
  <c r="BM240" i="1" s="1"/>
  <c r="BM274" i="1" l="1"/>
  <c r="BM273" i="1" s="1"/>
  <c r="BN288" i="1"/>
  <c r="BM288" i="1"/>
  <c r="BO237" i="1" l="1"/>
  <c r="BO240" i="1" s="1"/>
  <c r="BO274" i="1" l="1"/>
  <c r="BO273" i="1" s="1"/>
  <c r="BP288" i="1"/>
  <c r="BO288" i="1"/>
  <c r="BQ237" i="1" l="1"/>
  <c r="BQ240" i="1" s="1"/>
  <c r="BR288" i="1" l="1"/>
  <c r="BQ274" i="1"/>
  <c r="BQ273" i="1" s="1"/>
  <c r="BQ288" i="1"/>
  <c r="BS237" i="1" l="1"/>
  <c r="BS240" i="1" s="1"/>
  <c r="BT288" i="1" l="1"/>
  <c r="BS274" i="1"/>
  <c r="BS273" i="1" s="1"/>
  <c r="BS288" i="1"/>
  <c r="BU237" i="1" l="1"/>
  <c r="BU240" i="1" s="1"/>
  <c r="BU274" i="1" l="1"/>
  <c r="BU273" i="1" s="1"/>
  <c r="BV288" i="1"/>
  <c r="BU288" i="1"/>
  <c r="BW237" i="1" l="1"/>
  <c r="BW240" i="1" s="1"/>
  <c r="BW274" i="1" l="1"/>
  <c r="BW273" i="1" s="1"/>
  <c r="BX288" i="1"/>
  <c r="BW288" i="1"/>
  <c r="BY237" i="1" l="1"/>
  <c r="BY240" i="1" s="1"/>
  <c r="BZ288" i="1" l="1"/>
  <c r="BY274" i="1"/>
  <c r="BY273" i="1" s="1"/>
  <c r="BY288" i="1"/>
  <c r="AK275" i="1" l="1"/>
  <c r="AK245" i="1" s="1"/>
  <c r="AK248" i="1" s="1"/>
  <c r="AK249" i="1" l="1"/>
  <c r="AK277" i="1"/>
  <c r="AL289" i="1"/>
  <c r="AL290" i="1" s="1"/>
  <c r="AL291" i="1" s="1"/>
  <c r="AL305" i="1" s="1"/>
  <c r="AK289" i="1"/>
  <c r="AK290" i="1" s="1"/>
  <c r="AK291" i="1" s="1"/>
  <c r="AM245" i="1"/>
  <c r="AM248" i="1" s="1"/>
  <c r="AK305" i="1" l="1"/>
  <c r="AK302" i="1"/>
  <c r="AK252" i="1" s="1"/>
  <c r="AK253" i="1" s="1"/>
  <c r="AK257" i="1" s="1"/>
  <c r="AK258" i="1" s="1"/>
  <c r="AN289" i="1"/>
  <c r="AN290" i="1" s="1"/>
  <c r="AN291" i="1" s="1"/>
  <c r="AN305" i="1" s="1"/>
  <c r="AM277" i="1"/>
  <c r="AM276" i="1" s="1"/>
  <c r="AM289" i="1"/>
  <c r="AM290" i="1" s="1"/>
  <c r="AM291" i="1" s="1"/>
  <c r="AM249" i="1"/>
  <c r="AJ276" i="1"/>
  <c r="AJ278" i="1"/>
  <c r="AN281" i="1" s="1"/>
  <c r="AK276" i="1"/>
  <c r="AK278" i="1"/>
  <c r="AO245" i="1"/>
  <c r="AO248" i="1" s="1"/>
  <c r="AM278" i="1" l="1"/>
  <c r="AO277" i="1"/>
  <c r="AO276" i="1" s="1"/>
  <c r="AP289" i="1"/>
  <c r="AP290" i="1" s="1"/>
  <c r="AP291" i="1" s="1"/>
  <c r="AP305" i="1" s="1"/>
  <c r="AO289" i="1"/>
  <c r="AO290" i="1" s="1"/>
  <c r="AO291" i="1" s="1"/>
  <c r="AM305" i="1"/>
  <c r="AM302" i="1"/>
  <c r="AO249" i="1"/>
  <c r="AL301" i="1" l="1"/>
  <c r="AL302" i="1" s="1"/>
  <c r="AL303" i="1" s="1"/>
  <c r="AK303" i="1"/>
  <c r="AO278" i="1"/>
  <c r="AO281" i="1" s="1"/>
  <c r="AO305" i="1"/>
  <c r="AO302" i="1"/>
  <c r="AQ245" i="1"/>
  <c r="AQ248" i="1" s="1"/>
  <c r="AK260" i="1"/>
  <c r="AL129" i="1" s="1"/>
  <c r="AM252" i="1"/>
  <c r="AM253" i="1" s="1"/>
  <c r="AM257" i="1" s="1"/>
  <c r="AN301" i="1" l="1"/>
  <c r="AN302" i="1" s="1"/>
  <c r="AN303" i="1" s="1"/>
  <c r="AM340" i="1"/>
  <c r="AM338" i="1"/>
  <c r="AM336" i="1"/>
  <c r="AQ277" i="1"/>
  <c r="AQ276" i="1" s="1"/>
  <c r="AR289" i="1"/>
  <c r="AR290" i="1" s="1"/>
  <c r="AR291" i="1" s="1"/>
  <c r="AR305" i="1" s="1"/>
  <c r="AQ289" i="1"/>
  <c r="AQ290" i="1" s="1"/>
  <c r="AQ291" i="1" s="1"/>
  <c r="AM303" i="1"/>
  <c r="AQ249" i="1"/>
  <c r="AO252" i="1"/>
  <c r="AO253" i="1" s="1"/>
  <c r="AM260" i="1"/>
  <c r="AO338" i="1" l="1"/>
  <c r="AO340" i="1"/>
  <c r="AO336" i="1"/>
  <c r="AM201" i="1"/>
  <c r="AM202" i="1" s="1"/>
  <c r="AM205" i="1" s="1"/>
  <c r="AN129" i="1"/>
  <c r="AQ278" i="1"/>
  <c r="AQ281" i="1" s="1"/>
  <c r="AQ305" i="1"/>
  <c r="AQ302" i="1"/>
  <c r="AP301" i="1"/>
  <c r="AP302" i="1" s="1"/>
  <c r="AP303" i="1" s="1"/>
  <c r="AO303" i="1"/>
  <c r="AS245" i="1"/>
  <c r="AS248" i="1" s="1"/>
  <c r="AO260" i="1"/>
  <c r="AO257" i="1"/>
  <c r="AM258" i="1"/>
  <c r="AM203" i="1" l="1"/>
  <c r="AM206" i="1" s="1"/>
  <c r="AO201" i="1"/>
  <c r="AO203" i="1" s="1"/>
  <c r="AO206" i="1" s="1"/>
  <c r="AP129" i="1"/>
  <c r="AS277" i="1"/>
  <c r="AS276" i="1" s="1"/>
  <c r="AT289" i="1"/>
  <c r="AT290" i="1" s="1"/>
  <c r="AT291" i="1" s="1"/>
  <c r="AT305" i="1" s="1"/>
  <c r="AS289" i="1"/>
  <c r="AS290" i="1" s="1"/>
  <c r="AS291" i="1" s="1"/>
  <c r="AO258" i="1"/>
  <c r="AS249" i="1"/>
  <c r="AQ252" i="1"/>
  <c r="AQ253" i="1" s="1"/>
  <c r="AQ338" i="1" l="1"/>
  <c r="AQ340" i="1"/>
  <c r="AQ336" i="1"/>
  <c r="AO202" i="1"/>
  <c r="AO205" i="1" s="1"/>
  <c r="AS278" i="1"/>
  <c r="AS281" i="1" s="1"/>
  <c r="AS305" i="1"/>
  <c r="AS302" i="1"/>
  <c r="AR301" i="1"/>
  <c r="AR302" i="1" s="1"/>
  <c r="AR303" i="1" s="1"/>
  <c r="AQ303" i="1"/>
  <c r="AQ257" i="1"/>
  <c r="AQ260" i="1"/>
  <c r="AU245" i="1"/>
  <c r="AU248" i="1" s="1"/>
  <c r="AQ201" i="1" l="1"/>
  <c r="AQ202" i="1" s="1"/>
  <c r="AQ205" i="1" s="1"/>
  <c r="AR129" i="1"/>
  <c r="AU277" i="1"/>
  <c r="AU276" i="1" s="1"/>
  <c r="AV289" i="1"/>
  <c r="AV290" i="1" s="1"/>
  <c r="AV291" i="1" s="1"/>
  <c r="AV305" i="1" s="1"/>
  <c r="AU289" i="1"/>
  <c r="AU290" i="1" s="1"/>
  <c r="AU291" i="1" s="1"/>
  <c r="AU249" i="1"/>
  <c r="AS252" i="1"/>
  <c r="AS253" i="1" s="1"/>
  <c r="AQ258" i="1"/>
  <c r="AS340" i="1" l="1"/>
  <c r="AS338" i="1"/>
  <c r="AS336" i="1"/>
  <c r="AQ203" i="1"/>
  <c r="AQ206" i="1" s="1"/>
  <c r="AU278" i="1"/>
  <c r="AU281" i="1" s="1"/>
  <c r="AU305" i="1"/>
  <c r="AU302" i="1"/>
  <c r="AT301" i="1"/>
  <c r="AT302" i="1" s="1"/>
  <c r="AT303" i="1" s="1"/>
  <c r="AS303" i="1"/>
  <c r="AS260" i="1"/>
  <c r="AS257" i="1"/>
  <c r="AW245" i="1"/>
  <c r="AW248" i="1" s="1"/>
  <c r="AS201" i="1" l="1"/>
  <c r="AS202" i="1" s="1"/>
  <c r="AS205" i="1" s="1"/>
  <c r="AT129" i="1"/>
  <c r="AW277" i="1"/>
  <c r="AW278" i="1" s="1"/>
  <c r="AW281" i="1" s="1"/>
  <c r="AX289" i="1"/>
  <c r="AX290" i="1" s="1"/>
  <c r="AX291" i="1" s="1"/>
  <c r="AX305" i="1" s="1"/>
  <c r="AW289" i="1"/>
  <c r="AW290" i="1" s="1"/>
  <c r="AW291" i="1" s="1"/>
  <c r="AU252" i="1"/>
  <c r="AU253" i="1" s="1"/>
  <c r="AS258" i="1"/>
  <c r="AW249" i="1"/>
  <c r="AU340" i="1" l="1"/>
  <c r="AU338" i="1"/>
  <c r="AU336" i="1"/>
  <c r="AS203" i="1"/>
  <c r="AS206" i="1" s="1"/>
  <c r="AW276" i="1"/>
  <c r="AW305" i="1"/>
  <c r="AW302" i="1"/>
  <c r="AV301" i="1"/>
  <c r="AV302" i="1" s="1"/>
  <c r="AV303" i="1" s="1"/>
  <c r="AU303" i="1"/>
  <c r="AU260" i="1"/>
  <c r="AU257" i="1"/>
  <c r="AY245" i="1"/>
  <c r="AY248" i="1" s="1"/>
  <c r="AU201" i="1" l="1"/>
  <c r="AU203" i="1" s="1"/>
  <c r="AU206" i="1" s="1"/>
  <c r="AV129" i="1"/>
  <c r="AY277" i="1"/>
  <c r="AY276" i="1" s="1"/>
  <c r="AZ289" i="1"/>
  <c r="AZ290" i="1" s="1"/>
  <c r="AZ291" i="1" s="1"/>
  <c r="AZ305" i="1" s="1"/>
  <c r="AY289" i="1"/>
  <c r="AY290" i="1" s="1"/>
  <c r="AY291" i="1" s="1"/>
  <c r="AW252" i="1"/>
  <c r="AW253" i="1" s="1"/>
  <c r="AY249" i="1"/>
  <c r="AU258" i="1"/>
  <c r="AW338" i="1" l="1"/>
  <c r="AW340" i="1"/>
  <c r="AW336" i="1"/>
  <c r="AU202" i="1"/>
  <c r="AU205" i="1" s="1"/>
  <c r="AY278" i="1"/>
  <c r="AY281" i="1" s="1"/>
  <c r="AY305" i="1"/>
  <c r="AY302" i="1"/>
  <c r="AX301" i="1"/>
  <c r="AX302" i="1" s="1"/>
  <c r="AX303" i="1" s="1"/>
  <c r="AW303" i="1"/>
  <c r="BA245" i="1"/>
  <c r="BA248" i="1" s="1"/>
  <c r="AW257" i="1"/>
  <c r="AW260" i="1"/>
  <c r="AW201" i="1" l="1"/>
  <c r="AW203" i="1" s="1"/>
  <c r="AW206" i="1" s="1"/>
  <c r="AX129" i="1"/>
  <c r="BB289" i="1"/>
  <c r="BB290" i="1" s="1"/>
  <c r="BB291" i="1" s="1"/>
  <c r="BB305" i="1" s="1"/>
  <c r="BA277" i="1"/>
  <c r="BA276" i="1" s="1"/>
  <c r="BA289" i="1"/>
  <c r="BA290" i="1" s="1"/>
  <c r="BA291" i="1" s="1"/>
  <c r="AW258" i="1"/>
  <c r="BA249" i="1"/>
  <c r="AY252" i="1"/>
  <c r="AY253" i="1" s="1"/>
  <c r="AY338" i="1" l="1"/>
  <c r="AY340" i="1"/>
  <c r="AY336" i="1"/>
  <c r="AW202" i="1"/>
  <c r="AW205" i="1" s="1"/>
  <c r="BA278" i="1"/>
  <c r="BA281" i="1" s="1"/>
  <c r="BA305" i="1"/>
  <c r="BA302" i="1"/>
  <c r="AZ301" i="1"/>
  <c r="AZ302" i="1" s="1"/>
  <c r="AZ303" i="1" s="1"/>
  <c r="AY303" i="1"/>
  <c r="AY257" i="1"/>
  <c r="AY260" i="1"/>
  <c r="BC245" i="1"/>
  <c r="BC248" i="1" s="1"/>
  <c r="AY201" i="1" l="1"/>
  <c r="AY203" i="1" s="1"/>
  <c r="AY206" i="1" s="1"/>
  <c r="AZ129" i="1"/>
  <c r="BC277" i="1"/>
  <c r="BC276" i="1" s="1"/>
  <c r="BD289" i="1"/>
  <c r="BD290" i="1" s="1"/>
  <c r="BD291" i="1" s="1"/>
  <c r="BD305" i="1" s="1"/>
  <c r="BC289" i="1"/>
  <c r="BC290" i="1" s="1"/>
  <c r="BC291" i="1" s="1"/>
  <c r="AY258" i="1"/>
  <c r="BC249" i="1"/>
  <c r="BA252" i="1"/>
  <c r="BA253" i="1" s="1"/>
  <c r="BA340" i="1" l="1"/>
  <c r="BA338" i="1"/>
  <c r="BA336" i="1"/>
  <c r="AY202" i="1"/>
  <c r="AY205" i="1" s="1"/>
  <c r="BC278" i="1"/>
  <c r="BC281" i="1" s="1"/>
  <c r="BC305" i="1"/>
  <c r="BC302" i="1"/>
  <c r="BB301" i="1"/>
  <c r="BB302" i="1" s="1"/>
  <c r="BB303" i="1" s="1"/>
  <c r="BA303" i="1"/>
  <c r="BE245" i="1"/>
  <c r="BE248" i="1" s="1"/>
  <c r="BA260" i="1"/>
  <c r="BA257" i="1"/>
  <c r="BA201" i="1" l="1"/>
  <c r="BA202" i="1" s="1"/>
  <c r="BA205" i="1" s="1"/>
  <c r="BB129" i="1"/>
  <c r="BE277" i="1"/>
  <c r="BE276" i="1" s="1"/>
  <c r="BF289" i="1"/>
  <c r="BF290" i="1" s="1"/>
  <c r="BF291" i="1" s="1"/>
  <c r="BF305" i="1" s="1"/>
  <c r="BE289" i="1"/>
  <c r="BE290" i="1" s="1"/>
  <c r="BE291" i="1" s="1"/>
  <c r="BC252" i="1"/>
  <c r="BC253" i="1" s="1"/>
  <c r="BA258" i="1"/>
  <c r="BE249" i="1"/>
  <c r="BC340" i="1" l="1"/>
  <c r="BC338" i="1"/>
  <c r="BC336" i="1"/>
  <c r="BA203" i="1"/>
  <c r="BA206" i="1" s="1"/>
  <c r="BE278" i="1"/>
  <c r="BE281" i="1" s="1"/>
  <c r="BE305" i="1"/>
  <c r="BE302" i="1"/>
  <c r="BD301" i="1"/>
  <c r="BD302" i="1" s="1"/>
  <c r="BD303" i="1" s="1"/>
  <c r="BC303" i="1"/>
  <c r="BG245" i="1"/>
  <c r="BG248" i="1" s="1"/>
  <c r="BC257" i="1"/>
  <c r="BC260" i="1"/>
  <c r="BC201" i="1" l="1"/>
  <c r="BC202" i="1" s="1"/>
  <c r="BC205" i="1" s="1"/>
  <c r="BD129" i="1"/>
  <c r="BG277" i="1"/>
  <c r="BG278" i="1" s="1"/>
  <c r="BG281" i="1" s="1"/>
  <c r="BH289" i="1"/>
  <c r="BH290" i="1" s="1"/>
  <c r="BH291" i="1" s="1"/>
  <c r="BH305" i="1" s="1"/>
  <c r="BG289" i="1"/>
  <c r="BG290" i="1" s="1"/>
  <c r="BG291" i="1" s="1"/>
  <c r="BC258" i="1"/>
  <c r="BE252" i="1"/>
  <c r="BE253" i="1" s="1"/>
  <c r="BG249" i="1"/>
  <c r="BE338" i="1" l="1"/>
  <c r="BE340" i="1"/>
  <c r="BE336" i="1"/>
  <c r="BC203" i="1"/>
  <c r="BC206" i="1" s="1"/>
  <c r="BG276" i="1"/>
  <c r="BG305" i="1"/>
  <c r="BG302" i="1"/>
  <c r="BF301" i="1"/>
  <c r="BF302" i="1" s="1"/>
  <c r="BF303" i="1" s="1"/>
  <c r="BE303" i="1"/>
  <c r="BE260" i="1"/>
  <c r="BE257" i="1"/>
  <c r="BI245" i="1"/>
  <c r="BI248" i="1" s="1"/>
  <c r="BE201" i="1" l="1"/>
  <c r="BE202" i="1" s="1"/>
  <c r="BE205" i="1" s="1"/>
  <c r="BF129" i="1"/>
  <c r="BI277" i="1"/>
  <c r="BI276" i="1" s="1"/>
  <c r="BJ289" i="1"/>
  <c r="BJ290" i="1" s="1"/>
  <c r="BJ291" i="1" s="1"/>
  <c r="BJ305" i="1" s="1"/>
  <c r="BI289" i="1"/>
  <c r="BI290" i="1" s="1"/>
  <c r="BI291" i="1" s="1"/>
  <c r="BE258" i="1"/>
  <c r="BG252" i="1"/>
  <c r="BG253" i="1" s="1"/>
  <c r="BI249" i="1"/>
  <c r="BG338" i="1" l="1"/>
  <c r="BG340" i="1"/>
  <c r="BG336" i="1"/>
  <c r="BE203" i="1"/>
  <c r="BE206" i="1" s="1"/>
  <c r="BI278" i="1"/>
  <c r="BI281" i="1" s="1"/>
  <c r="BI305" i="1"/>
  <c r="BI302" i="1"/>
  <c r="BH301" i="1"/>
  <c r="BH302" i="1" s="1"/>
  <c r="BH303" i="1" s="1"/>
  <c r="BG303" i="1"/>
  <c r="BG257" i="1"/>
  <c r="BG260" i="1"/>
  <c r="BK245" i="1"/>
  <c r="BK248" i="1" s="1"/>
  <c r="BG201" i="1" l="1"/>
  <c r="BG202" i="1" s="1"/>
  <c r="BG205" i="1" s="1"/>
  <c r="BH129" i="1"/>
  <c r="BL289" i="1"/>
  <c r="BL290" i="1" s="1"/>
  <c r="BL291" i="1" s="1"/>
  <c r="BL305" i="1" s="1"/>
  <c r="BK277" i="1"/>
  <c r="BK276" i="1" s="1"/>
  <c r="BK289" i="1"/>
  <c r="BK290" i="1" s="1"/>
  <c r="BK291" i="1" s="1"/>
  <c r="BK249" i="1"/>
  <c r="BG258" i="1"/>
  <c r="BI252" i="1"/>
  <c r="BI253" i="1" s="1"/>
  <c r="BI340" i="1" l="1"/>
  <c r="BI338" i="1"/>
  <c r="BI336" i="1"/>
  <c r="BG203" i="1"/>
  <c r="BG206" i="1" s="1"/>
  <c r="BK278" i="1"/>
  <c r="BK281" i="1" s="1"/>
  <c r="BK305" i="1"/>
  <c r="BK302" i="1"/>
  <c r="BJ301" i="1"/>
  <c r="BJ302" i="1" s="1"/>
  <c r="BJ303" i="1" s="1"/>
  <c r="BI303" i="1"/>
  <c r="BI260" i="1"/>
  <c r="BI257" i="1"/>
  <c r="BM245" i="1"/>
  <c r="BM248" i="1" s="1"/>
  <c r="BI201" i="1" l="1"/>
  <c r="BI203" i="1" s="1"/>
  <c r="BI206" i="1" s="1"/>
  <c r="BJ129" i="1"/>
  <c r="BM277" i="1"/>
  <c r="BM276" i="1" s="1"/>
  <c r="BN289" i="1"/>
  <c r="BN290" i="1" s="1"/>
  <c r="BN291" i="1" s="1"/>
  <c r="BN305" i="1" s="1"/>
  <c r="BM289" i="1"/>
  <c r="BM290" i="1" s="1"/>
  <c r="BM291" i="1" s="1"/>
  <c r="BM249" i="1"/>
  <c r="BI258" i="1"/>
  <c r="BK252" i="1"/>
  <c r="BK253" i="1" s="1"/>
  <c r="BK340" i="1" l="1"/>
  <c r="BK338" i="1"/>
  <c r="BK336" i="1"/>
  <c r="BI202" i="1"/>
  <c r="BI205" i="1" s="1"/>
  <c r="BM278" i="1"/>
  <c r="BM281" i="1" s="1"/>
  <c r="BM305" i="1"/>
  <c r="BM302" i="1"/>
  <c r="BL301" i="1"/>
  <c r="BL302" i="1" s="1"/>
  <c r="BL303" i="1" s="1"/>
  <c r="BK303" i="1"/>
  <c r="BK260" i="1"/>
  <c r="BK257" i="1"/>
  <c r="BO245" i="1"/>
  <c r="BO248" i="1" s="1"/>
  <c r="BK201" i="1" l="1"/>
  <c r="BK203" i="1" s="1"/>
  <c r="BK206" i="1" s="1"/>
  <c r="BL129" i="1"/>
  <c r="BO277" i="1"/>
  <c r="BO276" i="1" s="1"/>
  <c r="BP289" i="1"/>
  <c r="BP290" i="1" s="1"/>
  <c r="BP291" i="1" s="1"/>
  <c r="BP305" i="1" s="1"/>
  <c r="BO289" i="1"/>
  <c r="BO290" i="1" s="1"/>
  <c r="BO291" i="1" s="1"/>
  <c r="BM252" i="1"/>
  <c r="BM253" i="1" s="1"/>
  <c r="BK258" i="1"/>
  <c r="BO249" i="1"/>
  <c r="BM338" i="1" l="1"/>
  <c r="BM340" i="1"/>
  <c r="BM336" i="1"/>
  <c r="BK202" i="1"/>
  <c r="BK205" i="1" s="1"/>
  <c r="BO278" i="1"/>
  <c r="BO281" i="1" s="1"/>
  <c r="BO305" i="1"/>
  <c r="BO302" i="1"/>
  <c r="BN301" i="1"/>
  <c r="BN302" i="1" s="1"/>
  <c r="BN303" i="1" s="1"/>
  <c r="BM303" i="1"/>
  <c r="BM257" i="1"/>
  <c r="BM260" i="1"/>
  <c r="BQ245" i="1"/>
  <c r="BQ248" i="1" s="1"/>
  <c r="BM201" i="1" l="1"/>
  <c r="BM202" i="1" s="1"/>
  <c r="BM205" i="1" s="1"/>
  <c r="BN129" i="1"/>
  <c r="BQ277" i="1"/>
  <c r="BQ276" i="1" s="1"/>
  <c r="BR289" i="1"/>
  <c r="BR290" i="1" s="1"/>
  <c r="BR291" i="1" s="1"/>
  <c r="BR305" i="1" s="1"/>
  <c r="BQ289" i="1"/>
  <c r="BQ290" i="1" s="1"/>
  <c r="BQ291" i="1" s="1"/>
  <c r="BO252" i="1"/>
  <c r="BO253" i="1" s="1"/>
  <c r="BQ249" i="1"/>
  <c r="BM258" i="1"/>
  <c r="BO338" i="1" l="1"/>
  <c r="BO340" i="1"/>
  <c r="BO336" i="1"/>
  <c r="BM203" i="1"/>
  <c r="BM206" i="1" s="1"/>
  <c r="BQ278" i="1"/>
  <c r="BQ281" i="1" s="1"/>
  <c r="BQ305" i="1"/>
  <c r="BQ302" i="1"/>
  <c r="BP301" i="1"/>
  <c r="BP302" i="1" s="1"/>
  <c r="BP303" i="1" s="1"/>
  <c r="BO303" i="1"/>
  <c r="BS245" i="1"/>
  <c r="BS248" i="1" s="1"/>
  <c r="BO257" i="1"/>
  <c r="BO260" i="1"/>
  <c r="BO201" i="1" l="1"/>
  <c r="BO202" i="1" s="1"/>
  <c r="BO205" i="1" s="1"/>
  <c r="BP129" i="1"/>
  <c r="BS277" i="1"/>
  <c r="BS276" i="1" s="1"/>
  <c r="BT289" i="1"/>
  <c r="BT290" i="1" s="1"/>
  <c r="BT291" i="1" s="1"/>
  <c r="BT305" i="1" s="1"/>
  <c r="BS289" i="1"/>
  <c r="BS290" i="1" s="1"/>
  <c r="BS291" i="1" s="1"/>
  <c r="BO258" i="1"/>
  <c r="BS249" i="1"/>
  <c r="BQ252" i="1"/>
  <c r="BQ253" i="1" s="1"/>
  <c r="BQ340" i="1" l="1"/>
  <c r="BQ338" i="1"/>
  <c r="BQ336" i="1"/>
  <c r="BO203" i="1"/>
  <c r="BO206" i="1" s="1"/>
  <c r="BS278" i="1"/>
  <c r="BS281" i="1" s="1"/>
  <c r="BS305" i="1"/>
  <c r="BS302" i="1"/>
  <c r="BR301" i="1"/>
  <c r="BR302" i="1" s="1"/>
  <c r="BR303" i="1" s="1"/>
  <c r="BQ303" i="1"/>
  <c r="BQ257" i="1"/>
  <c r="BQ260" i="1"/>
  <c r="BU245" i="1"/>
  <c r="BU248" i="1" s="1"/>
  <c r="BQ201" i="1" l="1"/>
  <c r="BQ202" i="1" s="1"/>
  <c r="BQ205" i="1" s="1"/>
  <c r="BR129" i="1"/>
  <c r="BU277" i="1"/>
  <c r="BU276" i="1" s="1"/>
  <c r="BV289" i="1"/>
  <c r="BV290" i="1" s="1"/>
  <c r="BV291" i="1" s="1"/>
  <c r="BV305" i="1" s="1"/>
  <c r="BU289" i="1"/>
  <c r="BU290" i="1" s="1"/>
  <c r="BU291" i="1" s="1"/>
  <c r="BS252" i="1"/>
  <c r="BS253" i="1" s="1"/>
  <c r="BQ258" i="1"/>
  <c r="BU249" i="1"/>
  <c r="BS340" i="1" l="1"/>
  <c r="BS338" i="1"/>
  <c r="BS336" i="1"/>
  <c r="BQ203" i="1"/>
  <c r="BQ206" i="1" s="1"/>
  <c r="BU278" i="1"/>
  <c r="BU281" i="1" s="1"/>
  <c r="BU305" i="1"/>
  <c r="BU302" i="1"/>
  <c r="BT301" i="1"/>
  <c r="BT302" i="1" s="1"/>
  <c r="BT303" i="1" s="1"/>
  <c r="BS303" i="1"/>
  <c r="BS257" i="1"/>
  <c r="BS260" i="1"/>
  <c r="BW245" i="1"/>
  <c r="BW248" i="1" s="1"/>
  <c r="BS201" i="1" l="1"/>
  <c r="BS203" i="1" s="1"/>
  <c r="BS206" i="1" s="1"/>
  <c r="BT129" i="1"/>
  <c r="BW277" i="1"/>
  <c r="BW276" i="1" s="1"/>
  <c r="BX289" i="1"/>
  <c r="BX290" i="1" s="1"/>
  <c r="BX291" i="1" s="1"/>
  <c r="BX305" i="1" s="1"/>
  <c r="BW289" i="1"/>
  <c r="BW290" i="1" s="1"/>
  <c r="BW291" i="1" s="1"/>
  <c r="BW249" i="1"/>
  <c r="BS258" i="1"/>
  <c r="BU252" i="1"/>
  <c r="BU253" i="1" s="1"/>
  <c r="BU338" i="1" l="1"/>
  <c r="BU340" i="1"/>
  <c r="BU336" i="1"/>
  <c r="BS202" i="1"/>
  <c r="BS205" i="1" s="1"/>
  <c r="BW278" i="1"/>
  <c r="BW281" i="1" s="1"/>
  <c r="BW305" i="1"/>
  <c r="BW302" i="1"/>
  <c r="BV301" i="1"/>
  <c r="BV302" i="1" s="1"/>
  <c r="BV303" i="1" s="1"/>
  <c r="BU303" i="1"/>
  <c r="BU257" i="1"/>
  <c r="BU260" i="1"/>
  <c r="BY245" i="1"/>
  <c r="BY248" i="1" s="1"/>
  <c r="BU201" i="1" l="1"/>
  <c r="BU203" i="1" s="1"/>
  <c r="BU206" i="1" s="1"/>
  <c r="BV129" i="1"/>
  <c r="BZ289" i="1"/>
  <c r="BZ290" i="1" s="1"/>
  <c r="BZ291" i="1" s="1"/>
  <c r="BZ305" i="1" s="1"/>
  <c r="BY277" i="1"/>
  <c r="BY276" i="1" s="1"/>
  <c r="BY289" i="1"/>
  <c r="BY290" i="1" s="1"/>
  <c r="BY291" i="1" s="1"/>
  <c r="BW252" i="1"/>
  <c r="BW253" i="1" s="1"/>
  <c r="BY249" i="1"/>
  <c r="BU258" i="1"/>
  <c r="BW338" i="1" l="1"/>
  <c r="BW340" i="1"/>
  <c r="BW336" i="1"/>
  <c r="BU202" i="1"/>
  <c r="BU205" i="1" s="1"/>
  <c r="BY278" i="1"/>
  <c r="BY281" i="1" s="1"/>
  <c r="BY305" i="1"/>
  <c r="BY302" i="1"/>
  <c r="BX301" i="1"/>
  <c r="BX302" i="1" s="1"/>
  <c r="BX303" i="1" s="1"/>
  <c r="BW303" i="1"/>
  <c r="BW257" i="1"/>
  <c r="BW260" i="1"/>
  <c r="BW201" i="1" l="1"/>
  <c r="BW203" i="1" s="1"/>
  <c r="BW206" i="1" s="1"/>
  <c r="BX129" i="1"/>
  <c r="BW258" i="1"/>
  <c r="BY252" i="1"/>
  <c r="BY253" i="1" s="1"/>
  <c r="BY340" i="1" l="1"/>
  <c r="BY338" i="1"/>
  <c r="BY336" i="1"/>
  <c r="BW202" i="1"/>
  <c r="BW205" i="1" s="1"/>
  <c r="BZ301" i="1"/>
  <c r="BZ302" i="1" s="1"/>
  <c r="BZ303" i="1" s="1"/>
  <c r="BY303" i="1"/>
  <c r="BY260" i="1"/>
  <c r="BY257" i="1"/>
  <c r="BY201" i="1" l="1"/>
  <c r="BY202" i="1" s="1"/>
  <c r="BY205" i="1" s="1"/>
  <c r="BZ129" i="1"/>
  <c r="BY258" i="1"/>
  <c r="CC237" i="1"/>
  <c r="CC236" i="1"/>
  <c r="CA236" i="1"/>
  <c r="CA245" i="1"/>
  <c r="CA248" i="1" s="1"/>
  <c r="CA237" i="1"/>
  <c r="BY203" i="1" l="1"/>
  <c r="BY206" i="1" s="1"/>
  <c r="CA240" i="1"/>
  <c r="CA274" i="1" s="1"/>
  <c r="CA273" i="1" s="1"/>
  <c r="CB289" i="1"/>
  <c r="CA277" i="1"/>
  <c r="CA276" i="1" s="1"/>
  <c r="CA289" i="1"/>
  <c r="CC245" i="1"/>
  <c r="CC248" i="1" s="1"/>
  <c r="CC240" i="1"/>
  <c r="CA249" i="1" l="1"/>
  <c r="CA288" i="1"/>
  <c r="CA290" i="1" s="1"/>
  <c r="CA291" i="1" s="1"/>
  <c r="CA305" i="1" s="1"/>
  <c r="CB288" i="1"/>
  <c r="CB290" i="1" s="1"/>
  <c r="CB291" i="1" s="1"/>
  <c r="CB305" i="1" s="1"/>
  <c r="CA278" i="1"/>
  <c r="CD288" i="1"/>
  <c r="CC274" i="1"/>
  <c r="CC273" i="1" s="1"/>
  <c r="CC288" i="1"/>
  <c r="CC277" i="1"/>
  <c r="CC276" i="1" s="1"/>
  <c r="CD289" i="1"/>
  <c r="CC289" i="1"/>
  <c r="CC249" i="1"/>
  <c r="CA281" i="1" l="1"/>
  <c r="CE281" i="1"/>
  <c r="CC290" i="1"/>
  <c r="CC291" i="1" s="1"/>
  <c r="CC305" i="1" s="1"/>
  <c r="CD290" i="1"/>
  <c r="CD291" i="1" s="1"/>
  <c r="CD305" i="1" s="1"/>
  <c r="CA302" i="1"/>
  <c r="CA252" i="1" s="1"/>
  <c r="CA253" i="1" s="1"/>
  <c r="CC278" i="1"/>
  <c r="CA340" i="1" l="1"/>
  <c r="CA338" i="1"/>
  <c r="CA336" i="1"/>
  <c r="CC281" i="1"/>
  <c r="CG281" i="1"/>
  <c r="CC302" i="1"/>
  <c r="CC252" i="1" s="1"/>
  <c r="CC253" i="1" s="1"/>
  <c r="CB301" i="1"/>
  <c r="CB302" i="1" s="1"/>
  <c r="CB303" i="1" s="1"/>
  <c r="CA303" i="1"/>
  <c r="CA260" i="1"/>
  <c r="CA257" i="1"/>
  <c r="CC338" i="1" l="1"/>
  <c r="CC340" i="1"/>
  <c r="CC336" i="1"/>
  <c r="CA201" i="1"/>
  <c r="CA202" i="1" s="1"/>
  <c r="CA205" i="1" s="1"/>
  <c r="CB129" i="1"/>
  <c r="CD301" i="1"/>
  <c r="CD302" i="1" s="1"/>
  <c r="CD303" i="1" s="1"/>
  <c r="CC303" i="1"/>
  <c r="CC257" i="1"/>
  <c r="CC260" i="1"/>
  <c r="CA258" i="1"/>
  <c r="CA203" i="1" l="1"/>
  <c r="CA206" i="1" s="1"/>
  <c r="CC201" i="1"/>
  <c r="CC202" i="1" s="1"/>
  <c r="CC205" i="1" s="1"/>
  <c r="CD129" i="1"/>
  <c r="CC258" i="1"/>
  <c r="CC203" i="1" l="1"/>
  <c r="CC206" i="1" s="1"/>
  <c r="CE181" i="1"/>
  <c r="CD181" i="1"/>
  <c r="CC181" i="1"/>
  <c r="CB181" i="1"/>
  <c r="CI237" i="1" l="1"/>
  <c r="CI245" i="1"/>
  <c r="CI248" i="1" s="1"/>
  <c r="CI236" i="1"/>
  <c r="CJ289" i="1" l="1"/>
  <c r="CI240" i="1"/>
  <c r="CI289" i="1"/>
  <c r="CJ288" i="1" l="1"/>
  <c r="CJ290" i="1" s="1"/>
  <c r="CJ291" i="1" s="1"/>
  <c r="CJ305" i="1" s="1"/>
  <c r="CI249" i="1"/>
  <c r="CI288" i="1"/>
  <c r="CI290" i="1" s="1"/>
  <c r="CI291" i="1" s="1"/>
  <c r="CI305" i="1" s="1"/>
  <c r="CI278" i="1" l="1"/>
  <c r="CI281" i="1" s="1"/>
  <c r="CI302" i="1"/>
  <c r="CI252" i="1" s="1"/>
  <c r="CI253" i="1" s="1"/>
  <c r="CI340" i="1" l="1"/>
  <c r="CI338" i="1"/>
  <c r="CI336" i="1"/>
  <c r="CI303" i="1"/>
  <c r="CJ301" i="1"/>
  <c r="CJ302" i="1" s="1"/>
  <c r="CI260" i="1"/>
  <c r="CI257" i="1"/>
  <c r="CI201" i="1" l="1"/>
  <c r="CI203" i="1" s="1"/>
  <c r="CI206" i="1" s="1"/>
  <c r="CJ129" i="1"/>
  <c r="CJ303" i="1"/>
  <c r="CI258" i="1"/>
  <c r="CI202" i="1" l="1"/>
  <c r="CI205" i="1" s="1"/>
  <c r="CJ260" i="1"/>
  <c r="CJ201" i="1" l="1"/>
  <c r="CK129" i="1"/>
  <c r="CJ202" i="1" l="1"/>
  <c r="CJ205" i="1" s="1"/>
  <c r="CJ203" i="1"/>
  <c r="CJ206" i="1" s="1"/>
  <c r="CK323" i="1" l="1"/>
  <c r="CK345" i="1"/>
  <c r="CK344" i="1"/>
  <c r="CK236" i="1" l="1"/>
  <c r="CK245" i="1"/>
  <c r="CK237" i="1"/>
  <c r="CK244" i="1"/>
  <c r="CK317" i="1"/>
  <c r="CK238" i="1"/>
  <c r="CK248" i="1" l="1"/>
  <c r="CK240" i="1"/>
  <c r="CK289" i="1" l="1"/>
  <c r="CL289" i="1"/>
  <c r="CK288" i="1"/>
  <c r="CL288" i="1"/>
  <c r="CK249" i="1"/>
  <c r="CK342" i="1"/>
  <c r="CK343" i="1" s="1"/>
  <c r="CK324" i="1"/>
  <c r="CK325" i="1" s="1"/>
  <c r="CK318" i="1"/>
  <c r="CK290" i="1" l="1"/>
  <c r="CL290" i="1"/>
  <c r="CL291" i="1" s="1"/>
  <c r="CL305" i="1" s="1"/>
  <c r="CK337" i="1"/>
  <c r="CK319" i="1"/>
  <c r="CK326" i="1"/>
  <c r="CK285" i="1" l="1"/>
  <c r="CK287" i="1" s="1"/>
  <c r="CK291" i="1" s="1"/>
  <c r="CK305" i="1" s="1"/>
  <c r="CK211" i="1"/>
  <c r="CK212" i="1" l="1"/>
  <c r="CL299" i="1" s="1"/>
  <c r="CL297" i="1" s="1"/>
  <c r="CK146" i="1" l="1"/>
  <c r="CK184" i="1"/>
  <c r="CG181" i="1"/>
  <c r="CK299" i="1"/>
  <c r="CK297" i="1" s="1"/>
  <c r="CK302" i="1" s="1"/>
  <c r="CK221" i="1"/>
  <c r="CK147" i="1" s="1"/>
  <c r="CK188" i="1" l="1"/>
  <c r="CK186" i="1"/>
  <c r="CK187" i="1"/>
  <c r="CK252" i="1"/>
  <c r="CK253" i="1" s="1"/>
  <c r="CL301" i="1" s="1"/>
  <c r="CL302" i="1" s="1"/>
  <c r="CL303" i="1" s="1"/>
  <c r="CK303" i="1" l="1"/>
  <c r="CK340" i="1"/>
  <c r="CK336" i="1"/>
  <c r="CK338" i="1"/>
  <c r="CK257" i="1"/>
  <c r="CK260" i="1"/>
  <c r="CK201" i="1" l="1"/>
  <c r="CL129" i="1"/>
  <c r="CK258" i="1"/>
  <c r="CK202" i="1" l="1"/>
  <c r="CK205" i="1" s="1"/>
  <c r="CK203" i="1"/>
  <c r="CK206" i="1" s="1"/>
  <c r="CN188" i="1" l="1"/>
  <c r="CO188" i="1" l="1"/>
  <c r="CP188" i="1" l="1"/>
  <c r="CQ188" i="1" l="1"/>
  <c r="CR188" i="1" l="1"/>
  <c r="CS188" i="1" l="1"/>
  <c r="CT188" i="1" l="1"/>
  <c r="CU188" i="1" l="1"/>
  <c r="CV188" i="1" l="1"/>
  <c r="CW188" i="1" l="1"/>
  <c r="CX188" i="1" l="1"/>
  <c r="CY188" i="1" l="1"/>
  <c r="CZ188" i="1" l="1"/>
  <c r="DA188" i="1" l="1"/>
  <c r="DB188" i="1" l="1"/>
  <c r="CO23" i="1" l="1"/>
  <c r="CO19" i="1" s="1"/>
  <c r="CN23" i="1"/>
  <c r="CN19" i="1" s="1"/>
  <c r="CM23" i="1"/>
  <c r="CL19" i="1"/>
  <c r="CL44" i="1" l="1"/>
  <c r="CL90" i="1"/>
  <c r="CQ23" i="1"/>
  <c r="CN44" i="1"/>
  <c r="CN17" i="1"/>
  <c r="CN27" i="1" s="1"/>
  <c r="CN99" i="1" s="1"/>
  <c r="CO44" i="1"/>
  <c r="CO17" i="1"/>
  <c r="CO27" i="1" s="1"/>
  <c r="CO99" i="1" s="1"/>
  <c r="CR23" i="1"/>
  <c r="CS23" i="1"/>
  <c r="CP23" i="1"/>
  <c r="AB23" i="1" s="1"/>
  <c r="AA23" i="1"/>
  <c r="CL17" i="1"/>
  <c r="CM19" i="1"/>
  <c r="CQ19" i="1" l="1"/>
  <c r="CQ17" i="1" s="1"/>
  <c r="CQ27" i="1" s="1"/>
  <c r="CQ99" i="1" s="1"/>
  <c r="CU23" i="1"/>
  <c r="CL42" i="1"/>
  <c r="CL88" i="1"/>
  <c r="CL27" i="1"/>
  <c r="CL28" i="1" s="1"/>
  <c r="AB19" i="1"/>
  <c r="AB48" i="1"/>
  <c r="CW23" i="1"/>
  <c r="CS19" i="1"/>
  <c r="AA19" i="1"/>
  <c r="AA48" i="1"/>
  <c r="CQ101" i="1"/>
  <c r="CN345" i="1"/>
  <c r="CN323" i="1"/>
  <c r="CN101" i="1"/>
  <c r="CM44" i="1"/>
  <c r="CM17" i="1"/>
  <c r="CM27" i="1" s="1"/>
  <c r="CM99" i="1" s="1"/>
  <c r="CO101" i="1"/>
  <c r="CO345" i="1"/>
  <c r="CO323" i="1"/>
  <c r="CV23" i="1"/>
  <c r="CR19" i="1"/>
  <c r="CP19" i="1"/>
  <c r="CT23" i="1"/>
  <c r="AC23" i="1" s="1"/>
  <c r="CQ323" i="1" l="1"/>
  <c r="CQ44" i="1"/>
  <c r="CQ345" i="1"/>
  <c r="CU19" i="1"/>
  <c r="CY23" i="1"/>
  <c r="AB17" i="1"/>
  <c r="AB27" i="1" s="1"/>
  <c r="AB44" i="1"/>
  <c r="AC48" i="1"/>
  <c r="AC19" i="1"/>
  <c r="AA17" i="1"/>
  <c r="AA44" i="1"/>
  <c r="DA23" i="1"/>
  <c r="DA19" i="1" s="1"/>
  <c r="CW19" i="1"/>
  <c r="CW44" i="1" s="1"/>
  <c r="CS44" i="1"/>
  <c r="CS17" i="1"/>
  <c r="CS27" i="1" s="1"/>
  <c r="CS99" i="1" s="1"/>
  <c r="CS101" i="1" s="1"/>
  <c r="CY19" i="1"/>
  <c r="CY17" i="1" s="1"/>
  <c r="CY27" i="1" s="1"/>
  <c r="CY99" i="1" s="1"/>
  <c r="CY323" i="1" s="1"/>
  <c r="CO107" i="1"/>
  <c r="CO106" i="1" s="1"/>
  <c r="CO244" i="1"/>
  <c r="CO102" i="1"/>
  <c r="CO245" i="1"/>
  <c r="CO118" i="1"/>
  <c r="CO115" i="1" s="1"/>
  <c r="CO237" i="1"/>
  <c r="CO236" i="1"/>
  <c r="CO238" i="1"/>
  <c r="CQ118" i="1"/>
  <c r="CQ115" i="1" s="1"/>
  <c r="CQ107" i="1"/>
  <c r="CQ106" i="1" s="1"/>
  <c r="CQ238" i="1"/>
  <c r="CQ237" i="1"/>
  <c r="CQ244" i="1"/>
  <c r="CQ236" i="1"/>
  <c r="CQ245" i="1"/>
  <c r="CP44" i="1"/>
  <c r="CP17" i="1"/>
  <c r="CP27" i="1" s="1"/>
  <c r="CP99" i="1" s="1"/>
  <c r="CR44" i="1"/>
  <c r="CR17" i="1"/>
  <c r="CR27" i="1" s="1"/>
  <c r="CR99" i="1" s="1"/>
  <c r="CN107" i="1"/>
  <c r="CN118" i="1"/>
  <c r="CN115" i="1" s="1"/>
  <c r="CN238" i="1"/>
  <c r="CN102" i="1"/>
  <c r="CN236" i="1"/>
  <c r="CN244" i="1"/>
  <c r="CN237" i="1"/>
  <c r="CN245" i="1"/>
  <c r="CO103" i="1"/>
  <c r="CU44" i="1"/>
  <c r="CU17" i="1"/>
  <c r="CU27" i="1" s="1"/>
  <c r="CU99" i="1" s="1"/>
  <c r="CM323" i="1"/>
  <c r="CM345" i="1"/>
  <c r="CM101" i="1"/>
  <c r="CV19" i="1"/>
  <c r="CZ23" i="1"/>
  <c r="CT19" i="1"/>
  <c r="CX23" i="1"/>
  <c r="AD23" i="1" s="1"/>
  <c r="CN190" i="1"/>
  <c r="CN191" i="1" s="1"/>
  <c r="CN194" i="1" s="1"/>
  <c r="CO190" i="1"/>
  <c r="CO191" i="1" s="1"/>
  <c r="CO194" i="1" s="1"/>
  <c r="CM190" i="1"/>
  <c r="CM191" i="1" s="1"/>
  <c r="CM194" i="1" s="1"/>
  <c r="CY44" i="1" l="1"/>
  <c r="CW17" i="1"/>
  <c r="CW27" i="1" s="1"/>
  <c r="CW99" i="1" s="1"/>
  <c r="CW345" i="1" s="1"/>
  <c r="CY345" i="1"/>
  <c r="CY101" i="1"/>
  <c r="CY237" i="1" s="1"/>
  <c r="AC17" i="1"/>
  <c r="AC44" i="1"/>
  <c r="AA27" i="1"/>
  <c r="AA42" i="1"/>
  <c r="AB42" i="1"/>
  <c r="DA17" i="1"/>
  <c r="DA27" i="1" s="1"/>
  <c r="DA99" i="1" s="1"/>
  <c r="DA44" i="1"/>
  <c r="CS345" i="1"/>
  <c r="CS323" i="1"/>
  <c r="CZ19" i="1"/>
  <c r="AE23" i="1"/>
  <c r="AD19" i="1"/>
  <c r="AD48" i="1"/>
  <c r="CN109" i="1"/>
  <c r="CN120" i="1"/>
  <c r="CO240" i="1"/>
  <c r="CT44" i="1"/>
  <c r="CT17" i="1"/>
  <c r="CT27" i="1" s="1"/>
  <c r="CT99" i="1" s="1"/>
  <c r="CV44" i="1"/>
  <c r="CV17" i="1"/>
  <c r="CV27" i="1" s="1"/>
  <c r="CV99" i="1" s="1"/>
  <c r="CN248" i="1"/>
  <c r="CM237" i="1"/>
  <c r="CM244" i="1"/>
  <c r="CM102" i="1"/>
  <c r="CN103" i="1"/>
  <c r="CM238" i="1"/>
  <c r="CM118" i="1"/>
  <c r="CM115" i="1" s="1"/>
  <c r="CM107" i="1"/>
  <c r="CM236" i="1"/>
  <c r="CM245" i="1"/>
  <c r="CQ102" i="1"/>
  <c r="CU345" i="1"/>
  <c r="CU101" i="1"/>
  <c r="CU323" i="1"/>
  <c r="CN240" i="1"/>
  <c r="CS107" i="1"/>
  <c r="CS106" i="1" s="1"/>
  <c r="CS236" i="1"/>
  <c r="CS244" i="1"/>
  <c r="CS237" i="1"/>
  <c r="CS245" i="1"/>
  <c r="CS238" i="1"/>
  <c r="CS118" i="1"/>
  <c r="CS115" i="1" s="1"/>
  <c r="CQ248" i="1"/>
  <c r="CY118" i="1"/>
  <c r="CY115" i="1" s="1"/>
  <c r="CO248" i="1"/>
  <c r="CQ120" i="1"/>
  <c r="CR345" i="1"/>
  <c r="CR101" i="1"/>
  <c r="CR323" i="1"/>
  <c r="CQ240" i="1"/>
  <c r="CN106" i="1"/>
  <c r="CS102" i="1"/>
  <c r="CO120" i="1"/>
  <c r="CO110" i="1"/>
  <c r="CO109" i="1"/>
  <c r="DB23" i="1"/>
  <c r="DB19" i="1" s="1"/>
  <c r="DB17" i="1" s="1"/>
  <c r="CX19" i="1"/>
  <c r="CO317" i="1"/>
  <c r="CM317" i="1"/>
  <c r="CN317" i="1"/>
  <c r="CM103" i="1"/>
  <c r="CP323" i="1"/>
  <c r="CS190" i="1"/>
  <c r="CS191" i="1" s="1"/>
  <c r="CS194" i="1" s="1"/>
  <c r="AB99" i="1"/>
  <c r="CR190" i="1"/>
  <c r="CR191" i="1" s="1"/>
  <c r="CR194" i="1" s="1"/>
  <c r="CP101" i="1"/>
  <c r="CP102" i="1" s="1"/>
  <c r="CP345" i="1"/>
  <c r="CQ190" i="1"/>
  <c r="CQ191" i="1" s="1"/>
  <c r="CQ194" i="1" s="1"/>
  <c r="CP190" i="1"/>
  <c r="CP191" i="1" s="1"/>
  <c r="CP194" i="1" s="1"/>
  <c r="CM196" i="1"/>
  <c r="CN196" i="1" s="1"/>
  <c r="CO196" i="1" s="1"/>
  <c r="CP196" i="1" s="1"/>
  <c r="CQ196" i="1" s="1"/>
  <c r="CR196" i="1" s="1"/>
  <c r="CS196" i="1" s="1"/>
  <c r="CT196" i="1" s="1"/>
  <c r="CU196" i="1" s="1"/>
  <c r="CV196" i="1" s="1"/>
  <c r="CW196" i="1" s="1"/>
  <c r="CX196" i="1" s="1"/>
  <c r="CY196" i="1" s="1"/>
  <c r="CZ196" i="1" s="1"/>
  <c r="DA196" i="1" s="1"/>
  <c r="DB196" i="1" s="1"/>
  <c r="CM195" i="1"/>
  <c r="CN195" i="1" s="1"/>
  <c r="CO195" i="1" s="1"/>
  <c r="CP195" i="1" s="1"/>
  <c r="CQ195" i="1" s="1"/>
  <c r="CR195" i="1" s="1"/>
  <c r="CS195" i="1" s="1"/>
  <c r="CT195" i="1" s="1"/>
  <c r="CU195" i="1" s="1"/>
  <c r="CV195" i="1" s="1"/>
  <c r="CW195" i="1" s="1"/>
  <c r="CX195" i="1" s="1"/>
  <c r="CY195" i="1" s="1"/>
  <c r="CZ195" i="1" s="1"/>
  <c r="DA195" i="1" s="1"/>
  <c r="DB195" i="1" s="1"/>
  <c r="CZ44" i="1" l="1"/>
  <c r="CZ17" i="1"/>
  <c r="CZ27" i="1" s="1"/>
  <c r="CZ99" i="1" s="1"/>
  <c r="CW101" i="1"/>
  <c r="CW102" i="1" s="1"/>
  <c r="CW323" i="1"/>
  <c r="CY236" i="1"/>
  <c r="CY244" i="1"/>
  <c r="CY238" i="1"/>
  <c r="CY240" i="1" s="1"/>
  <c r="CY245" i="1"/>
  <c r="CY107" i="1"/>
  <c r="CY106" i="1" s="1"/>
  <c r="CM248" i="1"/>
  <c r="CN289" i="1" s="1"/>
  <c r="DA101" i="1"/>
  <c r="DA102" i="1" s="1"/>
  <c r="DA323" i="1"/>
  <c r="DA345" i="1"/>
  <c r="AE48" i="1"/>
  <c r="AE19" i="1"/>
  <c r="AD17" i="1"/>
  <c r="AD42" i="1" s="1"/>
  <c r="AD44" i="1"/>
  <c r="AC42" i="1"/>
  <c r="AC27" i="1"/>
  <c r="CN110" i="1"/>
  <c r="CM106" i="1"/>
  <c r="CQ109" i="1"/>
  <c r="CO249" i="1"/>
  <c r="CS240" i="1"/>
  <c r="CS120" i="1"/>
  <c r="CS109" i="1"/>
  <c r="CM240" i="1"/>
  <c r="CO289" i="1"/>
  <c r="CV345" i="1"/>
  <c r="CV323" i="1"/>
  <c r="CV101" i="1"/>
  <c r="CN126" i="1"/>
  <c r="CN121" i="1"/>
  <c r="CN122" i="1"/>
  <c r="CN324" i="1"/>
  <c r="CN325" i="1" s="1"/>
  <c r="CQ249" i="1"/>
  <c r="CR244" i="1"/>
  <c r="CR236" i="1"/>
  <c r="CR237" i="1"/>
  <c r="CR107" i="1"/>
  <c r="CS110" i="1" s="1"/>
  <c r="CR238" i="1"/>
  <c r="CR245" i="1"/>
  <c r="CR118" i="1"/>
  <c r="CR115" i="1" s="1"/>
  <c r="CS103" i="1"/>
  <c r="CR103" i="1"/>
  <c r="CR102" i="1"/>
  <c r="CO121" i="1"/>
  <c r="CO122" i="1"/>
  <c r="CO123" i="1"/>
  <c r="CO324" i="1"/>
  <c r="CO325" i="1" s="1"/>
  <c r="CO126" i="1"/>
  <c r="CO342" i="1"/>
  <c r="CO343" i="1" s="1"/>
  <c r="CX44" i="1"/>
  <c r="CX17" i="1"/>
  <c r="CX27" i="1" s="1"/>
  <c r="CX99" i="1" s="1"/>
  <c r="CS248" i="1"/>
  <c r="CN249" i="1"/>
  <c r="CO288" i="1"/>
  <c r="CM109" i="1"/>
  <c r="CM120" i="1"/>
  <c r="CQ126" i="1"/>
  <c r="CQ324" i="1"/>
  <c r="CQ325" i="1" s="1"/>
  <c r="CQ121" i="1"/>
  <c r="CU236" i="1"/>
  <c r="CU107" i="1"/>
  <c r="CU106" i="1" s="1"/>
  <c r="CU237" i="1"/>
  <c r="CU244" i="1"/>
  <c r="CU245" i="1"/>
  <c r="CU118" i="1"/>
  <c r="CU115" i="1" s="1"/>
  <c r="CU238" i="1"/>
  <c r="CY102" i="1"/>
  <c r="CU102" i="1"/>
  <c r="DB44" i="1"/>
  <c r="CP107" i="1"/>
  <c r="CP106" i="1" s="1"/>
  <c r="CP244" i="1"/>
  <c r="CS317" i="1"/>
  <c r="CP237" i="1"/>
  <c r="AB237" i="1" s="1"/>
  <c r="AB272" i="1" s="1"/>
  <c r="CP236" i="1"/>
  <c r="CP118" i="1"/>
  <c r="CP115" i="1" s="1"/>
  <c r="AB115" i="1" s="1"/>
  <c r="AB118" i="1" s="1"/>
  <c r="CQ317" i="1"/>
  <c r="CP317" i="1"/>
  <c r="CP245" i="1"/>
  <c r="AB245" i="1" s="1"/>
  <c r="AB275" i="1" s="1"/>
  <c r="CP238" i="1"/>
  <c r="AB238" i="1" s="1"/>
  <c r="CR317" i="1"/>
  <c r="CP103" i="1"/>
  <c r="CQ103" i="1"/>
  <c r="AA28" i="1"/>
  <c r="AB345" i="1"/>
  <c r="AB101" i="1"/>
  <c r="CW190" i="1"/>
  <c r="CW191" i="1" s="1"/>
  <c r="CW194" i="1" s="1"/>
  <c r="CT345" i="1"/>
  <c r="CV190" i="1"/>
  <c r="CV191" i="1" s="1"/>
  <c r="CV194" i="1" s="1"/>
  <c r="CT101" i="1"/>
  <c r="CT102" i="1" s="1"/>
  <c r="CT190" i="1"/>
  <c r="CT191" i="1" s="1"/>
  <c r="CT194" i="1" s="1"/>
  <c r="CU190" i="1"/>
  <c r="CU191" i="1" s="1"/>
  <c r="CU194" i="1" s="1"/>
  <c r="AC99" i="1"/>
  <c r="CT323" i="1"/>
  <c r="CM110" i="1"/>
  <c r="CZ345" i="1" l="1"/>
  <c r="CZ323" i="1"/>
  <c r="CZ101" i="1"/>
  <c r="CW118" i="1"/>
  <c r="CW115" i="1" s="1"/>
  <c r="CY120" i="1"/>
  <c r="CW245" i="1"/>
  <c r="CW238" i="1"/>
  <c r="CW236" i="1"/>
  <c r="CW237" i="1"/>
  <c r="CW244" i="1"/>
  <c r="CW248" i="1" s="1"/>
  <c r="CW107" i="1"/>
  <c r="CW106" i="1" s="1"/>
  <c r="CY248" i="1"/>
  <c r="CY249" i="1" s="1"/>
  <c r="AD27" i="1"/>
  <c r="CR248" i="1"/>
  <c r="CU240" i="1"/>
  <c r="CU248" i="1"/>
  <c r="DA238" i="1"/>
  <c r="DA118" i="1"/>
  <c r="DA115" i="1" s="1"/>
  <c r="DA236" i="1"/>
  <c r="DA237" i="1"/>
  <c r="DA107" i="1"/>
  <c r="DA106" i="1" s="1"/>
  <c r="DA245" i="1"/>
  <c r="DA244" i="1"/>
  <c r="AE17" i="1"/>
  <c r="AE42" i="1" s="1"/>
  <c r="AE44" i="1"/>
  <c r="CV102" i="1"/>
  <c r="CV103" i="1"/>
  <c r="AB106" i="1"/>
  <c r="AB107" i="1" s="1"/>
  <c r="CM126" i="1"/>
  <c r="CM122" i="1"/>
  <c r="CM324" i="1"/>
  <c r="CM325" i="1" s="1"/>
  <c r="CM121" i="1"/>
  <c r="CZ244" i="1"/>
  <c r="CZ238" i="1"/>
  <c r="CZ237" i="1"/>
  <c r="CZ245" i="1"/>
  <c r="CZ107" i="1"/>
  <c r="CZ106" i="1" s="1"/>
  <c r="CZ118" i="1"/>
  <c r="CZ115" i="1" s="1"/>
  <c r="CZ236" i="1"/>
  <c r="DA103" i="1"/>
  <c r="CZ103" i="1"/>
  <c r="CO290" i="1"/>
  <c r="CS126" i="1"/>
  <c r="CS122" i="1"/>
  <c r="CS324" i="1"/>
  <c r="CS325" i="1" s="1"/>
  <c r="CS121" i="1"/>
  <c r="CR120" i="1"/>
  <c r="CS342" i="1" s="1"/>
  <c r="CS343" i="1" s="1"/>
  <c r="CR110" i="1"/>
  <c r="CR109" i="1"/>
  <c r="CV238" i="1"/>
  <c r="CV237" i="1"/>
  <c r="CV118" i="1"/>
  <c r="CV115" i="1" s="1"/>
  <c r="CV245" i="1"/>
  <c r="CV236" i="1"/>
  <c r="CV107" i="1"/>
  <c r="CV106" i="1" s="1"/>
  <c r="CV244" i="1"/>
  <c r="CW103" i="1"/>
  <c r="CZ102" i="1"/>
  <c r="CS249" i="1"/>
  <c r="CQ122" i="1"/>
  <c r="CN342" i="1"/>
  <c r="CN343" i="1" s="1"/>
  <c r="CU109" i="1"/>
  <c r="CU120" i="1"/>
  <c r="CN288" i="1"/>
  <c r="CN290" i="1" s="1"/>
  <c r="CM249" i="1"/>
  <c r="CY109" i="1"/>
  <c r="CR106" i="1"/>
  <c r="CR240" i="1"/>
  <c r="CN123" i="1"/>
  <c r="AB119" i="1"/>
  <c r="AB236" i="1"/>
  <c r="CP240" i="1"/>
  <c r="AB280" i="1"/>
  <c r="AB102" i="1"/>
  <c r="AB150" i="1"/>
  <c r="AB190" i="1"/>
  <c r="AB28" i="1"/>
  <c r="DB27" i="1"/>
  <c r="DB99" i="1" s="1"/>
  <c r="AC345" i="1"/>
  <c r="AC101" i="1"/>
  <c r="CP248" i="1"/>
  <c r="AB244" i="1"/>
  <c r="AB248" i="1" s="1"/>
  <c r="CM288" i="1"/>
  <c r="CM289" i="1"/>
  <c r="CP109" i="1"/>
  <c r="CP110" i="1"/>
  <c r="CP120" i="1"/>
  <c r="CQ110" i="1"/>
  <c r="AD99" i="1"/>
  <c r="CX323" i="1"/>
  <c r="CX190" i="1"/>
  <c r="CX191" i="1" s="1"/>
  <c r="CX194" i="1" s="1"/>
  <c r="CY190" i="1"/>
  <c r="CY191" i="1" s="1"/>
  <c r="CY194" i="1" s="1"/>
  <c r="CX345" i="1"/>
  <c r="DA190" i="1"/>
  <c r="DA191" i="1" s="1"/>
  <c r="DA194" i="1" s="1"/>
  <c r="CX101" i="1"/>
  <c r="CX102" i="1" s="1"/>
  <c r="CZ190" i="1"/>
  <c r="CZ191" i="1" s="1"/>
  <c r="CZ194" i="1" s="1"/>
  <c r="CT107" i="1"/>
  <c r="CT106" i="1" s="1"/>
  <c r="CW317" i="1"/>
  <c r="CU103" i="1"/>
  <c r="CT238" i="1"/>
  <c r="AC238" i="1" s="1"/>
  <c r="CT245" i="1"/>
  <c r="AC245" i="1" s="1"/>
  <c r="AC275" i="1" s="1"/>
  <c r="CT103" i="1"/>
  <c r="CT118" i="1"/>
  <c r="CT115" i="1" s="1"/>
  <c r="AC115" i="1" s="1"/>
  <c r="AC118" i="1" s="1"/>
  <c r="CU317" i="1"/>
  <c r="CT244" i="1"/>
  <c r="CT317" i="1"/>
  <c r="CV317" i="1"/>
  <c r="CT237" i="1"/>
  <c r="AC237" i="1" s="1"/>
  <c r="AC272" i="1" s="1"/>
  <c r="CT236" i="1"/>
  <c r="CM318" i="1"/>
  <c r="CN204" i="1"/>
  <c r="CN318" i="1"/>
  <c r="CM342" i="1"/>
  <c r="CM343" i="1" s="1"/>
  <c r="CM123" i="1"/>
  <c r="CM204" i="1"/>
  <c r="CO204" i="1"/>
  <c r="CO318" i="1"/>
  <c r="CY126" i="1" l="1"/>
  <c r="CY324" i="1"/>
  <c r="CY325" i="1" s="1"/>
  <c r="CY121" i="1"/>
  <c r="CY122" i="1"/>
  <c r="CW240" i="1"/>
  <c r="CW120" i="1"/>
  <c r="CW122" i="1" s="1"/>
  <c r="CW109" i="1"/>
  <c r="DA248" i="1"/>
  <c r="CU249" i="1"/>
  <c r="CW110" i="1"/>
  <c r="CV248" i="1"/>
  <c r="CV289" i="1" s="1"/>
  <c r="AE27" i="1"/>
  <c r="CS289" i="1"/>
  <c r="CR289" i="1"/>
  <c r="AC106" i="1"/>
  <c r="AC107" i="1" s="1"/>
  <c r="DA240" i="1"/>
  <c r="DA109" i="1"/>
  <c r="DA120" i="1"/>
  <c r="DA122" i="1" s="1"/>
  <c r="AC119" i="1"/>
  <c r="CZ248" i="1"/>
  <c r="CR126" i="1"/>
  <c r="CR121" i="1"/>
  <c r="CR342" i="1"/>
  <c r="CR343" i="1" s="1"/>
  <c r="CR123" i="1"/>
  <c r="CR122" i="1"/>
  <c r="CR324" i="1"/>
  <c r="CR325" i="1" s="1"/>
  <c r="CZ240" i="1"/>
  <c r="CW249" i="1"/>
  <c r="CR249" i="1"/>
  <c r="CS288" i="1"/>
  <c r="CR288" i="1"/>
  <c r="CV120" i="1"/>
  <c r="CV110" i="1"/>
  <c r="CV109" i="1"/>
  <c r="CV240" i="1"/>
  <c r="CW126" i="1"/>
  <c r="CU126" i="1"/>
  <c r="CU121" i="1"/>
  <c r="CU324" i="1"/>
  <c r="CU325" i="1" s="1"/>
  <c r="CU122" i="1"/>
  <c r="CS123" i="1"/>
  <c r="CZ109" i="1"/>
  <c r="CZ110" i="1"/>
  <c r="CZ120" i="1"/>
  <c r="DA110" i="1"/>
  <c r="CM290" i="1"/>
  <c r="AB120" i="1"/>
  <c r="AB151" i="1"/>
  <c r="AB108" i="1"/>
  <c r="AB277" i="1"/>
  <c r="AB276" i="1" s="1"/>
  <c r="AD345" i="1"/>
  <c r="AD101" i="1"/>
  <c r="DB345" i="1"/>
  <c r="DB101" i="1"/>
  <c r="DB102" i="1" s="1"/>
  <c r="AE99" i="1"/>
  <c r="DB323" i="1"/>
  <c r="DB190" i="1"/>
  <c r="DB191" i="1" s="1"/>
  <c r="DB194" i="1" s="1"/>
  <c r="CP288" i="1"/>
  <c r="CQ288" i="1"/>
  <c r="CP249" i="1"/>
  <c r="AC236" i="1"/>
  <c r="CT240" i="1"/>
  <c r="CX244" i="1"/>
  <c r="CX238" i="1"/>
  <c r="AD238" i="1" s="1"/>
  <c r="CX237" i="1"/>
  <c r="AD237" i="1" s="1"/>
  <c r="AD272" i="1" s="1"/>
  <c r="CY317" i="1"/>
  <c r="CX118" i="1"/>
  <c r="CX115" i="1" s="1"/>
  <c r="AD115" i="1" s="1"/>
  <c r="AD118" i="1" s="1"/>
  <c r="CY103" i="1"/>
  <c r="CZ317" i="1"/>
  <c r="DA317" i="1"/>
  <c r="CX103" i="1"/>
  <c r="CX236" i="1"/>
  <c r="CX107" i="1"/>
  <c r="CX317" i="1"/>
  <c r="CX245" i="1"/>
  <c r="AD245" i="1" s="1"/>
  <c r="AD275" i="1" s="1"/>
  <c r="AC280" i="1"/>
  <c r="AC190" i="1"/>
  <c r="AC102" i="1"/>
  <c r="AC150" i="1"/>
  <c r="AC28" i="1"/>
  <c r="AB271" i="1"/>
  <c r="AB240" i="1"/>
  <c r="AB288" i="1" s="1"/>
  <c r="CT248" i="1"/>
  <c r="AC244" i="1"/>
  <c r="AC248" i="1" s="1"/>
  <c r="AC289" i="1" s="1"/>
  <c r="CU110" i="1"/>
  <c r="CT110" i="1"/>
  <c r="CT120" i="1"/>
  <c r="CT109" i="1"/>
  <c r="CP126" i="1"/>
  <c r="CR204" i="1"/>
  <c r="CP324" i="1"/>
  <c r="CP325" i="1" s="1"/>
  <c r="CP122" i="1"/>
  <c r="CS318" i="1"/>
  <c r="CQ123" i="1"/>
  <c r="CP204" i="1"/>
  <c r="CP121" i="1"/>
  <c r="CR318" i="1"/>
  <c r="CP342" i="1"/>
  <c r="CP343" i="1" s="1"/>
  <c r="CQ204" i="1"/>
  <c r="CQ318" i="1"/>
  <c r="CS204" i="1"/>
  <c r="CP318" i="1"/>
  <c r="CP123" i="1"/>
  <c r="CQ342" i="1"/>
  <c r="CQ343" i="1" s="1"/>
  <c r="CQ289" i="1"/>
  <c r="CP289" i="1"/>
  <c r="AB289" i="1"/>
  <c r="AB109" i="1"/>
  <c r="CW324" i="1" l="1"/>
  <c r="CW325" i="1" s="1"/>
  <c r="CW121" i="1"/>
  <c r="DA249" i="1"/>
  <c r="CR290" i="1"/>
  <c r="CS290" i="1"/>
  <c r="CW289" i="1"/>
  <c r="AD119" i="1"/>
  <c r="DA126" i="1"/>
  <c r="DA121" i="1"/>
  <c r="DA324" i="1"/>
  <c r="DA325" i="1" s="1"/>
  <c r="CV249" i="1"/>
  <c r="CW288" i="1"/>
  <c r="CV288" i="1"/>
  <c r="CV290" i="1" s="1"/>
  <c r="CV126" i="1"/>
  <c r="CV122" i="1"/>
  <c r="CV123" i="1"/>
  <c r="CV324" i="1"/>
  <c r="CV325" i="1" s="1"/>
  <c r="CV342" i="1"/>
  <c r="CV343" i="1" s="1"/>
  <c r="CV121" i="1"/>
  <c r="CW342" i="1"/>
  <c r="CW343" i="1" s="1"/>
  <c r="CW123" i="1"/>
  <c r="CZ126" i="1"/>
  <c r="CZ342" i="1"/>
  <c r="CZ343" i="1" s="1"/>
  <c r="CZ122" i="1"/>
  <c r="CZ123" i="1"/>
  <c r="CZ324" i="1"/>
  <c r="CZ325" i="1" s="1"/>
  <c r="CZ121" i="1"/>
  <c r="DA123" i="1"/>
  <c r="DA342" i="1"/>
  <c r="DA343" i="1" s="1"/>
  <c r="CZ249" i="1"/>
  <c r="CZ288" i="1"/>
  <c r="DA288" i="1"/>
  <c r="DA289" i="1"/>
  <c r="CZ289" i="1"/>
  <c r="AB290" i="1"/>
  <c r="CX110" i="1"/>
  <c r="CX120" i="1"/>
  <c r="CX109" i="1"/>
  <c r="CY110" i="1"/>
  <c r="AD236" i="1"/>
  <c r="CX240" i="1"/>
  <c r="CP290" i="1"/>
  <c r="AE101" i="1"/>
  <c r="AE345" i="1"/>
  <c r="AB249" i="1"/>
  <c r="AB274" i="1"/>
  <c r="CT249" i="1"/>
  <c r="CU288" i="1"/>
  <c r="CT288" i="1"/>
  <c r="AC271" i="1"/>
  <c r="AC240" i="1"/>
  <c r="AC288" i="1" s="1"/>
  <c r="AC290" i="1" s="1"/>
  <c r="CQ290" i="1"/>
  <c r="CX106" i="1"/>
  <c r="AD106" i="1" s="1"/>
  <c r="AD107" i="1" s="1"/>
  <c r="AD109" i="1" s="1"/>
  <c r="AB126" i="1"/>
  <c r="AB121" i="1"/>
  <c r="AB152" i="1"/>
  <c r="AB342" i="1"/>
  <c r="AB343" i="1" s="1"/>
  <c r="AB204" i="1"/>
  <c r="AC151" i="1"/>
  <c r="AC120" i="1"/>
  <c r="AC108" i="1"/>
  <c r="CT126" i="1"/>
  <c r="CW204" i="1"/>
  <c r="CT324" i="1"/>
  <c r="CT325" i="1" s="1"/>
  <c r="CU318" i="1"/>
  <c r="CU204" i="1"/>
  <c r="CT318" i="1"/>
  <c r="CT342" i="1"/>
  <c r="CT343" i="1" s="1"/>
  <c r="CV204" i="1"/>
  <c r="CT122" i="1"/>
  <c r="CW318" i="1"/>
  <c r="CT204" i="1"/>
  <c r="CU342" i="1"/>
  <c r="CU343" i="1" s="1"/>
  <c r="CT121" i="1"/>
  <c r="CT123" i="1"/>
  <c r="CU123" i="1"/>
  <c r="CV318" i="1"/>
  <c r="DB107" i="1"/>
  <c r="DB106" i="1" s="1"/>
  <c r="AE106" i="1" s="1"/>
  <c r="DB118" i="1"/>
  <c r="DB115" i="1" s="1"/>
  <c r="AE115" i="1" s="1"/>
  <c r="AE118" i="1" s="1"/>
  <c r="DB238" i="1"/>
  <c r="AE238" i="1" s="1"/>
  <c r="DB245" i="1"/>
  <c r="AE245" i="1" s="1"/>
  <c r="AE275" i="1" s="1"/>
  <c r="DB244" i="1"/>
  <c r="DB236" i="1"/>
  <c r="DB317" i="1"/>
  <c r="DB237" i="1"/>
  <c r="AE237" i="1" s="1"/>
  <c r="AE272" i="1" s="1"/>
  <c r="DB103" i="1"/>
  <c r="AC277" i="1"/>
  <c r="AC276" i="1" s="1"/>
  <c r="CU289" i="1"/>
  <c r="CT289" i="1"/>
  <c r="AB122" i="1"/>
  <c r="CX248" i="1"/>
  <c r="AD244" i="1"/>
  <c r="AD248" i="1" s="1"/>
  <c r="AD289" i="1" s="1"/>
  <c r="AD280" i="1"/>
  <c r="AD190" i="1"/>
  <c r="AD102" i="1"/>
  <c r="AD150" i="1"/>
  <c r="AD28" i="1"/>
  <c r="AC109" i="1"/>
  <c r="CW290" i="1" l="1"/>
  <c r="DA290" i="1"/>
  <c r="CT290" i="1"/>
  <c r="CZ290" i="1"/>
  <c r="DB240" i="1"/>
  <c r="AE236" i="1"/>
  <c r="AE107" i="1"/>
  <c r="AE109" i="1" s="1"/>
  <c r="AE102" i="1"/>
  <c r="AE280" i="1"/>
  <c r="AE150" i="1"/>
  <c r="AE190" i="1"/>
  <c r="AE28" i="1"/>
  <c r="AC126" i="1"/>
  <c r="AC342" i="1"/>
  <c r="AC343" i="1" s="1"/>
  <c r="AC152" i="1"/>
  <c r="AC204" i="1"/>
  <c r="AC121" i="1"/>
  <c r="AD271" i="1"/>
  <c r="AD240" i="1"/>
  <c r="AD288" i="1" s="1"/>
  <c r="AD290" i="1" s="1"/>
  <c r="AE119" i="1"/>
  <c r="AB278" i="1"/>
  <c r="AB281" i="1" s="1"/>
  <c r="AB282" i="1" s="1"/>
  <c r="AB273" i="1"/>
  <c r="DB248" i="1"/>
  <c r="DB289" i="1" s="1"/>
  <c r="AE244" i="1"/>
  <c r="AE248" i="1" s="1"/>
  <c r="AE277" i="1" s="1"/>
  <c r="AE276" i="1" s="1"/>
  <c r="CY288" i="1"/>
  <c r="CX288" i="1"/>
  <c r="CX249" i="1"/>
  <c r="CZ318" i="1"/>
  <c r="CX121" i="1"/>
  <c r="CX122" i="1"/>
  <c r="CX342" i="1"/>
  <c r="CX343" i="1" s="1"/>
  <c r="CY123" i="1"/>
  <c r="CY318" i="1"/>
  <c r="CX318" i="1"/>
  <c r="CX324" i="1"/>
  <c r="CX325" i="1" s="1"/>
  <c r="DA204" i="1"/>
  <c r="CZ204" i="1"/>
  <c r="CY342" i="1"/>
  <c r="CY343" i="1" s="1"/>
  <c r="CX204" i="1"/>
  <c r="DA318" i="1"/>
  <c r="CX126" i="1"/>
  <c r="CY204" i="1"/>
  <c r="CX123" i="1"/>
  <c r="AD108" i="1"/>
  <c r="AD151" i="1"/>
  <c r="AD120" i="1"/>
  <c r="CU290" i="1"/>
  <c r="AC122" i="1"/>
  <c r="AD277" i="1"/>
  <c r="AD276" i="1" s="1"/>
  <c r="CY289" i="1"/>
  <c r="CX289" i="1"/>
  <c r="DB120" i="1"/>
  <c r="DB110" i="1"/>
  <c r="DB109" i="1"/>
  <c r="AC274" i="1"/>
  <c r="AC249" i="1"/>
  <c r="AE289" i="1" l="1"/>
  <c r="CX290" i="1"/>
  <c r="AD249" i="1"/>
  <c r="AD274" i="1"/>
  <c r="AE120" i="1"/>
  <c r="AE122" i="1" s="1"/>
  <c r="AE108" i="1"/>
  <c r="AE151" i="1"/>
  <c r="AC273" i="1"/>
  <c r="AC278" i="1"/>
  <c r="AC281" i="1" s="1"/>
  <c r="AC282" i="1" s="1"/>
  <c r="AE240" i="1"/>
  <c r="AE271" i="1"/>
  <c r="CY290" i="1"/>
  <c r="DB126" i="1"/>
  <c r="DB123" i="1"/>
  <c r="DB324" i="1"/>
  <c r="DB325" i="1" s="1"/>
  <c r="DB342" i="1"/>
  <c r="DB343" i="1" s="1"/>
  <c r="DB121" i="1"/>
  <c r="DB122" i="1"/>
  <c r="DB318" i="1"/>
  <c r="DB204" i="1"/>
  <c r="AD126" i="1"/>
  <c r="AD152" i="1"/>
  <c r="AD342" i="1"/>
  <c r="AD343" i="1" s="1"/>
  <c r="AD204" i="1"/>
  <c r="AD121" i="1"/>
  <c r="AD122" i="1"/>
  <c r="DB249" i="1"/>
  <c r="DB288" i="1"/>
  <c r="DB290" i="1" s="1"/>
  <c r="AE249" i="1" l="1"/>
  <c r="AE274" i="1"/>
  <c r="AD273" i="1"/>
  <c r="AD278" i="1"/>
  <c r="AD281" i="1" s="1"/>
  <c r="AD282" i="1" s="1"/>
  <c r="AE126" i="1"/>
  <c r="AE342" i="1"/>
  <c r="AE343" i="1" s="1"/>
  <c r="AE152" i="1"/>
  <c r="AE204" i="1"/>
  <c r="AE121" i="1"/>
  <c r="AE288" i="1"/>
  <c r="AE290" i="1" s="1"/>
  <c r="AE278" i="1" l="1"/>
  <c r="AE281" i="1" s="1"/>
  <c r="AE282" i="1" s="1"/>
  <c r="AE273" i="1"/>
  <c r="CM178" i="1" l="1"/>
  <c r="CN178" i="1" s="1"/>
  <c r="CO178" i="1" s="1"/>
  <c r="CP178" i="1" s="1"/>
  <c r="CQ178" i="1" s="1"/>
  <c r="CR178" i="1" s="1"/>
  <c r="CS178" i="1" s="1"/>
  <c r="CT178" i="1" s="1"/>
  <c r="CU178" i="1" s="1"/>
  <c r="CV178" i="1" s="1"/>
  <c r="CW178" i="1" s="1"/>
  <c r="CX178" i="1" s="1"/>
  <c r="CY178" i="1" s="1"/>
  <c r="CZ178" i="1" s="1"/>
  <c r="DA178" i="1" s="1"/>
  <c r="DB178" i="1" s="1"/>
  <c r="CH181" i="1"/>
  <c r="CM179" i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Y179" i="1" s="1"/>
  <c r="CZ179" i="1" s="1"/>
  <c r="DA179" i="1" s="1"/>
  <c r="DB179" i="1" s="1"/>
  <c r="CM187" i="1" l="1"/>
  <c r="CN187" i="1" l="1"/>
  <c r="AB301" i="1" l="1"/>
  <c r="CM301" i="1"/>
  <c r="CO187" i="1"/>
  <c r="CP187" i="1" l="1"/>
  <c r="CM128" i="1"/>
  <c r="CM130" i="1" l="1"/>
  <c r="CM344" i="1"/>
  <c r="CQ187" i="1"/>
  <c r="CR187" i="1" l="1"/>
  <c r="CM131" i="1"/>
  <c r="CM133" i="1" l="1"/>
  <c r="CS187" i="1"/>
  <c r="CT187" i="1" l="1"/>
  <c r="CM140" i="1"/>
  <c r="CM135" i="1"/>
  <c r="CM136" i="1"/>
  <c r="CM134" i="1"/>
  <c r="CM337" i="1" s="1"/>
  <c r="CM326" i="1"/>
  <c r="CM319" i="1"/>
  <c r="CM285" i="1" l="1"/>
  <c r="CM287" i="1" s="1"/>
  <c r="CM291" i="1" s="1"/>
  <c r="CM305" i="1" s="1"/>
  <c r="CM158" i="1"/>
  <c r="CM211" i="1"/>
  <c r="CU187" i="1"/>
  <c r="CV187" i="1" l="1"/>
  <c r="CM212" i="1"/>
  <c r="CM161" i="1"/>
  <c r="CM177" i="1" l="1"/>
  <c r="CM162" i="1"/>
  <c r="CI181" i="1"/>
  <c r="CM221" i="1"/>
  <c r="CM147" i="1" s="1"/>
  <c r="CM184" i="1"/>
  <c r="CM299" i="1"/>
  <c r="CM297" i="1" s="1"/>
  <c r="CM302" i="1" s="1"/>
  <c r="CM146" i="1"/>
  <c r="CW187" i="1"/>
  <c r="CM252" i="1" l="1"/>
  <c r="CM253" i="1" s="1"/>
  <c r="CM303" i="1" s="1"/>
  <c r="CM171" i="1"/>
  <c r="CM186" i="1"/>
  <c r="CM170" i="1"/>
  <c r="CX187" i="1"/>
  <c r="CY187" i="1" l="1"/>
  <c r="CM199" i="1"/>
  <c r="CM173" i="1"/>
  <c r="CM174" i="1"/>
  <c r="CM200" i="1"/>
  <c r="CM257" i="1"/>
  <c r="CM258" i="1" s="1"/>
  <c r="CN301" i="1"/>
  <c r="CM340" i="1"/>
  <c r="CM338" i="1"/>
  <c r="CM260" i="1"/>
  <c r="CM336" i="1"/>
  <c r="CN128" i="1" l="1"/>
  <c r="CM201" i="1"/>
  <c r="CM203" i="1" s="1"/>
  <c r="CM206" i="1" s="1"/>
  <c r="CZ187" i="1"/>
  <c r="CM202" i="1" l="1"/>
  <c r="CM205" i="1" s="1"/>
  <c r="DA187" i="1"/>
  <c r="CN344" i="1"/>
  <c r="CN130" i="1"/>
  <c r="CN131" i="1" l="1"/>
  <c r="CN133" i="1" s="1"/>
  <c r="DB187" i="1"/>
  <c r="CN326" i="1" l="1"/>
  <c r="CN140" i="1"/>
  <c r="CN134" i="1"/>
  <c r="CN337" i="1" s="1"/>
  <c r="CN136" i="1"/>
  <c r="CN135" i="1"/>
  <c r="CN319" i="1"/>
  <c r="CN285" i="1" l="1"/>
  <c r="CN287" i="1" s="1"/>
  <c r="CN291" i="1" s="1"/>
  <c r="CN305" i="1" s="1"/>
  <c r="CN158" i="1"/>
  <c r="CN211" i="1"/>
  <c r="CN212" i="1" l="1"/>
  <c r="CN161" i="1"/>
  <c r="CN162" i="1" l="1"/>
  <c r="CN177" i="1"/>
  <c r="CJ181" i="1"/>
  <c r="CN299" i="1"/>
  <c r="CN297" i="1" s="1"/>
  <c r="CN302" i="1" s="1"/>
  <c r="CN221" i="1"/>
  <c r="CN147" i="1" s="1"/>
  <c r="CN184" i="1"/>
  <c r="CN146" i="1"/>
  <c r="CN171" i="1" l="1"/>
  <c r="CN186" i="1"/>
  <c r="CN170" i="1"/>
  <c r="CN252" i="1"/>
  <c r="CN253" i="1" s="1"/>
  <c r="CN303" i="1" s="1"/>
  <c r="CO301" i="1" l="1"/>
  <c r="CN257" i="1"/>
  <c r="CN258" i="1" s="1"/>
  <c r="CN260" i="1"/>
  <c r="CN338" i="1"/>
  <c r="CN340" i="1"/>
  <c r="CN336" i="1"/>
  <c r="CN173" i="1"/>
  <c r="CN199" i="1"/>
  <c r="CN200" i="1"/>
  <c r="CN174" i="1"/>
  <c r="CO128" i="1" l="1"/>
  <c r="CN201" i="1"/>
  <c r="CN202" i="1" l="1"/>
  <c r="CN205" i="1" s="1"/>
  <c r="CN203" i="1"/>
  <c r="CN206" i="1" s="1"/>
  <c r="CO130" i="1"/>
  <c r="CO344" i="1"/>
  <c r="CO131" i="1" l="1"/>
  <c r="CO133" i="1" s="1"/>
  <c r="CO135" i="1" l="1"/>
  <c r="CO140" i="1"/>
  <c r="CO134" i="1"/>
  <c r="CO337" i="1" s="1"/>
  <c r="CO136" i="1"/>
  <c r="CO326" i="1"/>
  <c r="CO319" i="1"/>
  <c r="CO285" i="1" l="1"/>
  <c r="CO287" i="1" s="1"/>
  <c r="CO291" i="1" s="1"/>
  <c r="CO305" i="1" s="1"/>
  <c r="CO158" i="1"/>
  <c r="CO211" i="1"/>
  <c r="CO212" i="1" l="1"/>
  <c r="CO161" i="1"/>
  <c r="CO162" i="1" l="1"/>
  <c r="CO177" i="1"/>
  <c r="CK181" i="1"/>
  <c r="CO299" i="1"/>
  <c r="CO297" i="1" s="1"/>
  <c r="CO302" i="1" s="1"/>
  <c r="CO184" i="1"/>
  <c r="CO221" i="1"/>
  <c r="CO147" i="1" s="1"/>
  <c r="CO146" i="1"/>
  <c r="CO171" i="1" l="1"/>
  <c r="CO186" i="1"/>
  <c r="CO170" i="1"/>
  <c r="CO252" i="1"/>
  <c r="CO253" i="1" s="1"/>
  <c r="CO338" i="1" l="1"/>
  <c r="CO340" i="1"/>
  <c r="CP301" i="1"/>
  <c r="CO260" i="1"/>
  <c r="CO257" i="1"/>
  <c r="CO258" i="1" s="1"/>
  <c r="CO336" i="1"/>
  <c r="CO303" i="1"/>
  <c r="CO173" i="1"/>
  <c r="CO199" i="1"/>
  <c r="CO174" i="1"/>
  <c r="CO200" i="1"/>
  <c r="CO201" i="1" l="1"/>
  <c r="CO203" i="1" s="1"/>
  <c r="CO206" i="1" s="1"/>
  <c r="CP128" i="1"/>
  <c r="CO202" i="1" l="1"/>
  <c r="CO205" i="1" s="1"/>
  <c r="CP344" i="1"/>
  <c r="CP130" i="1"/>
  <c r="AB128" i="1"/>
  <c r="AB344" i="1" l="1"/>
  <c r="AB129" i="1"/>
  <c r="AB130" i="1"/>
  <c r="CP131" i="1"/>
  <c r="AB131" i="1" s="1"/>
  <c r="AB132" i="1" l="1"/>
  <c r="CP133" i="1"/>
  <c r="CP319" i="1" s="1"/>
  <c r="AB133" i="1"/>
  <c r="CP134" i="1" l="1"/>
  <c r="CP337" i="1" s="1"/>
  <c r="CP135" i="1"/>
  <c r="CP140" i="1"/>
  <c r="CP326" i="1"/>
  <c r="CP136" i="1"/>
  <c r="AB134" i="1"/>
  <c r="AB337" i="1" s="1"/>
  <c r="AB153" i="1"/>
  <c r="AB140" i="1"/>
  <c r="AB135" i="1"/>
  <c r="CP158" i="1" l="1"/>
  <c r="CP161" i="1" s="1"/>
  <c r="CL181" i="1" s="1"/>
  <c r="CP285" i="1"/>
  <c r="CP287" i="1" s="1"/>
  <c r="CP291" i="1" s="1"/>
  <c r="CP305" i="1" s="1"/>
  <c r="CP211" i="1"/>
  <c r="AB143" i="1"/>
  <c r="AB144" i="1" s="1"/>
  <c r="AB285" i="1"/>
  <c r="AB287" i="1" s="1"/>
  <c r="AB291" i="1" s="1"/>
  <c r="AB305" i="1" s="1"/>
  <c r="CP212" i="1" l="1"/>
  <c r="CP146" i="1" s="1"/>
  <c r="AB211" i="1"/>
  <c r="AB212" i="1" s="1"/>
  <c r="CP164" i="1"/>
  <c r="CP177" i="1"/>
  <c r="CP162" i="1"/>
  <c r="CP221" i="1" l="1"/>
  <c r="CP147" i="1" s="1"/>
  <c r="CP299" i="1"/>
  <c r="CP297" i="1" s="1"/>
  <c r="CP302" i="1" s="1"/>
  <c r="CP252" i="1" s="1"/>
  <c r="CP184" i="1"/>
  <c r="AB146" i="1"/>
  <c r="AB267" i="1"/>
  <c r="AB221" i="1"/>
  <c r="AB147" i="1" s="1"/>
  <c r="AB299" i="1"/>
  <c r="AB297" i="1" s="1"/>
  <c r="AB302" i="1" s="1"/>
  <c r="CP171" i="1" l="1"/>
  <c r="CP186" i="1"/>
  <c r="CP170" i="1"/>
  <c r="CP199" i="1" s="1"/>
  <c r="CP253" i="1"/>
  <c r="AB252" i="1"/>
  <c r="AB253" i="1" s="1"/>
  <c r="CP173" i="1" l="1"/>
  <c r="AB170" i="1"/>
  <c r="CP174" i="1"/>
  <c r="CP200" i="1"/>
  <c r="AB171" i="1"/>
  <c r="AC301" i="1"/>
  <c r="AB257" i="1"/>
  <c r="AB258" i="1" s="1"/>
  <c r="AB338" i="1"/>
  <c r="AB260" i="1"/>
  <c r="AB201" i="1" s="1"/>
  <c r="AB340" i="1"/>
  <c r="AB336" i="1"/>
  <c r="AB303" i="1"/>
  <c r="CQ301" i="1"/>
  <c r="CP338" i="1"/>
  <c r="CP260" i="1"/>
  <c r="CP257" i="1"/>
  <c r="CP258" i="1" s="1"/>
  <c r="CP340" i="1"/>
  <c r="CP336" i="1"/>
  <c r="CP303" i="1"/>
  <c r="AB173" i="1" l="1"/>
  <c r="AB174" i="1"/>
  <c r="CP201" i="1"/>
  <c r="CQ128" i="1"/>
  <c r="CQ130" i="1" l="1"/>
  <c r="CQ344" i="1"/>
  <c r="CP202" i="1"/>
  <c r="CP205" i="1" s="1"/>
  <c r="CP203" i="1"/>
  <c r="CP206" i="1" s="1"/>
  <c r="CQ131" i="1" l="1"/>
  <c r="CQ133" i="1" s="1"/>
  <c r="CQ140" i="1" l="1"/>
  <c r="CQ134" i="1"/>
  <c r="CQ337" i="1" s="1"/>
  <c r="CQ135" i="1"/>
  <c r="CQ136" i="1"/>
  <c r="CQ326" i="1"/>
  <c r="CQ319" i="1"/>
  <c r="CQ158" i="1" l="1"/>
  <c r="CQ285" i="1"/>
  <c r="CQ287" i="1" s="1"/>
  <c r="CQ291" i="1" s="1"/>
  <c r="CQ305" i="1" s="1"/>
  <c r="CQ211" i="1"/>
  <c r="CQ212" i="1" l="1"/>
  <c r="CQ161" i="1"/>
  <c r="CQ177" i="1" l="1"/>
  <c r="CQ162" i="1"/>
  <c r="CQ299" i="1"/>
  <c r="CQ297" i="1" s="1"/>
  <c r="CQ302" i="1" s="1"/>
  <c r="CQ221" i="1"/>
  <c r="CQ147" i="1" s="1"/>
  <c r="CQ184" i="1"/>
  <c r="CQ146" i="1"/>
  <c r="CQ171" i="1" l="1"/>
  <c r="CQ186" i="1"/>
  <c r="CQ170" i="1"/>
  <c r="CQ252" i="1"/>
  <c r="CQ253" i="1" s="1"/>
  <c r="CQ338" i="1" l="1"/>
  <c r="CR301" i="1"/>
  <c r="CQ260" i="1"/>
  <c r="CQ257" i="1"/>
  <c r="CQ258" i="1" s="1"/>
  <c r="CQ340" i="1"/>
  <c r="CQ336" i="1"/>
  <c r="CQ303" i="1"/>
  <c r="CQ199" i="1"/>
  <c r="CQ173" i="1"/>
  <c r="CQ200" i="1"/>
  <c r="CQ174" i="1"/>
  <c r="CQ201" i="1" l="1"/>
  <c r="CQ202" i="1" s="1"/>
  <c r="CQ205" i="1" s="1"/>
  <c r="CR128" i="1"/>
  <c r="CR130" i="1" l="1"/>
  <c r="CR344" i="1"/>
  <c r="CQ203" i="1"/>
  <c r="CQ206" i="1" s="1"/>
  <c r="CR131" i="1" l="1"/>
  <c r="CR133" i="1" s="1"/>
  <c r="CR140" i="1" l="1"/>
  <c r="CR134" i="1"/>
  <c r="CR337" i="1" s="1"/>
  <c r="CR326" i="1"/>
  <c r="CR135" i="1"/>
  <c r="CR136" i="1"/>
  <c r="CR319" i="1"/>
  <c r="CR158" i="1" l="1"/>
  <c r="CR285" i="1"/>
  <c r="CR287" i="1" s="1"/>
  <c r="CR291" i="1" s="1"/>
  <c r="CR305" i="1" s="1"/>
  <c r="CR211" i="1"/>
  <c r="CR212" i="1" l="1"/>
  <c r="CR161" i="1"/>
  <c r="CR177" i="1" l="1"/>
  <c r="CR162" i="1"/>
  <c r="CR221" i="1"/>
  <c r="CR147" i="1" s="1"/>
  <c r="CR184" i="1"/>
  <c r="CR299" i="1"/>
  <c r="CR297" i="1" s="1"/>
  <c r="CR302" i="1" s="1"/>
  <c r="CR146" i="1"/>
  <c r="CR252" i="1" l="1"/>
  <c r="CR253" i="1" s="1"/>
  <c r="CR303" i="1" s="1"/>
  <c r="CR171" i="1"/>
  <c r="CR186" i="1"/>
  <c r="CR170" i="1"/>
  <c r="CR199" i="1" l="1"/>
  <c r="CR173" i="1"/>
  <c r="CR174" i="1"/>
  <c r="CR200" i="1"/>
  <c r="CS301" i="1"/>
  <c r="CR340" i="1"/>
  <c r="CR257" i="1"/>
  <c r="CR258" i="1" s="1"/>
  <c r="CR260" i="1"/>
  <c r="CR338" i="1"/>
  <c r="CR336" i="1"/>
  <c r="CS128" i="1" l="1"/>
  <c r="CR201" i="1"/>
  <c r="CR203" i="1" s="1"/>
  <c r="CR206" i="1" s="1"/>
  <c r="CR202" i="1" l="1"/>
  <c r="CR205" i="1" s="1"/>
  <c r="CS344" i="1"/>
  <c r="CS130" i="1"/>
  <c r="CS131" i="1" l="1"/>
  <c r="CS133" i="1" l="1"/>
  <c r="CS140" i="1" l="1"/>
  <c r="CS134" i="1"/>
  <c r="CS337" i="1" s="1"/>
  <c r="CS135" i="1"/>
  <c r="CS326" i="1"/>
  <c r="CS136" i="1"/>
  <c r="CS319" i="1"/>
  <c r="CS158" i="1" l="1"/>
  <c r="CS285" i="1"/>
  <c r="CS287" i="1" s="1"/>
  <c r="CS291" i="1" s="1"/>
  <c r="CS305" i="1" s="1"/>
  <c r="CS211" i="1"/>
  <c r="CS212" i="1" l="1"/>
  <c r="CS161" i="1"/>
  <c r="CS177" i="1" l="1"/>
  <c r="CS162" i="1"/>
  <c r="CS184" i="1"/>
  <c r="CS221" i="1"/>
  <c r="CS147" i="1" s="1"/>
  <c r="CS299" i="1"/>
  <c r="CS297" i="1" s="1"/>
  <c r="CS302" i="1" s="1"/>
  <c r="CS146" i="1"/>
  <c r="CS252" i="1" l="1"/>
  <c r="CS253" i="1" s="1"/>
  <c r="CS303" i="1" s="1"/>
  <c r="CS171" i="1"/>
  <c r="CS186" i="1"/>
  <c r="CS170" i="1"/>
  <c r="CS199" i="1" l="1"/>
  <c r="CS173" i="1"/>
  <c r="CS174" i="1"/>
  <c r="CS200" i="1"/>
  <c r="CS260" i="1"/>
  <c r="CS340" i="1"/>
  <c r="CS338" i="1"/>
  <c r="CT301" i="1"/>
  <c r="CS257" i="1"/>
  <c r="CS258" i="1" s="1"/>
  <c r="CS336" i="1"/>
  <c r="CS201" i="1" l="1"/>
  <c r="CS203" i="1" s="1"/>
  <c r="CS206" i="1" s="1"/>
  <c r="CT128" i="1"/>
  <c r="CS202" i="1" l="1"/>
  <c r="CS205" i="1" s="1"/>
  <c r="CT344" i="1"/>
  <c r="CT130" i="1"/>
  <c r="AC128" i="1"/>
  <c r="AC129" i="1" l="1"/>
  <c r="AC344" i="1"/>
  <c r="AC130" i="1"/>
  <c r="CT131" i="1"/>
  <c r="AC131" i="1" l="1"/>
  <c r="AC132" i="1" s="1"/>
  <c r="CT133" i="1"/>
  <c r="CT319" i="1" s="1"/>
  <c r="AC133" i="1" l="1"/>
  <c r="AC135" i="1" s="1"/>
  <c r="CT134" i="1"/>
  <c r="CT337" i="1" s="1"/>
  <c r="CT136" i="1"/>
  <c r="CT135" i="1"/>
  <c r="CT326" i="1"/>
  <c r="CT140" i="1"/>
  <c r="AC153" i="1" l="1"/>
  <c r="AC134" i="1"/>
  <c r="AC337" i="1" s="1"/>
  <c r="AC140" i="1"/>
  <c r="CT211" i="1"/>
  <c r="AC211" i="1" s="1"/>
  <c r="AC212" i="1" s="1"/>
  <c r="CT285" i="1"/>
  <c r="CT287" i="1" s="1"/>
  <c r="CT291" i="1" s="1"/>
  <c r="CT305" i="1" s="1"/>
  <c r="CT158" i="1"/>
  <c r="CT161" i="1" s="1"/>
  <c r="AC143" i="1" l="1"/>
  <c r="AC144" i="1" s="1"/>
  <c r="AC285" i="1"/>
  <c r="AC287" i="1" s="1"/>
  <c r="AC291" i="1" s="1"/>
  <c r="AC305" i="1" s="1"/>
  <c r="CT212" i="1"/>
  <c r="CT299" i="1" s="1"/>
  <c r="CT297" i="1" s="1"/>
  <c r="CT302" i="1" s="1"/>
  <c r="AC299" i="1"/>
  <c r="AC297" i="1" s="1"/>
  <c r="AC221" i="1"/>
  <c r="AC147" i="1" s="1"/>
  <c r="AC267" i="1"/>
  <c r="CT177" i="1"/>
  <c r="CT164" i="1"/>
  <c r="CT162" i="1"/>
  <c r="AC146" i="1"/>
  <c r="AC302" i="1" l="1"/>
  <c r="CT146" i="1"/>
  <c r="CT221" i="1"/>
  <c r="CT147" i="1" s="1"/>
  <c r="CT184" i="1"/>
  <c r="CT170" i="1" s="1"/>
  <c r="CT252" i="1"/>
  <c r="CT186" i="1" l="1"/>
  <c r="CT171" i="1"/>
  <c r="CT200" i="1" s="1"/>
  <c r="CT253" i="1"/>
  <c r="AC252" i="1"/>
  <c r="AC253" i="1" s="1"/>
  <c r="CT199" i="1"/>
  <c r="CT173" i="1"/>
  <c r="AC170" i="1"/>
  <c r="AC171" i="1" l="1"/>
  <c r="CT174" i="1"/>
  <c r="AC174" i="1"/>
  <c r="AC173" i="1"/>
  <c r="AC340" i="1"/>
  <c r="AC338" i="1"/>
  <c r="AD301" i="1"/>
  <c r="AC260" i="1"/>
  <c r="AC201" i="1" s="1"/>
  <c r="AC257" i="1"/>
  <c r="AC258" i="1" s="1"/>
  <c r="AC336" i="1"/>
  <c r="AC303" i="1"/>
  <c r="CT340" i="1"/>
  <c r="CU301" i="1"/>
  <c r="CT260" i="1"/>
  <c r="CT338" i="1"/>
  <c r="CT257" i="1"/>
  <c r="CT258" i="1" s="1"/>
  <c r="CT336" i="1"/>
  <c r="CT303" i="1"/>
  <c r="CT201" i="1" l="1"/>
  <c r="CU128" i="1"/>
  <c r="CU130" i="1" l="1"/>
  <c r="CU344" i="1"/>
  <c r="CT202" i="1"/>
  <c r="CT205" i="1" s="1"/>
  <c r="CT203" i="1"/>
  <c r="CT206" i="1" s="1"/>
  <c r="CU131" i="1" l="1"/>
  <c r="CU133" i="1" s="1"/>
  <c r="CU134" i="1" l="1"/>
  <c r="CU337" i="1" s="1"/>
  <c r="CU136" i="1"/>
  <c r="CU326" i="1"/>
  <c r="CU135" i="1"/>
  <c r="CU140" i="1"/>
  <c r="CU319" i="1"/>
  <c r="CU285" i="1" l="1"/>
  <c r="CU287" i="1" s="1"/>
  <c r="CU291" i="1" s="1"/>
  <c r="CU305" i="1" s="1"/>
  <c r="CU158" i="1"/>
  <c r="CU211" i="1"/>
  <c r="CU212" i="1" l="1"/>
  <c r="CU161" i="1"/>
  <c r="CU177" i="1" l="1"/>
  <c r="CU162" i="1"/>
  <c r="CU184" i="1"/>
  <c r="CU299" i="1"/>
  <c r="CU297" i="1" s="1"/>
  <c r="CU302" i="1" s="1"/>
  <c r="CU221" i="1"/>
  <c r="CU147" i="1" s="1"/>
  <c r="CU146" i="1"/>
  <c r="CU252" i="1" l="1"/>
  <c r="CU253" i="1" s="1"/>
  <c r="CU186" i="1"/>
  <c r="CU171" i="1"/>
  <c r="CU170" i="1"/>
  <c r="CU173" i="1" l="1"/>
  <c r="CU199" i="1"/>
  <c r="CU174" i="1"/>
  <c r="CU200" i="1"/>
  <c r="CU340" i="1"/>
  <c r="CV301" i="1"/>
  <c r="CU260" i="1"/>
  <c r="CU257" i="1"/>
  <c r="CU258" i="1" s="1"/>
  <c r="CU338" i="1"/>
  <c r="CU336" i="1"/>
  <c r="CU303" i="1"/>
  <c r="CU201" i="1" l="1"/>
  <c r="CU203" i="1" s="1"/>
  <c r="CU206" i="1" s="1"/>
  <c r="CV128" i="1"/>
  <c r="CV130" i="1" l="1"/>
  <c r="CV344" i="1"/>
  <c r="CU202" i="1"/>
  <c r="CU205" i="1" s="1"/>
  <c r="CV131" i="1" l="1"/>
  <c r="CV133" i="1" s="1"/>
  <c r="CV136" i="1" l="1"/>
  <c r="CV326" i="1"/>
  <c r="CV134" i="1"/>
  <c r="CV337" i="1" s="1"/>
  <c r="CV140" i="1"/>
  <c r="CV135" i="1"/>
  <c r="CV319" i="1"/>
  <c r="CV158" i="1" l="1"/>
  <c r="CV285" i="1"/>
  <c r="CV287" i="1" s="1"/>
  <c r="CV291" i="1" s="1"/>
  <c r="CV305" i="1" s="1"/>
  <c r="CV211" i="1"/>
  <c r="CV212" i="1" l="1"/>
  <c r="CV161" i="1"/>
  <c r="CV177" i="1" l="1"/>
  <c r="CV162" i="1"/>
  <c r="CV221" i="1"/>
  <c r="CV147" i="1" s="1"/>
  <c r="CV184" i="1"/>
  <c r="CV299" i="1"/>
  <c r="CV297" i="1" s="1"/>
  <c r="CV302" i="1" s="1"/>
  <c r="CV146" i="1"/>
  <c r="CV252" i="1" l="1"/>
  <c r="CV253" i="1" s="1"/>
  <c r="CV303" i="1" s="1"/>
  <c r="CV186" i="1"/>
  <c r="CV171" i="1"/>
  <c r="CV170" i="1"/>
  <c r="CV173" i="1" l="1"/>
  <c r="CV199" i="1"/>
  <c r="CV200" i="1"/>
  <c r="CV174" i="1"/>
  <c r="CW301" i="1"/>
  <c r="CV257" i="1"/>
  <c r="CV258" i="1" s="1"/>
  <c r="CV260" i="1"/>
  <c r="CV338" i="1"/>
  <c r="CV340" i="1"/>
  <c r="CV336" i="1"/>
  <c r="CV201" i="1" l="1"/>
  <c r="CV203" i="1" s="1"/>
  <c r="CV206" i="1" s="1"/>
  <c r="CW128" i="1"/>
  <c r="CW344" i="1" l="1"/>
  <c r="CW130" i="1"/>
  <c r="CV202" i="1"/>
  <c r="CV205" i="1" s="1"/>
  <c r="CW131" i="1" l="1"/>
  <c r="CW133" i="1" l="1"/>
  <c r="CW134" i="1" l="1"/>
  <c r="CW337" i="1" s="1"/>
  <c r="CW140" i="1"/>
  <c r="CW326" i="1"/>
  <c r="CW136" i="1"/>
  <c r="CW135" i="1"/>
  <c r="CW319" i="1"/>
  <c r="CW158" i="1" l="1"/>
  <c r="CW285" i="1"/>
  <c r="CW287" i="1" s="1"/>
  <c r="CW291" i="1" s="1"/>
  <c r="CW305" i="1" s="1"/>
  <c r="CW211" i="1"/>
  <c r="CW212" i="1" l="1"/>
  <c r="CW161" i="1"/>
  <c r="CW177" i="1" l="1"/>
  <c r="CW162" i="1"/>
  <c r="CW221" i="1"/>
  <c r="CW147" i="1" s="1"/>
  <c r="CW299" i="1"/>
  <c r="CW297" i="1" s="1"/>
  <c r="CW302" i="1" s="1"/>
  <c r="CW184" i="1"/>
  <c r="CW146" i="1"/>
  <c r="CW171" i="1" l="1"/>
  <c r="CW186" i="1"/>
  <c r="CW170" i="1"/>
  <c r="CW252" i="1"/>
  <c r="CW253" i="1" s="1"/>
  <c r="CW338" i="1" l="1"/>
  <c r="CX301" i="1"/>
  <c r="CW340" i="1"/>
  <c r="CW257" i="1"/>
  <c r="CW258" i="1" s="1"/>
  <c r="CW260" i="1"/>
  <c r="CW336" i="1"/>
  <c r="CW303" i="1"/>
  <c r="CW173" i="1"/>
  <c r="CW199" i="1"/>
  <c r="CW200" i="1"/>
  <c r="CW174" i="1"/>
  <c r="CX128" i="1" l="1"/>
  <c r="CW201" i="1"/>
  <c r="CW202" i="1" l="1"/>
  <c r="CW205" i="1" s="1"/>
  <c r="CW203" i="1"/>
  <c r="CW206" i="1" s="1"/>
  <c r="CX344" i="1"/>
  <c r="CX130" i="1"/>
  <c r="AD128" i="1"/>
  <c r="AD129" i="1" l="1"/>
  <c r="AD344" i="1"/>
  <c r="AD130" i="1"/>
  <c r="CX131" i="1"/>
  <c r="AD131" i="1" l="1"/>
  <c r="CX133" i="1"/>
  <c r="CX135" i="1" s="1"/>
  <c r="CX319" i="1" l="1"/>
  <c r="AD132" i="1"/>
  <c r="AD133" i="1"/>
  <c r="AD153" i="1" s="1"/>
  <c r="CX326" i="1"/>
  <c r="CX134" i="1"/>
  <c r="CX337" i="1" s="1"/>
  <c r="CX136" i="1"/>
  <c r="CX140" i="1"/>
  <c r="CX211" i="1" s="1"/>
  <c r="AD140" i="1" l="1"/>
  <c r="AD134" i="1"/>
  <c r="AD337" i="1" s="1"/>
  <c r="AD135" i="1"/>
  <c r="CX285" i="1"/>
  <c r="CX287" i="1" s="1"/>
  <c r="CX291" i="1" s="1"/>
  <c r="CX305" i="1" s="1"/>
  <c r="CX158" i="1"/>
  <c r="CX161" i="1" s="1"/>
  <c r="CX212" i="1"/>
  <c r="AD211" i="1"/>
  <c r="AD212" i="1" s="1"/>
  <c r="AD143" i="1" l="1"/>
  <c r="AD144" i="1" s="1"/>
  <c r="AD285" i="1"/>
  <c r="AD287" i="1" s="1"/>
  <c r="AD291" i="1" s="1"/>
  <c r="AD305" i="1" s="1"/>
  <c r="AD267" i="1"/>
  <c r="AD299" i="1"/>
  <c r="AD297" i="1" s="1"/>
  <c r="AD221" i="1"/>
  <c r="AD147" i="1" s="1"/>
  <c r="CX221" i="1"/>
  <c r="CX147" i="1" s="1"/>
  <c r="CX184" i="1"/>
  <c r="CX299" i="1"/>
  <c r="CX297" i="1" s="1"/>
  <c r="CX302" i="1" s="1"/>
  <c r="CX146" i="1"/>
  <c r="CX177" i="1"/>
  <c r="CX162" i="1"/>
  <c r="AD146" i="1"/>
  <c r="AD302" i="1" l="1"/>
  <c r="CX252" i="1"/>
  <c r="CX171" i="1"/>
  <c r="CX186" i="1"/>
  <c r="CX170" i="1"/>
  <c r="CX173" i="1" l="1"/>
  <c r="CX199" i="1"/>
  <c r="AD170" i="1"/>
  <c r="CX174" i="1"/>
  <c r="CX200" i="1"/>
  <c r="AD171" i="1"/>
  <c r="AD252" i="1"/>
  <c r="AD253" i="1" s="1"/>
  <c r="CX253" i="1"/>
  <c r="CX257" i="1" l="1"/>
  <c r="CX258" i="1" s="1"/>
  <c r="CX340" i="1"/>
  <c r="CY301" i="1"/>
  <c r="CX338" i="1"/>
  <c r="CX260" i="1"/>
  <c r="CX336" i="1"/>
  <c r="CX303" i="1"/>
  <c r="AD340" i="1"/>
  <c r="AE301" i="1"/>
  <c r="AD338" i="1"/>
  <c r="AD257" i="1"/>
  <c r="AD258" i="1" s="1"/>
  <c r="AD260" i="1"/>
  <c r="AD201" i="1" s="1"/>
  <c r="AD336" i="1"/>
  <c r="AD303" i="1"/>
  <c r="AD174" i="1"/>
  <c r="AD173" i="1"/>
  <c r="CY128" i="1" l="1"/>
  <c r="CX201" i="1"/>
  <c r="CX202" i="1" l="1"/>
  <c r="CX205" i="1" s="1"/>
  <c r="CX203" i="1"/>
  <c r="CX206" i="1" s="1"/>
  <c r="CY344" i="1"/>
  <c r="CY130" i="1"/>
  <c r="CY131" i="1" l="1"/>
  <c r="CY133" i="1" s="1"/>
  <c r="CY136" i="1" l="1"/>
  <c r="CY326" i="1"/>
  <c r="CY140" i="1"/>
  <c r="CY135" i="1"/>
  <c r="CY134" i="1"/>
  <c r="CY337" i="1" s="1"/>
  <c r="CY319" i="1"/>
  <c r="CY158" i="1" l="1"/>
  <c r="CY285" i="1"/>
  <c r="CY287" i="1" s="1"/>
  <c r="CY291" i="1" s="1"/>
  <c r="CY305" i="1" s="1"/>
  <c r="CY211" i="1"/>
  <c r="CY212" i="1" l="1"/>
  <c r="CY161" i="1"/>
  <c r="CY177" i="1" l="1"/>
  <c r="CY162" i="1"/>
  <c r="CY299" i="1"/>
  <c r="CY297" i="1" s="1"/>
  <c r="CY302" i="1" s="1"/>
  <c r="CY184" i="1"/>
  <c r="CY221" i="1"/>
  <c r="CY147" i="1" s="1"/>
  <c r="CY146" i="1"/>
  <c r="CY186" i="1" l="1"/>
  <c r="CY171" i="1"/>
  <c r="CY170" i="1"/>
  <c r="CY252" i="1"/>
  <c r="CY253" i="1" s="1"/>
  <c r="CY303" i="1" s="1"/>
  <c r="CY260" i="1" l="1"/>
  <c r="CZ301" i="1"/>
  <c r="CY257" i="1"/>
  <c r="CY258" i="1" s="1"/>
  <c r="CY338" i="1"/>
  <c r="CY340" i="1"/>
  <c r="CY336" i="1"/>
  <c r="CY199" i="1"/>
  <c r="CY173" i="1"/>
  <c r="CY174" i="1"/>
  <c r="CY200" i="1"/>
  <c r="CZ128" i="1" l="1"/>
  <c r="CY201" i="1"/>
  <c r="CY202" i="1" s="1"/>
  <c r="CY205" i="1" s="1"/>
  <c r="CZ344" i="1" l="1"/>
  <c r="CZ130" i="1"/>
  <c r="CY203" i="1"/>
  <c r="CY206" i="1" s="1"/>
  <c r="CZ131" i="1" l="1"/>
  <c r="CZ133" i="1" s="1"/>
  <c r="CZ134" i="1" l="1"/>
  <c r="CZ337" i="1" s="1"/>
  <c r="CZ326" i="1"/>
  <c r="CZ140" i="1"/>
  <c r="CZ135" i="1"/>
  <c r="CZ136" i="1"/>
  <c r="CZ319" i="1"/>
  <c r="CZ158" i="1" l="1"/>
  <c r="CZ285" i="1"/>
  <c r="CZ287" i="1" s="1"/>
  <c r="CZ291" i="1" s="1"/>
  <c r="CZ305" i="1" s="1"/>
  <c r="CZ211" i="1"/>
  <c r="CZ212" i="1" l="1"/>
  <c r="CZ161" i="1"/>
  <c r="CZ177" i="1" l="1"/>
  <c r="CZ162" i="1"/>
  <c r="CZ184" i="1"/>
  <c r="CZ221" i="1"/>
  <c r="CZ147" i="1" s="1"/>
  <c r="CZ299" i="1"/>
  <c r="CZ297" i="1" s="1"/>
  <c r="CZ302" i="1" s="1"/>
  <c r="CZ146" i="1"/>
  <c r="CZ252" i="1" l="1"/>
  <c r="CZ253" i="1" s="1"/>
  <c r="CZ303" i="1" s="1"/>
  <c r="CZ186" i="1"/>
  <c r="CZ171" i="1"/>
  <c r="CZ170" i="1"/>
  <c r="CZ199" i="1" l="1"/>
  <c r="CZ173" i="1"/>
  <c r="CZ174" i="1"/>
  <c r="CZ200" i="1"/>
  <c r="CZ260" i="1"/>
  <c r="CZ340" i="1"/>
  <c r="DA301" i="1"/>
  <c r="CZ257" i="1"/>
  <c r="CZ258" i="1" s="1"/>
  <c r="CZ338" i="1"/>
  <c r="CZ336" i="1"/>
  <c r="DA128" i="1" l="1"/>
  <c r="CZ201" i="1"/>
  <c r="CZ202" i="1" s="1"/>
  <c r="CZ205" i="1" s="1"/>
  <c r="CZ203" i="1" l="1"/>
  <c r="CZ206" i="1" s="1"/>
  <c r="DA344" i="1"/>
  <c r="DA130" i="1"/>
  <c r="DA131" i="1" l="1"/>
  <c r="DA133" i="1" s="1"/>
  <c r="DA135" i="1" l="1"/>
  <c r="DA326" i="1"/>
  <c r="DA136" i="1"/>
  <c r="DA140" i="1"/>
  <c r="DA134" i="1"/>
  <c r="DA337" i="1" s="1"/>
  <c r="DA319" i="1"/>
  <c r="DA158" i="1" l="1"/>
  <c r="DA285" i="1"/>
  <c r="DA287" i="1" s="1"/>
  <c r="DA291" i="1" s="1"/>
  <c r="DA305" i="1" s="1"/>
  <c r="DA211" i="1"/>
  <c r="DA212" i="1" l="1"/>
  <c r="DA161" i="1"/>
  <c r="DA177" i="1" l="1"/>
  <c r="DA162" i="1"/>
  <c r="DA221" i="1"/>
  <c r="DA147" i="1" s="1"/>
  <c r="DA184" i="1"/>
  <c r="DA299" i="1"/>
  <c r="DA297" i="1" s="1"/>
  <c r="DA302" i="1" s="1"/>
  <c r="DA146" i="1"/>
  <c r="DA252" i="1" l="1"/>
  <c r="DA253" i="1" s="1"/>
  <c r="DA303" i="1" s="1"/>
  <c r="DA186" i="1"/>
  <c r="DA171" i="1"/>
  <c r="DA170" i="1"/>
  <c r="DA173" i="1" l="1"/>
  <c r="DA199" i="1"/>
  <c r="DA200" i="1"/>
  <c r="DA174" i="1"/>
  <c r="DA257" i="1"/>
  <c r="DA258" i="1" s="1"/>
  <c r="DB301" i="1"/>
  <c r="DA338" i="1"/>
  <c r="DA340" i="1"/>
  <c r="DA260" i="1"/>
  <c r="DA336" i="1"/>
  <c r="DA201" i="1" l="1"/>
  <c r="DA203" i="1" s="1"/>
  <c r="DA206" i="1" s="1"/>
  <c r="DB128" i="1"/>
  <c r="DA202" i="1" l="1"/>
  <c r="DA205" i="1" s="1"/>
  <c r="DB344" i="1"/>
  <c r="DB130" i="1"/>
  <c r="AE128" i="1"/>
  <c r="AE344" i="1" l="1"/>
  <c r="AE129" i="1"/>
  <c r="AE130" i="1"/>
  <c r="DB131" i="1"/>
  <c r="AE131" i="1" s="1"/>
  <c r="AE132" i="1" l="1"/>
  <c r="DB133" i="1"/>
  <c r="AE133" i="1"/>
  <c r="AE140" i="1" l="1"/>
  <c r="AE153" i="1"/>
  <c r="AE134" i="1"/>
  <c r="AE337" i="1" s="1"/>
  <c r="AE135" i="1"/>
  <c r="DB134" i="1"/>
  <c r="DB337" i="1" s="1"/>
  <c r="DB136" i="1"/>
  <c r="DB135" i="1"/>
  <c r="DB140" i="1"/>
  <c r="DB326" i="1"/>
  <c r="DB319" i="1"/>
  <c r="DB158" i="1" l="1"/>
  <c r="DB161" i="1" s="1"/>
  <c r="DB285" i="1"/>
  <c r="DB287" i="1" s="1"/>
  <c r="DB291" i="1" s="1"/>
  <c r="DB305" i="1" s="1"/>
  <c r="DB211" i="1"/>
  <c r="AE285" i="1"/>
  <c r="AE287" i="1" s="1"/>
  <c r="AE291" i="1" s="1"/>
  <c r="AE305" i="1" s="1"/>
  <c r="AE143" i="1"/>
  <c r="AE144" i="1" s="1"/>
  <c r="AE211" i="1" l="1"/>
  <c r="AE212" i="1" s="1"/>
  <c r="DB212" i="1"/>
  <c r="DB177" i="1"/>
  <c r="DB162" i="1"/>
  <c r="DB221" i="1" l="1"/>
  <c r="DB147" i="1" s="1"/>
  <c r="DB184" i="1"/>
  <c r="DB299" i="1"/>
  <c r="DB297" i="1" s="1"/>
  <c r="DB302" i="1" s="1"/>
  <c r="DB146" i="1"/>
  <c r="AE221" i="1"/>
  <c r="AE147" i="1" s="1"/>
  <c r="AE267" i="1"/>
  <c r="AE299" i="1"/>
  <c r="AE297" i="1" s="1"/>
  <c r="AE302" i="1" s="1"/>
  <c r="AE146" i="1"/>
  <c r="DB252" i="1" l="1"/>
  <c r="DB171" i="1"/>
  <c r="DB186" i="1"/>
  <c r="DB170" i="1"/>
  <c r="DB173" i="1" l="1"/>
  <c r="DB199" i="1"/>
  <c r="AE170" i="1"/>
  <c r="DB174" i="1"/>
  <c r="DB200" i="1"/>
  <c r="AE171" i="1"/>
  <c r="DB253" i="1"/>
  <c r="AE252" i="1"/>
  <c r="AE253" i="1" s="1"/>
  <c r="AE260" i="1" l="1"/>
  <c r="AE201" i="1" s="1"/>
  <c r="AE338" i="1"/>
  <c r="AE257" i="1"/>
  <c r="AE258" i="1" s="1"/>
  <c r="AE340" i="1"/>
  <c r="AE336" i="1"/>
  <c r="AE303" i="1"/>
  <c r="DB338" i="1"/>
  <c r="DB340" i="1"/>
  <c r="DB257" i="1"/>
  <c r="DB258" i="1" s="1"/>
  <c r="DB260" i="1"/>
  <c r="DB201" i="1" s="1"/>
  <c r="DB202" i="1" s="1"/>
  <c r="DB205" i="1" s="1"/>
  <c r="DB336" i="1"/>
  <c r="DB303" i="1"/>
  <c r="AE174" i="1"/>
  <c r="AE173" i="1"/>
  <c r="DB203" i="1" l="1"/>
  <c r="DB206" i="1" s="1"/>
  <c r="AA155" i="1" l="1"/>
  <c r="AB155" i="1"/>
  <c r="AA157" i="1"/>
  <c r="AA158" i="1"/>
  <c r="AA161" i="1"/>
  <c r="AA162" i="1"/>
  <c r="AA179" i="1"/>
  <c r="AA200" i="1"/>
  <c r="AA203" i="1"/>
  <c r="AA206" i="1"/>
  <c r="AA177" i="1"/>
  <c r="AA199" i="1"/>
  <c r="AA202" i="1"/>
  <c r="AA205" i="1"/>
  <c r="AA178" i="1"/>
  <c r="AA191" i="1"/>
  <c r="AA184" i="1"/>
  <c r="AA187" i="1"/>
  <c r="AA186" i="1"/>
  <c r="AA188" i="1"/>
  <c r="AA196" i="1"/>
  <c r="AA195" i="1"/>
  <c r="AA194" i="1"/>
  <c r="AA160" i="1"/>
  <c r="AA156" i="1"/>
  <c r="AB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AC156" i="1"/>
  <c r="AD156" i="1"/>
  <c r="AE156" i="1"/>
  <c r="AB157" i="1"/>
  <c r="Z155" i="1"/>
  <c r="AC155" i="1"/>
  <c r="Y155" i="1"/>
  <c r="Z157" i="1"/>
  <c r="AC157" i="1"/>
  <c r="AD155" i="1"/>
  <c r="Z200" i="1"/>
  <c r="Z203" i="1"/>
  <c r="Z206" i="1"/>
  <c r="Z191" i="1"/>
  <c r="Z199" i="1"/>
  <c r="Z202" i="1"/>
  <c r="Z205" i="1"/>
  <c r="Z184" i="1"/>
  <c r="Z158" i="1"/>
  <c r="X155" i="1"/>
  <c r="Y157" i="1"/>
  <c r="AD157" i="1"/>
  <c r="AE155" i="1"/>
  <c r="AE157" i="1"/>
  <c r="Y200" i="1"/>
  <c r="Y203" i="1"/>
  <c r="Y206" i="1"/>
  <c r="Y199" i="1"/>
  <c r="Y202" i="1"/>
  <c r="Y205" i="1"/>
  <c r="Y184" i="1"/>
  <c r="Y191" i="1"/>
  <c r="Y158" i="1"/>
  <c r="W155" i="1"/>
  <c r="V155" i="1"/>
  <c r="U155" i="1"/>
  <c r="T155" i="1"/>
  <c r="S155" i="1"/>
  <c r="X157" i="1"/>
  <c r="X199" i="1"/>
  <c r="X202" i="1"/>
  <c r="X205" i="1"/>
  <c r="X200" i="1"/>
  <c r="X203" i="1"/>
  <c r="X206" i="1"/>
  <c r="Y160" i="1"/>
  <c r="Y161" i="1"/>
  <c r="Y195" i="1"/>
  <c r="Y196" i="1"/>
  <c r="Y162" i="1"/>
  <c r="AC158" i="1"/>
  <c r="R155" i="1"/>
  <c r="Q155" i="1"/>
  <c r="P155" i="1"/>
  <c r="O155" i="1"/>
  <c r="N155" i="1"/>
  <c r="M155" i="1"/>
  <c r="L155" i="1"/>
  <c r="K155" i="1"/>
  <c r="J155" i="1"/>
  <c r="J157" i="1"/>
  <c r="X158" i="1"/>
  <c r="W157" i="1"/>
  <c r="W158" i="1"/>
  <c r="W199" i="1"/>
  <c r="AB199" i="1"/>
  <c r="AB202" i="1"/>
  <c r="AD199" i="1"/>
  <c r="I155" i="1"/>
  <c r="I157" i="1"/>
  <c r="I184" i="1"/>
  <c r="I188" i="1"/>
  <c r="AD202" i="1"/>
  <c r="S157" i="1"/>
  <c r="S184" i="1"/>
  <c r="S187" i="1"/>
  <c r="I187" i="1"/>
  <c r="X161" i="1"/>
  <c r="U157" i="1"/>
  <c r="U158" i="1"/>
  <c r="U161" i="1"/>
  <c r="U178" i="1"/>
  <c r="AC160" i="1"/>
  <c r="J199" i="1"/>
  <c r="AC184" i="1"/>
  <c r="J202" i="1"/>
  <c r="W200" i="1"/>
  <c r="Z188" i="1"/>
  <c r="W161" i="1"/>
  <c r="AB191" i="1"/>
  <c r="W191" i="1"/>
  <c r="W160" i="1"/>
  <c r="Y178" i="1"/>
  <c r="X191" i="1"/>
  <c r="X194" i="1"/>
  <c r="AE158" i="1"/>
  <c r="AE161" i="1"/>
  <c r="AE179" i="1"/>
  <c r="X196" i="1"/>
  <c r="Y187" i="1"/>
  <c r="T157" i="1"/>
  <c r="T158" i="1"/>
  <c r="T161" i="1"/>
  <c r="T162" i="1"/>
  <c r="AE191" i="1"/>
  <c r="AB158" i="1"/>
  <c r="AD158" i="1"/>
  <c r="V157" i="1"/>
  <c r="V158" i="1"/>
  <c r="V161" i="1"/>
  <c r="V179" i="1"/>
  <c r="Z196" i="1"/>
  <c r="Y194" i="1"/>
  <c r="Y179" i="1"/>
  <c r="AC191" i="1"/>
  <c r="H155" i="1"/>
  <c r="G155" i="1"/>
  <c r="G157" i="1"/>
  <c r="G158" i="1"/>
  <c r="G161" i="1"/>
  <c r="I191" i="1"/>
  <c r="Q157" i="1"/>
  <c r="Q191" i="1"/>
  <c r="U191" i="1"/>
  <c r="F155" i="1"/>
  <c r="F157" i="1"/>
  <c r="F191" i="1"/>
  <c r="R157" i="1"/>
  <c r="R191" i="1"/>
  <c r="N157" i="1"/>
  <c r="N158" i="1"/>
  <c r="N161" i="1"/>
  <c r="E155" i="1"/>
  <c r="E157" i="1"/>
  <c r="E191" i="1"/>
  <c r="H157" i="1"/>
  <c r="H191" i="1"/>
  <c r="R158" i="1"/>
  <c r="R161" i="1"/>
  <c r="P157" i="1"/>
  <c r="J191" i="1"/>
  <c r="L157" i="1"/>
  <c r="G191" i="1"/>
  <c r="H158" i="1"/>
  <c r="F158" i="1"/>
  <c r="F161" i="1"/>
  <c r="F162" i="1"/>
  <c r="F200" i="1"/>
  <c r="M157" i="1"/>
  <c r="M200" i="1"/>
  <c r="P191" i="1"/>
  <c r="P194" i="1"/>
  <c r="M191" i="1"/>
  <c r="M195" i="1"/>
  <c r="M203" i="1"/>
  <c r="AE194" i="1"/>
  <c r="Z195" i="1"/>
  <c r="AE196" i="1"/>
  <c r="J200" i="1"/>
  <c r="N179" i="1"/>
  <c r="S181" i="1"/>
  <c r="F195" i="1"/>
  <c r="Q184" i="1"/>
  <c r="K157" i="1"/>
  <c r="K191" i="1"/>
  <c r="K196" i="1"/>
  <c r="G184" i="1"/>
  <c r="V200" i="1"/>
  <c r="E195" i="1"/>
  <c r="H184" i="1"/>
  <c r="H186" i="1"/>
  <c r="E184" i="1"/>
  <c r="V178" i="1"/>
  <c r="E187" i="1"/>
  <c r="X184" i="1"/>
  <c r="AD191" i="1"/>
  <c r="F178" i="1"/>
  <c r="F184" i="1"/>
  <c r="AE200" i="1"/>
  <c r="F199" i="1"/>
  <c r="F202" i="1"/>
  <c r="E181" i="1"/>
  <c r="W181" i="1"/>
  <c r="J158" i="1"/>
  <c r="L191" i="1"/>
  <c r="L194" i="1"/>
  <c r="F196" i="1"/>
  <c r="I199" i="1"/>
  <c r="G195" i="1"/>
  <c r="E196" i="1"/>
  <c r="X162" i="1"/>
  <c r="AD195" i="1"/>
  <c r="G178" i="1"/>
  <c r="U179" i="1"/>
  <c r="E199" i="1"/>
  <c r="F181" i="1"/>
  <c r="V203" i="1"/>
  <c r="S188" i="1"/>
  <c r="R184" i="1"/>
  <c r="Y177" i="1"/>
  <c r="K199" i="1"/>
  <c r="K184" i="1"/>
  <c r="AC161" i="1"/>
  <c r="H161" i="1"/>
  <c r="AE203" i="1"/>
  <c r="G187" i="1"/>
  <c r="AB181" i="1"/>
  <c r="AD200" i="1"/>
  <c r="U196" i="1"/>
  <c r="T178" i="1"/>
  <c r="T184" i="1"/>
  <c r="AC188" i="1"/>
  <c r="X186" i="1"/>
  <c r="AC177" i="1"/>
  <c r="Q158" i="1"/>
  <c r="M194" i="1"/>
  <c r="H162" i="1"/>
  <c r="AC194" i="1"/>
  <c r="U162" i="1"/>
  <c r="K158" i="1"/>
  <c r="K161" i="1"/>
  <c r="K178" i="1"/>
  <c r="K177" i="1"/>
  <c r="P199" i="1"/>
  <c r="P202" i="1"/>
  <c r="AB184" i="1"/>
  <c r="G162" i="1"/>
  <c r="W202" i="1"/>
  <c r="H199" i="1"/>
  <c r="H202" i="1"/>
  <c r="H205" i="1"/>
  <c r="AE177" i="1"/>
  <c r="V206" i="1"/>
  <c r="F187" i="1"/>
  <c r="W196" i="1"/>
  <c r="AE199" i="1"/>
  <c r="AE202" i="1"/>
  <c r="AE205" i="1"/>
  <c r="U181" i="1"/>
  <c r="AB200" i="1"/>
  <c r="AB203" i="1"/>
  <c r="AB206" i="1"/>
  <c r="O157" i="1"/>
  <c r="O158" i="1"/>
  <c r="O161" i="1"/>
  <c r="O179" i="1"/>
  <c r="I195" i="1"/>
  <c r="Q181" i="1"/>
  <c r="Z161" i="1"/>
  <c r="N200" i="1"/>
  <c r="N203" i="1"/>
  <c r="N206" i="1"/>
  <c r="AD184" i="1"/>
  <c r="K200" i="1"/>
  <c r="K203" i="1"/>
  <c r="K206" i="1"/>
  <c r="G200" i="1"/>
  <c r="G203" i="1"/>
  <c r="U200" i="1"/>
  <c r="H200" i="1"/>
  <c r="H203" i="1"/>
  <c r="W184" i="1"/>
  <c r="AC200" i="1"/>
  <c r="N191" i="1"/>
  <c r="R200" i="1"/>
  <c r="J195" i="1"/>
  <c r="O184" i="1"/>
  <c r="O186" i="1"/>
  <c r="S200" i="1"/>
  <c r="Q195" i="1"/>
  <c r="Q196" i="1"/>
  <c r="P158" i="1"/>
  <c r="H196" i="1"/>
  <c r="S199" i="1"/>
  <c r="U195" i="1"/>
  <c r="S158" i="1"/>
  <c r="S161" i="1"/>
  <c r="R181" i="1"/>
  <c r="P184" i="1"/>
  <c r="Z179" i="1"/>
  <c r="N184" i="1"/>
  <c r="H187" i="1"/>
  <c r="V162" i="1"/>
  <c r="X179" i="1"/>
  <c r="L200" i="1"/>
  <c r="Z177" i="1"/>
  <c r="I200" i="1"/>
  <c r="X188" i="1"/>
  <c r="F203" i="1"/>
  <c r="F206" i="1"/>
  <c r="O187" i="1"/>
  <c r="G196" i="1"/>
  <c r="X177" i="1"/>
  <c r="AD160" i="1"/>
  <c r="M199" i="1"/>
  <c r="M202" i="1"/>
  <c r="M205" i="1"/>
  <c r="AD196" i="1"/>
  <c r="L203" i="1"/>
  <c r="L206" i="1"/>
  <c r="I158" i="1"/>
  <c r="I160" i="1"/>
  <c r="K160" i="1"/>
  <c r="T199" i="1"/>
  <c r="H194" i="1"/>
  <c r="R194" i="1"/>
  <c r="G160" i="1"/>
  <c r="T179" i="1"/>
  <c r="S191" i="1"/>
  <c r="S195" i="1"/>
  <c r="V160" i="1"/>
  <c r="P195" i="1"/>
  <c r="U194" i="1"/>
  <c r="Q200" i="1"/>
  <c r="J194" i="1"/>
  <c r="M158" i="1"/>
  <c r="M160" i="1"/>
  <c r="S196" i="1"/>
  <c r="E200" i="1"/>
  <c r="R199" i="1"/>
  <c r="U160" i="1"/>
  <c r="W194" i="1"/>
  <c r="I196" i="1"/>
  <c r="Q199" i="1"/>
  <c r="F177" i="1"/>
  <c r="N177" i="1"/>
  <c r="O162" i="1"/>
  <c r="I194" i="1"/>
  <c r="F179" i="1"/>
  <c r="G177" i="1"/>
  <c r="V191" i="1"/>
  <c r="S194" i="1"/>
  <c r="M196" i="1"/>
  <c r="O178" i="1"/>
  <c r="V177" i="1"/>
  <c r="K195" i="1"/>
  <c r="U184" i="1"/>
  <c r="L195" i="1"/>
  <c r="F188" i="1"/>
  <c r="E202" i="1"/>
  <c r="I186" i="1"/>
  <c r="H188" i="1"/>
  <c r="Y186" i="1"/>
  <c r="AC199" i="1"/>
  <c r="AC202" i="1"/>
  <c r="AC205" i="1"/>
  <c r="R202" i="1"/>
  <c r="L184" i="1"/>
  <c r="L188" i="1"/>
  <c r="AC178" i="1"/>
  <c r="H179" i="1"/>
  <c r="M181" i="1"/>
  <c r="H160" i="1"/>
  <c r="AB205" i="1"/>
  <c r="S177" i="1"/>
  <c r="U199" i="1"/>
  <c r="E203" i="1"/>
  <c r="E158" i="1"/>
  <c r="P187" i="1"/>
  <c r="E161" i="1"/>
  <c r="E178" i="1"/>
  <c r="X187" i="1"/>
  <c r="I203" i="1"/>
  <c r="E186" i="1"/>
  <c r="F194" i="1"/>
  <c r="M161" i="1"/>
  <c r="L181" i="1"/>
  <c r="L196" i="1"/>
  <c r="R203" i="1"/>
  <c r="G179" i="1"/>
  <c r="D181" i="1"/>
  <c r="V195" i="1"/>
  <c r="K186" i="1"/>
  <c r="F160" i="1"/>
  <c r="M178" i="1"/>
  <c r="V196" i="1"/>
  <c r="K162" i="1"/>
  <c r="Q203" i="1"/>
  <c r="G186" i="1"/>
  <c r="P205" i="1"/>
  <c r="W162" i="1"/>
  <c r="AC203" i="1"/>
  <c r="W203" i="1"/>
  <c r="R195" i="1"/>
  <c r="E188" i="1"/>
  <c r="P188" i="1"/>
  <c r="L186" i="1"/>
  <c r="O200" i="1"/>
  <c r="O203" i="1"/>
  <c r="O206" i="1"/>
  <c r="W206" i="1"/>
  <c r="U202" i="1"/>
  <c r="L158" i="1"/>
  <c r="L161" i="1"/>
  <c r="L162" i="1"/>
  <c r="E179" i="1"/>
  <c r="AC187" i="1"/>
  <c r="E162" i="1"/>
  <c r="AB186" i="1"/>
  <c r="W205" i="1"/>
  <c r="N162" i="1"/>
  <c r="Z160" i="1"/>
  <c r="Y188" i="1"/>
  <c r="X181" i="1"/>
  <c r="AE184" i="1"/>
  <c r="R186" i="1"/>
  <c r="V181" i="1"/>
  <c r="X160" i="1"/>
  <c r="W177" i="1"/>
  <c r="AE188" i="1"/>
  <c r="W178" i="1"/>
  <c r="W179" i="1"/>
  <c r="AE187" i="1"/>
  <c r="AE186" i="1"/>
  <c r="Z186" i="1"/>
  <c r="Z194" i="1"/>
  <c r="J184" i="1"/>
  <c r="X178" i="1"/>
  <c r="N187" i="1"/>
  <c r="V184" i="1"/>
  <c r="AE162" i="1"/>
  <c r="J186" i="1"/>
  <c r="J187" i="1"/>
  <c r="J188" i="1"/>
  <c r="V188" i="1"/>
  <c r="V186" i="1"/>
  <c r="V187" i="1"/>
  <c r="Z181" i="1"/>
  <c r="AD203" i="1"/>
  <c r="R188" i="1"/>
  <c r="O199" i="1"/>
  <c r="O202" i="1"/>
  <c r="G206" i="1"/>
  <c r="F186" i="1"/>
  <c r="U203" i="1"/>
  <c r="U206" i="1"/>
  <c r="H206" i="1"/>
  <c r="S162" i="1"/>
  <c r="O191" i="1"/>
  <c r="O196" i="1"/>
  <c r="S179" i="1"/>
  <c r="Q161" i="1"/>
  <c r="P186" i="1"/>
  <c r="I202" i="1"/>
  <c r="I205" i="1"/>
  <c r="L187" i="1"/>
  <c r="AD181" i="1"/>
  <c r="AD194" i="1"/>
  <c r="N195" i="1"/>
  <c r="O188" i="1"/>
  <c r="H195" i="1"/>
  <c r="Q178" i="1"/>
  <c r="AB196" i="1"/>
  <c r="W188" i="1"/>
  <c r="V194" i="1"/>
  <c r="M179" i="1"/>
  <c r="T188" i="1"/>
  <c r="AD205" i="1"/>
  <c r="R206" i="1"/>
  <c r="U177" i="1"/>
  <c r="R160" i="1"/>
  <c r="T177" i="1"/>
  <c r="X195" i="1"/>
  <c r="Q194" i="1"/>
  <c r="W195" i="1"/>
  <c r="O160" i="1"/>
  <c r="N178" i="1"/>
  <c r="AC162" i="1"/>
  <c r="E206" i="1"/>
  <c r="T202" i="1"/>
  <c r="T205" i="1"/>
  <c r="N196" i="1"/>
  <c r="AC179" i="1"/>
  <c r="E160" i="1"/>
  <c r="O194" i="1"/>
  <c r="G181" i="1"/>
  <c r="O195" i="1"/>
  <c r="S186" i="1"/>
  <c r="Q177" i="1"/>
  <c r="Q162" i="1"/>
  <c r="N181" i="1"/>
  <c r="AD187" i="1"/>
  <c r="AE206" i="1"/>
  <c r="N186" i="1"/>
  <c r="L179" i="1"/>
  <c r="R205" i="1"/>
  <c r="J203" i="1"/>
  <c r="J206" i="1"/>
  <c r="T186" i="1"/>
  <c r="S203" i="1"/>
  <c r="S206" i="1"/>
  <c r="M162" i="1"/>
  <c r="T187" i="1"/>
  <c r="M177" i="1"/>
  <c r="Q179" i="1"/>
  <c r="P181" i="1"/>
  <c r="O205" i="1"/>
  <c r="AD206" i="1"/>
  <c r="Q202" i="1"/>
  <c r="K194" i="1"/>
  <c r="Q186" i="1"/>
  <c r="T191" i="1"/>
  <c r="N199" i="1"/>
  <c r="T200" i="1"/>
  <c r="T203" i="1"/>
  <c r="Q187" i="1"/>
  <c r="P200" i="1"/>
  <c r="R187" i="1"/>
  <c r="L199" i="1"/>
  <c r="AB194" i="1"/>
  <c r="AD161" i="1"/>
  <c r="K202" i="1"/>
  <c r="K187" i="1"/>
  <c r="AE195" i="1"/>
  <c r="H178" i="1"/>
  <c r="Z187" i="1"/>
  <c r="V199" i="1"/>
  <c r="V202" i="1"/>
  <c r="V205" i="1"/>
  <c r="J161" i="1"/>
  <c r="P196" i="1"/>
  <c r="P161" i="1"/>
  <c r="N188" i="1"/>
  <c r="E177" i="1"/>
  <c r="I161" i="1"/>
  <c r="S202" i="1"/>
  <c r="S205" i="1"/>
  <c r="AD186" i="1"/>
  <c r="AD162" i="1"/>
  <c r="AB161" i="1"/>
  <c r="G199" i="1"/>
  <c r="G202" i="1"/>
  <c r="M184" i="1"/>
  <c r="T160" i="1"/>
  <c r="E194" i="1"/>
  <c r="J178" i="1"/>
  <c r="H177" i="1"/>
  <c r="AB160" i="1"/>
  <c r="AD179" i="1"/>
  <c r="J160" i="1"/>
  <c r="P177" i="1"/>
  <c r="I181" i="1"/>
  <c r="N194" i="1"/>
  <c r="J181" i="1"/>
  <c r="M188" i="1"/>
  <c r="Q206" i="1"/>
  <c r="N202" i="1"/>
  <c r="N205" i="1"/>
  <c r="O177" i="1"/>
  <c r="AB187" i="1"/>
  <c r="K181" i="1"/>
  <c r="AC206" i="1"/>
  <c r="L177" i="1"/>
  <c r="AE178" i="1"/>
  <c r="AD188" i="1"/>
  <c r="AC186" i="1"/>
  <c r="L178" i="1"/>
  <c r="S178" i="1"/>
  <c r="M206" i="1"/>
  <c r="J205" i="1"/>
  <c r="J196" i="1"/>
  <c r="G194" i="1"/>
  <c r="R196" i="1"/>
  <c r="AC196" i="1"/>
  <c r="T181" i="1"/>
  <c r="R179" i="1"/>
  <c r="T196" i="1"/>
  <c r="P203" i="1"/>
  <c r="P206" i="1"/>
  <c r="AB195" i="1"/>
  <c r="U186" i="1"/>
  <c r="F205" i="1"/>
  <c r="K188" i="1"/>
  <c r="R162" i="1"/>
  <c r="G188" i="1"/>
  <c r="R178" i="1"/>
  <c r="AC195" i="1"/>
  <c r="I162" i="1"/>
  <c r="S160" i="1"/>
  <c r="W187" i="1"/>
  <c r="R177" i="1"/>
  <c r="Q160" i="1"/>
  <c r="K179" i="1"/>
  <c r="I178" i="1"/>
  <c r="P179" i="1"/>
  <c r="M186" i="1"/>
  <c r="AE160" i="1"/>
  <c r="U188" i="1"/>
  <c r="Y181" i="1"/>
  <c r="Q188" i="1"/>
  <c r="N160" i="1"/>
  <c r="AB188" i="1"/>
  <c r="W186" i="1"/>
  <c r="E205" i="1"/>
  <c r="L202" i="1"/>
  <c r="L205" i="1"/>
  <c r="Z178" i="1"/>
  <c r="AB178" i="1"/>
  <c r="Z162" i="1"/>
  <c r="I206" i="1"/>
  <c r="P178" i="1"/>
  <c r="L160" i="1"/>
  <c r="P160" i="1"/>
  <c r="J179" i="1"/>
  <c r="M187" i="1"/>
  <c r="U187" i="1"/>
  <c r="U205" i="1"/>
  <c r="Q205" i="1"/>
  <c r="AA181" i="1"/>
  <c r="P162" i="1"/>
  <c r="J177" i="1"/>
  <c r="H181" i="1"/>
  <c r="G205" i="1"/>
  <c r="T195" i="1"/>
  <c r="T194" i="1"/>
  <c r="AC181" i="1"/>
  <c r="AB177" i="1"/>
  <c r="AB179" i="1"/>
  <c r="I177" i="1"/>
  <c r="AD178" i="1"/>
  <c r="O181" i="1"/>
  <c r="K205" i="1"/>
  <c r="I179" i="1"/>
  <c r="J162" i="1"/>
  <c r="AB162" i="1"/>
  <c r="T206" i="1"/>
  <c r="AD1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CJ9" authorId="0" shapeId="0" xr:uid="{490440CE-7E17-4C34-B7F3-D552114A6CE9}">
      <text>
        <r>
          <rPr>
            <b/>
            <sz val="9"/>
            <color indexed="81"/>
            <rFont val="Tahoma"/>
            <family val="2"/>
          </rPr>
          <t>mundra shutdown</t>
        </r>
      </text>
    </comment>
    <comment ref="CK9" authorId="0" shapeId="0" xr:uid="{A1E81B83-C841-4C9A-97F9-5F24F2AD889E}">
      <text>
        <r>
          <rPr>
            <b/>
            <sz val="9"/>
            <color indexed="81"/>
            <rFont val="Tahoma"/>
            <family val="2"/>
          </rPr>
          <t xml:space="preserve">mundra shutdown
</t>
        </r>
      </text>
    </comment>
    <comment ref="A26" authorId="0" shapeId="0" xr:uid="{10084181-1C76-4F97-BAAC-C5F2F61CD721}">
      <text>
        <r>
          <rPr>
            <b/>
            <sz val="9"/>
            <color indexed="81"/>
            <rFont val="Tahoma"/>
            <family val="2"/>
          </rPr>
          <t xml:space="preserve">certain cost which is not passed on to the consumers but can be collected from them afterwards
</t>
        </r>
      </text>
    </comment>
    <comment ref="CK223" authorId="0" shapeId="0" xr:uid="{B9542654-F07E-4386-A26D-878E558373BC}">
      <text>
        <r>
          <rPr>
            <b/>
            <sz val="9"/>
            <color indexed="81"/>
            <rFont val="Tahoma"/>
            <family val="2"/>
          </rPr>
          <t xml:space="preserve">Capex as mentioned in the quarterly ppt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<sst xmlns="http://schemas.openxmlformats.org/spreadsheetml/2006/main" count="738" uniqueCount="598">
  <si>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</si>
  <si>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</si>
  <si>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</si>
  <si>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</si>
  <si>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</si>
  <si>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</si>
  <si>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</si>
  <si>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</si>
  <si>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</si>
  <si>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</si>
  <si>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</si>
  <si>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</si>
  <si>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</si>
  <si>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</si>
  <si>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</si>
  <si>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</si>
  <si>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</si>
  <si>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</si>
  <si>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</si>
  <si>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</si>
  <si>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</si>
  <si>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</si>
  <si>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</si>
  <si>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</si>
  <si>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</si>
  <si>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</si>
  <si>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</si>
  <si>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</si>
  <si>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</si>
  <si>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</si>
  <si>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</si>
  <si>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</si>
  <si>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</si>
  <si>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</si>
  <si>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</si>
  <si>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</si>
  <si>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</si>
  <si>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</si>
  <si>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</si>
  <si>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</si>
  <si>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</si>
  <si>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</si>
  <si>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</si>
  <si>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</si>
  <si>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</si>
  <si>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</si>
  <si>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</si>
  <si>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</si>
  <si>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</si>
  <si>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</si>
  <si>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</si>
  <si>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</si>
  <si>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</si>
  <si>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</si>
  <si>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</si>
  <si>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</si>
  <si>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</si>
  <si>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</si>
  <si>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</si>
  <si>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</si>
  <si>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</si>
  <si>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</si>
  <si>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</si>
  <si>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</si>
  <si>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</si>
  <si>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</si>
  <si>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</si>
  <si>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</si>
  <si>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</si>
  <si>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</si>
  <si>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</si>
  <si>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</si>
  <si>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</si>
  <si>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</si>
  <si>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</si>
  <si>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</si>
  <si>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</si>
  <si>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</si>
  <si>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</si>
  <si>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</si>
  <si>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</si>
  <si>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</si>
  <si>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</si>
  <si>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</si>
  <si>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</si>
  <si>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</si>
  <si>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</si>
  <si>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</si>
  <si>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</si>
  <si>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</si>
  <si>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</si>
  <si>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</si>
  <si>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</si>
  <si>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</si>
  <si>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</si>
  <si>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</si>
  <si>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</si>
  <si>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</si>
  <si>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</si>
  <si>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</si>
  <si>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</si>
  <si>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</si>
  <si>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</si>
  <si>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</si>
  <si>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</si>
  <si>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</si>
  <si>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</si>
  <si>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</si>
  <si>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</si>
  <si>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</si>
  <si>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</si>
  <si>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</si>
  <si>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</si>
  <si>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</si>
  <si>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</si>
  <si>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</si>
  <si>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</si>
  <si>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</si>
  <si>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</si>
  <si>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</si>
  <si>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</si>
  <si>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</si>
  <si>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</si>
  <si>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</si>
  <si>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</si>
  <si>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</si>
  <si>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</si>
  <si>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</si>
  <si>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</si>
  <si>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</si>
  <si>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</si>
  <si>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</si>
  <si>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</si>
  <si>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</si>
  <si>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</si>
  <si>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</si>
  <si>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</si>
  <si>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</si>
  <si>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</si>
  <si>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</si>
  <si>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</si>
  <si>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</si>
  <si>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</si>
  <si>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</si>
  <si>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</si>
  <si>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</si>
  <si>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</si>
  <si>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</si>
  <si>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</si>
  <si>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</si>
  <si>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</si>
  <si>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</si>
  <si>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</si>
  <si>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</si>
  <si>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</si>
  <si>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</si>
  <si>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</si>
  <si>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</si>
  <si>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</si>
  <si>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</si>
  <si>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</si>
  <si>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</si>
  <si>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</si>
  <si>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</si>
  <si>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</si>
  <si>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</si>
  <si>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</si>
  <si>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</si>
  <si>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</si>
  <si>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</si>
  <si>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</si>
  <si>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</si>
  <si>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</si>
  <si>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</si>
  <si>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</si>
  <si>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</si>
  <si>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</si>
  <si>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</si>
  <si>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</si>
  <si>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</si>
  <si>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</si>
  <si>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</si>
  <si>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</si>
  <si>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</si>
  <si>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</si>
  <si>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</si>
  <si>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</si>
  <si>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</si>
  <si>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</si>
  <si>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</si>
  <si>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</si>
  <si>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</si>
  <si>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</si>
  <si>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</si>
  <si>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</si>
  <si>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</si>
  <si>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</si>
  <si>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</si>
  <si>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</si>
  <si>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</si>
  <si>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</si>
  <si>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</si>
  <si>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</si>
  <si>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</si>
  <si>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</si>
  <si>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</si>
  <si>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</si>
  <si>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</si>
  <si>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</si>
  <si>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</si>
  <si>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</si>
  <si>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</si>
  <si>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</si>
  <si>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</si>
  <si>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</si>
  <si>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</si>
  <si>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</si>
  <si>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</si>
  <si>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</si>
  <si>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</si>
  <si>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</si>
  <si>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</si>
  <si>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</si>
  <si>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</si>
  <si>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</si>
  <si>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</si>
  <si>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</si>
  <si>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</si>
  <si>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</si>
  <si>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</si>
  <si>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</si>
  <si>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</si>
  <si>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</si>
  <si>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</si>
  <si>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</si>
  <si>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</si>
  <si>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</si>
  <si>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</si>
  <si>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</si>
  <si>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</si>
  <si>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</si>
  <si>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</si>
  <si>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</si>
  <si>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</si>
  <si>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</si>
  <si>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</si>
  <si>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</si>
  <si>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</si>
  <si>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</si>
  <si>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</si>
  <si>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</si>
  <si>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</si>
  <si>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</si>
  <si>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</si>
  <si>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</si>
  <si>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</si>
  <si>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</si>
  <si>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</si>
  <si>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</si>
  <si>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</si>
  <si>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</si>
  <si>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</si>
  <si>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</si>
  <si>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</si>
  <si>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</si>
  <si>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</si>
  <si>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</si>
  <si>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</si>
  <si>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</si>
  <si>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</si>
  <si>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</si>
  <si>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</si>
  <si>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</si>
  <si>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</si>
  <si>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</si>
  <si>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</si>
  <si>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</si>
  <si>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</si>
  <si>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</si>
  <si>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</si>
  <si>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</si>
  <si>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</si>
  <si>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</si>
  <si>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</si>
  <si>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</si>
  <si>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</si>
  <si>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</si>
  <si>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</si>
  <si>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</si>
  <si>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</si>
  <si>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</si>
  <si>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</si>
  <si>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</si>
  <si>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</si>
  <si>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</si>
  <si>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</si>
  <si>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</si>
  <si>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</si>
  <si>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</si>
  <si>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</si>
  <si>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</si>
  <si>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</si>
  <si>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</si>
  <si>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</si>
  <si>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</si>
  <si>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</si>
  <si>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</si>
  <si>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</si>
  <si>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</si>
  <si>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</si>
  <si>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</si>
  <si>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</si>
  <si>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</si>
  <si>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</si>
  <si>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</si>
  <si>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</si>
  <si>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</si>
  <si>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</si>
  <si>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</si>
  <si>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</si>
  <si>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</si>
  <si>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</si>
  <si>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</si>
  <si>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</si>
  <si>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</si>
  <si>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</si>
  <si>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</si>
  <si>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</si>
  <si>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</si>
  <si>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</si>
  <si>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</si>
  <si>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</si>
  <si>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</si>
  <si>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</si>
  <si>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</si>
  <si>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</si>
  <si>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</si>
  <si>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</si>
  <si>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</si>
  <si>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</si>
  <si>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</si>
  <si>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</si>
  <si>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</si>
  <si>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</si>
  <si>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</si>
  <si>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</si>
  <si>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</si>
  <si>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</si>
  <si>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</si>
  <si>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</si>
  <si>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</si>
  <si>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</si>
  <si>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</si>
  <si>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</si>
  <si>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</si>
  <si>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</si>
  <si>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</si>
  <si>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</si>
  <si>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</si>
  <si>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</si>
  <si>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</si>
  <si>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</si>
  <si>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</si>
  <si>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</si>
  <si>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</si>
  <si>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</si>
  <si>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</si>
  <si>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</si>
  <si>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</si>
  <si>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</si>
  <si>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</si>
  <si>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</si>
  <si>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</si>
  <si>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</si>
  <si>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</si>
  <si>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</si>
  <si>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</si>
  <si>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</si>
  <si>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</si>
  <si>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</si>
  <si>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</si>
  <si>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</si>
  <si>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</si>
  <si>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</si>
  <si>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</si>
  <si>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</si>
  <si>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</si>
  <si>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</si>
  <si>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</si>
  <si>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</si>
  <si>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</si>
  <si>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</si>
  <si>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</si>
  <si>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</si>
  <si>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</si>
  <si>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</si>
  <si>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</si>
  <si>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</si>
  <si>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</si>
  <si>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</si>
  <si>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</si>
  <si>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</si>
  <si>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</si>
  <si>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</si>
  <si>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</si>
  <si>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</si>
  <si>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</si>
  <si>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</si>
  <si>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</si>
  <si>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</si>
  <si>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</si>
  <si>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</si>
  <si>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</si>
  <si>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</si>
  <si>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</si>
  <si>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</si>
  <si>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</si>
  <si>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</si>
  <si>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</si>
  <si>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</si>
  <si>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</si>
  <si>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</si>
  <si>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</si>
  <si>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</si>
  <si>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</si>
  <si>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</si>
  <si>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</si>
  <si>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</si>
  <si>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</si>
  <si>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</si>
  <si>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</si>
  <si>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</si>
  <si>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</si>
  <si>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</si>
  <si>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</si>
  <si>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</si>
  <si>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</si>
  <si>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</si>
  <si>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</si>
  <si>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</si>
  <si>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</si>
  <si>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</si>
  <si>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</si>
  <si>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</si>
  <si>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</si>
  <si>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</si>
  <si>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</si>
  <si>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</si>
  <si>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</si>
  <si>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</si>
  <si>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</si>
  <si>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</si>
  <si>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</si>
  <si>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</si>
  <si>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</si>
  <si>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</si>
  <si>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</si>
  <si>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</si>
  <si>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</si>
  <si>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</si>
  <si>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</si>
  <si>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</si>
  <si>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</si>
  <si>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</si>
  <si>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</si>
  <si>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</si>
  <si>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</si>
  <si>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</si>
  <si>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</si>
  <si>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</si>
  <si>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</si>
  <si>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</si>
  <si>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</si>
  <si>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</si>
  <si>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</si>
  <si>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</si>
  <si>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</si>
  <si>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</si>
  <si>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</si>
  <si>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</si>
  <si>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</si>
  <si>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</si>
  <si>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</si>
  <si>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</si>
  <si>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</si>
  <si>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</si>
  <si>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</si>
  <si>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</si>
  <si>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</si>
  <si>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</si>
  <si>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</si>
  <si>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</si>
  <si>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</si>
  <si>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</si>
  <si>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</si>
  <si>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</si>
  <si>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</si>
  <si>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</si>
  <si>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</si>
  <si>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</si>
  <si>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</si>
  <si>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</si>
  <si>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</si>
  <si>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</si>
  <si>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</si>
  <si>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</si>
  <si>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</si>
  <si>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</si>
  <si>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</si>
  <si>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</si>
  <si>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</si>
  <si>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</si>
  <si>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</si>
  <si>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</si>
  <si>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</si>
  <si>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Tata Power Company Ltd.</t>
  </si>
  <si>
    <t>DATE</t>
  </si>
  <si>
    <t>ADJHIGH</t>
  </si>
  <si>
    <t>ADJCLOSE</t>
  </si>
  <si>
    <t>ADJLOW</t>
  </si>
  <si>
    <t>ADJOPEN</t>
  </si>
  <si>
    <t>CLOSE</t>
  </si>
  <si>
    <t>VOLUME</t>
  </si>
  <si>
    <t>Sales - Segment wise</t>
  </si>
  <si>
    <t>Thermal Generation, Coal and Hydro</t>
  </si>
  <si>
    <t xml:space="preserve">Maithon Power Limited (MPL) </t>
  </si>
  <si>
    <t>Traditional Generation (incl. Mumbai and Hydro)</t>
  </si>
  <si>
    <t>Others (Incl. eliminations)</t>
  </si>
  <si>
    <t>Mundra, Coal and Shipping</t>
  </si>
  <si>
    <t xml:space="preserve">Renewables </t>
  </si>
  <si>
    <t>RE Gencos (Incl. CSL)</t>
  </si>
  <si>
    <t>Solar EPC (TPSSL)</t>
  </si>
  <si>
    <t>Others (Incl. eliminations#)</t>
  </si>
  <si>
    <t>Transmission &amp; Distribution Services</t>
  </si>
  <si>
    <t>Transmission</t>
  </si>
  <si>
    <t>Distribution and Services</t>
  </si>
  <si>
    <t>Mumbai</t>
  </si>
  <si>
    <t xml:space="preserve">Odisha </t>
  </si>
  <si>
    <t xml:space="preserve">Delhi </t>
  </si>
  <si>
    <t>Others (T&amp;D incl, TPADL, TPTCL and eliminations)</t>
  </si>
  <si>
    <t>Others (Incl. Tata Projects, Nelco and inter cluster eliminations#)</t>
  </si>
  <si>
    <t>Total</t>
  </si>
  <si>
    <t>checksum</t>
  </si>
  <si>
    <t xml:space="preserve">TP solar (4.3GW cell &amp; module manufacturing plant </t>
  </si>
  <si>
    <t>Others (total movement in regulatory deferral balances</t>
  </si>
  <si>
    <t>Growth Y-o-Y %</t>
  </si>
  <si>
    <t>Thermal Generation, Coal and Hydro %</t>
  </si>
  <si>
    <t>Renewables %</t>
  </si>
  <si>
    <t>Transmission &amp; Distribution Services %</t>
  </si>
  <si>
    <t>EBITDA Margin %</t>
  </si>
  <si>
    <t>Thermal Generation, Coal and Hydro % EBITDA margin</t>
  </si>
  <si>
    <t>Renewables % EBITDA margin</t>
  </si>
  <si>
    <t>Transmission &amp; Distribution Services % EBITDA margin</t>
  </si>
  <si>
    <t>Maithon Power Limited (MPL) %</t>
  </si>
  <si>
    <t>Traditional Generation (incl. Mumbai and Hydro) %</t>
  </si>
  <si>
    <t>Others (Incl. eliminations) %</t>
  </si>
  <si>
    <t>Mundra, Coal and Shipping %</t>
  </si>
  <si>
    <t>RE Gencos (Incl. CSL) %</t>
  </si>
  <si>
    <t>Solar EPC (TPSSL) %</t>
  </si>
  <si>
    <t>TP solar (4.3GW cell &amp; module manufacturing plant  %</t>
  </si>
  <si>
    <t>Transmission %</t>
  </si>
  <si>
    <t>Distribution and Services %</t>
  </si>
  <si>
    <t>Mumbai %</t>
  </si>
  <si>
    <t>Odisha  %</t>
  </si>
  <si>
    <t>Delhi  %</t>
  </si>
  <si>
    <t>Others (T&amp;D incl, TPADL, TPTCL and eliminations) %</t>
  </si>
  <si>
    <t>Thermal Generation, Coal and Hydro -EBITDA</t>
  </si>
  <si>
    <t>Maithon Power Limited (MPL) -EBITDA</t>
  </si>
  <si>
    <t>Traditional Generation (incl. Mumbai and Hydro) -EBITDA</t>
  </si>
  <si>
    <t>Others (Incl. eliminations) -EBITDA</t>
  </si>
  <si>
    <t>Mundra, Coal and Shipping -EBITDA</t>
  </si>
  <si>
    <t>Renewables -EBITDA</t>
  </si>
  <si>
    <t>RE Gencos (Incl. CSL) -EBITDA</t>
  </si>
  <si>
    <t>Solar EPC (TPSSL) -EBITDA</t>
  </si>
  <si>
    <t>TP solar (4.3GW cell &amp; module manufacturing plant -EBITDA</t>
  </si>
  <si>
    <t>Others (Incl. eliminations#) -EBITDA</t>
  </si>
  <si>
    <t>Transmission &amp; Distribution Services -EBITDA</t>
  </si>
  <si>
    <t>Transmission -EBITDA</t>
  </si>
  <si>
    <t>Distribution and Services -EBITDA</t>
  </si>
  <si>
    <t>Mumbai -EBITDA</t>
  </si>
  <si>
    <t>Odisha -EBITDA</t>
  </si>
  <si>
    <t>Delhi  -EBITDA</t>
  </si>
  <si>
    <t>Others (T&amp;D incl, TPADL, TPTCL and eliminations) -EBITDA</t>
  </si>
  <si>
    <t>Others (Incl. Tata Projects, Nelco and inter cluster eliminations#) -EBITDA</t>
  </si>
  <si>
    <t>Total -EBITDA</t>
  </si>
  <si>
    <t>Checksum -EBITDA</t>
  </si>
  <si>
    <t>Maithon Power Limited (MPL)  % EBITDA margin</t>
  </si>
  <si>
    <t>Traditional Generation (incl. Mumbai and Hydro) % EBITDA margin</t>
  </si>
  <si>
    <t>Mundra, Coal and Shipping % EBITDA margin</t>
  </si>
  <si>
    <t>RE Gencos (Incl. CSL) % EBITDA margin</t>
  </si>
  <si>
    <t>Solar EPC (TPSSL) % EBITDA margin</t>
  </si>
  <si>
    <t>TP solar (4.3GW cell &amp; module manufacturing plant  % EBITDA margin</t>
  </si>
  <si>
    <t>Transmission % EBITDA margin</t>
  </si>
  <si>
    <t>Distribution and Services % EBITDA margin</t>
  </si>
  <si>
    <t>Mumbai % EBITDA margin</t>
  </si>
  <si>
    <t>Odisha  % EBITDA margin</t>
  </si>
  <si>
    <t>Delhi  % EBITDA margin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</si>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</sst>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i/>
      <sz val="9"/>
      <color rgb="FF7030A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8" fillId="2" borderId="0" xfId="5" applyFont="1" applyFill="1" applyAlignment="1">
      <alignment horizontal="left"/>
    </xf>
    <xf numFmtId="0" fontId="20" fillId="2" borderId="0" xfId="5" applyFont="1" applyFill="1" applyAlignment="1">
      <alignment horizontal="left"/>
    </xf>
    <xf numFmtId="0" fontId="6" fillId="2" borderId="0" xfId="5" applyFont="1" applyFill="1" applyAlignment="1">
      <alignment horizontal="left"/>
    </xf>
    <xf numFmtId="0" fontId="18" fillId="9" borderId="0" xfId="5" applyFont="1" applyFill="1" applyAlignment="1">
      <alignment horizontal="left"/>
    </xf>
    <xf numFmtId="43" fontId="20" fillId="2" borderId="0" xfId="6" applyFont="1" applyFill="1" applyAlignment="1">
      <alignment horizontal="center"/>
    </xf>
    <xf numFmtId="43" fontId="18" fillId="2" borderId="0" xfId="6" applyFont="1" applyFill="1" applyAlignment="1">
      <alignment horizontal="center"/>
    </xf>
    <xf numFmtId="43" fontId="18" fillId="2" borderId="0" xfId="2" applyFont="1" applyFill="1" applyAlignment="1">
      <alignment horizontal="left"/>
    </xf>
    <xf numFmtId="0" fontId="22" fillId="2" borderId="0" xfId="5" applyFont="1" applyFill="1" applyAlignment="1">
      <alignment horizontal="left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  <xf numFmtId="43" fontId="20" fillId="9" borderId="0" xfId="2" applyFont="1" applyFill="1" applyAlignment="1">
      <alignment horizontal="center"/>
    </xf>
    <xf numFmtId="9" fontId="20" fillId="2" borderId="0" xfId="1" applyFont="1" applyFill="1" applyAlignment="1">
      <alignment horizontal="center"/>
    </xf>
    <xf numFmtId="9" fontId="20" fillId="7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0" fillId="0" borderId="0" xfId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9" fontId="23" fillId="2" borderId="0" xfId="1" applyFont="1" applyFill="1" applyAlignment="1">
      <alignment horizontal="right"/>
    </xf>
    <xf numFmtId="9" fontId="9" fillId="2" borderId="0" xfId="1" applyFont="1" applyFill="1" applyAlignment="1"/>
    <xf numFmtId="9" fontId="9" fillId="7" borderId="0" xfId="2" applyNumberFormat="1" applyFont="1" applyFill="1" applyAlignment="1"/>
    <xf numFmtId="14" fontId="5" fillId="0" borderId="0" xfId="0" applyNumberFormat="1" applyFont="1" applyAlignment="1">
      <alignment horizontal="center"/>
    </xf>
  </cellXfs>
  <cellStyles count="7">
    <cellStyle name="Comma" xfId="2" builtinId="3"/>
    <cellStyle name="Comma 3" xfId="6" xr:uid="{5045875F-5A0D-47A3-A941-A62E19A8FE38}"/>
    <cellStyle name="Normal" xfId="0" builtinId="0"/>
    <cellStyle name="Normal 2" xfId="3" xr:uid="{00000000-0005-0000-0000-000002000000}"/>
    <cellStyle name="Normal 23" xfId="4" xr:uid="{96E2C96E-37F9-4700-815B-A62CFE08C09E}"/>
    <cellStyle name="Normal 3" xfId="5" xr:uid="{5B0F4CEB-5A53-4451-95FF-9DED7A1EC8E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346"/>
  <sheetViews>
    <sheetView tabSelected="1" zoomScaleNormal="100" workbookViewId="0">
      <pane xSplit="1" ySplit="1" topLeftCell="CI2" activePane="bottomRight" state="frozen"/>
      <selection pane="topRight" activeCell="B1" sqref="B1"/>
      <selection pane="bottomLeft" activeCell="A2" sqref="A2"/>
      <selection pane="bottomRight" activeCell="CM144" sqref="CM144"/>
    </sheetView>
  </sheetViews>
  <sheetFormatPr defaultColWidth="11.140625" defaultRowHeight="12" outlineLevelRow="1" x14ac:dyDescent="0.2"/>
  <cols>
    <col min="1" max="1" width="35.85546875" style="2" customWidth="1"/>
    <col min="2" max="23" width="0" style="2" hidden="1" customWidth="1"/>
    <col min="24" max="26" width="11.140625" style="2"/>
    <col min="27" max="29" width="11.140625" style="19"/>
    <col min="30" max="31" width="12.140625" style="19" bestFit="1" customWidth="1"/>
    <col min="32" max="34" width="11.140625" style="2"/>
    <col min="35" max="74" width="11.140625" style="2" hidden="1" customWidth="1"/>
    <col min="75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Tata Power Company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L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si="15"/>
        <v>46112</v>
      </c>
      <c r="CM1" s="80">
        <f t="shared" ref="CM1" si="16">EOMONTH(CL1,3)</f>
        <v>46203</v>
      </c>
      <c r="CN1" s="80">
        <f t="shared" ref="CN1" si="17">EOMONTH(CM1,3)</f>
        <v>46295</v>
      </c>
      <c r="CO1" s="80">
        <f t="shared" ref="CO1" si="18">EOMONTH(CN1,3)</f>
        <v>46387</v>
      </c>
      <c r="CP1" s="80">
        <f t="shared" ref="CP1" si="19">EOMONTH(CO1,3)</f>
        <v>46477</v>
      </c>
      <c r="CQ1" s="80">
        <f t="shared" ref="CQ1" si="20">EOMONTH(CP1,3)</f>
        <v>46568</v>
      </c>
      <c r="CR1" s="80">
        <f t="shared" ref="CR1" si="21">EOMONTH(CQ1,3)</f>
        <v>46660</v>
      </c>
      <c r="CS1" s="80">
        <f t="shared" ref="CS1" si="22">EOMONTH(CR1,3)</f>
        <v>46752</v>
      </c>
      <c r="CT1" s="80">
        <f t="shared" ref="CT1" si="23">EOMONTH(CS1,3)</f>
        <v>46843</v>
      </c>
      <c r="CU1" s="80">
        <f t="shared" ref="CU1" si="24">EOMONTH(CT1,3)</f>
        <v>46934</v>
      </c>
      <c r="CV1" s="80">
        <f t="shared" ref="CV1" si="25">EOMONTH(CU1,3)</f>
        <v>47026</v>
      </c>
      <c r="CW1" s="80">
        <f t="shared" ref="CW1" si="26">EOMONTH(CV1,3)</f>
        <v>47118</v>
      </c>
      <c r="CX1" s="80">
        <f t="shared" ref="CX1" si="27">EOMONTH(CW1,3)</f>
        <v>47208</v>
      </c>
      <c r="CY1" s="80">
        <f t="shared" ref="CY1" si="28">EOMONTH(CX1,3)</f>
        <v>47299</v>
      </c>
      <c r="CZ1" s="80">
        <f t="shared" ref="CZ1" si="29">EOMONTH(CY1,3)</f>
        <v>47391</v>
      </c>
      <c r="DA1" s="80">
        <f t="shared" ref="DA1" si="30">EOMONTH(CZ1,3)</f>
        <v>47483</v>
      </c>
      <c r="DB1" s="80">
        <f t="shared" ref="DB1" si="31">EOMONTH(DA1,3)</f>
        <v>47573</v>
      </c>
      <c r="DE1" s="148" t="s">
        <v>445</v>
      </c>
      <c r="DF1" s="204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1" customFormat="1" x14ac:dyDescent="0.2">
      <c r="A4" s="151" t="s">
        <v>523</v>
      </c>
    </row>
    <row r="5" spans="1:110" s="158" customFormat="1" x14ac:dyDescent="0.2">
      <c r="A5" s="185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07">
        <f>SUM(X6:X9)</f>
        <v>18212</v>
      </c>
      <c r="Y5" s="107">
        <f t="shared" ref="Y5:Z5" si="32">SUM(Y6:Y9)</f>
        <v>19613</v>
      </c>
      <c r="Z5" s="107">
        <f t="shared" si="32"/>
        <v>19740</v>
      </c>
      <c r="AA5" s="108">
        <f>SUM(AA6:AA9)</f>
        <v>11630</v>
      </c>
      <c r="AB5" s="108">
        <f t="shared" ref="AB5:AE5" si="33">SUM(AB6:AB9)</f>
        <v>17827</v>
      </c>
      <c r="AC5" s="108">
        <f t="shared" si="33"/>
        <v>20552</v>
      </c>
      <c r="AD5" s="108">
        <f t="shared" si="33"/>
        <v>20552</v>
      </c>
      <c r="AE5" s="108">
        <f t="shared" si="33"/>
        <v>20552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07">
        <f>SUM(BW6:BW9)</f>
        <v>5125</v>
      </c>
      <c r="BX5" s="107">
        <f t="shared" ref="BX5:CI5" si="34">SUM(BX6:BX9)</f>
        <v>4834</v>
      </c>
      <c r="BY5" s="107">
        <f t="shared" si="34"/>
        <v>5370</v>
      </c>
      <c r="BZ5" s="107">
        <f t="shared" si="34"/>
        <v>2883</v>
      </c>
      <c r="CA5" s="107">
        <f t="shared" si="34"/>
        <v>4827</v>
      </c>
      <c r="CB5" s="107">
        <f t="shared" si="34"/>
        <v>4973</v>
      </c>
      <c r="CC5" s="107">
        <f t="shared" si="34"/>
        <v>4958</v>
      </c>
      <c r="CD5" s="107">
        <f t="shared" si="34"/>
        <v>4855</v>
      </c>
      <c r="CE5" s="107">
        <f t="shared" si="34"/>
        <v>5217</v>
      </c>
      <c r="CF5" s="107">
        <f t="shared" si="34"/>
        <v>4310</v>
      </c>
      <c r="CG5" s="107">
        <f t="shared" si="34"/>
        <v>4925</v>
      </c>
      <c r="CH5" s="107">
        <f t="shared" si="34"/>
        <v>5288</v>
      </c>
      <c r="CI5" s="107">
        <f t="shared" si="34"/>
        <v>4844</v>
      </c>
      <c r="CJ5" s="107">
        <f t="shared" ref="CJ5" si="35">SUM(CJ6:CJ9)</f>
        <v>2330</v>
      </c>
      <c r="CK5" s="107">
        <f t="shared" ref="CK5" si="36">SUM(CK6:CK9)</f>
        <v>2022</v>
      </c>
      <c r="CL5" s="107">
        <f>SUM(CL6:CL9)</f>
        <v>2434</v>
      </c>
      <c r="CM5" s="108">
        <f t="shared" ref="CM5:DB5" si="37">SUM(CM6:CM9)</f>
        <v>2339</v>
      </c>
      <c r="CN5" s="108">
        <f t="shared" si="37"/>
        <v>5353</v>
      </c>
      <c r="CO5" s="108">
        <f t="shared" si="37"/>
        <v>4976</v>
      </c>
      <c r="CP5" s="108">
        <f t="shared" si="37"/>
        <v>5159</v>
      </c>
      <c r="CQ5" s="108">
        <f t="shared" si="37"/>
        <v>5064</v>
      </c>
      <c r="CR5" s="108">
        <f t="shared" si="37"/>
        <v>5353</v>
      </c>
      <c r="CS5" s="108">
        <f t="shared" si="37"/>
        <v>4976</v>
      </c>
      <c r="CT5" s="108">
        <f t="shared" si="37"/>
        <v>5159</v>
      </c>
      <c r="CU5" s="108">
        <f t="shared" si="37"/>
        <v>5064</v>
      </c>
      <c r="CV5" s="108">
        <f t="shared" si="37"/>
        <v>5353</v>
      </c>
      <c r="CW5" s="108">
        <f t="shared" si="37"/>
        <v>4976</v>
      </c>
      <c r="CX5" s="108">
        <f t="shared" si="37"/>
        <v>5159</v>
      </c>
      <c r="CY5" s="108">
        <f t="shared" si="37"/>
        <v>5064</v>
      </c>
      <c r="CZ5" s="108">
        <f t="shared" si="37"/>
        <v>5353</v>
      </c>
      <c r="DA5" s="108">
        <f t="shared" si="37"/>
        <v>4976</v>
      </c>
      <c r="DB5" s="108">
        <f t="shared" si="37"/>
        <v>5159</v>
      </c>
      <c r="DE5" s="159"/>
    </row>
    <row r="6" spans="1:110" s="158" customFormat="1" x14ac:dyDescent="0.2">
      <c r="A6" s="186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>
        <f>SUM(BW6:BZ6)</f>
        <v>3029</v>
      </c>
      <c r="Y6" s="156">
        <f>SUM(CA6:CD6)</f>
        <v>3359</v>
      </c>
      <c r="Z6" s="156">
        <f>SUM(CE6:CH6)</f>
        <v>2955</v>
      </c>
      <c r="AA6" s="157">
        <f t="shared" ref="AA6:AA9" si="38">SUM(CI6:CL6)</f>
        <v>3095</v>
      </c>
      <c r="AB6" s="108">
        <f t="shared" ref="AB6:AB9" si="39">SUM(CM6:CP6)</f>
        <v>3095</v>
      </c>
      <c r="AC6" s="108">
        <f t="shared" ref="AC6:AC9" si="40">SUM(CQ6:CT6)</f>
        <v>3095</v>
      </c>
      <c r="AD6" s="108">
        <f t="shared" ref="AD6:AD9" si="41">SUM(CU6:CX6)</f>
        <v>3095</v>
      </c>
      <c r="AE6" s="108">
        <f t="shared" ref="AE6:AE9" si="42">SUM(CY6:DB6)</f>
        <v>3095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89">
        <v>754</v>
      </c>
      <c r="BX6" s="189">
        <v>810</v>
      </c>
      <c r="BY6" s="189">
        <v>809</v>
      </c>
      <c r="BZ6" s="189">
        <v>656</v>
      </c>
      <c r="CA6" s="189">
        <v>850</v>
      </c>
      <c r="CB6" s="189">
        <v>761</v>
      </c>
      <c r="CC6" s="189">
        <v>845</v>
      </c>
      <c r="CD6" s="189">
        <v>903</v>
      </c>
      <c r="CE6" s="189">
        <v>819</v>
      </c>
      <c r="CF6" s="189">
        <v>767</v>
      </c>
      <c r="CG6" s="189">
        <v>640</v>
      </c>
      <c r="CH6" s="189">
        <v>729</v>
      </c>
      <c r="CI6" s="189">
        <v>771</v>
      </c>
      <c r="CJ6" s="156">
        <v>829</v>
      </c>
      <c r="CK6" s="156">
        <v>695</v>
      </c>
      <c r="CL6" s="156">
        <v>800</v>
      </c>
      <c r="CM6" s="157">
        <f t="shared" ref="CM6:CM8" si="43">CI6</f>
        <v>771</v>
      </c>
      <c r="CN6" s="157">
        <f t="shared" ref="CN6:CN8" si="44">CJ6</f>
        <v>829</v>
      </c>
      <c r="CO6" s="157">
        <f t="shared" ref="CO6:CO8" si="45">CK6</f>
        <v>695</v>
      </c>
      <c r="CP6" s="157">
        <f t="shared" ref="CP6:CP8" si="46">CL6</f>
        <v>800</v>
      </c>
      <c r="CQ6" s="157">
        <f t="shared" ref="CQ6:CQ8" si="47">CM6</f>
        <v>771</v>
      </c>
      <c r="CR6" s="157">
        <f t="shared" ref="CR6:CR9" si="48">CN6</f>
        <v>829</v>
      </c>
      <c r="CS6" s="157">
        <f t="shared" ref="CS6:CS9" si="49">CO6</f>
        <v>695</v>
      </c>
      <c r="CT6" s="157">
        <f t="shared" ref="CT6:CT9" si="50">CP6</f>
        <v>800</v>
      </c>
      <c r="CU6" s="157">
        <f t="shared" ref="CU6:CU9" si="51">CQ6</f>
        <v>771</v>
      </c>
      <c r="CV6" s="157">
        <f t="shared" ref="CV6:CV9" si="52">CR6</f>
        <v>829</v>
      </c>
      <c r="CW6" s="157">
        <f t="shared" ref="CW6:CW9" si="53">CS6</f>
        <v>695</v>
      </c>
      <c r="CX6" s="157">
        <f t="shared" ref="CX6:CX9" si="54">CT6</f>
        <v>800</v>
      </c>
      <c r="CY6" s="157">
        <f t="shared" ref="CY6:CY9" si="55">CU6</f>
        <v>771</v>
      </c>
      <c r="CZ6" s="157">
        <f t="shared" ref="CZ6:CZ9" si="56">CV6</f>
        <v>829</v>
      </c>
      <c r="DA6" s="157">
        <f t="shared" ref="DA6:DA9" si="57">CW6</f>
        <v>695</v>
      </c>
      <c r="DB6" s="157">
        <f t="shared" ref="DB6:DB9" si="58">CX6</f>
        <v>800</v>
      </c>
      <c r="DE6" s="159"/>
    </row>
    <row r="7" spans="1:110" s="158" customFormat="1" x14ac:dyDescent="0.2">
      <c r="A7" s="186" t="s">
        <v>526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>
        <f t="shared" ref="X7:X9" si="59">SUM(BW7:BZ7)</f>
        <v>6884</v>
      </c>
      <c r="Y7" s="156">
        <f t="shared" ref="Y7:Y9" si="60">SUM(CA7:CD7)</f>
        <v>5880</v>
      </c>
      <c r="Z7" s="156">
        <f t="shared" ref="Z7:Z9" si="61">SUM(CE7:CH7)</f>
        <v>5262</v>
      </c>
      <c r="AA7" s="157">
        <f t="shared" si="38"/>
        <v>5124</v>
      </c>
      <c r="AB7" s="108">
        <f t="shared" si="39"/>
        <v>5124</v>
      </c>
      <c r="AC7" s="108">
        <f t="shared" si="40"/>
        <v>5124</v>
      </c>
      <c r="AD7" s="108">
        <f t="shared" si="41"/>
        <v>5124</v>
      </c>
      <c r="AE7" s="108">
        <f t="shared" si="42"/>
        <v>5124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89">
        <v>1978</v>
      </c>
      <c r="BX7" s="189">
        <v>1725</v>
      </c>
      <c r="BY7" s="189">
        <v>1671</v>
      </c>
      <c r="BZ7" s="189">
        <v>1510</v>
      </c>
      <c r="CA7" s="189">
        <v>1596</v>
      </c>
      <c r="CB7" s="189">
        <v>1422</v>
      </c>
      <c r="CC7" s="189">
        <v>1455</v>
      </c>
      <c r="CD7" s="189">
        <v>1407</v>
      </c>
      <c r="CE7" s="189">
        <v>1563</v>
      </c>
      <c r="CF7" s="189">
        <v>1402</v>
      </c>
      <c r="CG7" s="189">
        <v>927</v>
      </c>
      <c r="CH7" s="189">
        <v>1370</v>
      </c>
      <c r="CI7" s="189">
        <v>1266</v>
      </c>
      <c r="CJ7" s="156">
        <v>1291</v>
      </c>
      <c r="CK7" s="156">
        <v>1246</v>
      </c>
      <c r="CL7" s="156">
        <v>1321</v>
      </c>
      <c r="CM7" s="157">
        <f t="shared" si="43"/>
        <v>1266</v>
      </c>
      <c r="CN7" s="157">
        <f t="shared" si="44"/>
        <v>1291</v>
      </c>
      <c r="CO7" s="157">
        <f t="shared" si="45"/>
        <v>1246</v>
      </c>
      <c r="CP7" s="157">
        <f t="shared" si="46"/>
        <v>1321</v>
      </c>
      <c r="CQ7" s="157">
        <f t="shared" si="47"/>
        <v>1266</v>
      </c>
      <c r="CR7" s="157">
        <f t="shared" si="48"/>
        <v>1291</v>
      </c>
      <c r="CS7" s="157">
        <f t="shared" si="49"/>
        <v>1246</v>
      </c>
      <c r="CT7" s="157">
        <f t="shared" si="50"/>
        <v>1321</v>
      </c>
      <c r="CU7" s="157">
        <f t="shared" si="51"/>
        <v>1266</v>
      </c>
      <c r="CV7" s="157">
        <f t="shared" si="52"/>
        <v>1291</v>
      </c>
      <c r="CW7" s="157">
        <f t="shared" si="53"/>
        <v>1246</v>
      </c>
      <c r="CX7" s="157">
        <f t="shared" si="54"/>
        <v>1321</v>
      </c>
      <c r="CY7" s="157">
        <f t="shared" si="55"/>
        <v>1266</v>
      </c>
      <c r="CZ7" s="157">
        <f t="shared" si="56"/>
        <v>1291</v>
      </c>
      <c r="DA7" s="157">
        <f t="shared" si="57"/>
        <v>1246</v>
      </c>
      <c r="DB7" s="157">
        <f t="shared" si="58"/>
        <v>1321</v>
      </c>
      <c r="DE7" s="159"/>
    </row>
    <row r="8" spans="1:110" s="158" customFormat="1" x14ac:dyDescent="0.2">
      <c r="A8" s="186" t="s">
        <v>527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>
        <f t="shared" si="59"/>
        <v>130</v>
      </c>
      <c r="Y8" s="156">
        <f t="shared" si="60"/>
        <v>131</v>
      </c>
      <c r="Z8" s="156">
        <f t="shared" si="61"/>
        <v>126</v>
      </c>
      <c r="AA8" s="157">
        <f t="shared" si="38"/>
        <v>133</v>
      </c>
      <c r="AB8" s="108">
        <f t="shared" si="39"/>
        <v>133</v>
      </c>
      <c r="AC8" s="108">
        <f t="shared" si="40"/>
        <v>133</v>
      </c>
      <c r="AD8" s="108">
        <f t="shared" si="41"/>
        <v>133</v>
      </c>
      <c r="AE8" s="108">
        <f t="shared" si="42"/>
        <v>133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89">
        <v>32</v>
      </c>
      <c r="BX8" s="189">
        <v>30</v>
      </c>
      <c r="BY8" s="189">
        <v>34</v>
      </c>
      <c r="BZ8" s="189">
        <v>34</v>
      </c>
      <c r="CA8" s="189">
        <v>32</v>
      </c>
      <c r="CB8" s="189">
        <v>34</v>
      </c>
      <c r="CC8" s="189">
        <v>35</v>
      </c>
      <c r="CD8" s="189">
        <v>30</v>
      </c>
      <c r="CE8" s="189">
        <v>32</v>
      </c>
      <c r="CF8" s="189">
        <v>31</v>
      </c>
      <c r="CG8" s="189">
        <v>33</v>
      </c>
      <c r="CH8" s="189">
        <v>30</v>
      </c>
      <c r="CI8" s="189">
        <v>27</v>
      </c>
      <c r="CJ8" s="156">
        <v>33</v>
      </c>
      <c r="CK8" s="156">
        <v>35</v>
      </c>
      <c r="CL8" s="156">
        <v>38</v>
      </c>
      <c r="CM8" s="157">
        <f t="shared" si="43"/>
        <v>27</v>
      </c>
      <c r="CN8" s="157">
        <f t="shared" si="44"/>
        <v>33</v>
      </c>
      <c r="CO8" s="157">
        <f t="shared" si="45"/>
        <v>35</v>
      </c>
      <c r="CP8" s="157">
        <f t="shared" si="46"/>
        <v>38</v>
      </c>
      <c r="CQ8" s="157">
        <f t="shared" si="47"/>
        <v>27</v>
      </c>
      <c r="CR8" s="157">
        <f t="shared" si="48"/>
        <v>33</v>
      </c>
      <c r="CS8" s="157">
        <f t="shared" si="49"/>
        <v>35</v>
      </c>
      <c r="CT8" s="157">
        <f t="shared" si="50"/>
        <v>38</v>
      </c>
      <c r="CU8" s="157">
        <f t="shared" si="51"/>
        <v>27</v>
      </c>
      <c r="CV8" s="157">
        <f t="shared" si="52"/>
        <v>33</v>
      </c>
      <c r="CW8" s="157">
        <f t="shared" si="53"/>
        <v>35</v>
      </c>
      <c r="CX8" s="157">
        <f t="shared" si="54"/>
        <v>38</v>
      </c>
      <c r="CY8" s="157">
        <f t="shared" si="55"/>
        <v>27</v>
      </c>
      <c r="CZ8" s="157">
        <f t="shared" si="56"/>
        <v>33</v>
      </c>
      <c r="DA8" s="157">
        <f t="shared" si="57"/>
        <v>35</v>
      </c>
      <c r="DB8" s="157">
        <f t="shared" si="58"/>
        <v>38</v>
      </c>
      <c r="DE8" s="159"/>
    </row>
    <row r="9" spans="1:110" s="158" customFormat="1" x14ac:dyDescent="0.2">
      <c r="A9" s="186" t="s">
        <v>528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>
        <f t="shared" si="59"/>
        <v>8169</v>
      </c>
      <c r="Y9" s="156">
        <f t="shared" si="60"/>
        <v>10243</v>
      </c>
      <c r="Z9" s="156">
        <f t="shared" si="61"/>
        <v>11397</v>
      </c>
      <c r="AA9" s="157">
        <f t="shared" si="38"/>
        <v>3278</v>
      </c>
      <c r="AB9" s="108">
        <f t="shared" si="39"/>
        <v>9475</v>
      </c>
      <c r="AC9" s="108">
        <f t="shared" si="40"/>
        <v>12200</v>
      </c>
      <c r="AD9" s="108">
        <f t="shared" si="41"/>
        <v>12200</v>
      </c>
      <c r="AE9" s="108">
        <f t="shared" si="42"/>
        <v>12200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89">
        <v>2361</v>
      </c>
      <c r="BX9" s="189">
        <v>2269</v>
      </c>
      <c r="BY9" s="189">
        <v>2856</v>
      </c>
      <c r="BZ9" s="189">
        <v>683</v>
      </c>
      <c r="CA9" s="189">
        <v>2349</v>
      </c>
      <c r="CB9" s="189">
        <v>2756</v>
      </c>
      <c r="CC9" s="189">
        <v>2623</v>
      </c>
      <c r="CD9" s="189">
        <v>2515</v>
      </c>
      <c r="CE9" s="189">
        <v>2803</v>
      </c>
      <c r="CF9" s="189">
        <v>2110</v>
      </c>
      <c r="CG9" s="189">
        <v>3325</v>
      </c>
      <c r="CH9" s="189">
        <v>3159</v>
      </c>
      <c r="CI9" s="189">
        <v>2780</v>
      </c>
      <c r="CJ9" s="195">
        <v>177</v>
      </c>
      <c r="CK9" s="195">
        <v>46</v>
      </c>
      <c r="CL9" s="156">
        <v>275</v>
      </c>
      <c r="CM9" s="157">
        <f>CL9</f>
        <v>275</v>
      </c>
      <c r="CN9" s="157">
        <v>3200</v>
      </c>
      <c r="CO9" s="157">
        <v>3000</v>
      </c>
      <c r="CP9" s="157">
        <v>3000</v>
      </c>
      <c r="CQ9" s="157">
        <v>3000</v>
      </c>
      <c r="CR9" s="157">
        <f t="shared" si="48"/>
        <v>3200</v>
      </c>
      <c r="CS9" s="157">
        <f t="shared" si="49"/>
        <v>3000</v>
      </c>
      <c r="CT9" s="157">
        <f t="shared" si="50"/>
        <v>3000</v>
      </c>
      <c r="CU9" s="157">
        <f t="shared" si="51"/>
        <v>3000</v>
      </c>
      <c r="CV9" s="157">
        <f t="shared" si="52"/>
        <v>3200</v>
      </c>
      <c r="CW9" s="157">
        <f t="shared" si="53"/>
        <v>3000</v>
      </c>
      <c r="CX9" s="157">
        <f t="shared" si="54"/>
        <v>3000</v>
      </c>
      <c r="CY9" s="157">
        <f t="shared" si="55"/>
        <v>3000</v>
      </c>
      <c r="CZ9" s="157">
        <f t="shared" si="56"/>
        <v>3200</v>
      </c>
      <c r="DA9" s="157">
        <f t="shared" si="57"/>
        <v>3000</v>
      </c>
      <c r="DB9" s="157">
        <f t="shared" si="58"/>
        <v>3000</v>
      </c>
      <c r="DE9" s="159"/>
    </row>
    <row r="10" spans="1:110" s="158" customFormat="1" x14ac:dyDescent="0.2">
      <c r="A10" s="186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89"/>
      <c r="BX10" s="189"/>
      <c r="BY10" s="189"/>
      <c r="BZ10" s="189"/>
      <c r="CA10" s="189"/>
      <c r="CB10" s="189"/>
      <c r="CC10" s="189"/>
      <c r="CD10" s="189"/>
      <c r="CE10" s="189"/>
      <c r="CF10" s="189"/>
      <c r="CG10" s="189"/>
      <c r="CH10" s="189"/>
      <c r="CI10" s="189"/>
      <c r="CJ10" s="156"/>
      <c r="CK10" s="156"/>
      <c r="CL10" s="156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185" t="s">
        <v>529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07">
        <f>SUM(X12:X15)</f>
        <v>8197</v>
      </c>
      <c r="Y11" s="107">
        <f t="shared" ref="Y11:Z11" si="62">SUM(Y12:Y15)</f>
        <v>10176</v>
      </c>
      <c r="Z11" s="107">
        <f t="shared" si="62"/>
        <v>9883</v>
      </c>
      <c r="AA11" s="108">
        <f>SUM(AA12:AA15)</f>
        <v>15026</v>
      </c>
      <c r="AB11" s="108">
        <f t="shared" ref="AB11:AE11" si="63">SUM(AB12:AB15)</f>
        <v>17897.94253</v>
      </c>
      <c r="AC11" s="108">
        <f t="shared" si="63"/>
        <v>19842.699733793001</v>
      </c>
      <c r="AD11" s="108">
        <f t="shared" si="63"/>
        <v>22861.377289238721</v>
      </c>
      <c r="AE11" s="108">
        <f t="shared" si="63"/>
        <v>26290.926290647083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07">
        <f>SUM(BW12:BW15)</f>
        <v>2090</v>
      </c>
      <c r="BX11" s="107">
        <f t="shared" ref="BX11:CI11" si="64">SUM(BX12:BX15)</f>
        <v>1603</v>
      </c>
      <c r="BY11" s="107">
        <f t="shared" si="64"/>
        <v>1917</v>
      </c>
      <c r="BZ11" s="107">
        <f t="shared" si="64"/>
        <v>2587</v>
      </c>
      <c r="CA11" s="107">
        <f t="shared" si="64"/>
        <v>2089</v>
      </c>
      <c r="CB11" s="107">
        <f t="shared" si="64"/>
        <v>2146</v>
      </c>
      <c r="CC11" s="107">
        <f t="shared" si="64"/>
        <v>2484</v>
      </c>
      <c r="CD11" s="107">
        <f t="shared" si="64"/>
        <v>3457</v>
      </c>
      <c r="CE11" s="107">
        <f t="shared" si="64"/>
        <v>2383</v>
      </c>
      <c r="CF11" s="107">
        <f t="shared" si="64"/>
        <v>1920</v>
      </c>
      <c r="CG11" s="107">
        <f t="shared" si="64"/>
        <v>2123</v>
      </c>
      <c r="CH11" s="107">
        <f t="shared" si="64"/>
        <v>3457</v>
      </c>
      <c r="CI11" s="107">
        <f t="shared" si="64"/>
        <v>3625</v>
      </c>
      <c r="CJ11" s="107">
        <f t="shared" ref="CJ11" si="65">SUM(CJ12:CJ15)</f>
        <v>3613</v>
      </c>
      <c r="CK11" s="107">
        <f t="shared" ref="CK11" si="66">SUM(CK12:CK15)</f>
        <v>3784</v>
      </c>
      <c r="CL11" s="107">
        <f>SUM(CL12:CL15)</f>
        <v>4004</v>
      </c>
      <c r="CM11" s="108">
        <f t="shared" ref="CM11:DB11" si="67">SUM(CM12:CM15)</f>
        <v>4621.6100000000006</v>
      </c>
      <c r="CN11" s="108">
        <f t="shared" si="67"/>
        <v>4630.9070000000002</v>
      </c>
      <c r="CO11" s="108">
        <f t="shared" si="67"/>
        <v>4257.5079000000005</v>
      </c>
      <c r="CP11" s="108">
        <f t="shared" si="67"/>
        <v>4387.9176299999999</v>
      </c>
      <c r="CQ11" s="108">
        <f t="shared" si="67"/>
        <v>5134.4588110000013</v>
      </c>
      <c r="CR11" s="108">
        <f t="shared" si="67"/>
        <v>5128.0642567000014</v>
      </c>
      <c r="CS11" s="108">
        <f t="shared" si="67"/>
        <v>4718.7485229900012</v>
      </c>
      <c r="CT11" s="108">
        <f t="shared" si="67"/>
        <v>4861.4281431029995</v>
      </c>
      <c r="CU11" s="108">
        <f t="shared" si="67"/>
        <v>5960.0307720690998</v>
      </c>
      <c r="CV11" s="108">
        <f t="shared" si="67"/>
        <v>5880.6529533792709</v>
      </c>
      <c r="CW11" s="108">
        <f t="shared" si="67"/>
        <v>5431.5470839862201</v>
      </c>
      <c r="CX11" s="108">
        <f t="shared" si="67"/>
        <v>5589.1464798041343</v>
      </c>
      <c r="CY11" s="108">
        <f t="shared" si="67"/>
        <v>6854.4841533087592</v>
      </c>
      <c r="CZ11" s="108">
        <f t="shared" si="67"/>
        <v>6762.6162667573726</v>
      </c>
      <c r="DA11" s="108">
        <f t="shared" si="67"/>
        <v>6246.3195354727904</v>
      </c>
      <c r="DB11" s="108">
        <f t="shared" si="67"/>
        <v>6427.5063351081635</v>
      </c>
      <c r="DE11" s="159"/>
    </row>
    <row r="12" spans="1:110" s="158" customFormat="1" x14ac:dyDescent="0.2">
      <c r="A12" s="186" t="s">
        <v>530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>
        <f t="shared" ref="X12:X15" si="68">SUM(BW12:BZ12)</f>
        <v>3206</v>
      </c>
      <c r="Y12" s="156">
        <f t="shared" ref="Y12:Y15" si="69">SUM(CA12:CD12)</f>
        <v>3427</v>
      </c>
      <c r="Z12" s="156">
        <f t="shared" ref="Z12:Z15" si="70">SUM(CE12:CH12)</f>
        <v>3809</v>
      </c>
      <c r="AA12" s="157">
        <f t="shared" ref="AA12:AA15" si="71">SUM(CI12:CL12)</f>
        <v>4130</v>
      </c>
      <c r="AB12" s="157">
        <f t="shared" ref="AB12:AB15" si="72">SUM(CM12:CP12)</f>
        <v>4543.0000000000009</v>
      </c>
      <c r="AC12" s="157">
        <f t="shared" ref="AC12:AC15" si="73">SUM(CQ12:CT12)</f>
        <v>4997.3000000000011</v>
      </c>
      <c r="AD12" s="157">
        <f t="shared" ref="AD12:AD15" si="74">SUM(CU12:CX12)</f>
        <v>5746.8950000000004</v>
      </c>
      <c r="AE12" s="157">
        <f t="shared" ref="AE12:AE15" si="75">SUM(CY12:DB12)</f>
        <v>6608.9292500000001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89">
        <v>905</v>
      </c>
      <c r="BX12" s="189">
        <v>806</v>
      </c>
      <c r="BY12" s="189">
        <v>704</v>
      </c>
      <c r="BZ12" s="189">
        <v>791</v>
      </c>
      <c r="CA12" s="189">
        <v>933</v>
      </c>
      <c r="CB12" s="189">
        <v>910</v>
      </c>
      <c r="CC12" s="189">
        <v>737</v>
      </c>
      <c r="CD12" s="189">
        <v>847</v>
      </c>
      <c r="CE12" s="189">
        <v>1002</v>
      </c>
      <c r="CF12" s="189">
        <v>959</v>
      </c>
      <c r="CG12" s="189">
        <v>827</v>
      </c>
      <c r="CH12" s="189">
        <v>1021</v>
      </c>
      <c r="CI12" s="189">
        <v>1135</v>
      </c>
      <c r="CJ12" s="156">
        <v>991</v>
      </c>
      <c r="CK12" s="156">
        <v>978</v>
      </c>
      <c r="CL12" s="156">
        <v>1026</v>
      </c>
      <c r="CM12" s="157">
        <f t="shared" ref="CM12:DB12" si="76">CI12*(1+CM38)</f>
        <v>1248.5</v>
      </c>
      <c r="CN12" s="157">
        <f t="shared" si="76"/>
        <v>1090.1000000000001</v>
      </c>
      <c r="CO12" s="157">
        <f t="shared" si="76"/>
        <v>1075.8000000000002</v>
      </c>
      <c r="CP12" s="157">
        <f t="shared" si="76"/>
        <v>1128.6000000000001</v>
      </c>
      <c r="CQ12" s="157">
        <f t="shared" si="76"/>
        <v>1373.3500000000001</v>
      </c>
      <c r="CR12" s="157">
        <f t="shared" si="76"/>
        <v>1199.1100000000004</v>
      </c>
      <c r="CS12" s="157">
        <f t="shared" si="76"/>
        <v>1183.3800000000003</v>
      </c>
      <c r="CT12" s="157">
        <f t="shared" si="76"/>
        <v>1241.4600000000003</v>
      </c>
      <c r="CU12" s="157">
        <f t="shared" si="76"/>
        <v>1579.3525</v>
      </c>
      <c r="CV12" s="157">
        <f t="shared" si="76"/>
        <v>1378.9765000000002</v>
      </c>
      <c r="CW12" s="157">
        <f t="shared" si="76"/>
        <v>1360.8870000000002</v>
      </c>
      <c r="CX12" s="157">
        <f t="shared" si="76"/>
        <v>1427.6790000000001</v>
      </c>
      <c r="CY12" s="157">
        <f t="shared" si="76"/>
        <v>1816.2553749999997</v>
      </c>
      <c r="CZ12" s="157">
        <f t="shared" si="76"/>
        <v>1585.822975</v>
      </c>
      <c r="DA12" s="157">
        <f t="shared" si="76"/>
        <v>1565.0200500000001</v>
      </c>
      <c r="DB12" s="157">
        <f t="shared" si="76"/>
        <v>1641.8308500000001</v>
      </c>
      <c r="DE12" s="159"/>
    </row>
    <row r="13" spans="1:110" s="158" customFormat="1" x14ac:dyDescent="0.2">
      <c r="A13" s="186" t="s">
        <v>531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>
        <f t="shared" si="68"/>
        <v>6876</v>
      </c>
      <c r="Y13" s="156">
        <f t="shared" si="69"/>
        <v>11726</v>
      </c>
      <c r="Z13" s="156">
        <f t="shared" si="70"/>
        <v>10043</v>
      </c>
      <c r="AA13" s="157">
        <f t="shared" si="71"/>
        <v>9797</v>
      </c>
      <c r="AB13" s="157">
        <f t="shared" si="72"/>
        <v>10874.670000000002</v>
      </c>
      <c r="AC13" s="157">
        <f t="shared" si="73"/>
        <v>12070.883700000002</v>
      </c>
      <c r="AD13" s="157">
        <f t="shared" si="74"/>
        <v>13881.516255</v>
      </c>
      <c r="AE13" s="157">
        <f t="shared" si="75"/>
        <v>15963.743693250002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89">
        <v>1353</v>
      </c>
      <c r="BX13" s="189">
        <v>1135</v>
      </c>
      <c r="BY13" s="189">
        <v>1430</v>
      </c>
      <c r="BZ13" s="189">
        <v>2958</v>
      </c>
      <c r="CA13" s="189">
        <v>1492</v>
      </c>
      <c r="CB13" s="189">
        <v>1910</v>
      </c>
      <c r="CC13" s="189">
        <v>4037</v>
      </c>
      <c r="CD13" s="189">
        <v>4287</v>
      </c>
      <c r="CE13" s="189">
        <v>2171</v>
      </c>
      <c r="CF13" s="189">
        <v>3013</v>
      </c>
      <c r="CG13" s="189">
        <v>1749</v>
      </c>
      <c r="CH13" s="189">
        <v>3110</v>
      </c>
      <c r="CI13" s="189">
        <v>2508</v>
      </c>
      <c r="CJ13" s="156">
        <v>2667</v>
      </c>
      <c r="CK13" s="156">
        <v>2414</v>
      </c>
      <c r="CL13" s="156">
        <v>2208</v>
      </c>
      <c r="CM13" s="157">
        <f t="shared" ref="CM13:DB13" si="77">CI13*(1+CM39)</f>
        <v>2783.88</v>
      </c>
      <c r="CN13" s="157">
        <f t="shared" si="77"/>
        <v>2960.3700000000003</v>
      </c>
      <c r="CO13" s="157">
        <f t="shared" si="77"/>
        <v>2679.5400000000004</v>
      </c>
      <c r="CP13" s="157">
        <f t="shared" si="77"/>
        <v>2450.88</v>
      </c>
      <c r="CQ13" s="157">
        <f t="shared" si="77"/>
        <v>3090.1068000000005</v>
      </c>
      <c r="CR13" s="157">
        <f t="shared" si="77"/>
        <v>3286.0107000000007</v>
      </c>
      <c r="CS13" s="157">
        <f t="shared" si="77"/>
        <v>2974.2894000000006</v>
      </c>
      <c r="CT13" s="157">
        <f t="shared" si="77"/>
        <v>2720.4768000000004</v>
      </c>
      <c r="CU13" s="157">
        <f t="shared" si="77"/>
        <v>3553.62282</v>
      </c>
      <c r="CV13" s="157">
        <f t="shared" si="77"/>
        <v>3778.9123050000007</v>
      </c>
      <c r="CW13" s="157">
        <f t="shared" si="77"/>
        <v>3420.4328100000002</v>
      </c>
      <c r="CX13" s="157">
        <f t="shared" si="77"/>
        <v>3128.5483200000003</v>
      </c>
      <c r="CY13" s="157">
        <f t="shared" si="77"/>
        <v>4086.6662429999997</v>
      </c>
      <c r="CZ13" s="157">
        <f t="shared" si="77"/>
        <v>4345.7491507500008</v>
      </c>
      <c r="DA13" s="157">
        <f t="shared" si="77"/>
        <v>3933.4977315000001</v>
      </c>
      <c r="DB13" s="157">
        <f t="shared" si="77"/>
        <v>3597.8305680000003</v>
      </c>
      <c r="DE13" s="159"/>
    </row>
    <row r="14" spans="1:110" s="158" customFormat="1" x14ac:dyDescent="0.2">
      <c r="A14" s="186" t="s">
        <v>543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>
        <f t="shared" si="68"/>
        <v>0</v>
      </c>
      <c r="Y14" s="156">
        <f t="shared" si="69"/>
        <v>233</v>
      </c>
      <c r="Z14" s="156">
        <f t="shared" si="70"/>
        <v>5337</v>
      </c>
      <c r="AA14" s="157">
        <f t="shared" si="71"/>
        <v>6968</v>
      </c>
      <c r="AB14" s="157">
        <f t="shared" si="72"/>
        <v>7734.4800000000014</v>
      </c>
      <c r="AC14" s="157">
        <f t="shared" si="73"/>
        <v>8585.2728000000006</v>
      </c>
      <c r="AD14" s="157">
        <f t="shared" si="74"/>
        <v>9873.0637200000001</v>
      </c>
      <c r="AE14" s="157">
        <f t="shared" si="75"/>
        <v>11354.023277999999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89"/>
      <c r="BX14" s="189"/>
      <c r="BY14" s="189"/>
      <c r="BZ14" s="189"/>
      <c r="CA14" s="189">
        <v>0</v>
      </c>
      <c r="CB14" s="189">
        <v>0</v>
      </c>
      <c r="CC14" s="189">
        <v>0</v>
      </c>
      <c r="CD14" s="189">
        <v>233</v>
      </c>
      <c r="CE14" s="189">
        <v>1068</v>
      </c>
      <c r="CF14" s="189">
        <v>1410</v>
      </c>
      <c r="CG14" s="189">
        <v>1353</v>
      </c>
      <c r="CH14" s="189">
        <v>1506</v>
      </c>
      <c r="CI14" s="189">
        <v>1613</v>
      </c>
      <c r="CJ14" s="156">
        <v>1772</v>
      </c>
      <c r="CK14" s="156">
        <v>1704</v>
      </c>
      <c r="CL14" s="156">
        <v>1879</v>
      </c>
      <c r="CM14" s="157">
        <f t="shared" ref="CM14:DB14" si="78">CI14*(1+CM40)</f>
        <v>1790.43</v>
      </c>
      <c r="CN14" s="157">
        <f t="shared" si="78"/>
        <v>1966.92</v>
      </c>
      <c r="CO14" s="157">
        <f t="shared" si="78"/>
        <v>1891.44</v>
      </c>
      <c r="CP14" s="157">
        <f t="shared" si="78"/>
        <v>2085.69</v>
      </c>
      <c r="CQ14" s="157">
        <f t="shared" si="78"/>
        <v>1987.3773000000003</v>
      </c>
      <c r="CR14" s="157">
        <f t="shared" si="78"/>
        <v>2183.2812000000004</v>
      </c>
      <c r="CS14" s="157">
        <f t="shared" si="78"/>
        <v>2099.4984000000004</v>
      </c>
      <c r="CT14" s="157">
        <f t="shared" si="78"/>
        <v>2315.1159000000002</v>
      </c>
      <c r="CU14" s="157">
        <f t="shared" si="78"/>
        <v>2285.4838950000003</v>
      </c>
      <c r="CV14" s="157">
        <f t="shared" si="78"/>
        <v>2510.7733800000001</v>
      </c>
      <c r="CW14" s="157">
        <f t="shared" si="78"/>
        <v>2414.4231600000003</v>
      </c>
      <c r="CX14" s="157">
        <f t="shared" si="78"/>
        <v>2662.3832849999999</v>
      </c>
      <c r="CY14" s="157">
        <f t="shared" si="78"/>
        <v>2628.3064792499999</v>
      </c>
      <c r="CZ14" s="157">
        <f t="shared" si="78"/>
        <v>2887.3893869999997</v>
      </c>
      <c r="DA14" s="157">
        <f t="shared" si="78"/>
        <v>2776.5866340000002</v>
      </c>
      <c r="DB14" s="157">
        <f t="shared" si="78"/>
        <v>3061.7407777499998</v>
      </c>
      <c r="DE14" s="159"/>
    </row>
    <row r="15" spans="1:110" s="158" customFormat="1" x14ac:dyDescent="0.2">
      <c r="A15" s="187" t="s">
        <v>532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>
        <f t="shared" si="68"/>
        <v>-1885</v>
      </c>
      <c r="Y15" s="156">
        <f t="shared" si="69"/>
        <v>-5210</v>
      </c>
      <c r="Z15" s="156">
        <f t="shared" si="70"/>
        <v>-9306</v>
      </c>
      <c r="AA15" s="157">
        <f t="shared" si="71"/>
        <v>-5869</v>
      </c>
      <c r="AB15" s="157">
        <f t="shared" si="72"/>
        <v>-5254.2074700000003</v>
      </c>
      <c r="AC15" s="157">
        <f t="shared" si="73"/>
        <v>-5810.7567662070014</v>
      </c>
      <c r="AD15" s="157">
        <f t="shared" si="74"/>
        <v>-6640.0976857612768</v>
      </c>
      <c r="AE15" s="157">
        <f t="shared" si="75"/>
        <v>-7635.7699306029162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89">
        <v>-168</v>
      </c>
      <c r="BX15" s="189">
        <v>-338</v>
      </c>
      <c r="BY15" s="189">
        <v>-217</v>
      </c>
      <c r="BZ15" s="189">
        <v>-1162</v>
      </c>
      <c r="CA15" s="189">
        <v>-336</v>
      </c>
      <c r="CB15" s="189">
        <v>-674</v>
      </c>
      <c r="CC15" s="189">
        <v>-2290</v>
      </c>
      <c r="CD15" s="189">
        <v>-1910</v>
      </c>
      <c r="CE15" s="189">
        <v>-1858</v>
      </c>
      <c r="CF15" s="189">
        <v>-3462</v>
      </c>
      <c r="CG15" s="189">
        <v>-1806</v>
      </c>
      <c r="CH15" s="189">
        <v>-2180</v>
      </c>
      <c r="CI15" s="189">
        <v>-1631</v>
      </c>
      <c r="CJ15" s="156">
        <v>-1817</v>
      </c>
      <c r="CK15" s="156">
        <v>-1312</v>
      </c>
      <c r="CL15" s="156">
        <v>-1109</v>
      </c>
      <c r="CM15" s="157">
        <f t="shared" ref="CM15:DB15" si="79">CL11*-30%</f>
        <v>-1201.2</v>
      </c>
      <c r="CN15" s="157">
        <f t="shared" si="79"/>
        <v>-1386.4830000000002</v>
      </c>
      <c r="CO15" s="157">
        <f t="shared" si="79"/>
        <v>-1389.2720999999999</v>
      </c>
      <c r="CP15" s="157">
        <f t="shared" si="79"/>
        <v>-1277.2523700000002</v>
      </c>
      <c r="CQ15" s="157">
        <f t="shared" si="79"/>
        <v>-1316.3752889999998</v>
      </c>
      <c r="CR15" s="157">
        <f t="shared" si="79"/>
        <v>-1540.3376433000003</v>
      </c>
      <c r="CS15" s="157">
        <f t="shared" si="79"/>
        <v>-1538.4192770100003</v>
      </c>
      <c r="CT15" s="157">
        <f t="shared" si="79"/>
        <v>-1415.6245568970003</v>
      </c>
      <c r="CU15" s="157">
        <f t="shared" si="79"/>
        <v>-1458.4284429308998</v>
      </c>
      <c r="CV15" s="157">
        <f t="shared" si="79"/>
        <v>-1788.0092316207299</v>
      </c>
      <c r="CW15" s="157">
        <f t="shared" si="79"/>
        <v>-1764.1958860137813</v>
      </c>
      <c r="CX15" s="157">
        <f t="shared" si="79"/>
        <v>-1629.464125195866</v>
      </c>
      <c r="CY15" s="157">
        <f t="shared" si="79"/>
        <v>-1676.7439439412403</v>
      </c>
      <c r="CZ15" s="157">
        <f t="shared" si="79"/>
        <v>-2056.3452459926275</v>
      </c>
      <c r="DA15" s="157">
        <f t="shared" si="79"/>
        <v>-2028.7848800272118</v>
      </c>
      <c r="DB15" s="157">
        <f t="shared" si="79"/>
        <v>-1873.8958606418371</v>
      </c>
      <c r="DE15" s="159"/>
    </row>
    <row r="16" spans="1:110" s="158" customFormat="1" x14ac:dyDescent="0.2">
      <c r="A16" s="187"/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7"/>
      <c r="AB16" s="157"/>
      <c r="AC16" s="157"/>
      <c r="AD16" s="157"/>
      <c r="AE16" s="157"/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89"/>
      <c r="BX16" s="189"/>
      <c r="BY16" s="189"/>
      <c r="BZ16" s="189"/>
      <c r="CA16" s="189"/>
      <c r="CB16" s="189"/>
      <c r="CC16" s="189"/>
      <c r="CD16" s="189"/>
      <c r="CE16" s="189"/>
      <c r="CF16" s="189"/>
      <c r="CG16" s="189"/>
      <c r="CH16" s="189"/>
      <c r="CI16" s="189"/>
      <c r="CJ16" s="156"/>
      <c r="CK16" s="156"/>
      <c r="CL16" s="156"/>
      <c r="CM16" s="157"/>
      <c r="CN16" s="157"/>
      <c r="CO16" s="157"/>
      <c r="CP16" s="157"/>
      <c r="CQ16" s="157"/>
      <c r="CR16" s="157"/>
      <c r="CS16" s="157"/>
      <c r="CT16" s="157"/>
      <c r="CU16" s="157"/>
      <c r="CV16" s="157"/>
      <c r="CW16" s="157"/>
      <c r="CX16" s="157"/>
      <c r="CY16" s="157"/>
      <c r="CZ16" s="157"/>
      <c r="DA16" s="157"/>
      <c r="DB16" s="157"/>
      <c r="DE16" s="159"/>
    </row>
    <row r="17" spans="1:109" s="158" customFormat="1" x14ac:dyDescent="0.2">
      <c r="A17" s="185" t="s">
        <v>533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07">
        <f>SUM(X18:X19)</f>
        <v>34533</v>
      </c>
      <c r="Y17" s="107">
        <f t="shared" ref="Y17:Z17" si="80">SUM(Y18:Y19)</f>
        <v>36206</v>
      </c>
      <c r="Z17" s="107">
        <f t="shared" si="80"/>
        <v>39122</v>
      </c>
      <c r="AA17" s="108">
        <f>SUM(AA18:AA19)</f>
        <v>40890</v>
      </c>
      <c r="AB17" s="108">
        <f t="shared" ref="AB17:AE17" si="81">SUM(AB18:AB19)</f>
        <v>42617.810000000005</v>
      </c>
      <c r="AC17" s="108">
        <f t="shared" si="81"/>
        <v>44486.496899999998</v>
      </c>
      <c r="AD17" s="108">
        <f t="shared" si="81"/>
        <v>46669.139201000013</v>
      </c>
      <c r="AE17" s="108">
        <f t="shared" si="81"/>
        <v>49050.703897770007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07">
        <f>SUM(BW18:BW19)</f>
        <v>8961</v>
      </c>
      <c r="BX17" s="107">
        <f t="shared" ref="BX17:CI17" si="82">SUM(BX18:BX19)</f>
        <v>9020</v>
      </c>
      <c r="BY17" s="107">
        <f t="shared" si="82"/>
        <v>8256</v>
      </c>
      <c r="BZ17" s="107">
        <f t="shared" si="82"/>
        <v>8296</v>
      </c>
      <c r="CA17" s="107">
        <f t="shared" si="82"/>
        <v>9277</v>
      </c>
      <c r="CB17" s="107">
        <f t="shared" si="82"/>
        <v>9453</v>
      </c>
      <c r="CC17" s="107">
        <f t="shared" si="82"/>
        <v>8451</v>
      </c>
      <c r="CD17" s="107">
        <f t="shared" si="82"/>
        <v>9025</v>
      </c>
      <c r="CE17" s="107">
        <f t="shared" si="82"/>
        <v>10472</v>
      </c>
      <c r="CF17" s="107">
        <f t="shared" si="82"/>
        <v>10206</v>
      </c>
      <c r="CG17" s="107">
        <f t="shared" si="82"/>
        <v>8853</v>
      </c>
      <c r="CH17" s="107">
        <f t="shared" si="82"/>
        <v>9591</v>
      </c>
      <c r="CI17" s="107">
        <f t="shared" si="82"/>
        <v>10078</v>
      </c>
      <c r="CJ17" s="107">
        <f t="shared" ref="CJ17" si="83">SUM(CJ18:CJ19)</f>
        <v>10936</v>
      </c>
      <c r="CK17" s="107">
        <f t="shared" ref="CK17" si="84">SUM(CK18:CK19)</f>
        <v>9626</v>
      </c>
      <c r="CL17" s="107">
        <f>SUM(CL18:CL19)</f>
        <v>10250</v>
      </c>
      <c r="CM17" s="108">
        <f t="shared" ref="CM17:DB17" si="85">SUM(CM18:CM19)</f>
        <v>10483.580000000002</v>
      </c>
      <c r="CN17" s="108">
        <f t="shared" si="85"/>
        <v>11413.800000000003</v>
      </c>
      <c r="CO17" s="108">
        <f t="shared" si="85"/>
        <v>10026.31</v>
      </c>
      <c r="CP17" s="108">
        <f t="shared" si="85"/>
        <v>10694.12</v>
      </c>
      <c r="CQ17" s="108">
        <f t="shared" si="85"/>
        <v>10921.602800000001</v>
      </c>
      <c r="CR17" s="108">
        <f t="shared" si="85"/>
        <v>11931.2088</v>
      </c>
      <c r="CS17" s="108">
        <f t="shared" si="85"/>
        <v>10459.061100000001</v>
      </c>
      <c r="CT17" s="108">
        <f t="shared" si="85"/>
        <v>11174.624200000002</v>
      </c>
      <c r="CU17" s="108">
        <f t="shared" si="85"/>
        <v>11436.306854</v>
      </c>
      <c r="CV17" s="108">
        <f t="shared" si="85"/>
        <v>12531.472110000002</v>
      </c>
      <c r="CW17" s="108">
        <f t="shared" si="85"/>
        <v>10965.462403</v>
      </c>
      <c r="CX17" s="108">
        <f t="shared" si="85"/>
        <v>11735.897834000001</v>
      </c>
      <c r="CY17" s="108">
        <f t="shared" si="85"/>
        <v>11997.609942920002</v>
      </c>
      <c r="CZ17" s="108">
        <f t="shared" si="85"/>
        <v>13186.691095560001</v>
      </c>
      <c r="DA17" s="108">
        <f t="shared" si="85"/>
        <v>11517.914958990003</v>
      </c>
      <c r="DB17" s="108">
        <f t="shared" si="85"/>
        <v>12348.487900300001</v>
      </c>
      <c r="DE17" s="159"/>
    </row>
    <row r="18" spans="1:109" s="109" customFormat="1" x14ac:dyDescent="0.2">
      <c r="A18" s="185" t="s">
        <v>534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>
        <f t="shared" ref="X18" si="86">SUM(BW18:BZ18)</f>
        <v>1111</v>
      </c>
      <c r="Y18" s="107">
        <f t="shared" ref="Y18" si="87">SUM(CA18:CD18)</f>
        <v>1261</v>
      </c>
      <c r="Z18" s="107">
        <f t="shared" ref="Z18" si="88">SUM(CE18:CH18)</f>
        <v>1413</v>
      </c>
      <c r="AA18" s="108">
        <f t="shared" ref="AA18:AA26" si="89">SUM(CI18:CL18)</f>
        <v>1354</v>
      </c>
      <c r="AB18" s="108">
        <f>SUM(CM18:CP18)</f>
        <v>1394.6200000000001</v>
      </c>
      <c r="AC18" s="108">
        <f>SUM(CQ18:CT18)</f>
        <v>1436.4585999999999</v>
      </c>
      <c r="AD18" s="108">
        <f>SUM(CU18:CX18)</f>
        <v>1479.5523579999999</v>
      </c>
      <c r="AE18" s="108">
        <f>SUM(CY18:DB18)</f>
        <v>1523.9389287399999</v>
      </c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7"/>
      <c r="BK18" s="107"/>
      <c r="BL18" s="107"/>
      <c r="BM18" s="107"/>
      <c r="BN18" s="107"/>
      <c r="BO18" s="107"/>
      <c r="BP18" s="107"/>
      <c r="BQ18" s="107"/>
      <c r="BR18" s="107"/>
      <c r="BS18" s="107"/>
      <c r="BT18" s="107"/>
      <c r="BU18" s="107"/>
      <c r="BV18" s="107"/>
      <c r="BW18" s="190">
        <v>249</v>
      </c>
      <c r="BX18" s="190">
        <v>249</v>
      </c>
      <c r="BY18" s="190">
        <v>254</v>
      </c>
      <c r="BZ18" s="190">
        <v>359</v>
      </c>
      <c r="CA18" s="190">
        <v>298</v>
      </c>
      <c r="CB18" s="190">
        <v>288</v>
      </c>
      <c r="CC18" s="190">
        <v>296</v>
      </c>
      <c r="CD18" s="190">
        <v>379</v>
      </c>
      <c r="CE18" s="190">
        <v>329</v>
      </c>
      <c r="CF18" s="190">
        <v>336</v>
      </c>
      <c r="CG18" s="190">
        <v>329</v>
      </c>
      <c r="CH18" s="190">
        <v>419</v>
      </c>
      <c r="CI18" s="190">
        <v>317</v>
      </c>
      <c r="CJ18" s="107">
        <v>309</v>
      </c>
      <c r="CK18" s="107">
        <v>314</v>
      </c>
      <c r="CL18" s="107">
        <v>414</v>
      </c>
      <c r="CM18" s="108">
        <f t="shared" ref="CM18:DB18" si="90">CI18*(1+CM43)</f>
        <v>326.51</v>
      </c>
      <c r="CN18" s="108">
        <f t="shared" si="90"/>
        <v>318.27</v>
      </c>
      <c r="CO18" s="108">
        <f t="shared" si="90"/>
        <v>323.42</v>
      </c>
      <c r="CP18" s="108">
        <f t="shared" si="90"/>
        <v>426.42</v>
      </c>
      <c r="CQ18" s="108">
        <f t="shared" si="90"/>
        <v>336.30529999999999</v>
      </c>
      <c r="CR18" s="108">
        <f t="shared" si="90"/>
        <v>327.81810000000002</v>
      </c>
      <c r="CS18" s="108">
        <f t="shared" si="90"/>
        <v>333.12260000000003</v>
      </c>
      <c r="CT18" s="108">
        <f t="shared" si="90"/>
        <v>439.21260000000001</v>
      </c>
      <c r="CU18" s="108">
        <f t="shared" si="90"/>
        <v>346.39445899999998</v>
      </c>
      <c r="CV18" s="108">
        <f t="shared" si="90"/>
        <v>337.65264300000001</v>
      </c>
      <c r="CW18" s="108">
        <f t="shared" si="90"/>
        <v>343.11627800000002</v>
      </c>
      <c r="CX18" s="108">
        <f t="shared" si="90"/>
        <v>452.38897800000001</v>
      </c>
      <c r="CY18" s="108">
        <f t="shared" si="90"/>
        <v>356.78629276999999</v>
      </c>
      <c r="CZ18" s="108">
        <f t="shared" si="90"/>
        <v>347.78222228999999</v>
      </c>
      <c r="DA18" s="108">
        <f t="shared" si="90"/>
        <v>353.40976634000003</v>
      </c>
      <c r="DB18" s="108">
        <f t="shared" si="90"/>
        <v>465.96064734000004</v>
      </c>
      <c r="DE18" s="117"/>
    </row>
    <row r="19" spans="1:109" s="158" customFormat="1" x14ac:dyDescent="0.2">
      <c r="A19" s="185" t="s">
        <v>535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07">
        <f>SUM(X20:X23)</f>
        <v>33422</v>
      </c>
      <c r="Y19" s="107">
        <f t="shared" ref="Y19:AE19" si="91">SUM(Y20:Y23)</f>
        <v>34945</v>
      </c>
      <c r="Z19" s="107">
        <f t="shared" si="91"/>
        <v>37709</v>
      </c>
      <c r="AA19" s="108">
        <f t="shared" si="91"/>
        <v>39536</v>
      </c>
      <c r="AB19" s="108">
        <f t="shared" si="91"/>
        <v>41223.19</v>
      </c>
      <c r="AC19" s="108">
        <f t="shared" si="91"/>
        <v>43050.0383</v>
      </c>
      <c r="AD19" s="108">
        <f t="shared" si="91"/>
        <v>45189.586843000012</v>
      </c>
      <c r="AE19" s="108">
        <f t="shared" si="91"/>
        <v>47526.76496903001</v>
      </c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07">
        <f>SUM(BW20:BW23)</f>
        <v>8712</v>
      </c>
      <c r="BX19" s="107">
        <f t="shared" ref="BX19:CI19" si="92">SUM(BX20:BX23)</f>
        <v>8771</v>
      </c>
      <c r="BY19" s="107">
        <f t="shared" si="92"/>
        <v>8002</v>
      </c>
      <c r="BZ19" s="107">
        <f t="shared" si="92"/>
        <v>7937</v>
      </c>
      <c r="CA19" s="107">
        <f t="shared" si="92"/>
        <v>8979</v>
      </c>
      <c r="CB19" s="107">
        <f t="shared" si="92"/>
        <v>9165</v>
      </c>
      <c r="CC19" s="107">
        <f t="shared" si="92"/>
        <v>8155</v>
      </c>
      <c r="CD19" s="107">
        <f t="shared" si="92"/>
        <v>8646</v>
      </c>
      <c r="CE19" s="107">
        <f t="shared" si="92"/>
        <v>10143</v>
      </c>
      <c r="CF19" s="107">
        <f t="shared" si="92"/>
        <v>9870</v>
      </c>
      <c r="CG19" s="107">
        <f t="shared" si="92"/>
        <v>8524</v>
      </c>
      <c r="CH19" s="107">
        <f t="shared" si="92"/>
        <v>9172</v>
      </c>
      <c r="CI19" s="107">
        <f t="shared" si="92"/>
        <v>9761</v>
      </c>
      <c r="CJ19" s="107">
        <f t="shared" ref="CJ19" si="93">SUM(CJ20:CJ23)</f>
        <v>10627</v>
      </c>
      <c r="CK19" s="107">
        <f t="shared" ref="CK19" si="94">SUM(CK20:CK23)</f>
        <v>9312</v>
      </c>
      <c r="CL19" s="107">
        <f>SUM(CL20:CL23)</f>
        <v>9836</v>
      </c>
      <c r="CM19" s="108">
        <f t="shared" ref="CM19:DB19" si="95">SUM(CM20:CM23)</f>
        <v>10157.070000000002</v>
      </c>
      <c r="CN19" s="108">
        <f t="shared" si="95"/>
        <v>11095.530000000002</v>
      </c>
      <c r="CO19" s="108">
        <f t="shared" si="95"/>
        <v>9702.89</v>
      </c>
      <c r="CP19" s="108">
        <f t="shared" si="95"/>
        <v>10267.700000000001</v>
      </c>
      <c r="CQ19" s="108">
        <f t="shared" si="95"/>
        <v>10585.297500000001</v>
      </c>
      <c r="CR19" s="108">
        <f t="shared" si="95"/>
        <v>11603.3907</v>
      </c>
      <c r="CS19" s="108">
        <f t="shared" si="95"/>
        <v>10125.9385</v>
      </c>
      <c r="CT19" s="108">
        <f t="shared" si="95"/>
        <v>10735.411600000001</v>
      </c>
      <c r="CU19" s="108">
        <f t="shared" si="95"/>
        <v>11089.912395000001</v>
      </c>
      <c r="CV19" s="108">
        <f t="shared" si="95"/>
        <v>12193.819467000003</v>
      </c>
      <c r="CW19" s="108">
        <f t="shared" si="95"/>
        <v>10622.346125</v>
      </c>
      <c r="CX19" s="108">
        <f t="shared" si="95"/>
        <v>11283.508856</v>
      </c>
      <c r="CY19" s="108">
        <f t="shared" si="95"/>
        <v>11640.823650150001</v>
      </c>
      <c r="CZ19" s="108">
        <f t="shared" si="95"/>
        <v>12838.908873270002</v>
      </c>
      <c r="DA19" s="108">
        <f t="shared" si="95"/>
        <v>11164.505192650002</v>
      </c>
      <c r="DB19" s="108">
        <f t="shared" si="95"/>
        <v>11882.527252960001</v>
      </c>
      <c r="DE19" s="159"/>
    </row>
    <row r="20" spans="1:109" s="158" customFormat="1" x14ac:dyDescent="0.2">
      <c r="A20" s="186" t="s">
        <v>536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>
        <f t="shared" ref="X20:X23" si="96">SUM(BW20:BZ20)</f>
        <v>4972</v>
      </c>
      <c r="Y20" s="156">
        <f t="shared" ref="Y20:Y23" si="97">SUM(CA20:CD20)</f>
        <v>4388</v>
      </c>
      <c r="Z20" s="156">
        <f t="shared" ref="Z20:Z23" si="98">SUM(CE20:CH20)</f>
        <v>4418</v>
      </c>
      <c r="AA20" s="157">
        <f t="shared" si="89"/>
        <v>4569</v>
      </c>
      <c r="AB20" s="157">
        <f t="shared" ref="AB20:AB23" si="99">SUM(CM20:CP20)</f>
        <v>4934.5200000000004</v>
      </c>
      <c r="AC20" s="157">
        <f t="shared" ref="AC20:AC23" si="100">SUM(CQ20:CT20)</f>
        <v>5329.2816000000012</v>
      </c>
      <c r="AD20" s="157">
        <f t="shared" ref="AD20:AD23" si="101">SUM(CU20:CX20)</f>
        <v>5915.5025760000026</v>
      </c>
      <c r="AE20" s="157">
        <f t="shared" ref="AE20:AE23" si="102">SUM(CY20:DB20)</f>
        <v>6566.2078593600027</v>
      </c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89">
        <v>1444</v>
      </c>
      <c r="BX20" s="189">
        <v>1227</v>
      </c>
      <c r="BY20" s="189">
        <v>1206</v>
      </c>
      <c r="BZ20" s="189">
        <v>1095</v>
      </c>
      <c r="CA20" s="189">
        <v>1183</v>
      </c>
      <c r="CB20" s="189">
        <v>1057</v>
      </c>
      <c r="CC20" s="189">
        <v>1089</v>
      </c>
      <c r="CD20" s="189">
        <v>1059</v>
      </c>
      <c r="CE20" s="189">
        <v>1240</v>
      </c>
      <c r="CF20" s="189">
        <v>1146</v>
      </c>
      <c r="CG20" s="189">
        <v>972</v>
      </c>
      <c r="CH20" s="189">
        <v>1060</v>
      </c>
      <c r="CI20" s="189">
        <v>1178</v>
      </c>
      <c r="CJ20" s="156">
        <v>1129</v>
      </c>
      <c r="CK20" s="156">
        <v>1091</v>
      </c>
      <c r="CL20" s="156">
        <v>1171</v>
      </c>
      <c r="CM20" s="157">
        <f t="shared" ref="CM20:CM23" si="103">CI20*(1+CM45)</f>
        <v>1272.24</v>
      </c>
      <c r="CN20" s="157">
        <f t="shared" ref="CN20:CN23" si="104">CJ20*(1+CN45)</f>
        <v>1219.3200000000002</v>
      </c>
      <c r="CO20" s="157">
        <f t="shared" ref="CO20:CO23" si="105">CK20*(1+CO45)</f>
        <v>1178.28</v>
      </c>
      <c r="CP20" s="157">
        <f t="shared" ref="CP20:CP23" si="106">CL20*(1+CP45)</f>
        <v>1264.68</v>
      </c>
      <c r="CQ20" s="157">
        <f t="shared" ref="CQ20:CQ23" si="107">CM20*(1+CQ45)</f>
        <v>1374.0192000000002</v>
      </c>
      <c r="CR20" s="157">
        <f t="shared" ref="CR20:CR23" si="108">CN20*(1+CR45)</f>
        <v>1316.8656000000003</v>
      </c>
      <c r="CS20" s="157">
        <f t="shared" ref="CS20:CS23" si="109">CO20*(1+CS45)</f>
        <v>1272.5424</v>
      </c>
      <c r="CT20" s="157">
        <f t="shared" ref="CT20:CT23" si="110">CP20*(1+CT45)</f>
        <v>1365.8544000000002</v>
      </c>
      <c r="CU20" s="157">
        <f t="shared" ref="CU20:CU23" si="111">CQ20*(1+CU45)</f>
        <v>1525.1613120000004</v>
      </c>
      <c r="CV20" s="157">
        <f t="shared" ref="CV20:CV23" si="112">CR20*(1+CV45)</f>
        <v>1461.7208160000005</v>
      </c>
      <c r="CW20" s="157">
        <f t="shared" ref="CW20:CW23" si="113">CS20*(1+CW45)</f>
        <v>1412.5220640000002</v>
      </c>
      <c r="CX20" s="157">
        <f t="shared" ref="CX20:CX23" si="114">CT20*(1+CX45)</f>
        <v>1516.0983840000004</v>
      </c>
      <c r="CY20" s="157">
        <f t="shared" ref="CY20:CY23" si="115">CU20*(1+CY45)</f>
        <v>1692.9290563200007</v>
      </c>
      <c r="CZ20" s="157">
        <f t="shared" ref="CZ20:CZ23" si="116">CV20*(1+CZ45)</f>
        <v>1622.5101057600007</v>
      </c>
      <c r="DA20" s="157">
        <f t="shared" ref="DA20:DA23" si="117">CW20*(1+DA45)</f>
        <v>1567.8994910400004</v>
      </c>
      <c r="DB20" s="157">
        <f t="shared" ref="DB20:DB23" si="118">CX20*(1+DB45)</f>
        <v>1682.8692062400005</v>
      </c>
      <c r="DE20" s="159"/>
    </row>
    <row r="21" spans="1:109" s="158" customFormat="1" x14ac:dyDescent="0.2">
      <c r="A21" s="186" t="s">
        <v>537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>
        <f t="shared" si="96"/>
        <v>16460</v>
      </c>
      <c r="Y21" s="156">
        <f t="shared" si="97"/>
        <v>18435</v>
      </c>
      <c r="Z21" s="156">
        <f t="shared" si="98"/>
        <v>19692</v>
      </c>
      <c r="AA21" s="157">
        <f t="shared" si="89"/>
        <v>19998</v>
      </c>
      <c r="AB21" s="157">
        <f t="shared" si="99"/>
        <v>20197.980000000003</v>
      </c>
      <c r="AC21" s="157">
        <f t="shared" si="100"/>
        <v>20399.959799999997</v>
      </c>
      <c r="AD21" s="157">
        <f t="shared" si="101"/>
        <v>20603.959397999999</v>
      </c>
      <c r="AE21" s="157">
        <f t="shared" si="102"/>
        <v>20809.998991979999</v>
      </c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89">
        <v>3961</v>
      </c>
      <c r="BX21" s="189">
        <v>4226</v>
      </c>
      <c r="BY21" s="189">
        <v>4096</v>
      </c>
      <c r="BZ21" s="189">
        <v>4177</v>
      </c>
      <c r="CA21" s="189">
        <v>4622</v>
      </c>
      <c r="CB21" s="189">
        <v>4678</v>
      </c>
      <c r="CC21" s="189">
        <v>4396</v>
      </c>
      <c r="CD21" s="189">
        <v>4739</v>
      </c>
      <c r="CE21" s="189">
        <v>5156</v>
      </c>
      <c r="CF21" s="189">
        <v>4815</v>
      </c>
      <c r="CG21" s="189">
        <v>4589</v>
      </c>
      <c r="CH21" s="189">
        <v>5132</v>
      </c>
      <c r="CI21" s="189">
        <v>5164</v>
      </c>
      <c r="CJ21" s="156">
        <v>5198</v>
      </c>
      <c r="CK21" s="156">
        <v>4621</v>
      </c>
      <c r="CL21" s="156">
        <v>5015</v>
      </c>
      <c r="CM21" s="157">
        <f t="shared" si="103"/>
        <v>5215.6400000000003</v>
      </c>
      <c r="CN21" s="157">
        <f t="shared" si="104"/>
        <v>5249.9800000000005</v>
      </c>
      <c r="CO21" s="157">
        <f t="shared" si="105"/>
        <v>4667.21</v>
      </c>
      <c r="CP21" s="157">
        <f t="shared" si="106"/>
        <v>5065.1499999999996</v>
      </c>
      <c r="CQ21" s="157">
        <f t="shared" si="107"/>
        <v>5267.7964000000002</v>
      </c>
      <c r="CR21" s="157">
        <f t="shared" si="108"/>
        <v>5302.479800000001</v>
      </c>
      <c r="CS21" s="157">
        <f t="shared" si="109"/>
        <v>4713.8820999999998</v>
      </c>
      <c r="CT21" s="157">
        <f t="shared" si="110"/>
        <v>5115.8014999999996</v>
      </c>
      <c r="CU21" s="157">
        <f t="shared" si="111"/>
        <v>5320.4743640000006</v>
      </c>
      <c r="CV21" s="157">
        <f t="shared" si="112"/>
        <v>5355.5045980000014</v>
      </c>
      <c r="CW21" s="157">
        <f t="shared" si="113"/>
        <v>4761.0209210000003</v>
      </c>
      <c r="CX21" s="157">
        <f t="shared" si="114"/>
        <v>5166.9595149999996</v>
      </c>
      <c r="CY21" s="157">
        <f t="shared" si="115"/>
        <v>5373.6791076400004</v>
      </c>
      <c r="CZ21" s="157">
        <f t="shared" si="116"/>
        <v>5409.0596439800011</v>
      </c>
      <c r="DA21" s="157">
        <f t="shared" si="117"/>
        <v>4808.6311302100003</v>
      </c>
      <c r="DB21" s="157">
        <f t="shared" si="118"/>
        <v>5218.6291101499992</v>
      </c>
      <c r="DE21" s="159"/>
    </row>
    <row r="22" spans="1:109" s="158" customFormat="1" x14ac:dyDescent="0.2">
      <c r="A22" s="186" t="s">
        <v>538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>
        <f t="shared" si="96"/>
        <v>10381</v>
      </c>
      <c r="Y22" s="156">
        <f t="shared" si="97"/>
        <v>10027</v>
      </c>
      <c r="Z22" s="156">
        <f t="shared" si="98"/>
        <v>10303</v>
      </c>
      <c r="AA22" s="157">
        <f t="shared" si="89"/>
        <v>10800</v>
      </c>
      <c r="AB22" s="157">
        <f t="shared" si="99"/>
        <v>11880</v>
      </c>
      <c r="AC22" s="157">
        <f t="shared" si="100"/>
        <v>13068.000000000002</v>
      </c>
      <c r="AD22" s="157">
        <f t="shared" si="101"/>
        <v>14374.800000000003</v>
      </c>
      <c r="AE22" s="157">
        <f t="shared" si="102"/>
        <v>15812.280000000004</v>
      </c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89">
        <v>3124</v>
      </c>
      <c r="BX22" s="189">
        <v>2964</v>
      </c>
      <c r="BY22" s="189">
        <v>2236</v>
      </c>
      <c r="BZ22" s="189">
        <v>2057</v>
      </c>
      <c r="CA22" s="189">
        <v>2805</v>
      </c>
      <c r="CB22" s="189">
        <v>2940</v>
      </c>
      <c r="CC22" s="189">
        <v>2231</v>
      </c>
      <c r="CD22" s="189">
        <v>2051</v>
      </c>
      <c r="CE22" s="189">
        <v>2992</v>
      </c>
      <c r="CF22" s="189">
        <v>3105</v>
      </c>
      <c r="CG22" s="189">
        <v>2182</v>
      </c>
      <c r="CH22" s="189">
        <v>2024</v>
      </c>
      <c r="CI22" s="189">
        <v>2400</v>
      </c>
      <c r="CJ22" s="156">
        <v>3147</v>
      </c>
      <c r="CK22" s="156">
        <v>2460</v>
      </c>
      <c r="CL22" s="156">
        <v>2793</v>
      </c>
      <c r="CM22" s="157">
        <f t="shared" si="103"/>
        <v>2640</v>
      </c>
      <c r="CN22" s="157">
        <f t="shared" si="104"/>
        <v>3461.7000000000003</v>
      </c>
      <c r="CO22" s="157">
        <f t="shared" si="105"/>
        <v>2706</v>
      </c>
      <c r="CP22" s="157">
        <f t="shared" si="106"/>
        <v>3072.3</v>
      </c>
      <c r="CQ22" s="157">
        <f t="shared" si="107"/>
        <v>2904.0000000000005</v>
      </c>
      <c r="CR22" s="157">
        <f t="shared" si="108"/>
        <v>3807.8700000000008</v>
      </c>
      <c r="CS22" s="157">
        <f t="shared" si="109"/>
        <v>2976.6000000000004</v>
      </c>
      <c r="CT22" s="157">
        <f t="shared" si="110"/>
        <v>3379.5300000000007</v>
      </c>
      <c r="CU22" s="157">
        <f t="shared" si="111"/>
        <v>3194.4000000000005</v>
      </c>
      <c r="CV22" s="157">
        <f t="shared" si="112"/>
        <v>4188.6570000000011</v>
      </c>
      <c r="CW22" s="157">
        <f t="shared" si="113"/>
        <v>3274.2600000000007</v>
      </c>
      <c r="CX22" s="157">
        <f t="shared" si="114"/>
        <v>3717.4830000000011</v>
      </c>
      <c r="CY22" s="157">
        <f t="shared" si="115"/>
        <v>3513.8400000000011</v>
      </c>
      <c r="CZ22" s="157">
        <f t="shared" si="116"/>
        <v>4607.5227000000014</v>
      </c>
      <c r="DA22" s="157">
        <f t="shared" si="117"/>
        <v>3601.6860000000011</v>
      </c>
      <c r="DB22" s="157">
        <f t="shared" si="118"/>
        <v>4089.2313000000017</v>
      </c>
      <c r="DE22" s="159"/>
    </row>
    <row r="23" spans="1:109" s="158" customFormat="1" x14ac:dyDescent="0.2">
      <c r="A23" s="186" t="s">
        <v>539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>
        <f t="shared" si="96"/>
        <v>1609</v>
      </c>
      <c r="Y23" s="156">
        <f t="shared" si="97"/>
        <v>2095</v>
      </c>
      <c r="Z23" s="156">
        <f t="shared" si="98"/>
        <v>3296</v>
      </c>
      <c r="AA23" s="157">
        <f t="shared" si="89"/>
        <v>4169</v>
      </c>
      <c r="AB23" s="157">
        <f t="shared" si="99"/>
        <v>4210.6900000000005</v>
      </c>
      <c r="AC23" s="157">
        <f t="shared" si="100"/>
        <v>4252.7969000000003</v>
      </c>
      <c r="AD23" s="157">
        <f t="shared" si="101"/>
        <v>4295.324869</v>
      </c>
      <c r="AE23" s="157">
        <f t="shared" si="102"/>
        <v>4338.2781176900007</v>
      </c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89">
        <v>183</v>
      </c>
      <c r="BX23" s="189">
        <v>354</v>
      </c>
      <c r="BY23" s="189">
        <v>464</v>
      </c>
      <c r="BZ23" s="189">
        <v>608</v>
      </c>
      <c r="CA23" s="189">
        <v>369</v>
      </c>
      <c r="CB23" s="189">
        <v>490</v>
      </c>
      <c r="CC23" s="189">
        <v>439</v>
      </c>
      <c r="CD23" s="189">
        <v>797</v>
      </c>
      <c r="CE23" s="189">
        <v>755</v>
      </c>
      <c r="CF23" s="189">
        <v>804</v>
      </c>
      <c r="CG23" s="189">
        <v>781</v>
      </c>
      <c r="CH23" s="189">
        <v>956</v>
      </c>
      <c r="CI23" s="189">
        <v>1019</v>
      </c>
      <c r="CJ23" s="156">
        <v>1153</v>
      </c>
      <c r="CK23" s="156">
        <v>1140</v>
      </c>
      <c r="CL23" s="156">
        <v>857</v>
      </c>
      <c r="CM23" s="157">
        <f t="shared" si="103"/>
        <v>1029.19</v>
      </c>
      <c r="CN23" s="157">
        <f t="shared" si="104"/>
        <v>1164.53</v>
      </c>
      <c r="CO23" s="157">
        <f t="shared" si="105"/>
        <v>1151.4000000000001</v>
      </c>
      <c r="CP23" s="157">
        <f t="shared" si="106"/>
        <v>865.57</v>
      </c>
      <c r="CQ23" s="157">
        <f t="shared" si="107"/>
        <v>1039.4819</v>
      </c>
      <c r="CR23" s="157">
        <f t="shared" si="108"/>
        <v>1176.1752999999999</v>
      </c>
      <c r="CS23" s="157">
        <f t="shared" si="109"/>
        <v>1162.9140000000002</v>
      </c>
      <c r="CT23" s="157">
        <f t="shared" si="110"/>
        <v>874.22570000000007</v>
      </c>
      <c r="CU23" s="157">
        <f t="shared" si="111"/>
        <v>1049.8767190000001</v>
      </c>
      <c r="CV23" s="157">
        <f t="shared" si="112"/>
        <v>1187.9370529999999</v>
      </c>
      <c r="CW23" s="157">
        <f t="shared" si="113"/>
        <v>1174.5431400000002</v>
      </c>
      <c r="CX23" s="157">
        <f t="shared" si="114"/>
        <v>882.96795700000007</v>
      </c>
      <c r="CY23" s="157">
        <f t="shared" si="115"/>
        <v>1060.3754861900002</v>
      </c>
      <c r="CZ23" s="157">
        <f t="shared" si="116"/>
        <v>1199.8164235299998</v>
      </c>
      <c r="DA23" s="157">
        <f t="shared" si="117"/>
        <v>1186.2885714000001</v>
      </c>
      <c r="DB23" s="157">
        <f t="shared" si="118"/>
        <v>891.79763657000012</v>
      </c>
      <c r="DE23" s="159"/>
    </row>
    <row r="24" spans="1:109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6"/>
      <c r="CL24" s="156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09" s="158" customFormat="1" x14ac:dyDescent="0.2">
      <c r="A25" s="185" t="s">
        <v>540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>
        <f t="shared" ref="X25" si="119">SUM(BW25:BZ25)</f>
        <v>-4907</v>
      </c>
      <c r="Y25" s="156">
        <f t="shared" ref="Y25" si="120">SUM(CA25:CD25)</f>
        <v>-4453</v>
      </c>
      <c r="Z25" s="156">
        <f t="shared" ref="Z25" si="121">SUM(CE25:CH25)</f>
        <v>-4242</v>
      </c>
      <c r="AA25" s="157">
        <f t="shared" si="89"/>
        <v>-4327</v>
      </c>
      <c r="AB25" s="157"/>
      <c r="AC25" s="157"/>
      <c r="AD25" s="157"/>
      <c r="AE25" s="157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6"/>
      <c r="BV25" s="156"/>
      <c r="BW25" s="107">
        <v>-1399</v>
      </c>
      <c r="BX25" s="107">
        <v>-1295</v>
      </c>
      <c r="BY25" s="107">
        <v>-1203</v>
      </c>
      <c r="BZ25" s="107">
        <v>-1010</v>
      </c>
      <c r="CA25" s="107">
        <v>-1190</v>
      </c>
      <c r="CB25" s="107">
        <v>-1130</v>
      </c>
      <c r="CC25" s="107">
        <v>-1052</v>
      </c>
      <c r="CD25" s="107">
        <v>-1081</v>
      </c>
      <c r="CE25" s="107">
        <v>-1263</v>
      </c>
      <c r="CF25" s="107">
        <v>-1190</v>
      </c>
      <c r="CG25" s="107">
        <v>-782</v>
      </c>
      <c r="CH25" s="107">
        <v>-1007</v>
      </c>
      <c r="CI25" s="107">
        <v>-1084</v>
      </c>
      <c r="CJ25" s="107">
        <v>-1116</v>
      </c>
      <c r="CK25" s="107">
        <v>-949</v>
      </c>
      <c r="CL25" s="107">
        <f>145-1323</f>
        <v>-1178</v>
      </c>
      <c r="CM25" s="157"/>
      <c r="CN25" s="157"/>
      <c r="CO25" s="157"/>
      <c r="CP25" s="157"/>
      <c r="CQ25" s="157"/>
      <c r="CR25" s="157"/>
      <c r="CS25" s="157"/>
      <c r="CT25" s="157"/>
      <c r="CU25" s="157"/>
      <c r="CV25" s="157"/>
      <c r="CW25" s="157"/>
      <c r="CX25" s="157"/>
      <c r="CY25" s="157"/>
      <c r="CZ25" s="157"/>
      <c r="DA25" s="157"/>
      <c r="DB25" s="157"/>
      <c r="DE25" s="159"/>
    </row>
    <row r="26" spans="1:109" s="158" customFormat="1" x14ac:dyDescent="0.2">
      <c r="A26" s="155" t="s">
        <v>544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>
        <f t="shared" ref="X26" si="122">SUM(BW26:BZ26)</f>
        <v>925.92000000000007</v>
      </c>
      <c r="Y26" s="156">
        <f t="shared" ref="Y26" si="123">SUM(CA26:CD26)</f>
        <v>-524.26000000000147</v>
      </c>
      <c r="Z26" s="156">
        <f t="shared" ref="Z26" si="124">SUM(CE26:CH26)</f>
        <v>-975.22999999999956</v>
      </c>
      <c r="AA26" s="157">
        <f t="shared" si="89"/>
        <v>792.74000000000035</v>
      </c>
      <c r="AB26" s="157"/>
      <c r="AC26" s="157"/>
      <c r="AD26" s="157"/>
      <c r="AE26" s="157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>
        <v>281.52000000000044</v>
      </c>
      <c r="BX26" s="156">
        <v>131.28000000000065</v>
      </c>
      <c r="BY26" s="156">
        <v>210.8799999999992</v>
      </c>
      <c r="BZ26" s="156">
        <v>302.23999999999978</v>
      </c>
      <c r="CA26" s="156">
        <v>-210.29000000000087</v>
      </c>
      <c r="CB26" s="156">
        <v>-296.03000000000065</v>
      </c>
      <c r="CC26" s="156">
        <v>190</v>
      </c>
      <c r="CD26" s="156">
        <v>-207.93999999999994</v>
      </c>
      <c r="CE26" s="156">
        <v>-484.61999999999898</v>
      </c>
      <c r="CF26" s="156">
        <v>-451.67000000000007</v>
      </c>
      <c r="CG26" s="156">
        <v>-272.05999999999949</v>
      </c>
      <c r="CH26" s="156">
        <v>233.11999999999898</v>
      </c>
      <c r="CI26" s="156">
        <v>-572.06999999999971</v>
      </c>
      <c r="CJ26" s="156">
        <v>218.09000000000015</v>
      </c>
      <c r="CK26" s="156">
        <v>536.91999999999996</v>
      </c>
      <c r="CL26" s="156">
        <v>609.79999999999995</v>
      </c>
      <c r="CM26" s="157"/>
      <c r="CN26" s="157"/>
      <c r="CO26" s="157"/>
      <c r="CP26" s="157"/>
      <c r="CQ26" s="157"/>
      <c r="CR26" s="157"/>
      <c r="CS26" s="157"/>
      <c r="CT26" s="157"/>
      <c r="CU26" s="157"/>
      <c r="CV26" s="157"/>
      <c r="CW26" s="157"/>
      <c r="CX26" s="157"/>
      <c r="CY26" s="157"/>
      <c r="CZ26" s="157"/>
      <c r="DA26" s="157"/>
      <c r="DB26" s="157"/>
      <c r="DE26" s="159"/>
    </row>
    <row r="27" spans="1:109" s="109" customFormat="1" x14ac:dyDescent="0.2">
      <c r="A27" s="191" t="s">
        <v>541</v>
      </c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>
        <f>X5+X11+X17+X25-X26</f>
        <v>55109.08</v>
      </c>
      <c r="Y27" s="107">
        <f t="shared" ref="Y27:Z27" si="125">Y5+Y11+Y17+Y25-Y26</f>
        <v>62066.26</v>
      </c>
      <c r="Z27" s="107">
        <f t="shared" si="125"/>
        <v>65478.229999999996</v>
      </c>
      <c r="AA27" s="108">
        <f t="shared" ref="AA27" si="126">AA5+AA11+AA17+AA25-AA26</f>
        <v>62426.26</v>
      </c>
      <c r="AB27" s="108">
        <f t="shared" ref="AB27:AE27" si="127">AB17+AB11+AB5</f>
        <v>78342.752529999998</v>
      </c>
      <c r="AC27" s="108">
        <f t="shared" si="127"/>
        <v>84881.196633793006</v>
      </c>
      <c r="AD27" s="108">
        <f t="shared" si="127"/>
        <v>90082.516490238733</v>
      </c>
      <c r="AE27" s="108">
        <f t="shared" si="127"/>
        <v>95893.630188417097</v>
      </c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>
        <f t="shared" ref="BW27:CL27" si="128">BW5+BW11+BW17+BW25-BW26</f>
        <v>14495.48</v>
      </c>
      <c r="BX27" s="107">
        <f t="shared" si="128"/>
        <v>14030.72</v>
      </c>
      <c r="BY27" s="107">
        <f t="shared" si="128"/>
        <v>14129.12</v>
      </c>
      <c r="BZ27" s="107">
        <f t="shared" si="128"/>
        <v>12453.76</v>
      </c>
      <c r="CA27" s="107">
        <f t="shared" si="128"/>
        <v>15213.29</v>
      </c>
      <c r="CB27" s="107">
        <f t="shared" si="128"/>
        <v>15738.03</v>
      </c>
      <c r="CC27" s="107">
        <f t="shared" si="128"/>
        <v>14651</v>
      </c>
      <c r="CD27" s="107">
        <f t="shared" si="128"/>
        <v>16463.939999999999</v>
      </c>
      <c r="CE27" s="107">
        <f t="shared" si="128"/>
        <v>17293.62</v>
      </c>
      <c r="CF27" s="107">
        <f t="shared" si="128"/>
        <v>15697.67</v>
      </c>
      <c r="CG27" s="107">
        <f t="shared" si="128"/>
        <v>15391.06</v>
      </c>
      <c r="CH27" s="107">
        <f t="shared" si="128"/>
        <v>17095.88</v>
      </c>
      <c r="CI27" s="107">
        <f t="shared" si="128"/>
        <v>18035.07</v>
      </c>
      <c r="CJ27" s="107">
        <f t="shared" si="128"/>
        <v>15544.91</v>
      </c>
      <c r="CK27" s="107">
        <f t="shared" si="128"/>
        <v>13946.08</v>
      </c>
      <c r="CL27" s="107">
        <f t="shared" si="128"/>
        <v>14900.2</v>
      </c>
      <c r="CM27" s="108">
        <f t="shared" ref="CM27:DB27" si="129">CM5+CM11+CM17</f>
        <v>17444.190000000002</v>
      </c>
      <c r="CN27" s="108">
        <f t="shared" si="129"/>
        <v>21397.707000000002</v>
      </c>
      <c r="CO27" s="108">
        <f t="shared" si="129"/>
        <v>19259.817900000002</v>
      </c>
      <c r="CP27" s="108">
        <f t="shared" si="129"/>
        <v>20241.037629999999</v>
      </c>
      <c r="CQ27" s="108">
        <f t="shared" si="129"/>
        <v>21120.061611000001</v>
      </c>
      <c r="CR27" s="108">
        <f t="shared" si="129"/>
        <v>22412.273056700004</v>
      </c>
      <c r="CS27" s="108">
        <f t="shared" si="129"/>
        <v>20153.809622990004</v>
      </c>
      <c r="CT27" s="108">
        <f t="shared" si="129"/>
        <v>21195.052343103001</v>
      </c>
      <c r="CU27" s="108">
        <f t="shared" si="129"/>
        <v>22460.3376260691</v>
      </c>
      <c r="CV27" s="108">
        <f t="shared" si="129"/>
        <v>23765.125063379273</v>
      </c>
      <c r="CW27" s="108">
        <f t="shared" si="129"/>
        <v>21373.009486986222</v>
      </c>
      <c r="CX27" s="108">
        <f t="shared" si="129"/>
        <v>22484.044313804137</v>
      </c>
      <c r="CY27" s="108">
        <f t="shared" si="129"/>
        <v>23916.094096228764</v>
      </c>
      <c r="CZ27" s="108">
        <f t="shared" si="129"/>
        <v>25302.307362317377</v>
      </c>
      <c r="DA27" s="108">
        <f t="shared" si="129"/>
        <v>22740.234494462791</v>
      </c>
      <c r="DB27" s="108">
        <f t="shared" si="129"/>
        <v>23934.994235408165</v>
      </c>
      <c r="DE27" s="117"/>
    </row>
    <row r="28" spans="1:109" s="109" customFormat="1" x14ac:dyDescent="0.2">
      <c r="A28" s="191" t="s">
        <v>542</v>
      </c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>
        <f>X27-X101</f>
        <v>0</v>
      </c>
      <c r="Y28" s="107">
        <f>Y27-Y101</f>
        <v>617.36000000000058</v>
      </c>
      <c r="Z28" s="107">
        <f>Z27-Z101</f>
        <v>-1.0000000002037268E-2</v>
      </c>
      <c r="AA28" s="108">
        <f>AA27-AA101</f>
        <v>-2.3299999999944703</v>
      </c>
      <c r="AB28" s="108">
        <f t="shared" ref="AB28:AE28" si="130">AB27-AB101</f>
        <v>0</v>
      </c>
      <c r="AC28" s="108">
        <f t="shared" si="130"/>
        <v>0</v>
      </c>
      <c r="AD28" s="108">
        <f t="shared" si="130"/>
        <v>0</v>
      </c>
      <c r="AE28" s="108">
        <f t="shared" si="130"/>
        <v>0</v>
      </c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>
        <f t="shared" ref="BW28:CC28" si="131">BW27-BW101</f>
        <v>0</v>
      </c>
      <c r="BX28" s="107">
        <f t="shared" si="131"/>
        <v>0</v>
      </c>
      <c r="BY28" s="107">
        <f t="shared" si="131"/>
        <v>0</v>
      </c>
      <c r="BZ28" s="107">
        <f t="shared" si="131"/>
        <v>0</v>
      </c>
      <c r="CA28" s="107">
        <f t="shared" si="131"/>
        <v>0</v>
      </c>
      <c r="CB28" s="107">
        <f t="shared" si="131"/>
        <v>0</v>
      </c>
      <c r="CC28" s="107">
        <f t="shared" si="131"/>
        <v>0</v>
      </c>
      <c r="CD28" s="107">
        <f>CD27-CD101-CD127</f>
        <v>-1.2505552149377763E-12</v>
      </c>
      <c r="CE28" s="107">
        <f t="shared" ref="CE28:CL28" si="132">CE27-CE101</f>
        <v>0</v>
      </c>
      <c r="CF28" s="107">
        <f t="shared" si="132"/>
        <v>0</v>
      </c>
      <c r="CG28" s="107">
        <f t="shared" si="132"/>
        <v>0</v>
      </c>
      <c r="CH28" s="107">
        <f t="shared" si="132"/>
        <v>0</v>
      </c>
      <c r="CI28" s="107">
        <f t="shared" si="132"/>
        <v>0</v>
      </c>
      <c r="CJ28" s="107">
        <f t="shared" si="132"/>
        <v>0</v>
      </c>
      <c r="CK28" s="107">
        <f t="shared" si="132"/>
        <v>-2.3299999999999272</v>
      </c>
      <c r="CL28" s="107">
        <f t="shared" si="132"/>
        <v>0</v>
      </c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  <c r="DB28" s="108"/>
      <c r="DE28" s="117"/>
    </row>
    <row r="29" spans="1:109" s="109" customFormat="1" x14ac:dyDescent="0.2">
      <c r="A29" s="191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8"/>
      <c r="AB29" s="108"/>
      <c r="AC29" s="108"/>
      <c r="AD29" s="108"/>
      <c r="AE29" s="108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7"/>
      <c r="AW29" s="107"/>
      <c r="AX29" s="107"/>
      <c r="AY29" s="107"/>
      <c r="AZ29" s="107"/>
      <c r="BA29" s="107"/>
      <c r="BB29" s="107"/>
      <c r="BC29" s="107"/>
      <c r="BD29" s="107"/>
      <c r="BE29" s="107"/>
      <c r="BF29" s="107"/>
      <c r="BG29" s="107"/>
      <c r="BH29" s="107"/>
      <c r="BI29" s="107"/>
      <c r="BJ29" s="107"/>
      <c r="BK29" s="107"/>
      <c r="BL29" s="107"/>
      <c r="BM29" s="107"/>
      <c r="BN29" s="107"/>
      <c r="BO29" s="107"/>
      <c r="BP29" s="107"/>
      <c r="BQ29" s="107"/>
      <c r="BR29" s="107"/>
      <c r="BS29" s="107"/>
      <c r="BT29" s="107"/>
      <c r="BU29" s="107"/>
      <c r="BV29" s="107"/>
      <c r="BW29" s="107"/>
      <c r="BX29" s="107"/>
      <c r="BY29" s="107"/>
      <c r="BZ29" s="107"/>
      <c r="CA29" s="107"/>
      <c r="CB29" s="107"/>
      <c r="CC29" s="107"/>
      <c r="CD29" s="107"/>
      <c r="CE29" s="107"/>
      <c r="CF29" s="107"/>
      <c r="CG29" s="107"/>
      <c r="CH29" s="107"/>
      <c r="CI29" s="107"/>
      <c r="CJ29" s="107"/>
      <c r="CK29" s="107"/>
      <c r="CL29" s="107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  <c r="DB29" s="108"/>
      <c r="DE29" s="117"/>
    </row>
    <row r="30" spans="1:109" s="151" customFormat="1" x14ac:dyDescent="0.2">
      <c r="A30" s="151" t="s">
        <v>545</v>
      </c>
    </row>
    <row r="31" spans="1:109" s="109" customFormat="1" x14ac:dyDescent="0.2">
      <c r="A31" s="185" t="s">
        <v>546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202">
        <f>Y5/X5-1</f>
        <v>7.6927300680869726E-2</v>
      </c>
      <c r="Z31" s="202">
        <f t="shared" ref="Z31:AE35" si="133">Z5/Y5-1</f>
        <v>6.4752969968897567E-3</v>
      </c>
      <c r="AA31" s="203">
        <f t="shared" si="133"/>
        <v>-0.41084093211752781</v>
      </c>
      <c r="AB31" s="203">
        <f t="shared" si="133"/>
        <v>0.53284608770421316</v>
      </c>
      <c r="AC31" s="203">
        <f t="shared" si="133"/>
        <v>0.15285802434509455</v>
      </c>
      <c r="AD31" s="203">
        <f t="shared" si="133"/>
        <v>0</v>
      </c>
      <c r="AE31" s="203">
        <f t="shared" si="133"/>
        <v>0</v>
      </c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7"/>
      <c r="BH31" s="107"/>
      <c r="BI31" s="107"/>
      <c r="BJ31" s="107"/>
      <c r="BK31" s="107"/>
      <c r="BL31" s="107"/>
      <c r="BM31" s="107"/>
      <c r="BN31" s="107"/>
      <c r="BO31" s="107"/>
      <c r="BP31" s="107"/>
      <c r="BQ31" s="107"/>
      <c r="BR31" s="107"/>
      <c r="BS31" s="107"/>
      <c r="BT31" s="107"/>
      <c r="BU31" s="107"/>
      <c r="BV31" s="107"/>
      <c r="BW31" s="107"/>
      <c r="BX31" s="107"/>
      <c r="BY31" s="107"/>
      <c r="BZ31" s="107"/>
      <c r="CA31" s="193">
        <f t="shared" ref="CA31" si="134">CA5/BW5-1</f>
        <v>-5.8146341463414686E-2</v>
      </c>
      <c r="CB31" s="193">
        <f t="shared" ref="CB31:CB35" si="135">CB5/BX5-1</f>
        <v>2.8754654530409596E-2</v>
      </c>
      <c r="CC31" s="193">
        <f t="shared" ref="CC31:CC35" si="136">CC5/BY5-1</f>
        <v>-7.6722532588454406E-2</v>
      </c>
      <c r="CD31" s="193">
        <f t="shared" ref="CD31:CD35" si="137">CD5/BZ5-1</f>
        <v>0.68400971210544581</v>
      </c>
      <c r="CE31" s="193">
        <f t="shared" ref="CE31:CE35" si="138">CE5/CA5-1</f>
        <v>8.0795525170913596E-2</v>
      </c>
      <c r="CF31" s="193">
        <f t="shared" ref="CF31:CF35" si="139">CF5/CB5-1</f>
        <v>-0.13331992760908906</v>
      </c>
      <c r="CG31" s="193">
        <f t="shared" ref="CG31:CG35" si="140">CG5/CC5-1</f>
        <v>-6.6559096409842811E-3</v>
      </c>
      <c r="CH31" s="193">
        <f t="shared" ref="CH31:CH35" si="141">CH5/CD5-1</f>
        <v>8.9186405767250232E-2</v>
      </c>
      <c r="CI31" s="193">
        <f t="shared" ref="CI31:CI35" si="142">CI5/CE5-1</f>
        <v>-7.1497028943837471E-2</v>
      </c>
      <c r="CJ31" s="193">
        <f t="shared" ref="CJ31:CJ35" si="143">CJ5/CF5-1</f>
        <v>-0.45939675174013916</v>
      </c>
      <c r="CK31" s="193">
        <f t="shared" ref="CK31:CL35" si="144">CK5/CG5-1</f>
        <v>-0.58944162436548231</v>
      </c>
      <c r="CL31" s="193">
        <f t="shared" si="144"/>
        <v>-0.53971255673222385</v>
      </c>
      <c r="CM31" s="194">
        <f t="shared" ref="CM31:CM35" si="145">CM5/CI5-1</f>
        <v>-0.51713459950454177</v>
      </c>
      <c r="CN31" s="194">
        <f t="shared" ref="CN31:CN35" si="146">CN5/CJ5-1</f>
        <v>1.2974248927038627</v>
      </c>
      <c r="CO31" s="194">
        <f t="shared" ref="CO31:CO35" si="147">CO5/CK5-1</f>
        <v>1.4609297725024728</v>
      </c>
      <c r="CP31" s="194">
        <f t="shared" ref="CP31:CP35" si="148">CP5/CL5-1</f>
        <v>1.1195562859490549</v>
      </c>
      <c r="CQ31" s="194">
        <f t="shared" ref="CQ31:CQ35" si="149">CQ5/CM5-1</f>
        <v>1.1650277896536982</v>
      </c>
      <c r="CR31" s="194">
        <f t="shared" ref="CR31:CR35" si="150">CR5/CN5-1</f>
        <v>0</v>
      </c>
      <c r="CS31" s="194">
        <f t="shared" ref="CS31:CS35" si="151">CS5/CO5-1</f>
        <v>0</v>
      </c>
      <c r="CT31" s="194">
        <f t="shared" ref="CT31:CT35" si="152">CT5/CP5-1</f>
        <v>0</v>
      </c>
      <c r="CU31" s="194">
        <f t="shared" ref="CU31:CU35" si="153">CU5/CQ5-1</f>
        <v>0</v>
      </c>
      <c r="CV31" s="194">
        <f t="shared" ref="CV31:CV35" si="154">CV5/CR5-1</f>
        <v>0</v>
      </c>
      <c r="CW31" s="194">
        <f t="shared" ref="CW31:CW35" si="155">CW5/CS5-1</f>
        <v>0</v>
      </c>
      <c r="CX31" s="194">
        <f t="shared" ref="CX31:CX35" si="156">CX5/CT5-1</f>
        <v>0</v>
      </c>
      <c r="CY31" s="194">
        <f t="shared" ref="CY31:CY35" si="157">CY5/CU5-1</f>
        <v>0</v>
      </c>
      <c r="CZ31" s="194">
        <f t="shared" ref="CZ31:CZ35" si="158">CZ5/CV5-1</f>
        <v>0</v>
      </c>
      <c r="DA31" s="194">
        <f t="shared" ref="DA31:DA35" si="159">DA5/CW5-1</f>
        <v>0</v>
      </c>
      <c r="DB31" s="194">
        <f t="shared" ref="DB31:DB35" si="160">DB5/CX5-1</f>
        <v>0</v>
      </c>
      <c r="DE31" s="117"/>
    </row>
    <row r="32" spans="1:109" s="109" customFormat="1" x14ac:dyDescent="0.2">
      <c r="A32" s="186" t="s">
        <v>553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202">
        <f t="shared" ref="Y32" si="161">Y6/X6-1</f>
        <v>0.10894684714427205</v>
      </c>
      <c r="Z32" s="202">
        <f t="shared" si="133"/>
        <v>-0.12027389103899966</v>
      </c>
      <c r="AA32" s="203">
        <f t="shared" si="133"/>
        <v>4.7377326565143818E-2</v>
      </c>
      <c r="AB32" s="203">
        <f t="shared" si="133"/>
        <v>0</v>
      </c>
      <c r="AC32" s="203">
        <f t="shared" si="133"/>
        <v>0</v>
      </c>
      <c r="AD32" s="203">
        <f t="shared" si="133"/>
        <v>0</v>
      </c>
      <c r="AE32" s="203">
        <f t="shared" si="133"/>
        <v>0</v>
      </c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93">
        <f t="shared" ref="CA32:CA35" si="162">CA6/BW6-1</f>
        <v>0.12732095490716189</v>
      </c>
      <c r="CB32" s="193">
        <f t="shared" si="135"/>
        <v>-6.0493827160493785E-2</v>
      </c>
      <c r="CC32" s="193">
        <f t="shared" si="136"/>
        <v>4.4499381953028383E-2</v>
      </c>
      <c r="CD32" s="193">
        <f t="shared" si="137"/>
        <v>0.37652439024390238</v>
      </c>
      <c r="CE32" s="193">
        <f t="shared" si="138"/>
        <v>-3.6470588235294144E-2</v>
      </c>
      <c r="CF32" s="193">
        <f t="shared" si="139"/>
        <v>7.8843626806832656E-3</v>
      </c>
      <c r="CG32" s="193">
        <f t="shared" si="140"/>
        <v>-0.24260355029585801</v>
      </c>
      <c r="CH32" s="193">
        <f t="shared" si="141"/>
        <v>-0.19269102990033227</v>
      </c>
      <c r="CI32" s="193">
        <f t="shared" si="142"/>
        <v>-5.8608058608058622E-2</v>
      </c>
      <c r="CJ32" s="193">
        <f t="shared" si="143"/>
        <v>8.0834419817470637E-2</v>
      </c>
      <c r="CK32" s="193">
        <f t="shared" si="144"/>
        <v>8.59375E-2</v>
      </c>
      <c r="CL32" s="193">
        <f t="shared" si="144"/>
        <v>9.7393689986282617E-2</v>
      </c>
      <c r="CM32" s="194">
        <f t="shared" si="145"/>
        <v>0</v>
      </c>
      <c r="CN32" s="194">
        <f t="shared" si="146"/>
        <v>0</v>
      </c>
      <c r="CO32" s="194">
        <f t="shared" si="147"/>
        <v>0</v>
      </c>
      <c r="CP32" s="194">
        <f t="shared" si="148"/>
        <v>0</v>
      </c>
      <c r="CQ32" s="194">
        <f t="shared" si="149"/>
        <v>0</v>
      </c>
      <c r="CR32" s="194">
        <f t="shared" si="150"/>
        <v>0</v>
      </c>
      <c r="CS32" s="194">
        <f t="shared" si="151"/>
        <v>0</v>
      </c>
      <c r="CT32" s="194">
        <f t="shared" si="152"/>
        <v>0</v>
      </c>
      <c r="CU32" s="194">
        <f t="shared" si="153"/>
        <v>0</v>
      </c>
      <c r="CV32" s="194">
        <f t="shared" si="154"/>
        <v>0</v>
      </c>
      <c r="CW32" s="194">
        <f t="shared" si="155"/>
        <v>0</v>
      </c>
      <c r="CX32" s="194">
        <f t="shared" si="156"/>
        <v>0</v>
      </c>
      <c r="CY32" s="194">
        <f t="shared" si="157"/>
        <v>0</v>
      </c>
      <c r="CZ32" s="194">
        <f t="shared" si="158"/>
        <v>0</v>
      </c>
      <c r="DA32" s="194">
        <f t="shared" si="159"/>
        <v>0</v>
      </c>
      <c r="DB32" s="194">
        <f t="shared" si="160"/>
        <v>0</v>
      </c>
      <c r="DE32" s="117"/>
    </row>
    <row r="33" spans="1:109" s="109" customFormat="1" x14ac:dyDescent="0.2">
      <c r="A33" s="186" t="s">
        <v>554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202">
        <f t="shared" ref="Y33" si="163">Y7/X7-1</f>
        <v>-0.14584543869843114</v>
      </c>
      <c r="Z33" s="202">
        <f t="shared" si="133"/>
        <v>-0.10510204081632657</v>
      </c>
      <c r="AA33" s="203">
        <f t="shared" si="133"/>
        <v>-2.6225769669327215E-2</v>
      </c>
      <c r="AB33" s="203">
        <f t="shared" si="133"/>
        <v>0</v>
      </c>
      <c r="AC33" s="203">
        <f t="shared" si="133"/>
        <v>0</v>
      </c>
      <c r="AD33" s="203">
        <f t="shared" si="133"/>
        <v>0</v>
      </c>
      <c r="AE33" s="203">
        <f t="shared" si="133"/>
        <v>0</v>
      </c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07"/>
      <c r="AT33" s="107"/>
      <c r="AU33" s="107"/>
      <c r="AV33" s="107"/>
      <c r="AW33" s="107"/>
      <c r="AX33" s="107"/>
      <c r="AY33" s="107"/>
      <c r="AZ33" s="107"/>
      <c r="BA33" s="107"/>
      <c r="BB33" s="107"/>
      <c r="BC33" s="107"/>
      <c r="BD33" s="107"/>
      <c r="BE33" s="107"/>
      <c r="BF33" s="107"/>
      <c r="BG33" s="107"/>
      <c r="BH33" s="107"/>
      <c r="BI33" s="107"/>
      <c r="BJ33" s="107"/>
      <c r="BK33" s="107"/>
      <c r="BL33" s="107"/>
      <c r="BM33" s="107"/>
      <c r="BN33" s="107"/>
      <c r="BO33" s="107"/>
      <c r="BP33" s="107"/>
      <c r="BQ33" s="107"/>
      <c r="BR33" s="107"/>
      <c r="BS33" s="107"/>
      <c r="BT33" s="107"/>
      <c r="BU33" s="107"/>
      <c r="BV33" s="107"/>
      <c r="BW33" s="107"/>
      <c r="BX33" s="107"/>
      <c r="BY33" s="107"/>
      <c r="BZ33" s="107"/>
      <c r="CA33" s="193">
        <f t="shared" si="162"/>
        <v>-0.19312436804853383</v>
      </c>
      <c r="CB33" s="193">
        <f t="shared" si="135"/>
        <v>-0.17565217391304344</v>
      </c>
      <c r="CC33" s="193">
        <f t="shared" si="136"/>
        <v>-0.12926391382405744</v>
      </c>
      <c r="CD33" s="193">
        <f t="shared" si="137"/>
        <v>-6.8211920529801295E-2</v>
      </c>
      <c r="CE33" s="193">
        <f t="shared" si="138"/>
        <v>-2.0676691729323293E-2</v>
      </c>
      <c r="CF33" s="193">
        <f t="shared" si="139"/>
        <v>-1.406469760900142E-2</v>
      </c>
      <c r="CG33" s="193">
        <f t="shared" si="140"/>
        <v>-0.36288659793814437</v>
      </c>
      <c r="CH33" s="193">
        <f t="shared" si="141"/>
        <v>-2.6297085998578495E-2</v>
      </c>
      <c r="CI33" s="193">
        <f t="shared" si="142"/>
        <v>-0.1900191938579654</v>
      </c>
      <c r="CJ33" s="193">
        <f t="shared" si="143"/>
        <v>-7.9172610556348055E-2</v>
      </c>
      <c r="CK33" s="193">
        <f t="shared" si="144"/>
        <v>0.34412081984897513</v>
      </c>
      <c r="CL33" s="193">
        <f t="shared" si="144"/>
        <v>-3.5766423357664223E-2</v>
      </c>
      <c r="CM33" s="194">
        <f t="shared" si="145"/>
        <v>0</v>
      </c>
      <c r="CN33" s="194">
        <f t="shared" si="146"/>
        <v>0</v>
      </c>
      <c r="CO33" s="194">
        <f t="shared" si="147"/>
        <v>0</v>
      </c>
      <c r="CP33" s="194">
        <f t="shared" si="148"/>
        <v>0</v>
      </c>
      <c r="CQ33" s="194">
        <f t="shared" si="149"/>
        <v>0</v>
      </c>
      <c r="CR33" s="194">
        <f t="shared" si="150"/>
        <v>0</v>
      </c>
      <c r="CS33" s="194">
        <f t="shared" si="151"/>
        <v>0</v>
      </c>
      <c r="CT33" s="194">
        <f t="shared" si="152"/>
        <v>0</v>
      </c>
      <c r="CU33" s="194">
        <f t="shared" si="153"/>
        <v>0</v>
      </c>
      <c r="CV33" s="194">
        <f t="shared" si="154"/>
        <v>0</v>
      </c>
      <c r="CW33" s="194">
        <f t="shared" si="155"/>
        <v>0</v>
      </c>
      <c r="CX33" s="194">
        <f t="shared" si="156"/>
        <v>0</v>
      </c>
      <c r="CY33" s="194">
        <f t="shared" si="157"/>
        <v>0</v>
      </c>
      <c r="CZ33" s="194">
        <f t="shared" si="158"/>
        <v>0</v>
      </c>
      <c r="DA33" s="194">
        <f t="shared" si="159"/>
        <v>0</v>
      </c>
      <c r="DB33" s="194">
        <f t="shared" si="160"/>
        <v>0</v>
      </c>
      <c r="DE33" s="117"/>
    </row>
    <row r="34" spans="1:109" s="109" customFormat="1" x14ac:dyDescent="0.2">
      <c r="A34" s="186" t="s">
        <v>555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202">
        <f t="shared" ref="Y34" si="164">Y8/X8-1</f>
        <v>7.692307692307665E-3</v>
      </c>
      <c r="Z34" s="202">
        <f t="shared" si="133"/>
        <v>-3.8167938931297662E-2</v>
      </c>
      <c r="AA34" s="203">
        <f t="shared" si="133"/>
        <v>5.555555555555558E-2</v>
      </c>
      <c r="AB34" s="203">
        <f t="shared" si="133"/>
        <v>0</v>
      </c>
      <c r="AC34" s="203">
        <f t="shared" si="133"/>
        <v>0</v>
      </c>
      <c r="AD34" s="203">
        <f t="shared" si="133"/>
        <v>0</v>
      </c>
      <c r="AE34" s="203">
        <f t="shared" si="133"/>
        <v>0</v>
      </c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  <c r="BM34" s="107"/>
      <c r="BN34" s="107"/>
      <c r="BO34" s="107"/>
      <c r="BP34" s="107"/>
      <c r="BQ34" s="107"/>
      <c r="BR34" s="107"/>
      <c r="BS34" s="107"/>
      <c r="BT34" s="107"/>
      <c r="BU34" s="107"/>
      <c r="BV34" s="107"/>
      <c r="BW34" s="107"/>
      <c r="BX34" s="107"/>
      <c r="BY34" s="107"/>
      <c r="BZ34" s="107"/>
      <c r="CA34" s="193">
        <f t="shared" si="162"/>
        <v>0</v>
      </c>
      <c r="CB34" s="193">
        <f t="shared" si="135"/>
        <v>0.1333333333333333</v>
      </c>
      <c r="CC34" s="193">
        <f t="shared" si="136"/>
        <v>2.9411764705882248E-2</v>
      </c>
      <c r="CD34" s="193">
        <f t="shared" si="137"/>
        <v>-0.11764705882352944</v>
      </c>
      <c r="CE34" s="193">
        <f t="shared" si="138"/>
        <v>0</v>
      </c>
      <c r="CF34" s="193">
        <f t="shared" si="139"/>
        <v>-8.8235294117647078E-2</v>
      </c>
      <c r="CG34" s="193">
        <f t="shared" si="140"/>
        <v>-5.7142857142857162E-2</v>
      </c>
      <c r="CH34" s="193">
        <f t="shared" si="141"/>
        <v>0</v>
      </c>
      <c r="CI34" s="193">
        <f t="shared" si="142"/>
        <v>-0.15625</v>
      </c>
      <c r="CJ34" s="193">
        <f t="shared" si="143"/>
        <v>6.4516129032258007E-2</v>
      </c>
      <c r="CK34" s="193">
        <f t="shared" si="144"/>
        <v>6.0606060606060552E-2</v>
      </c>
      <c r="CL34" s="193">
        <f t="shared" si="144"/>
        <v>0.26666666666666661</v>
      </c>
      <c r="CM34" s="194">
        <f t="shared" si="145"/>
        <v>0</v>
      </c>
      <c r="CN34" s="194">
        <f t="shared" si="146"/>
        <v>0</v>
      </c>
      <c r="CO34" s="194">
        <f t="shared" si="147"/>
        <v>0</v>
      </c>
      <c r="CP34" s="194">
        <f t="shared" si="148"/>
        <v>0</v>
      </c>
      <c r="CQ34" s="194">
        <f t="shared" si="149"/>
        <v>0</v>
      </c>
      <c r="CR34" s="194">
        <f t="shared" si="150"/>
        <v>0</v>
      </c>
      <c r="CS34" s="194">
        <f t="shared" si="151"/>
        <v>0</v>
      </c>
      <c r="CT34" s="194">
        <f t="shared" si="152"/>
        <v>0</v>
      </c>
      <c r="CU34" s="194">
        <f t="shared" si="153"/>
        <v>0</v>
      </c>
      <c r="CV34" s="194">
        <f t="shared" si="154"/>
        <v>0</v>
      </c>
      <c r="CW34" s="194">
        <f t="shared" si="155"/>
        <v>0</v>
      </c>
      <c r="CX34" s="194">
        <f t="shared" si="156"/>
        <v>0</v>
      </c>
      <c r="CY34" s="194">
        <f t="shared" si="157"/>
        <v>0</v>
      </c>
      <c r="CZ34" s="194">
        <f t="shared" si="158"/>
        <v>0</v>
      </c>
      <c r="DA34" s="194">
        <f t="shared" si="159"/>
        <v>0</v>
      </c>
      <c r="DB34" s="194">
        <f t="shared" si="160"/>
        <v>0</v>
      </c>
      <c r="DE34" s="117"/>
    </row>
    <row r="35" spans="1:109" s="109" customFormat="1" x14ac:dyDescent="0.2">
      <c r="A35" s="186" t="s">
        <v>556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202">
        <f t="shared" ref="Y35" si="165">Y9/X9-1</f>
        <v>0.25388664463214594</v>
      </c>
      <c r="Z35" s="202">
        <f t="shared" si="133"/>
        <v>0.11266230596504934</v>
      </c>
      <c r="AA35" s="203">
        <f t="shared" si="133"/>
        <v>-0.7123804509958761</v>
      </c>
      <c r="AB35" s="203">
        <f t="shared" si="133"/>
        <v>1.8904820012202563</v>
      </c>
      <c r="AC35" s="203">
        <f t="shared" si="133"/>
        <v>0.28759894459102897</v>
      </c>
      <c r="AD35" s="203">
        <f t="shared" si="133"/>
        <v>0</v>
      </c>
      <c r="AE35" s="203">
        <f t="shared" si="133"/>
        <v>0</v>
      </c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U35" s="107"/>
      <c r="BV35" s="107"/>
      <c r="BW35" s="107"/>
      <c r="BX35" s="107"/>
      <c r="BY35" s="107"/>
      <c r="BZ35" s="107"/>
      <c r="CA35" s="193">
        <f t="shared" si="162"/>
        <v>-5.0825921219822545E-3</v>
      </c>
      <c r="CB35" s="193">
        <f t="shared" si="135"/>
        <v>0.21463199647421782</v>
      </c>
      <c r="CC35" s="193">
        <f t="shared" si="136"/>
        <v>-8.1582633053221332E-2</v>
      </c>
      <c r="CD35" s="193">
        <f t="shared" si="137"/>
        <v>2.6822840409956075</v>
      </c>
      <c r="CE35" s="193">
        <f t="shared" si="138"/>
        <v>0.19327373350361854</v>
      </c>
      <c r="CF35" s="193">
        <f t="shared" si="139"/>
        <v>-0.23439767779390419</v>
      </c>
      <c r="CG35" s="193">
        <f t="shared" si="140"/>
        <v>0.26763248189096456</v>
      </c>
      <c r="CH35" s="193">
        <f t="shared" si="141"/>
        <v>0.25606361829025848</v>
      </c>
      <c r="CI35" s="193">
        <f t="shared" si="142"/>
        <v>-8.2054941134498405E-3</v>
      </c>
      <c r="CJ35" s="193">
        <f t="shared" si="143"/>
        <v>-0.91611374407582935</v>
      </c>
      <c r="CK35" s="193">
        <f t="shared" si="144"/>
        <v>-0.98616541353383458</v>
      </c>
      <c r="CL35" s="193">
        <f t="shared" si="144"/>
        <v>-0.91294713516935744</v>
      </c>
      <c r="CM35" s="194">
        <f t="shared" si="145"/>
        <v>-0.90107913669064743</v>
      </c>
      <c r="CN35" s="194">
        <f t="shared" si="146"/>
        <v>17.07909604519774</v>
      </c>
      <c r="CO35" s="194">
        <f t="shared" si="147"/>
        <v>64.217391304347828</v>
      </c>
      <c r="CP35" s="194">
        <f t="shared" si="148"/>
        <v>9.9090909090909083</v>
      </c>
      <c r="CQ35" s="194">
        <f t="shared" si="149"/>
        <v>9.9090909090909083</v>
      </c>
      <c r="CR35" s="194">
        <f t="shared" si="150"/>
        <v>0</v>
      </c>
      <c r="CS35" s="194">
        <f t="shared" si="151"/>
        <v>0</v>
      </c>
      <c r="CT35" s="194">
        <f t="shared" si="152"/>
        <v>0</v>
      </c>
      <c r="CU35" s="194">
        <f t="shared" si="153"/>
        <v>0</v>
      </c>
      <c r="CV35" s="194">
        <f t="shared" si="154"/>
        <v>0</v>
      </c>
      <c r="CW35" s="194">
        <f t="shared" si="155"/>
        <v>0</v>
      </c>
      <c r="CX35" s="194">
        <f t="shared" si="156"/>
        <v>0</v>
      </c>
      <c r="CY35" s="194">
        <f t="shared" si="157"/>
        <v>0</v>
      </c>
      <c r="CZ35" s="194">
        <f t="shared" si="158"/>
        <v>0</v>
      </c>
      <c r="DA35" s="194">
        <f t="shared" si="159"/>
        <v>0</v>
      </c>
      <c r="DB35" s="194">
        <f t="shared" si="160"/>
        <v>0</v>
      </c>
      <c r="DE35" s="117"/>
    </row>
    <row r="36" spans="1:109" s="109" customFormat="1" x14ac:dyDescent="0.2">
      <c r="A36" s="186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202"/>
      <c r="Z36" s="202"/>
      <c r="AA36" s="203"/>
      <c r="AB36" s="203"/>
      <c r="AC36" s="203"/>
      <c r="AD36" s="203"/>
      <c r="AE36" s="203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U36" s="107"/>
      <c r="BV36" s="107"/>
      <c r="BW36" s="107"/>
      <c r="BX36" s="107"/>
      <c r="BY36" s="107"/>
      <c r="BZ36" s="107"/>
      <c r="CA36" s="193"/>
      <c r="CB36" s="193"/>
      <c r="CC36" s="193"/>
      <c r="CD36" s="193"/>
      <c r="CE36" s="193"/>
      <c r="CF36" s="193"/>
      <c r="CG36" s="193"/>
      <c r="CH36" s="193"/>
      <c r="CI36" s="193"/>
      <c r="CJ36" s="193"/>
      <c r="CK36" s="193"/>
      <c r="CL36" s="193"/>
      <c r="CM36" s="194"/>
      <c r="CN36" s="194"/>
      <c r="CO36" s="194"/>
      <c r="CP36" s="194"/>
      <c r="CQ36" s="194"/>
      <c r="CR36" s="194"/>
      <c r="CS36" s="194"/>
      <c r="CT36" s="194"/>
      <c r="CU36" s="194"/>
      <c r="CV36" s="194"/>
      <c r="CW36" s="194"/>
      <c r="CX36" s="194"/>
      <c r="CY36" s="194"/>
      <c r="CZ36" s="194"/>
      <c r="DA36" s="194"/>
      <c r="DB36" s="194"/>
      <c r="DE36" s="117"/>
    </row>
    <row r="37" spans="1:109" s="109" customFormat="1" x14ac:dyDescent="0.2">
      <c r="A37" s="185" t="s">
        <v>547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202">
        <f>Y11/X11-1</f>
        <v>0.24142979138709286</v>
      </c>
      <c r="Z37" s="202">
        <f t="shared" ref="Z37:AE40" si="166">Z11/Y11-1</f>
        <v>-2.8793238993710668E-2</v>
      </c>
      <c r="AA37" s="203">
        <f t="shared" si="166"/>
        <v>0.52038854598806039</v>
      </c>
      <c r="AB37" s="203">
        <f t="shared" si="166"/>
        <v>0.1911315406628511</v>
      </c>
      <c r="AC37" s="203">
        <f t="shared" si="166"/>
        <v>0.10865814327726531</v>
      </c>
      <c r="AD37" s="203">
        <f t="shared" si="166"/>
        <v>0.15213038527740141</v>
      </c>
      <c r="AE37" s="203">
        <f t="shared" si="166"/>
        <v>0.15001497757629489</v>
      </c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U37" s="107"/>
      <c r="BV37" s="107"/>
      <c r="BW37" s="107"/>
      <c r="BX37" s="107"/>
      <c r="BY37" s="107"/>
      <c r="BZ37" s="107"/>
      <c r="CA37" s="193">
        <f t="shared" ref="CA37:CA40" si="167">CA11/BW11-1</f>
        <v>-4.7846889952152249E-4</v>
      </c>
      <c r="CB37" s="193">
        <f t="shared" ref="CB37:CB40" si="168">CB11/BX11-1</f>
        <v>0.33873986275732992</v>
      </c>
      <c r="CC37" s="193">
        <f t="shared" ref="CC37:CC40" si="169">CC11/BY11-1</f>
        <v>0.29577464788732399</v>
      </c>
      <c r="CD37" s="193">
        <f t="shared" ref="CD37:CD40" si="170">CD11/BZ11-1</f>
        <v>0.33629686896018551</v>
      </c>
      <c r="CE37" s="193">
        <f t="shared" ref="CE37:CE40" si="171">CE11/CA11-1</f>
        <v>0.1407371948300622</v>
      </c>
      <c r="CF37" s="193">
        <f t="shared" ref="CF37:CF40" si="172">CF11/CB11-1</f>
        <v>-0.10531220876048464</v>
      </c>
      <c r="CG37" s="193">
        <f t="shared" ref="CG37:CG40" si="173">CG11/CC11-1</f>
        <v>-0.14533011272141705</v>
      </c>
      <c r="CH37" s="193">
        <f t="shared" ref="CH37:CH40" si="174">CH11/CD11-1</f>
        <v>0</v>
      </c>
      <c r="CI37" s="193">
        <f t="shared" ref="CI37:CI40" si="175">CI11/CE11-1</f>
        <v>0.52119177507343695</v>
      </c>
      <c r="CJ37" s="193">
        <f t="shared" ref="CJ37:CJ40" si="176">CJ11/CF11-1</f>
        <v>0.88177083333333339</v>
      </c>
      <c r="CK37" s="193">
        <f t="shared" ref="CK37:CL37" si="177">CK11/CG11-1</f>
        <v>0.78238341968911906</v>
      </c>
      <c r="CL37" s="193">
        <f t="shared" si="177"/>
        <v>0.15822967891235185</v>
      </c>
      <c r="CM37" s="194">
        <f t="shared" ref="CM37" si="178">CM11/CI11-1</f>
        <v>0.2749268965517242</v>
      </c>
      <c r="CN37" s="194">
        <f t="shared" ref="CN37" si="179">CN11/CJ11-1</f>
        <v>0.28173456960974264</v>
      </c>
      <c r="CO37" s="194">
        <f t="shared" ref="CO37" si="180">CO11/CK11-1</f>
        <v>0.1251342230443977</v>
      </c>
      <c r="CP37" s="194">
        <f t="shared" ref="CP37" si="181">CP11/CL11-1</f>
        <v>9.5883523976024065E-2</v>
      </c>
      <c r="CQ37" s="194">
        <f t="shared" ref="CQ37" si="182">CQ11/CM11-1</f>
        <v>0.11096756563189025</v>
      </c>
      <c r="CR37" s="194">
        <f t="shared" ref="CR37" si="183">CR11/CN11-1</f>
        <v>0.10735634654291282</v>
      </c>
      <c r="CS37" s="194">
        <f t="shared" ref="CS37" si="184">CS11/CO11-1</f>
        <v>0.10833582316782087</v>
      </c>
      <c r="CT37" s="194">
        <f t="shared" ref="CT37" si="185">CT11/CP11-1</f>
        <v>0.10791235228884632</v>
      </c>
      <c r="CU37" s="194">
        <f t="shared" ref="CU37" si="186">CU11/CQ11-1</f>
        <v>0.16079045357232258</v>
      </c>
      <c r="CV37" s="194">
        <f t="shared" ref="CV37" si="187">CV11/CR11-1</f>
        <v>0.1467588273091518</v>
      </c>
      <c r="CW37" s="194">
        <f t="shared" ref="CW37" si="188">CW11/CS11-1</f>
        <v>0.15105669597000682</v>
      </c>
      <c r="CX37" s="194">
        <f t="shared" ref="CX37" si="189">CX11/CT11-1</f>
        <v>0.14969229520209248</v>
      </c>
      <c r="CY37" s="194">
        <f t="shared" ref="CY37" si="190">CY11/CU11-1</f>
        <v>0.15007529582420909</v>
      </c>
      <c r="CZ37" s="194">
        <f t="shared" ref="CZ37" si="191">CZ11/CV11-1</f>
        <v>0.14997710634688755</v>
      </c>
      <c r="DA37" s="194">
        <f t="shared" ref="DA37" si="192">DA11/CW11-1</f>
        <v>0.15000743598242128</v>
      </c>
      <c r="DB37" s="194">
        <f t="shared" ref="DB37" si="193">DB11/CX11-1</f>
        <v>0.14999783210788364</v>
      </c>
      <c r="DE37" s="117"/>
    </row>
    <row r="38" spans="1:109" s="109" customFormat="1" x14ac:dyDescent="0.2">
      <c r="A38" s="186" t="s">
        <v>557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202">
        <f t="shared" ref="Y38" si="194">Y12/X12-1</f>
        <v>6.8933250155957637E-2</v>
      </c>
      <c r="Z38" s="202">
        <f t="shared" si="166"/>
        <v>0.11146775605485848</v>
      </c>
      <c r="AA38" s="203">
        <f t="shared" si="166"/>
        <v>8.4274087687056909E-2</v>
      </c>
      <c r="AB38" s="203">
        <f t="shared" si="166"/>
        <v>0.10000000000000031</v>
      </c>
      <c r="AC38" s="203">
        <f t="shared" si="166"/>
        <v>0.10000000000000009</v>
      </c>
      <c r="AD38" s="203">
        <f t="shared" si="166"/>
        <v>0.14999999999999991</v>
      </c>
      <c r="AE38" s="203">
        <f t="shared" si="166"/>
        <v>0.14999999999999991</v>
      </c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  <c r="BU38" s="107"/>
      <c r="BV38" s="107"/>
      <c r="BW38" s="107"/>
      <c r="BX38" s="107"/>
      <c r="BY38" s="107"/>
      <c r="BZ38" s="107"/>
      <c r="CA38" s="193">
        <f t="shared" si="167"/>
        <v>3.0939226519337115E-2</v>
      </c>
      <c r="CB38" s="193">
        <f t="shared" si="168"/>
        <v>0.12903225806451624</v>
      </c>
      <c r="CC38" s="193">
        <f t="shared" si="169"/>
        <v>4.6875E-2</v>
      </c>
      <c r="CD38" s="193">
        <f t="shared" si="170"/>
        <v>7.079646017699126E-2</v>
      </c>
      <c r="CE38" s="193">
        <f t="shared" si="171"/>
        <v>7.3954983922829509E-2</v>
      </c>
      <c r="CF38" s="193">
        <f t="shared" si="172"/>
        <v>5.3846153846153877E-2</v>
      </c>
      <c r="CG38" s="193">
        <f t="shared" si="173"/>
        <v>0.1221166892808685</v>
      </c>
      <c r="CH38" s="193">
        <f t="shared" si="174"/>
        <v>0.20543093270366009</v>
      </c>
      <c r="CI38" s="193">
        <f t="shared" si="175"/>
        <v>0.13273453093812382</v>
      </c>
      <c r="CJ38" s="193">
        <f t="shared" si="176"/>
        <v>3.3368091762252305E-2</v>
      </c>
      <c r="CK38" s="193">
        <f t="shared" ref="CK38:CL40" si="195">CK12/CG12-1</f>
        <v>0.18258766626360345</v>
      </c>
      <c r="CL38" s="193">
        <f t="shared" si="195"/>
        <v>4.8971596474045587E-3</v>
      </c>
      <c r="CM38" s="194">
        <v>0.1</v>
      </c>
      <c r="CN38" s="194">
        <v>0.1</v>
      </c>
      <c r="CO38" s="194">
        <v>0.1</v>
      </c>
      <c r="CP38" s="194">
        <v>0.1</v>
      </c>
      <c r="CQ38" s="194">
        <v>0.1</v>
      </c>
      <c r="CR38" s="194">
        <v>0.1</v>
      </c>
      <c r="CS38" s="194">
        <v>0.1</v>
      </c>
      <c r="CT38" s="194">
        <v>0.1</v>
      </c>
      <c r="CU38" s="194">
        <v>0.15</v>
      </c>
      <c r="CV38" s="194">
        <v>0.15</v>
      </c>
      <c r="CW38" s="194">
        <v>0.15</v>
      </c>
      <c r="CX38" s="194">
        <v>0.15</v>
      </c>
      <c r="CY38" s="194">
        <v>0.15</v>
      </c>
      <c r="CZ38" s="194">
        <v>0.15</v>
      </c>
      <c r="DA38" s="194">
        <v>0.15</v>
      </c>
      <c r="DB38" s="194">
        <v>0.15</v>
      </c>
      <c r="DE38" s="117"/>
    </row>
    <row r="39" spans="1:109" s="109" customFormat="1" x14ac:dyDescent="0.2">
      <c r="A39" s="186" t="s">
        <v>558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202">
        <f t="shared" ref="Y39" si="196">Y13/X13-1</f>
        <v>0.70535194880744623</v>
      </c>
      <c r="Z39" s="202">
        <f t="shared" si="166"/>
        <v>-0.14352720450281431</v>
      </c>
      <c r="AA39" s="203">
        <f t="shared" si="166"/>
        <v>-2.4494672906502091E-2</v>
      </c>
      <c r="AB39" s="203">
        <f t="shared" si="166"/>
        <v>0.1100000000000001</v>
      </c>
      <c r="AC39" s="203">
        <f t="shared" si="166"/>
        <v>0.1100000000000001</v>
      </c>
      <c r="AD39" s="203">
        <f t="shared" si="166"/>
        <v>0.14999999999999991</v>
      </c>
      <c r="AE39" s="203">
        <f t="shared" si="166"/>
        <v>0.15000000000000013</v>
      </c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U39" s="107"/>
      <c r="BV39" s="107"/>
      <c r="BW39" s="107"/>
      <c r="BX39" s="107"/>
      <c r="BY39" s="107"/>
      <c r="BZ39" s="107"/>
      <c r="CA39" s="193">
        <f t="shared" si="167"/>
        <v>0.10273466371027351</v>
      </c>
      <c r="CB39" s="193">
        <f t="shared" si="168"/>
        <v>0.68281938325991187</v>
      </c>
      <c r="CC39" s="193">
        <f t="shared" si="169"/>
        <v>1.8230769230769233</v>
      </c>
      <c r="CD39" s="193">
        <f t="shared" si="170"/>
        <v>0.44929006085192702</v>
      </c>
      <c r="CE39" s="193">
        <f t="shared" si="171"/>
        <v>0.45509383378016088</v>
      </c>
      <c r="CF39" s="193">
        <f t="shared" si="172"/>
        <v>0.57748691099476446</v>
      </c>
      <c r="CG39" s="193">
        <f t="shared" si="173"/>
        <v>-0.56675749318801083</v>
      </c>
      <c r="CH39" s="193">
        <f t="shared" si="174"/>
        <v>-0.27455096804292045</v>
      </c>
      <c r="CI39" s="193">
        <f t="shared" si="175"/>
        <v>0.15522800552740668</v>
      </c>
      <c r="CJ39" s="193">
        <f t="shared" si="176"/>
        <v>-0.11483571191503483</v>
      </c>
      <c r="CK39" s="193">
        <f t="shared" si="195"/>
        <v>0.38021726700971992</v>
      </c>
      <c r="CL39" s="193">
        <f t="shared" si="195"/>
        <v>-0.29003215434083607</v>
      </c>
      <c r="CM39" s="194">
        <v>0.11</v>
      </c>
      <c r="CN39" s="194">
        <v>0.11</v>
      </c>
      <c r="CO39" s="194">
        <v>0.11</v>
      </c>
      <c r="CP39" s="194">
        <v>0.11</v>
      </c>
      <c r="CQ39" s="194">
        <v>0.11</v>
      </c>
      <c r="CR39" s="194">
        <v>0.11</v>
      </c>
      <c r="CS39" s="194">
        <v>0.11</v>
      </c>
      <c r="CT39" s="194">
        <v>0.11</v>
      </c>
      <c r="CU39" s="194">
        <v>0.15</v>
      </c>
      <c r="CV39" s="194">
        <v>0.15</v>
      </c>
      <c r="CW39" s="194">
        <v>0.15</v>
      </c>
      <c r="CX39" s="194">
        <v>0.15</v>
      </c>
      <c r="CY39" s="194">
        <v>0.15</v>
      </c>
      <c r="CZ39" s="194">
        <v>0.15</v>
      </c>
      <c r="DA39" s="194">
        <v>0.15</v>
      </c>
      <c r="DB39" s="194">
        <v>0.15</v>
      </c>
      <c r="DE39" s="117"/>
    </row>
    <row r="40" spans="1:109" s="109" customFormat="1" x14ac:dyDescent="0.2">
      <c r="A40" s="186" t="s">
        <v>559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202" t="e">
        <f t="shared" ref="Y40" si="197">Y14/X14-1</f>
        <v>#DIV/0!</v>
      </c>
      <c r="Z40" s="202">
        <f t="shared" si="166"/>
        <v>21.905579399141629</v>
      </c>
      <c r="AA40" s="203">
        <f t="shared" si="166"/>
        <v>0.30560239835113356</v>
      </c>
      <c r="AB40" s="203">
        <f t="shared" si="166"/>
        <v>0.1100000000000001</v>
      </c>
      <c r="AC40" s="203">
        <f t="shared" si="166"/>
        <v>0.10999999999999988</v>
      </c>
      <c r="AD40" s="203">
        <f t="shared" si="166"/>
        <v>0.14999999999999991</v>
      </c>
      <c r="AE40" s="203">
        <f t="shared" si="166"/>
        <v>0.14999999999999991</v>
      </c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7"/>
      <c r="BH40" s="107"/>
      <c r="BI40" s="107"/>
      <c r="BJ40" s="107"/>
      <c r="BK40" s="107"/>
      <c r="BL40" s="107"/>
      <c r="BM40" s="107"/>
      <c r="BN40" s="107"/>
      <c r="BO40" s="107"/>
      <c r="BP40" s="107"/>
      <c r="BQ40" s="107"/>
      <c r="BR40" s="107"/>
      <c r="BS40" s="107"/>
      <c r="BT40" s="107"/>
      <c r="BU40" s="107"/>
      <c r="BV40" s="107"/>
      <c r="BW40" s="107"/>
      <c r="BX40" s="107"/>
      <c r="BY40" s="107"/>
      <c r="BZ40" s="107"/>
      <c r="CA40" s="193" t="e">
        <f t="shared" si="167"/>
        <v>#DIV/0!</v>
      </c>
      <c r="CB40" s="193" t="e">
        <f t="shared" si="168"/>
        <v>#DIV/0!</v>
      </c>
      <c r="CC40" s="193" t="e">
        <f t="shared" si="169"/>
        <v>#DIV/0!</v>
      </c>
      <c r="CD40" s="193" t="e">
        <f t="shared" si="170"/>
        <v>#DIV/0!</v>
      </c>
      <c r="CE40" s="193" t="e">
        <f t="shared" si="171"/>
        <v>#DIV/0!</v>
      </c>
      <c r="CF40" s="193" t="e">
        <f t="shared" si="172"/>
        <v>#DIV/0!</v>
      </c>
      <c r="CG40" s="193" t="e">
        <f t="shared" si="173"/>
        <v>#DIV/0!</v>
      </c>
      <c r="CH40" s="193">
        <f t="shared" si="174"/>
        <v>5.4635193133047206</v>
      </c>
      <c r="CI40" s="193">
        <f t="shared" si="175"/>
        <v>0.51029962546816487</v>
      </c>
      <c r="CJ40" s="193">
        <f t="shared" si="176"/>
        <v>0.25673758865248231</v>
      </c>
      <c r="CK40" s="193">
        <f t="shared" si="195"/>
        <v>0.25942350332594244</v>
      </c>
      <c r="CL40" s="193">
        <f t="shared" si="195"/>
        <v>0.24767596281540505</v>
      </c>
      <c r="CM40" s="194">
        <v>0.11</v>
      </c>
      <c r="CN40" s="194">
        <v>0.11</v>
      </c>
      <c r="CO40" s="194">
        <v>0.11</v>
      </c>
      <c r="CP40" s="194">
        <v>0.11</v>
      </c>
      <c r="CQ40" s="194">
        <v>0.11</v>
      </c>
      <c r="CR40" s="194">
        <v>0.11</v>
      </c>
      <c r="CS40" s="194">
        <v>0.11</v>
      </c>
      <c r="CT40" s="194">
        <v>0.11</v>
      </c>
      <c r="CU40" s="194">
        <v>0.15</v>
      </c>
      <c r="CV40" s="194">
        <v>0.15</v>
      </c>
      <c r="CW40" s="194">
        <v>0.15</v>
      </c>
      <c r="CX40" s="194">
        <v>0.15</v>
      </c>
      <c r="CY40" s="194">
        <v>0.15</v>
      </c>
      <c r="CZ40" s="194">
        <v>0.15</v>
      </c>
      <c r="DA40" s="194">
        <v>0.15</v>
      </c>
      <c r="DB40" s="194">
        <v>0.15</v>
      </c>
      <c r="DE40" s="117"/>
    </row>
    <row r="41" spans="1:109" s="109" customFormat="1" x14ac:dyDescent="0.2">
      <c r="A41" s="185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202"/>
      <c r="Z41" s="202"/>
      <c r="AA41" s="203"/>
      <c r="AB41" s="203"/>
      <c r="AC41" s="203"/>
      <c r="AD41" s="203"/>
      <c r="AE41" s="203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  <c r="BY41" s="107"/>
      <c r="BZ41" s="107"/>
      <c r="CA41" s="193"/>
      <c r="CB41" s="193"/>
      <c r="CC41" s="193"/>
      <c r="CD41" s="193"/>
      <c r="CE41" s="193"/>
      <c r="CF41" s="193"/>
      <c r="CG41" s="193"/>
      <c r="CH41" s="193"/>
      <c r="CI41" s="193"/>
      <c r="CJ41" s="193"/>
      <c r="CK41" s="193"/>
      <c r="CL41" s="193"/>
      <c r="CM41" s="194"/>
      <c r="CN41" s="194"/>
      <c r="CO41" s="194"/>
      <c r="CP41" s="194"/>
      <c r="CQ41" s="194"/>
      <c r="CR41" s="194"/>
      <c r="CS41" s="194"/>
      <c r="CT41" s="194"/>
      <c r="CU41" s="194"/>
      <c r="CV41" s="194"/>
      <c r="CW41" s="194"/>
      <c r="CX41" s="194"/>
      <c r="CY41" s="194"/>
      <c r="CZ41" s="194"/>
      <c r="DA41" s="194"/>
      <c r="DB41" s="194"/>
      <c r="DE41" s="117"/>
    </row>
    <row r="42" spans="1:109" s="109" customFormat="1" x14ac:dyDescent="0.2">
      <c r="A42" s="185" t="s">
        <v>548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202">
        <f>Y17/X17-1</f>
        <v>4.8446413575420566E-2</v>
      </c>
      <c r="Z42" s="202">
        <f>Z17/Y17-1</f>
        <v>8.0539137159586716E-2</v>
      </c>
      <c r="AA42" s="203">
        <f t="shared" ref="AA42:AE42" si="198">AA17/Z17-1</f>
        <v>4.5191963601042939E-2</v>
      </c>
      <c r="AB42" s="203">
        <f t="shared" si="198"/>
        <v>4.2255074590364483E-2</v>
      </c>
      <c r="AC42" s="203">
        <f t="shared" si="198"/>
        <v>4.3847558098363049E-2</v>
      </c>
      <c r="AD42" s="203">
        <f t="shared" si="198"/>
        <v>4.9063029303168415E-2</v>
      </c>
      <c r="AE42" s="203">
        <f t="shared" si="198"/>
        <v>5.1030825456471307E-2</v>
      </c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7"/>
      <c r="BT42" s="107"/>
      <c r="BU42" s="107"/>
      <c r="BV42" s="107"/>
      <c r="BW42" s="107"/>
      <c r="BX42" s="107"/>
      <c r="BY42" s="107"/>
      <c r="BZ42" s="107"/>
      <c r="CA42" s="193">
        <f t="shared" ref="CA42:CA48" si="199">CA17/BW17-1</f>
        <v>3.5263921437339585E-2</v>
      </c>
      <c r="CB42" s="193">
        <f t="shared" ref="CB42:CB48" si="200">CB17/BX17-1</f>
        <v>4.8004434589800526E-2</v>
      </c>
      <c r="CC42" s="193">
        <f t="shared" ref="CC42:CC48" si="201">CC17/BY17-1</f>
        <v>2.3619186046511587E-2</v>
      </c>
      <c r="CD42" s="193">
        <f t="shared" ref="CD42:CD48" si="202">CD17/BZ17-1</f>
        <v>8.7873674059787854E-2</v>
      </c>
      <c r="CE42" s="193">
        <f t="shared" ref="CE42:CE48" si="203">CE17/CA17-1</f>
        <v>0.12881319392044843</v>
      </c>
      <c r="CF42" s="193">
        <f t="shared" ref="CF42:CF48" si="204">CF17/CB17-1</f>
        <v>7.9657251666137796E-2</v>
      </c>
      <c r="CG42" s="193">
        <f t="shared" ref="CG42:CG48" si="205">CG17/CC17-1</f>
        <v>4.7568335108271187E-2</v>
      </c>
      <c r="CH42" s="193">
        <f t="shared" ref="CH42:CH48" si="206">CH17/CD17-1</f>
        <v>6.2714681440443121E-2</v>
      </c>
      <c r="CI42" s="193">
        <f t="shared" ref="CI42:CI48" si="207">CI17/CE17-1</f>
        <v>-3.7624140565317044E-2</v>
      </c>
      <c r="CJ42" s="193">
        <f t="shared" ref="CJ42:CJ48" si="208">CJ17/CF17-1</f>
        <v>7.1526553008034455E-2</v>
      </c>
      <c r="CK42" s="193">
        <f t="shared" ref="CK42:CL42" si="209">CK17/CG17-1</f>
        <v>8.7315034451598272E-2</v>
      </c>
      <c r="CL42" s="193">
        <f t="shared" si="209"/>
        <v>6.8710249191950679E-2</v>
      </c>
      <c r="CM42" s="194">
        <v>0.05</v>
      </c>
      <c r="CN42" s="194">
        <v>0.05</v>
      </c>
      <c r="CO42" s="194">
        <v>0.05</v>
      </c>
      <c r="CP42" s="194">
        <v>0.05</v>
      </c>
      <c r="CQ42" s="194">
        <v>0.08</v>
      </c>
      <c r="CR42" s="194">
        <v>0.08</v>
      </c>
      <c r="CS42" s="194">
        <v>0.08</v>
      </c>
      <c r="CT42" s="194">
        <v>0.08</v>
      </c>
      <c r="CU42" s="194">
        <v>0.08</v>
      </c>
      <c r="CV42" s="194">
        <v>0.08</v>
      </c>
      <c r="CW42" s="194">
        <v>0.08</v>
      </c>
      <c r="CX42" s="194">
        <v>0.08</v>
      </c>
      <c r="CY42" s="194">
        <v>0.08</v>
      </c>
      <c r="CZ42" s="194">
        <v>0.08</v>
      </c>
      <c r="DA42" s="194">
        <v>0.08</v>
      </c>
      <c r="DB42" s="194">
        <v>0.08</v>
      </c>
      <c r="DE42" s="117"/>
    </row>
    <row r="43" spans="1:109" s="109" customFormat="1" x14ac:dyDescent="0.2">
      <c r="A43" s="185" t="s">
        <v>560</v>
      </c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202">
        <f t="shared" ref="Y43:Z43" si="210">Y18/X18-1</f>
        <v>0.13501350135013501</v>
      </c>
      <c r="Z43" s="202">
        <f t="shared" si="210"/>
        <v>0.12053925455987313</v>
      </c>
      <c r="AA43" s="203">
        <f t="shared" ref="AA43:AE43" si="211">AA18/Z18-1</f>
        <v>-4.1755130927105477E-2</v>
      </c>
      <c r="AB43" s="203">
        <f t="shared" si="211"/>
        <v>3.0000000000000027E-2</v>
      </c>
      <c r="AC43" s="203">
        <f t="shared" si="211"/>
        <v>2.9999999999999805E-2</v>
      </c>
      <c r="AD43" s="203">
        <f t="shared" si="211"/>
        <v>3.0000000000000027E-2</v>
      </c>
      <c r="AE43" s="203">
        <f t="shared" si="211"/>
        <v>3.0000000000000027E-2</v>
      </c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  <c r="BQ43" s="107"/>
      <c r="BR43" s="107"/>
      <c r="BS43" s="107"/>
      <c r="BT43" s="107"/>
      <c r="BU43" s="107"/>
      <c r="BV43" s="107"/>
      <c r="BW43" s="107"/>
      <c r="BX43" s="107"/>
      <c r="BY43" s="107"/>
      <c r="BZ43" s="107"/>
      <c r="CA43" s="193">
        <f t="shared" si="199"/>
        <v>0.19678714859437751</v>
      </c>
      <c r="CB43" s="193">
        <f t="shared" si="200"/>
        <v>0.15662650602409633</v>
      </c>
      <c r="CC43" s="193">
        <f t="shared" si="201"/>
        <v>0.16535433070866135</v>
      </c>
      <c r="CD43" s="193">
        <f t="shared" si="202"/>
        <v>5.5710306406685284E-2</v>
      </c>
      <c r="CE43" s="193">
        <f t="shared" si="203"/>
        <v>0.10402684563758391</v>
      </c>
      <c r="CF43" s="193">
        <f t="shared" si="204"/>
        <v>0.16666666666666674</v>
      </c>
      <c r="CG43" s="193">
        <f t="shared" si="205"/>
        <v>0.1114864864864864</v>
      </c>
      <c r="CH43" s="193">
        <f t="shared" si="206"/>
        <v>0.10554089709762526</v>
      </c>
      <c r="CI43" s="193">
        <f t="shared" si="207"/>
        <v>-3.6474164133738607E-2</v>
      </c>
      <c r="CJ43" s="193">
        <f t="shared" si="208"/>
        <v>-8.0357142857142905E-2</v>
      </c>
      <c r="CK43" s="193">
        <f t="shared" ref="CK43:CL48" si="212">CK18/CG18-1</f>
        <v>-4.5592705167173286E-2</v>
      </c>
      <c r="CL43" s="193">
        <f t="shared" si="212"/>
        <v>-1.1933174224343701E-2</v>
      </c>
      <c r="CM43" s="194">
        <v>0.03</v>
      </c>
      <c r="CN43" s="194">
        <v>0.03</v>
      </c>
      <c r="CO43" s="194">
        <v>0.03</v>
      </c>
      <c r="CP43" s="194">
        <v>0.03</v>
      </c>
      <c r="CQ43" s="194">
        <v>0.03</v>
      </c>
      <c r="CR43" s="194">
        <v>0.03</v>
      </c>
      <c r="CS43" s="194">
        <v>0.03</v>
      </c>
      <c r="CT43" s="194">
        <v>0.03</v>
      </c>
      <c r="CU43" s="194">
        <v>0.03</v>
      </c>
      <c r="CV43" s="194">
        <v>0.03</v>
      </c>
      <c r="CW43" s="194">
        <v>0.03</v>
      </c>
      <c r="CX43" s="194">
        <v>0.03</v>
      </c>
      <c r="CY43" s="194">
        <v>0.03</v>
      </c>
      <c r="CZ43" s="194">
        <v>0.03</v>
      </c>
      <c r="DA43" s="194">
        <v>0.03</v>
      </c>
      <c r="DB43" s="194">
        <v>0.03</v>
      </c>
      <c r="DE43" s="117"/>
    </row>
    <row r="44" spans="1:109" s="109" customFormat="1" x14ac:dyDescent="0.2">
      <c r="A44" s="185" t="s">
        <v>561</v>
      </c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202">
        <f t="shared" ref="Y44:Z44" si="213">Y19/X19-1</f>
        <v>4.5568787026509572E-2</v>
      </c>
      <c r="Z44" s="202">
        <f t="shared" si="213"/>
        <v>7.9095721848619238E-2</v>
      </c>
      <c r="AA44" s="203">
        <f t="shared" ref="AA44:AE44" si="214">AA19/Z19-1</f>
        <v>4.8449972155188314E-2</v>
      </c>
      <c r="AB44" s="203">
        <f t="shared" si="214"/>
        <v>4.267477741804937E-2</v>
      </c>
      <c r="AC44" s="203">
        <f t="shared" si="214"/>
        <v>4.4316034251594694E-2</v>
      </c>
      <c r="AD44" s="203">
        <f t="shared" si="214"/>
        <v>4.9699108932035774E-2</v>
      </c>
      <c r="AE44" s="203">
        <f t="shared" si="214"/>
        <v>5.1719395757034548E-2</v>
      </c>
      <c r="AI44" s="107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7"/>
      <c r="BK44" s="107"/>
      <c r="BL44" s="107"/>
      <c r="BM44" s="107"/>
      <c r="BN44" s="107"/>
      <c r="BO44" s="107"/>
      <c r="BP44" s="107"/>
      <c r="BQ44" s="107"/>
      <c r="BR44" s="107"/>
      <c r="BS44" s="107"/>
      <c r="BT44" s="107"/>
      <c r="BU44" s="107"/>
      <c r="BV44" s="107"/>
      <c r="BW44" s="107"/>
      <c r="BX44" s="107"/>
      <c r="BY44" s="107"/>
      <c r="BZ44" s="107"/>
      <c r="CA44" s="193">
        <f t="shared" si="199"/>
        <v>3.0647382920110156E-2</v>
      </c>
      <c r="CB44" s="193">
        <f t="shared" si="200"/>
        <v>4.4920761600729664E-2</v>
      </c>
      <c r="CC44" s="193">
        <f t="shared" si="201"/>
        <v>1.9120219945013783E-2</v>
      </c>
      <c r="CD44" s="193">
        <f t="shared" si="202"/>
        <v>8.9328461635378664E-2</v>
      </c>
      <c r="CE44" s="193">
        <f t="shared" si="203"/>
        <v>0.12963581690611425</v>
      </c>
      <c r="CF44" s="193">
        <f t="shared" si="204"/>
        <v>7.6923076923076872E-2</v>
      </c>
      <c r="CG44" s="193">
        <f t="shared" si="205"/>
        <v>4.5248313917841898E-2</v>
      </c>
      <c r="CH44" s="193">
        <f t="shared" si="206"/>
        <v>6.0837381448068495E-2</v>
      </c>
      <c r="CI44" s="193">
        <f t="shared" si="207"/>
        <v>-3.7661441388149419E-2</v>
      </c>
      <c r="CJ44" s="193">
        <f t="shared" si="208"/>
        <v>7.6697061803444821E-2</v>
      </c>
      <c r="CK44" s="193">
        <f t="shared" si="212"/>
        <v>9.244486156733922E-2</v>
      </c>
      <c r="CL44" s="193">
        <f t="shared" si="212"/>
        <v>7.2394243349324094E-2</v>
      </c>
      <c r="CM44" s="194">
        <f t="shared" ref="CM44" si="215">CM19/CI19-1</f>
        <v>4.0576785165454599E-2</v>
      </c>
      <c r="CN44" s="194">
        <f t="shared" ref="CN44" si="216">CN19/CJ19-1</f>
        <v>4.4088642137950718E-2</v>
      </c>
      <c r="CO44" s="194">
        <f t="shared" ref="CO44" si="217">CO19/CK19-1</f>
        <v>4.1977018900343666E-2</v>
      </c>
      <c r="CP44" s="194">
        <f t="shared" ref="CP44" si="218">CP19/CL19-1</f>
        <v>4.3889792598617472E-2</v>
      </c>
      <c r="CQ44" s="194">
        <f t="shared" ref="CQ44" si="219">CQ19/CM19-1</f>
        <v>4.2160534484846357E-2</v>
      </c>
      <c r="CR44" s="194">
        <f t="shared" ref="CR44" si="220">CR19/CN19-1</f>
        <v>4.5771648582807467E-2</v>
      </c>
      <c r="CS44" s="194">
        <f t="shared" ref="CS44" si="221">CS19/CO19-1</f>
        <v>4.3600257242945251E-2</v>
      </c>
      <c r="CT44" s="194">
        <f t="shared" ref="CT44" si="222">CT19/CP19-1</f>
        <v>4.5551739922280676E-2</v>
      </c>
      <c r="CU44" s="194">
        <f t="shared" ref="CU44" si="223">CU19/CQ19-1</f>
        <v>4.7671300216172607E-2</v>
      </c>
      <c r="CV44" s="194">
        <f t="shared" ref="CV44" si="224">CV19/CR19-1</f>
        <v>5.0884158110784172E-2</v>
      </c>
      <c r="CW44" s="194">
        <f t="shared" ref="CW44" si="225">CW19/CS19-1</f>
        <v>4.9023369537549488E-2</v>
      </c>
      <c r="CX44" s="194">
        <f t="shared" ref="CX44" si="226">CX19/CT19-1</f>
        <v>5.1055076081107043E-2</v>
      </c>
      <c r="CY44" s="194">
        <f t="shared" ref="CY44" si="227">CY19/CU19-1</f>
        <v>4.9676790539696647E-2</v>
      </c>
      <c r="CZ44" s="194">
        <f t="shared" ref="CZ44" si="228">CZ19/CV19-1</f>
        <v>5.2902981548627714E-2</v>
      </c>
      <c r="DA44" s="194">
        <f t="shared" ref="DA44" si="229">DA19/CW19-1</f>
        <v>5.1039484241057975E-2</v>
      </c>
      <c r="DB44" s="194">
        <f t="shared" ref="DB44" si="230">DB19/CX19-1</f>
        <v>5.30879538098179E-2</v>
      </c>
      <c r="DE44" s="117"/>
    </row>
    <row r="45" spans="1:109" s="109" customFormat="1" x14ac:dyDescent="0.2">
      <c r="A45" s="186" t="s">
        <v>562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202">
        <f t="shared" ref="Y45:Z45" si="231">Y20/X20-1</f>
        <v>-0.11745776347546255</v>
      </c>
      <c r="Z45" s="202">
        <f t="shared" si="231"/>
        <v>6.8368277119417176E-3</v>
      </c>
      <c r="AA45" s="203">
        <f t="shared" ref="AA45:AE45" si="232">AA20/Z20-1</f>
        <v>3.4178361249434186E-2</v>
      </c>
      <c r="AB45" s="203">
        <f t="shared" si="232"/>
        <v>8.0000000000000071E-2</v>
      </c>
      <c r="AC45" s="203">
        <f t="shared" si="232"/>
        <v>8.0000000000000071E-2</v>
      </c>
      <c r="AD45" s="203">
        <f t="shared" si="232"/>
        <v>0.11000000000000032</v>
      </c>
      <c r="AE45" s="203">
        <f t="shared" si="232"/>
        <v>0.10999999999999988</v>
      </c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7"/>
      <c r="BK45" s="107"/>
      <c r="BL45" s="107"/>
      <c r="BM45" s="107"/>
      <c r="BN45" s="107"/>
      <c r="BO45" s="107"/>
      <c r="BP45" s="107"/>
      <c r="BQ45" s="107"/>
      <c r="BR45" s="107"/>
      <c r="BS45" s="107"/>
      <c r="BT45" s="107"/>
      <c r="BU45" s="107"/>
      <c r="BV45" s="107"/>
      <c r="BW45" s="107"/>
      <c r="BX45" s="107"/>
      <c r="BY45" s="107"/>
      <c r="BZ45" s="107"/>
      <c r="CA45" s="193">
        <f t="shared" si="199"/>
        <v>-0.18074792243767313</v>
      </c>
      <c r="CB45" s="193">
        <f t="shared" si="200"/>
        <v>-0.1385493072534637</v>
      </c>
      <c r="CC45" s="193">
        <f t="shared" si="201"/>
        <v>-9.7014925373134275E-2</v>
      </c>
      <c r="CD45" s="193">
        <f t="shared" si="202"/>
        <v>-3.2876712328767099E-2</v>
      </c>
      <c r="CE45" s="193">
        <f t="shared" si="203"/>
        <v>4.8182586644125003E-2</v>
      </c>
      <c r="CF45" s="193">
        <f t="shared" si="204"/>
        <v>8.4200567644276303E-2</v>
      </c>
      <c r="CG45" s="193">
        <f t="shared" si="205"/>
        <v>-0.1074380165289256</v>
      </c>
      <c r="CH45" s="193">
        <f t="shared" si="206"/>
        <v>9.442870632672129E-4</v>
      </c>
      <c r="CI45" s="193">
        <f t="shared" si="207"/>
        <v>-5.0000000000000044E-2</v>
      </c>
      <c r="CJ45" s="193">
        <f t="shared" si="208"/>
        <v>-1.4834205933682343E-2</v>
      </c>
      <c r="CK45" s="193">
        <f t="shared" si="212"/>
        <v>0.12242798353909468</v>
      </c>
      <c r="CL45" s="193">
        <f t="shared" si="212"/>
        <v>0.10471698113207539</v>
      </c>
      <c r="CM45" s="194">
        <v>0.08</v>
      </c>
      <c r="CN45" s="194">
        <v>0.08</v>
      </c>
      <c r="CO45" s="194">
        <v>0.08</v>
      </c>
      <c r="CP45" s="194">
        <v>0.08</v>
      </c>
      <c r="CQ45" s="194">
        <v>0.08</v>
      </c>
      <c r="CR45" s="194">
        <v>0.08</v>
      </c>
      <c r="CS45" s="194">
        <v>0.08</v>
      </c>
      <c r="CT45" s="194">
        <v>0.08</v>
      </c>
      <c r="CU45" s="194">
        <v>0.11</v>
      </c>
      <c r="CV45" s="194">
        <v>0.11</v>
      </c>
      <c r="CW45" s="194">
        <v>0.11</v>
      </c>
      <c r="CX45" s="194">
        <v>0.11</v>
      </c>
      <c r="CY45" s="194">
        <v>0.11</v>
      </c>
      <c r="CZ45" s="194">
        <v>0.11</v>
      </c>
      <c r="DA45" s="194">
        <v>0.11</v>
      </c>
      <c r="DB45" s="194">
        <v>0.11</v>
      </c>
      <c r="DE45" s="117"/>
    </row>
    <row r="46" spans="1:109" s="109" customFormat="1" x14ac:dyDescent="0.2">
      <c r="A46" s="186" t="s">
        <v>563</v>
      </c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202">
        <f t="shared" ref="Y46:Z46" si="233">Y21/X21-1</f>
        <v>0.11998784933171325</v>
      </c>
      <c r="Z46" s="202">
        <f t="shared" si="233"/>
        <v>6.8185516680227876E-2</v>
      </c>
      <c r="AA46" s="203">
        <f t="shared" ref="AA46:AE46" si="234">AA21/Z21-1</f>
        <v>1.5539305301645268E-2</v>
      </c>
      <c r="AB46" s="203">
        <f t="shared" si="234"/>
        <v>1.0000000000000231E-2</v>
      </c>
      <c r="AC46" s="203">
        <f t="shared" si="234"/>
        <v>9.9999999999997868E-3</v>
      </c>
      <c r="AD46" s="203">
        <f t="shared" si="234"/>
        <v>1.0000000000000009E-2</v>
      </c>
      <c r="AE46" s="203">
        <f t="shared" si="234"/>
        <v>1.0000000000000009E-2</v>
      </c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  <c r="AS46" s="107"/>
      <c r="AT46" s="107"/>
      <c r="AU46" s="107"/>
      <c r="AV46" s="107"/>
      <c r="AW46" s="107"/>
      <c r="AX46" s="107"/>
      <c r="AY46" s="107"/>
      <c r="AZ46" s="107"/>
      <c r="BA46" s="107"/>
      <c r="BB46" s="107"/>
      <c r="BC46" s="107"/>
      <c r="BD46" s="107"/>
      <c r="BE46" s="107"/>
      <c r="BF46" s="107"/>
      <c r="BG46" s="107"/>
      <c r="BH46" s="107"/>
      <c r="BI46" s="107"/>
      <c r="BJ46" s="107"/>
      <c r="BK46" s="107"/>
      <c r="BL46" s="107"/>
      <c r="BM46" s="107"/>
      <c r="BN46" s="107"/>
      <c r="BO46" s="107"/>
      <c r="BP46" s="107"/>
      <c r="BQ46" s="107"/>
      <c r="BR46" s="107"/>
      <c r="BS46" s="107"/>
      <c r="BT46" s="107"/>
      <c r="BU46" s="107"/>
      <c r="BV46" s="107"/>
      <c r="BW46" s="107"/>
      <c r="BX46" s="107"/>
      <c r="BY46" s="107"/>
      <c r="BZ46" s="107"/>
      <c r="CA46" s="193">
        <f t="shared" si="199"/>
        <v>0.16687705124968444</v>
      </c>
      <c r="CB46" s="193">
        <f t="shared" si="200"/>
        <v>0.10695693327023181</v>
      </c>
      <c r="CC46" s="193">
        <f t="shared" si="201"/>
        <v>7.32421875E-2</v>
      </c>
      <c r="CD46" s="193">
        <f t="shared" si="202"/>
        <v>0.134546325113718</v>
      </c>
      <c r="CE46" s="193">
        <f t="shared" si="203"/>
        <v>0.11553440069234089</v>
      </c>
      <c r="CF46" s="193">
        <f t="shared" si="204"/>
        <v>2.928601966652411E-2</v>
      </c>
      <c r="CG46" s="193">
        <f t="shared" si="205"/>
        <v>4.3903548680618742E-2</v>
      </c>
      <c r="CH46" s="193">
        <f t="shared" si="206"/>
        <v>8.2928887951044583E-2</v>
      </c>
      <c r="CI46" s="193">
        <f t="shared" si="207"/>
        <v>1.5515903801397446E-3</v>
      </c>
      <c r="CJ46" s="193">
        <f t="shared" si="208"/>
        <v>7.9543094496365541E-2</v>
      </c>
      <c r="CK46" s="193">
        <f t="shared" si="212"/>
        <v>6.9731967748964951E-3</v>
      </c>
      <c r="CL46" s="193">
        <f t="shared" si="212"/>
        <v>-2.2798129384255628E-2</v>
      </c>
      <c r="CM46" s="194">
        <v>0.01</v>
      </c>
      <c r="CN46" s="194">
        <v>0.01</v>
      </c>
      <c r="CO46" s="194">
        <v>0.01</v>
      </c>
      <c r="CP46" s="194">
        <v>0.01</v>
      </c>
      <c r="CQ46" s="194">
        <v>0.01</v>
      </c>
      <c r="CR46" s="194">
        <v>0.01</v>
      </c>
      <c r="CS46" s="194">
        <v>0.01</v>
      </c>
      <c r="CT46" s="194">
        <v>0.01</v>
      </c>
      <c r="CU46" s="194">
        <v>0.01</v>
      </c>
      <c r="CV46" s="194">
        <v>0.01</v>
      </c>
      <c r="CW46" s="194">
        <v>0.01</v>
      </c>
      <c r="CX46" s="194">
        <v>0.01</v>
      </c>
      <c r="CY46" s="194">
        <v>0.01</v>
      </c>
      <c r="CZ46" s="194">
        <v>0.01</v>
      </c>
      <c r="DA46" s="194">
        <v>0.01</v>
      </c>
      <c r="DB46" s="194">
        <v>0.01</v>
      </c>
      <c r="DE46" s="117"/>
    </row>
    <row r="47" spans="1:109" s="109" customFormat="1" x14ac:dyDescent="0.2">
      <c r="A47" s="186" t="s">
        <v>564</v>
      </c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202">
        <f t="shared" ref="Y47:Z47" si="235">Y22/X22-1</f>
        <v>-3.4100761005683489E-2</v>
      </c>
      <c r="Z47" s="202">
        <f t="shared" si="235"/>
        <v>2.7525680662211949E-2</v>
      </c>
      <c r="AA47" s="203">
        <f t="shared" ref="AA47:AE47" si="236">AA22/Z22-1</f>
        <v>4.8238377171697655E-2</v>
      </c>
      <c r="AB47" s="203">
        <f t="shared" si="236"/>
        <v>0.10000000000000009</v>
      </c>
      <c r="AC47" s="203">
        <f t="shared" si="236"/>
        <v>0.10000000000000009</v>
      </c>
      <c r="AD47" s="203">
        <f t="shared" si="236"/>
        <v>0.10000000000000009</v>
      </c>
      <c r="AE47" s="203">
        <f t="shared" si="236"/>
        <v>0.10000000000000009</v>
      </c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107"/>
      <c r="BT47" s="107"/>
      <c r="BU47" s="107"/>
      <c r="BV47" s="107"/>
      <c r="BW47" s="107"/>
      <c r="BX47" s="107"/>
      <c r="BY47" s="107"/>
      <c r="BZ47" s="107"/>
      <c r="CA47" s="193">
        <f t="shared" si="199"/>
        <v>-0.102112676056338</v>
      </c>
      <c r="CB47" s="193">
        <f t="shared" si="200"/>
        <v>-8.0971659919027994E-3</v>
      </c>
      <c r="CC47" s="193">
        <f t="shared" si="201"/>
        <v>-2.2361359570661765E-3</v>
      </c>
      <c r="CD47" s="193">
        <f t="shared" si="202"/>
        <v>-2.9168692270296059E-3</v>
      </c>
      <c r="CE47" s="193">
        <f t="shared" si="203"/>
        <v>6.6666666666666652E-2</v>
      </c>
      <c r="CF47" s="193">
        <f t="shared" si="204"/>
        <v>5.6122448979591733E-2</v>
      </c>
      <c r="CG47" s="193">
        <f t="shared" si="205"/>
        <v>-2.196324518153292E-2</v>
      </c>
      <c r="CH47" s="193">
        <f t="shared" si="206"/>
        <v>-1.3164310092637743E-2</v>
      </c>
      <c r="CI47" s="193">
        <f t="shared" si="207"/>
        <v>-0.19786096256684493</v>
      </c>
      <c r="CJ47" s="193">
        <f t="shared" si="208"/>
        <v>1.352657004830915E-2</v>
      </c>
      <c r="CK47" s="193">
        <f t="shared" si="212"/>
        <v>0.12740604949587531</v>
      </c>
      <c r="CL47" s="193">
        <f t="shared" si="212"/>
        <v>0.37994071146245068</v>
      </c>
      <c r="CM47" s="194">
        <v>0.1</v>
      </c>
      <c r="CN47" s="194">
        <v>0.1</v>
      </c>
      <c r="CO47" s="194">
        <v>0.1</v>
      </c>
      <c r="CP47" s="194">
        <v>0.1</v>
      </c>
      <c r="CQ47" s="194">
        <v>0.1</v>
      </c>
      <c r="CR47" s="194">
        <v>0.1</v>
      </c>
      <c r="CS47" s="194">
        <v>0.1</v>
      </c>
      <c r="CT47" s="194">
        <v>0.1</v>
      </c>
      <c r="CU47" s="194">
        <v>0.1</v>
      </c>
      <c r="CV47" s="194">
        <v>0.1</v>
      </c>
      <c r="CW47" s="194">
        <v>0.1</v>
      </c>
      <c r="CX47" s="194">
        <v>0.1</v>
      </c>
      <c r="CY47" s="194">
        <v>0.1</v>
      </c>
      <c r="CZ47" s="194">
        <v>0.1</v>
      </c>
      <c r="DA47" s="194">
        <v>0.1</v>
      </c>
      <c r="DB47" s="194">
        <v>0.1</v>
      </c>
      <c r="DE47" s="117"/>
    </row>
    <row r="48" spans="1:109" s="109" customFormat="1" x14ac:dyDescent="0.2">
      <c r="A48" s="186" t="s">
        <v>565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202">
        <f t="shared" ref="Y48:Z48" si="237">Y23/X23-1</f>
        <v>0.30205096333126158</v>
      </c>
      <c r="Z48" s="202">
        <f t="shared" si="237"/>
        <v>0.57326968973747006</v>
      </c>
      <c r="AA48" s="203">
        <f t="shared" ref="AA48:AE48" si="238">AA23/Z23-1</f>
        <v>0.26486650485436902</v>
      </c>
      <c r="AB48" s="203">
        <f t="shared" si="238"/>
        <v>1.0000000000000231E-2</v>
      </c>
      <c r="AC48" s="203">
        <f t="shared" si="238"/>
        <v>1.0000000000000009E-2</v>
      </c>
      <c r="AD48" s="203">
        <f t="shared" si="238"/>
        <v>1.0000000000000009E-2</v>
      </c>
      <c r="AE48" s="203">
        <f t="shared" si="238"/>
        <v>1.0000000000000231E-2</v>
      </c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7"/>
      <c r="BT48" s="107"/>
      <c r="BU48" s="107"/>
      <c r="BV48" s="107"/>
      <c r="BW48" s="107"/>
      <c r="BX48" s="107"/>
      <c r="BY48" s="107"/>
      <c r="BZ48" s="107"/>
      <c r="CA48" s="193">
        <f t="shared" si="199"/>
        <v>1.0163934426229506</v>
      </c>
      <c r="CB48" s="193">
        <f t="shared" si="200"/>
        <v>0.38418079096045199</v>
      </c>
      <c r="CC48" s="193">
        <f t="shared" si="201"/>
        <v>-5.3879310344827624E-2</v>
      </c>
      <c r="CD48" s="193">
        <f t="shared" si="202"/>
        <v>0.31085526315789469</v>
      </c>
      <c r="CE48" s="193">
        <f t="shared" si="203"/>
        <v>1.0460704607046072</v>
      </c>
      <c r="CF48" s="193">
        <f t="shared" si="204"/>
        <v>0.64081632653061216</v>
      </c>
      <c r="CG48" s="193">
        <f t="shared" si="205"/>
        <v>0.77904328018223246</v>
      </c>
      <c r="CH48" s="193">
        <f t="shared" si="206"/>
        <v>0.19949811794228367</v>
      </c>
      <c r="CI48" s="193">
        <f t="shared" si="207"/>
        <v>0.3496688741721854</v>
      </c>
      <c r="CJ48" s="193">
        <f t="shared" si="208"/>
        <v>0.43407960199004969</v>
      </c>
      <c r="CK48" s="193">
        <f t="shared" si="212"/>
        <v>0.4596670934699103</v>
      </c>
      <c r="CL48" s="193">
        <f t="shared" si="212"/>
        <v>-0.10355648535564854</v>
      </c>
      <c r="CM48" s="194">
        <v>0.01</v>
      </c>
      <c r="CN48" s="194">
        <v>0.01</v>
      </c>
      <c r="CO48" s="194">
        <v>0.01</v>
      </c>
      <c r="CP48" s="194">
        <v>0.01</v>
      </c>
      <c r="CQ48" s="194">
        <v>0.01</v>
      </c>
      <c r="CR48" s="194">
        <v>0.01</v>
      </c>
      <c r="CS48" s="194">
        <v>0.01</v>
      </c>
      <c r="CT48" s="194">
        <v>0.01</v>
      </c>
      <c r="CU48" s="194">
        <v>0.01</v>
      </c>
      <c r="CV48" s="194">
        <v>0.01</v>
      </c>
      <c r="CW48" s="194">
        <v>0.01</v>
      </c>
      <c r="CX48" s="194">
        <v>0.01</v>
      </c>
      <c r="CY48" s="194">
        <v>0.01</v>
      </c>
      <c r="CZ48" s="194">
        <v>0.01</v>
      </c>
      <c r="DA48" s="194">
        <v>0.01</v>
      </c>
      <c r="DB48" s="194">
        <v>0.01</v>
      </c>
      <c r="DE48" s="117"/>
    </row>
    <row r="49" spans="1:109" s="109" customFormat="1" x14ac:dyDescent="0.2">
      <c r="A49" s="18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8"/>
      <c r="AB49" s="108"/>
      <c r="AC49" s="108"/>
      <c r="AD49" s="108"/>
      <c r="AE49" s="108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7"/>
      <c r="BQ49" s="107"/>
      <c r="BR49" s="107"/>
      <c r="BS49" s="107"/>
      <c r="BT49" s="107"/>
      <c r="BU49" s="107"/>
      <c r="BV49" s="107"/>
      <c r="BW49" s="107"/>
      <c r="BX49" s="107"/>
      <c r="BY49" s="107"/>
      <c r="BZ49" s="107"/>
      <c r="CA49" s="193"/>
      <c r="CB49" s="193"/>
      <c r="CC49" s="193"/>
      <c r="CD49" s="193"/>
      <c r="CE49" s="193"/>
      <c r="CF49" s="193"/>
      <c r="CG49" s="193"/>
      <c r="CH49" s="193"/>
      <c r="CI49" s="193"/>
      <c r="CJ49" s="193"/>
      <c r="CK49" s="193"/>
      <c r="CL49" s="193"/>
      <c r="CM49" s="108"/>
      <c r="CN49" s="108"/>
      <c r="CO49" s="108"/>
      <c r="CP49" s="108"/>
      <c r="CQ49" s="108"/>
      <c r="CR49" s="108"/>
      <c r="CS49" s="108"/>
      <c r="CT49" s="108"/>
      <c r="CU49" s="108"/>
      <c r="CV49" s="108"/>
      <c r="CW49" s="108"/>
      <c r="CX49" s="108"/>
      <c r="CY49" s="108"/>
      <c r="CZ49" s="108"/>
      <c r="DA49" s="108"/>
      <c r="DB49" s="108"/>
      <c r="DE49" s="117"/>
    </row>
    <row r="50" spans="1:109" s="158" customFormat="1" x14ac:dyDescent="0.2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7"/>
      <c r="AB50" s="157"/>
      <c r="AC50" s="157"/>
      <c r="AD50" s="157"/>
      <c r="AE50" s="157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56"/>
      <c r="CH50" s="156"/>
      <c r="CI50" s="156"/>
      <c r="CJ50" s="156"/>
      <c r="CK50" s="156"/>
      <c r="CL50" s="156"/>
      <c r="CM50" s="157"/>
      <c r="CN50" s="157"/>
      <c r="CO50" s="157"/>
      <c r="CP50" s="157"/>
      <c r="CQ50" s="157"/>
      <c r="CR50" s="157"/>
      <c r="CS50" s="157"/>
      <c r="CT50" s="157"/>
      <c r="CU50" s="157"/>
      <c r="CV50" s="157"/>
      <c r="CW50" s="157"/>
      <c r="CX50" s="157"/>
      <c r="CY50" s="157"/>
      <c r="CZ50" s="157"/>
      <c r="DA50" s="157"/>
      <c r="DB50" s="157"/>
      <c r="DE50" s="159"/>
    </row>
    <row r="51" spans="1:109" s="188" customFormat="1" x14ac:dyDescent="0.2">
      <c r="A51" s="188" t="s">
        <v>13</v>
      </c>
    </row>
    <row r="52" spans="1:109" s="158" customFormat="1" x14ac:dyDescent="0.2">
      <c r="A52" s="185" t="s">
        <v>566</v>
      </c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07">
        <f>SUM(X53:X56)</f>
        <v>2908</v>
      </c>
      <c r="Y52" s="107">
        <f t="shared" ref="Y52:Z52" si="239">SUM(Y53:Y56)</f>
        <v>3778</v>
      </c>
      <c r="Z52" s="107">
        <f t="shared" si="239"/>
        <v>4183</v>
      </c>
      <c r="AA52" s="157"/>
      <c r="AB52" s="157"/>
      <c r="AC52" s="157"/>
      <c r="AD52" s="157"/>
      <c r="AE52" s="157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07">
        <f>SUM(BW53:BW56)</f>
        <v>459</v>
      </c>
      <c r="BX52" s="107">
        <f t="shared" ref="BX52:CL52" si="240">SUM(BX53:BX56)</f>
        <v>393</v>
      </c>
      <c r="BY52" s="107">
        <f t="shared" si="240"/>
        <v>1055</v>
      </c>
      <c r="BZ52" s="107">
        <f t="shared" si="240"/>
        <v>1001</v>
      </c>
      <c r="CA52" s="107">
        <f t="shared" si="240"/>
        <v>988</v>
      </c>
      <c r="CB52" s="107">
        <f t="shared" si="240"/>
        <v>1120</v>
      </c>
      <c r="CC52" s="107">
        <f t="shared" si="240"/>
        <v>883</v>
      </c>
      <c r="CD52" s="107">
        <f t="shared" si="240"/>
        <v>787</v>
      </c>
      <c r="CE52" s="107">
        <f t="shared" si="240"/>
        <v>948</v>
      </c>
      <c r="CF52" s="107">
        <f t="shared" si="240"/>
        <v>992</v>
      </c>
      <c r="CG52" s="107">
        <f t="shared" si="240"/>
        <v>1170</v>
      </c>
      <c r="CH52" s="107">
        <f t="shared" si="240"/>
        <v>1073</v>
      </c>
      <c r="CI52" s="107">
        <f t="shared" si="240"/>
        <v>974</v>
      </c>
      <c r="CJ52" s="107">
        <f t="shared" si="240"/>
        <v>486</v>
      </c>
      <c r="CK52" s="107">
        <f t="shared" si="240"/>
        <v>295</v>
      </c>
      <c r="CL52" s="107">
        <f t="shared" si="240"/>
        <v>508</v>
      </c>
      <c r="CM52" s="157"/>
      <c r="CN52" s="157"/>
      <c r="CO52" s="157"/>
      <c r="CP52" s="157"/>
      <c r="CQ52" s="157"/>
      <c r="CR52" s="157"/>
      <c r="CS52" s="157"/>
      <c r="CT52" s="157"/>
      <c r="CU52" s="157"/>
      <c r="CV52" s="157"/>
      <c r="CW52" s="157"/>
      <c r="CX52" s="157"/>
      <c r="CY52" s="157"/>
      <c r="CZ52" s="157"/>
      <c r="DA52" s="157"/>
      <c r="DB52" s="157"/>
      <c r="DE52" s="159"/>
    </row>
    <row r="53" spans="1:109" s="158" customFormat="1" x14ac:dyDescent="0.2">
      <c r="A53" s="186" t="s">
        <v>567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>
        <f t="shared" ref="X53:X56" si="241">SUM(BW53:BZ53)</f>
        <v>778</v>
      </c>
      <c r="Y53" s="156">
        <f t="shared" ref="Y53:Y56" si="242">SUM(CA53:CD53)</f>
        <v>864</v>
      </c>
      <c r="Z53" s="156">
        <f t="shared" ref="Z53:Z56" si="243">SUM(CE53:CH53)</f>
        <v>628</v>
      </c>
      <c r="AA53" s="157"/>
      <c r="AB53" s="157"/>
      <c r="AC53" s="157"/>
      <c r="AD53" s="157"/>
      <c r="AE53" s="157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  <c r="BR53" s="156"/>
      <c r="BS53" s="156"/>
      <c r="BT53" s="156"/>
      <c r="BU53" s="156"/>
      <c r="BV53" s="156"/>
      <c r="BW53" s="189">
        <v>188</v>
      </c>
      <c r="BX53" s="189">
        <v>191</v>
      </c>
      <c r="BY53" s="189">
        <v>213</v>
      </c>
      <c r="BZ53" s="189">
        <v>186</v>
      </c>
      <c r="CA53" s="189">
        <v>294</v>
      </c>
      <c r="CB53" s="189">
        <v>193</v>
      </c>
      <c r="CC53" s="189">
        <v>182</v>
      </c>
      <c r="CD53" s="189">
        <v>195</v>
      </c>
      <c r="CE53" s="189">
        <v>168</v>
      </c>
      <c r="CF53" s="189">
        <v>154</v>
      </c>
      <c r="CG53" s="189">
        <v>147</v>
      </c>
      <c r="CH53" s="189">
        <v>159</v>
      </c>
      <c r="CI53" s="189">
        <v>169</v>
      </c>
      <c r="CJ53" s="156">
        <v>201</v>
      </c>
      <c r="CK53" s="156">
        <v>213</v>
      </c>
      <c r="CL53" s="156">
        <v>155</v>
      </c>
      <c r="CM53" s="157"/>
      <c r="CN53" s="157"/>
      <c r="CO53" s="157"/>
      <c r="CP53" s="157"/>
      <c r="CQ53" s="157"/>
      <c r="CR53" s="157"/>
      <c r="CS53" s="157"/>
      <c r="CT53" s="157"/>
      <c r="CU53" s="157"/>
      <c r="CV53" s="157"/>
      <c r="CW53" s="157"/>
      <c r="CX53" s="157"/>
      <c r="CY53" s="157"/>
      <c r="CZ53" s="157"/>
      <c r="DA53" s="157"/>
      <c r="DB53" s="157"/>
      <c r="DE53" s="159"/>
    </row>
    <row r="54" spans="1:109" s="158" customFormat="1" x14ac:dyDescent="0.2">
      <c r="A54" s="186" t="s">
        <v>568</v>
      </c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>
        <f t="shared" si="241"/>
        <v>918</v>
      </c>
      <c r="Y54" s="156">
        <f t="shared" si="242"/>
        <v>1263</v>
      </c>
      <c r="Z54" s="156">
        <f t="shared" si="243"/>
        <v>1285</v>
      </c>
      <c r="AA54" s="157"/>
      <c r="AB54" s="157"/>
      <c r="AC54" s="157"/>
      <c r="AD54" s="157"/>
      <c r="AE54" s="157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  <c r="BR54" s="156"/>
      <c r="BS54" s="156"/>
      <c r="BT54" s="156"/>
      <c r="BU54" s="156"/>
      <c r="BV54" s="156"/>
      <c r="BW54" s="189">
        <v>278</v>
      </c>
      <c r="BX54" s="189">
        <v>235</v>
      </c>
      <c r="BY54" s="189">
        <v>259</v>
      </c>
      <c r="BZ54" s="189">
        <v>146</v>
      </c>
      <c r="CA54" s="189">
        <v>318</v>
      </c>
      <c r="CB54" s="189">
        <v>326</v>
      </c>
      <c r="CC54" s="189">
        <v>329</v>
      </c>
      <c r="CD54" s="189">
        <v>290</v>
      </c>
      <c r="CE54" s="189">
        <v>388</v>
      </c>
      <c r="CF54" s="189">
        <v>287</v>
      </c>
      <c r="CG54" s="189">
        <v>176</v>
      </c>
      <c r="CH54" s="189">
        <v>434</v>
      </c>
      <c r="CI54" s="189">
        <v>261</v>
      </c>
      <c r="CJ54" s="156">
        <v>255</v>
      </c>
      <c r="CK54" s="156">
        <v>192</v>
      </c>
      <c r="CL54" s="156">
        <v>205</v>
      </c>
      <c r="CM54" s="157"/>
      <c r="CN54" s="157"/>
      <c r="CO54" s="157"/>
      <c r="CP54" s="157"/>
      <c r="CQ54" s="157"/>
      <c r="CR54" s="157"/>
      <c r="CS54" s="157"/>
      <c r="CT54" s="157"/>
      <c r="CU54" s="157"/>
      <c r="CV54" s="157"/>
      <c r="CW54" s="157"/>
      <c r="CX54" s="157"/>
      <c r="CY54" s="157"/>
      <c r="CZ54" s="157"/>
      <c r="DA54" s="157"/>
      <c r="DB54" s="157"/>
      <c r="DE54" s="159"/>
    </row>
    <row r="55" spans="1:109" s="158" customFormat="1" x14ac:dyDescent="0.2">
      <c r="A55" s="186" t="s">
        <v>569</v>
      </c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>
        <f t="shared" si="241"/>
        <v>139</v>
      </c>
      <c r="Y55" s="156">
        <f t="shared" si="242"/>
        <v>143</v>
      </c>
      <c r="Z55" s="156">
        <f t="shared" si="243"/>
        <v>147</v>
      </c>
      <c r="AA55" s="157"/>
      <c r="AB55" s="157"/>
      <c r="AC55" s="157"/>
      <c r="AD55" s="157"/>
      <c r="AE55" s="157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6"/>
      <c r="BW55" s="156">
        <v>32</v>
      </c>
      <c r="BX55" s="156">
        <v>32</v>
      </c>
      <c r="BY55" s="156">
        <v>37</v>
      </c>
      <c r="BZ55" s="156">
        <v>38</v>
      </c>
      <c r="CA55" s="156">
        <v>37</v>
      </c>
      <c r="CB55" s="156">
        <v>37</v>
      </c>
      <c r="CC55" s="156">
        <v>37</v>
      </c>
      <c r="CD55" s="156">
        <v>32</v>
      </c>
      <c r="CE55" s="156">
        <v>38</v>
      </c>
      <c r="CF55" s="156">
        <v>35</v>
      </c>
      <c r="CG55" s="156">
        <v>38</v>
      </c>
      <c r="CH55" s="156">
        <v>36</v>
      </c>
      <c r="CI55" s="156">
        <v>33</v>
      </c>
      <c r="CJ55" s="156">
        <v>42</v>
      </c>
      <c r="CK55" s="156">
        <v>35</v>
      </c>
      <c r="CL55" s="156">
        <v>36</v>
      </c>
      <c r="CM55" s="157"/>
      <c r="CN55" s="157"/>
      <c r="CO55" s="157"/>
      <c r="CP55" s="157"/>
      <c r="CQ55" s="157"/>
      <c r="CR55" s="157"/>
      <c r="CS55" s="157"/>
      <c r="CT55" s="157"/>
      <c r="CU55" s="157"/>
      <c r="CV55" s="157"/>
      <c r="CW55" s="157"/>
      <c r="CX55" s="157"/>
      <c r="CY55" s="157"/>
      <c r="CZ55" s="157"/>
      <c r="DA55" s="157"/>
      <c r="DB55" s="157"/>
      <c r="DE55" s="159"/>
    </row>
    <row r="56" spans="1:109" s="158" customFormat="1" x14ac:dyDescent="0.2">
      <c r="A56" s="186" t="s">
        <v>570</v>
      </c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>
        <f t="shared" si="241"/>
        <v>1073</v>
      </c>
      <c r="Y56" s="156">
        <f t="shared" si="242"/>
        <v>1508</v>
      </c>
      <c r="Z56" s="156">
        <f t="shared" si="243"/>
        <v>2123</v>
      </c>
      <c r="AA56" s="157"/>
      <c r="AB56" s="157"/>
      <c r="AC56" s="157"/>
      <c r="AD56" s="157"/>
      <c r="AE56" s="157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6"/>
      <c r="BS56" s="156"/>
      <c r="BT56" s="156"/>
      <c r="BU56" s="156"/>
      <c r="BV56" s="156"/>
      <c r="BW56" s="156">
        <v>-39</v>
      </c>
      <c r="BX56" s="156">
        <v>-65</v>
      </c>
      <c r="BY56" s="156">
        <v>546</v>
      </c>
      <c r="BZ56" s="156">
        <v>631</v>
      </c>
      <c r="CA56" s="156">
        <v>339</v>
      </c>
      <c r="CB56" s="156">
        <v>564</v>
      </c>
      <c r="CC56" s="156">
        <v>335</v>
      </c>
      <c r="CD56" s="156">
        <v>270</v>
      </c>
      <c r="CE56" s="156">
        <v>354</v>
      </c>
      <c r="CF56" s="156">
        <v>516</v>
      </c>
      <c r="CG56" s="156">
        <v>809</v>
      </c>
      <c r="CH56" s="156">
        <v>444</v>
      </c>
      <c r="CI56" s="156">
        <v>511</v>
      </c>
      <c r="CJ56" s="156">
        <v>-12</v>
      </c>
      <c r="CK56" s="156">
        <v>-145</v>
      </c>
      <c r="CL56" s="156">
        <v>112</v>
      </c>
      <c r="CM56" s="157"/>
      <c r="CN56" s="157"/>
      <c r="CO56" s="157"/>
      <c r="CP56" s="157"/>
      <c r="CQ56" s="157"/>
      <c r="CR56" s="157"/>
      <c r="CS56" s="157"/>
      <c r="CT56" s="157"/>
      <c r="CU56" s="157"/>
      <c r="CV56" s="157"/>
      <c r="CW56" s="157"/>
      <c r="CX56" s="157"/>
      <c r="CY56" s="157"/>
      <c r="CZ56" s="157"/>
      <c r="DA56" s="157"/>
      <c r="DB56" s="157"/>
      <c r="DE56" s="159"/>
    </row>
    <row r="57" spans="1:109" s="158" customFormat="1" x14ac:dyDescent="0.2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  <c r="AA57" s="157"/>
      <c r="AB57" s="157"/>
      <c r="AC57" s="157"/>
      <c r="AD57" s="157"/>
      <c r="AE57" s="157"/>
      <c r="AI57" s="156"/>
      <c r="AJ57" s="156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  <c r="BJ57" s="156"/>
      <c r="BK57" s="156"/>
      <c r="BL57" s="156"/>
      <c r="BM57" s="156"/>
      <c r="BN57" s="156"/>
      <c r="BO57" s="156"/>
      <c r="BP57" s="156"/>
      <c r="BQ57" s="156"/>
      <c r="BR57" s="156"/>
      <c r="BS57" s="156"/>
      <c r="BT57" s="156"/>
      <c r="BU57" s="156"/>
      <c r="BV57" s="156"/>
      <c r="BW57" s="156"/>
      <c r="BX57" s="156"/>
      <c r="BY57" s="156"/>
      <c r="BZ57" s="156"/>
      <c r="CA57" s="156"/>
      <c r="CB57" s="156"/>
      <c r="CC57" s="156"/>
      <c r="CD57" s="156"/>
      <c r="CE57" s="156"/>
      <c r="CF57" s="156"/>
      <c r="CG57" s="156"/>
      <c r="CH57" s="156"/>
      <c r="CI57" s="156"/>
      <c r="CJ57" s="156"/>
      <c r="CK57" s="156"/>
      <c r="CL57" s="156"/>
      <c r="CM57" s="157"/>
      <c r="CN57" s="157"/>
      <c r="CO57" s="157"/>
      <c r="CP57" s="157"/>
      <c r="CQ57" s="157"/>
      <c r="CR57" s="157"/>
      <c r="CS57" s="157"/>
      <c r="CT57" s="157"/>
      <c r="CU57" s="157"/>
      <c r="CV57" s="157"/>
      <c r="CW57" s="157"/>
      <c r="CX57" s="157"/>
      <c r="CY57" s="157"/>
      <c r="CZ57" s="157"/>
      <c r="DA57" s="157"/>
      <c r="DB57" s="157"/>
      <c r="DE57" s="159"/>
    </row>
    <row r="58" spans="1:109" s="109" customFormat="1" x14ac:dyDescent="0.2">
      <c r="A58" s="185" t="s">
        <v>571</v>
      </c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>
        <f>SUM(X59:X62)</f>
        <v>3203</v>
      </c>
      <c r="Y58" s="107">
        <f t="shared" ref="Y58" si="244">SUM(Y59:Y62)</f>
        <v>3423</v>
      </c>
      <c r="Z58" s="107">
        <f>SUM(Z59:Z62)</f>
        <v>4317</v>
      </c>
      <c r="AA58" s="108"/>
      <c r="AB58" s="108"/>
      <c r="AC58" s="108"/>
      <c r="AD58" s="108"/>
      <c r="AE58" s="108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7"/>
      <c r="BK58" s="107"/>
      <c r="BL58" s="107"/>
      <c r="BM58" s="107"/>
      <c r="BN58" s="107"/>
      <c r="BO58" s="107"/>
      <c r="BP58" s="107"/>
      <c r="BQ58" s="107"/>
      <c r="BR58" s="107"/>
      <c r="BS58" s="107"/>
      <c r="BT58" s="107"/>
      <c r="BU58" s="107"/>
      <c r="BV58" s="107"/>
      <c r="BW58" s="107">
        <f>SUM(BW59:BW62)</f>
        <v>778</v>
      </c>
      <c r="BX58" s="107">
        <f t="shared" ref="BX58:CL58" si="245">SUM(BX59:BX62)</f>
        <v>736</v>
      </c>
      <c r="BY58" s="107">
        <f t="shared" si="245"/>
        <v>762</v>
      </c>
      <c r="BZ58" s="107">
        <f t="shared" si="245"/>
        <v>927</v>
      </c>
      <c r="CA58" s="107">
        <f t="shared" si="245"/>
        <v>907</v>
      </c>
      <c r="CB58" s="107">
        <f t="shared" si="245"/>
        <v>813</v>
      </c>
      <c r="CC58" s="107">
        <f t="shared" si="245"/>
        <v>757</v>
      </c>
      <c r="CD58" s="107">
        <f t="shared" si="245"/>
        <v>946</v>
      </c>
      <c r="CE58" s="107">
        <f t="shared" si="245"/>
        <v>954</v>
      </c>
      <c r="CF58" s="107">
        <f t="shared" si="245"/>
        <v>1002</v>
      </c>
      <c r="CG58" s="107">
        <f t="shared" si="245"/>
        <v>989</v>
      </c>
      <c r="CH58" s="107">
        <f t="shared" si="245"/>
        <v>1372</v>
      </c>
      <c r="CI58" s="107">
        <f t="shared" si="245"/>
        <v>1566</v>
      </c>
      <c r="CJ58" s="107">
        <f t="shared" si="245"/>
        <v>1575</v>
      </c>
      <c r="CK58" s="107">
        <f t="shared" si="245"/>
        <v>1638</v>
      </c>
      <c r="CL58" s="107">
        <f t="shared" si="245"/>
        <v>1449</v>
      </c>
      <c r="CM58" s="108"/>
      <c r="CN58" s="108"/>
      <c r="CO58" s="108"/>
      <c r="CP58" s="108"/>
      <c r="CQ58" s="108"/>
      <c r="CR58" s="108"/>
      <c r="CS58" s="108"/>
      <c r="CT58" s="108"/>
      <c r="CU58" s="108"/>
      <c r="CV58" s="108"/>
      <c r="CW58" s="108"/>
      <c r="CX58" s="108"/>
      <c r="CY58" s="108"/>
      <c r="CZ58" s="108"/>
      <c r="DA58" s="108"/>
      <c r="DB58" s="108"/>
      <c r="DE58" s="117"/>
    </row>
    <row r="59" spans="1:109" s="158" customFormat="1" x14ac:dyDescent="0.2">
      <c r="A59" s="186" t="s">
        <v>572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>
        <f t="shared" ref="X59:X62" si="246">SUM(BW59:BZ59)</f>
        <v>2879</v>
      </c>
      <c r="Y59" s="156">
        <f t="shared" ref="Y59:Y62" si="247">SUM(CA59:CD59)</f>
        <v>2984</v>
      </c>
      <c r="Z59" s="156">
        <f t="shared" ref="Z59:Z62" si="248">SUM(CE59:CH59)</f>
        <v>3421</v>
      </c>
      <c r="AA59" s="157"/>
      <c r="AB59" s="157"/>
      <c r="AC59" s="157"/>
      <c r="AD59" s="157"/>
      <c r="AE59" s="157"/>
      <c r="AI59" s="156"/>
      <c r="AJ59" s="156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  <c r="BJ59" s="156"/>
      <c r="BK59" s="156"/>
      <c r="BL59" s="156"/>
      <c r="BM59" s="156"/>
      <c r="BN59" s="156"/>
      <c r="BO59" s="156"/>
      <c r="BP59" s="156"/>
      <c r="BQ59" s="156"/>
      <c r="BR59" s="156"/>
      <c r="BS59" s="156"/>
      <c r="BT59" s="156"/>
      <c r="BU59" s="156"/>
      <c r="BV59" s="156"/>
      <c r="BW59" s="156">
        <v>795</v>
      </c>
      <c r="BX59" s="156">
        <v>694</v>
      </c>
      <c r="BY59" s="156">
        <v>654</v>
      </c>
      <c r="BZ59" s="156">
        <v>736</v>
      </c>
      <c r="CA59" s="156">
        <v>875</v>
      </c>
      <c r="CB59" s="156">
        <v>758</v>
      </c>
      <c r="CC59" s="156">
        <v>614</v>
      </c>
      <c r="CD59" s="156">
        <v>737</v>
      </c>
      <c r="CE59" s="156">
        <v>903</v>
      </c>
      <c r="CF59" s="156">
        <v>878</v>
      </c>
      <c r="CG59" s="156">
        <v>744</v>
      </c>
      <c r="CH59" s="156">
        <v>896</v>
      </c>
      <c r="CI59" s="156">
        <v>1034</v>
      </c>
      <c r="CJ59" s="156">
        <v>918</v>
      </c>
      <c r="CK59" s="156">
        <v>867</v>
      </c>
      <c r="CL59" s="156">
        <v>821</v>
      </c>
      <c r="CM59" s="157"/>
      <c r="CN59" s="157"/>
      <c r="CO59" s="157"/>
      <c r="CP59" s="157"/>
      <c r="CQ59" s="157"/>
      <c r="CR59" s="157"/>
      <c r="CS59" s="157"/>
      <c r="CT59" s="157"/>
      <c r="CU59" s="157"/>
      <c r="CV59" s="157"/>
      <c r="CW59" s="157"/>
      <c r="CX59" s="157"/>
      <c r="CY59" s="157"/>
      <c r="CZ59" s="157"/>
      <c r="DA59" s="157"/>
      <c r="DB59" s="157"/>
      <c r="DE59" s="159"/>
    </row>
    <row r="60" spans="1:109" s="158" customFormat="1" x14ac:dyDescent="0.2">
      <c r="A60" s="186" t="s">
        <v>573</v>
      </c>
      <c r="B60" s="156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>
        <f t="shared" si="246"/>
        <v>498</v>
      </c>
      <c r="Y60" s="156">
        <f t="shared" si="247"/>
        <v>719</v>
      </c>
      <c r="Z60" s="156">
        <f t="shared" si="248"/>
        <v>836</v>
      </c>
      <c r="AA60" s="157"/>
      <c r="AB60" s="157"/>
      <c r="AC60" s="157"/>
      <c r="AD60" s="157"/>
      <c r="AE60" s="157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6"/>
      <c r="BV60" s="156"/>
      <c r="BW60" s="156">
        <v>15</v>
      </c>
      <c r="BX60" s="156">
        <v>125</v>
      </c>
      <c r="BY60" s="156">
        <v>96</v>
      </c>
      <c r="BZ60" s="156">
        <v>262</v>
      </c>
      <c r="CA60" s="156">
        <v>64</v>
      </c>
      <c r="CB60" s="156">
        <v>128</v>
      </c>
      <c r="CC60" s="156">
        <v>203</v>
      </c>
      <c r="CD60" s="156">
        <v>324</v>
      </c>
      <c r="CE60" s="156">
        <v>80</v>
      </c>
      <c r="CF60" s="156">
        <v>242</v>
      </c>
      <c r="CG60" s="156">
        <v>280</v>
      </c>
      <c r="CH60" s="156">
        <v>234</v>
      </c>
      <c r="CI60" s="156">
        <v>287</v>
      </c>
      <c r="CJ60" s="156">
        <v>301</v>
      </c>
      <c r="CK60" s="156">
        <v>269</v>
      </c>
      <c r="CL60" s="156">
        <v>203</v>
      </c>
      <c r="CM60" s="157"/>
      <c r="CN60" s="157"/>
      <c r="CO60" s="157"/>
      <c r="CP60" s="157"/>
      <c r="CQ60" s="157"/>
      <c r="CR60" s="157"/>
      <c r="CS60" s="157"/>
      <c r="CT60" s="157"/>
      <c r="CU60" s="157"/>
      <c r="CV60" s="157"/>
      <c r="CW60" s="157"/>
      <c r="CX60" s="157"/>
      <c r="CY60" s="157"/>
      <c r="CZ60" s="157"/>
      <c r="DA60" s="157"/>
      <c r="DB60" s="157"/>
      <c r="DE60" s="159"/>
    </row>
    <row r="61" spans="1:109" s="158" customFormat="1" x14ac:dyDescent="0.2">
      <c r="A61" s="186" t="s">
        <v>574</v>
      </c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>
        <f t="shared" si="246"/>
        <v>0</v>
      </c>
      <c r="Y61" s="156">
        <f t="shared" si="247"/>
        <v>4</v>
      </c>
      <c r="Z61" s="156">
        <f t="shared" si="248"/>
        <v>874</v>
      </c>
      <c r="AA61" s="157"/>
      <c r="AB61" s="157"/>
      <c r="AC61" s="157"/>
      <c r="AD61" s="157"/>
      <c r="AE61" s="157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/>
      <c r="AV61" s="156"/>
      <c r="AW61" s="156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  <c r="BI61" s="156"/>
      <c r="BJ61" s="156"/>
      <c r="BK61" s="156"/>
      <c r="BL61" s="156"/>
      <c r="BM61" s="156"/>
      <c r="BN61" s="156"/>
      <c r="BO61" s="156"/>
      <c r="BP61" s="156"/>
      <c r="BQ61" s="156"/>
      <c r="BR61" s="156"/>
      <c r="BS61" s="156"/>
      <c r="BT61" s="156"/>
      <c r="BU61" s="156"/>
      <c r="BV61" s="156"/>
      <c r="BW61" s="156">
        <v>0</v>
      </c>
      <c r="BX61" s="156">
        <v>0</v>
      </c>
      <c r="BY61" s="156">
        <v>0</v>
      </c>
      <c r="BZ61" s="156">
        <v>0</v>
      </c>
      <c r="CA61" s="156">
        <v>0</v>
      </c>
      <c r="CB61" s="156">
        <v>0</v>
      </c>
      <c r="CC61" s="156">
        <v>0</v>
      </c>
      <c r="CD61" s="156">
        <v>4</v>
      </c>
      <c r="CE61" s="156">
        <v>114</v>
      </c>
      <c r="CF61" s="156">
        <v>131</v>
      </c>
      <c r="CG61" s="156">
        <v>226</v>
      </c>
      <c r="CH61" s="156">
        <v>403</v>
      </c>
      <c r="CI61" s="156">
        <v>299</v>
      </c>
      <c r="CJ61" s="156">
        <v>466</v>
      </c>
      <c r="CK61" s="156">
        <v>478</v>
      </c>
      <c r="CL61" s="156">
        <v>501</v>
      </c>
      <c r="CM61" s="157"/>
      <c r="CN61" s="157"/>
      <c r="CO61" s="157"/>
      <c r="CP61" s="157"/>
      <c r="CQ61" s="157"/>
      <c r="CR61" s="157"/>
      <c r="CS61" s="157"/>
      <c r="CT61" s="157"/>
      <c r="CU61" s="157"/>
      <c r="CV61" s="157"/>
      <c r="CW61" s="157"/>
      <c r="CX61" s="157"/>
      <c r="CY61" s="157"/>
      <c r="CZ61" s="157"/>
      <c r="DA61" s="157"/>
      <c r="DB61" s="157"/>
      <c r="DE61" s="159"/>
    </row>
    <row r="62" spans="1:109" s="158" customFormat="1" x14ac:dyDescent="0.2">
      <c r="A62" s="192" t="s">
        <v>575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>
        <f t="shared" si="246"/>
        <v>-174</v>
      </c>
      <c r="Y62" s="156">
        <f t="shared" si="247"/>
        <v>-284</v>
      </c>
      <c r="Z62" s="156">
        <f t="shared" si="248"/>
        <v>-814</v>
      </c>
      <c r="AA62" s="157"/>
      <c r="AB62" s="157"/>
      <c r="AC62" s="157"/>
      <c r="AD62" s="157"/>
      <c r="AE62" s="157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/>
      <c r="AV62" s="156"/>
      <c r="AW62" s="156"/>
      <c r="AX62" s="156"/>
      <c r="AY62" s="156"/>
      <c r="AZ62" s="156"/>
      <c r="BA62" s="156"/>
      <c r="BB62" s="156"/>
      <c r="BC62" s="156"/>
      <c r="BD62" s="156"/>
      <c r="BE62" s="156"/>
      <c r="BF62" s="156"/>
      <c r="BG62" s="156"/>
      <c r="BH62" s="156"/>
      <c r="BI62" s="156"/>
      <c r="BJ62" s="156"/>
      <c r="BK62" s="156"/>
      <c r="BL62" s="156"/>
      <c r="BM62" s="156"/>
      <c r="BN62" s="156"/>
      <c r="BO62" s="156"/>
      <c r="BP62" s="156"/>
      <c r="BQ62" s="156"/>
      <c r="BR62" s="156"/>
      <c r="BS62" s="156"/>
      <c r="BT62" s="156"/>
      <c r="BU62" s="156"/>
      <c r="BV62" s="156"/>
      <c r="BW62" s="156">
        <v>-32</v>
      </c>
      <c r="BX62" s="156">
        <v>-83</v>
      </c>
      <c r="BY62" s="156">
        <v>12</v>
      </c>
      <c r="BZ62" s="156">
        <v>-71</v>
      </c>
      <c r="CA62" s="156">
        <v>-32</v>
      </c>
      <c r="CB62" s="156">
        <v>-73</v>
      </c>
      <c r="CC62" s="156">
        <v>-60</v>
      </c>
      <c r="CD62" s="156">
        <v>-119</v>
      </c>
      <c r="CE62" s="156">
        <v>-143</v>
      </c>
      <c r="CF62" s="156">
        <v>-249</v>
      </c>
      <c r="CG62" s="156">
        <v>-261</v>
      </c>
      <c r="CH62" s="156">
        <v>-161</v>
      </c>
      <c r="CI62" s="156">
        <v>-54</v>
      </c>
      <c r="CJ62" s="156">
        <v>-110</v>
      </c>
      <c r="CK62" s="156">
        <v>24</v>
      </c>
      <c r="CL62" s="156">
        <v>-76</v>
      </c>
      <c r="CM62" s="157"/>
      <c r="CN62" s="157"/>
      <c r="CO62" s="157"/>
      <c r="CP62" s="157"/>
      <c r="CQ62" s="157"/>
      <c r="CR62" s="157"/>
      <c r="CS62" s="157"/>
      <c r="CT62" s="157"/>
      <c r="CU62" s="157"/>
      <c r="CV62" s="157"/>
      <c r="CW62" s="157"/>
      <c r="CX62" s="157"/>
      <c r="CY62" s="157"/>
      <c r="CZ62" s="157"/>
      <c r="DA62" s="157"/>
      <c r="DB62" s="157"/>
      <c r="DE62" s="159"/>
    </row>
    <row r="63" spans="1:109" s="158" customFormat="1" x14ac:dyDescent="0.2">
      <c r="A63" s="155"/>
      <c r="B63" s="156"/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  <c r="AA63" s="157"/>
      <c r="AB63" s="157"/>
      <c r="AC63" s="157"/>
      <c r="AD63" s="157"/>
      <c r="AE63" s="157"/>
      <c r="AI63" s="156"/>
      <c r="AJ63" s="156"/>
      <c r="AK63" s="156"/>
      <c r="AL63" s="156"/>
      <c r="AM63" s="156"/>
      <c r="AN63" s="156"/>
      <c r="AO63" s="156"/>
      <c r="AP63" s="156"/>
      <c r="AQ63" s="156"/>
      <c r="AR63" s="156"/>
      <c r="AS63" s="156"/>
      <c r="AT63" s="156"/>
      <c r="AU63" s="156"/>
      <c r="AV63" s="156"/>
      <c r="AW63" s="156"/>
      <c r="AX63" s="156"/>
      <c r="AY63" s="156"/>
      <c r="AZ63" s="156"/>
      <c r="BA63" s="156"/>
      <c r="BB63" s="156"/>
      <c r="BC63" s="156"/>
      <c r="BD63" s="156"/>
      <c r="BE63" s="156"/>
      <c r="BF63" s="156"/>
      <c r="BG63" s="156"/>
      <c r="BH63" s="156"/>
      <c r="BI63" s="156"/>
      <c r="BJ63" s="156"/>
      <c r="BK63" s="156"/>
      <c r="BL63" s="156"/>
      <c r="BM63" s="156"/>
      <c r="BN63" s="156"/>
      <c r="BO63" s="156"/>
      <c r="BP63" s="156"/>
      <c r="BQ63" s="156"/>
      <c r="BR63" s="156"/>
      <c r="BS63" s="156"/>
      <c r="BT63" s="156"/>
      <c r="BU63" s="156"/>
      <c r="BV63" s="156"/>
      <c r="BW63" s="156"/>
      <c r="BX63" s="156"/>
      <c r="BY63" s="156"/>
      <c r="BZ63" s="156"/>
      <c r="CA63" s="156"/>
      <c r="CB63" s="156"/>
      <c r="CC63" s="156"/>
      <c r="CD63" s="156"/>
      <c r="CE63" s="156"/>
      <c r="CF63" s="189"/>
      <c r="CG63" s="156"/>
      <c r="CH63" s="156"/>
      <c r="CI63" s="156"/>
      <c r="CJ63" s="156"/>
      <c r="CK63" s="156"/>
      <c r="CL63" s="156"/>
      <c r="CM63" s="157"/>
      <c r="CN63" s="157"/>
      <c r="CO63" s="157"/>
      <c r="CP63" s="157"/>
      <c r="CQ63" s="157"/>
      <c r="CR63" s="157"/>
      <c r="CS63" s="157"/>
      <c r="CT63" s="157"/>
      <c r="CU63" s="157"/>
      <c r="CV63" s="157"/>
      <c r="CW63" s="157"/>
      <c r="CX63" s="157"/>
      <c r="CY63" s="157"/>
      <c r="CZ63" s="157"/>
      <c r="DA63" s="157"/>
      <c r="DB63" s="157"/>
      <c r="DE63" s="159"/>
    </row>
    <row r="64" spans="1:109" s="158" customFormat="1" x14ac:dyDescent="0.2">
      <c r="A64" s="185" t="s">
        <v>576</v>
      </c>
      <c r="B64" s="156"/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07">
        <f>SUM(X65:X66)</f>
        <v>3819</v>
      </c>
      <c r="Y64" s="107">
        <f t="shared" ref="Y64" si="249">SUM(Y65:Y66)</f>
        <v>4557</v>
      </c>
      <c r="Z64" s="107">
        <f>SUM(Z65:Z66)</f>
        <v>5551</v>
      </c>
      <c r="AA64" s="157"/>
      <c r="AB64" s="157"/>
      <c r="AC64" s="157"/>
      <c r="AD64" s="157"/>
      <c r="AE64" s="157"/>
      <c r="AI64" s="156"/>
      <c r="AJ64" s="156"/>
      <c r="AK64" s="156"/>
      <c r="AL64" s="156"/>
      <c r="AM64" s="156"/>
      <c r="AN64" s="156"/>
      <c r="AO64" s="156"/>
      <c r="AP64" s="156"/>
      <c r="AQ64" s="156"/>
      <c r="AR64" s="156"/>
      <c r="AS64" s="156"/>
      <c r="AT64" s="156"/>
      <c r="AU64" s="156"/>
      <c r="AV64" s="156"/>
      <c r="AW64" s="156"/>
      <c r="AX64" s="156"/>
      <c r="AY64" s="156"/>
      <c r="AZ64" s="156"/>
      <c r="BA64" s="156"/>
      <c r="BB64" s="156"/>
      <c r="BC64" s="156"/>
      <c r="BD64" s="156"/>
      <c r="BE64" s="156"/>
      <c r="BF64" s="156"/>
      <c r="BG64" s="156"/>
      <c r="BH64" s="156"/>
      <c r="BI64" s="156"/>
      <c r="BJ64" s="156"/>
      <c r="BK64" s="156"/>
      <c r="BL64" s="156"/>
      <c r="BM64" s="156"/>
      <c r="BN64" s="156"/>
      <c r="BO64" s="156"/>
      <c r="BP64" s="156"/>
      <c r="BQ64" s="156"/>
      <c r="BR64" s="156"/>
      <c r="BS64" s="156"/>
      <c r="BT64" s="156"/>
      <c r="BU64" s="156"/>
      <c r="BV64" s="156"/>
      <c r="BW64" s="107">
        <f>SUM(BW65:BW66)</f>
        <v>807</v>
      </c>
      <c r="BX64" s="107">
        <f t="shared" ref="BX64:CL64" si="250">SUM(BX65:BX66)</f>
        <v>891</v>
      </c>
      <c r="BY64" s="107">
        <f t="shared" si="250"/>
        <v>926</v>
      </c>
      <c r="BZ64" s="107">
        <f t="shared" si="250"/>
        <v>1195</v>
      </c>
      <c r="CA64" s="107">
        <f t="shared" si="250"/>
        <v>1070</v>
      </c>
      <c r="CB64" s="107">
        <f t="shared" si="250"/>
        <v>1110</v>
      </c>
      <c r="CC64" s="107">
        <f t="shared" si="250"/>
        <v>1132</v>
      </c>
      <c r="CD64" s="107">
        <f t="shared" si="250"/>
        <v>1245</v>
      </c>
      <c r="CE64" s="107">
        <f t="shared" si="250"/>
        <v>1434</v>
      </c>
      <c r="CF64" s="107">
        <f t="shared" si="250"/>
        <v>1440</v>
      </c>
      <c r="CG64" s="107">
        <f t="shared" si="250"/>
        <v>1277</v>
      </c>
      <c r="CH64" s="107">
        <f t="shared" si="250"/>
        <v>1400</v>
      </c>
      <c r="CI64" s="107">
        <f t="shared" si="250"/>
        <v>1346</v>
      </c>
      <c r="CJ64" s="107">
        <f t="shared" si="250"/>
        <v>1679</v>
      </c>
      <c r="CK64" s="107">
        <f t="shared" si="250"/>
        <v>2020</v>
      </c>
      <c r="CL64" s="107">
        <f t="shared" si="250"/>
        <v>2070</v>
      </c>
      <c r="CM64" s="157"/>
      <c r="CN64" s="157"/>
      <c r="CO64" s="157"/>
      <c r="CP64" s="157"/>
      <c r="CQ64" s="157"/>
      <c r="CR64" s="157"/>
      <c r="CS64" s="157"/>
      <c r="CT64" s="157"/>
      <c r="CU64" s="157"/>
      <c r="CV64" s="157"/>
      <c r="CW64" s="157"/>
      <c r="CX64" s="157"/>
      <c r="CY64" s="157"/>
      <c r="CZ64" s="157"/>
      <c r="DA64" s="157"/>
      <c r="DB64" s="157"/>
      <c r="DE64" s="159"/>
    </row>
    <row r="65" spans="1:109" s="158" customFormat="1" x14ac:dyDescent="0.2">
      <c r="A65" s="185" t="s">
        <v>577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07">
        <f t="shared" ref="X65" si="251">SUM(BW65:BZ65)</f>
        <v>799</v>
      </c>
      <c r="Y65" s="107">
        <f t="shared" ref="Y65" si="252">SUM(CA65:CD65)</f>
        <v>906</v>
      </c>
      <c r="Z65" s="107">
        <f t="shared" ref="Z65" si="253">SUM(CE65:CH65)</f>
        <v>985</v>
      </c>
      <c r="AA65" s="157"/>
      <c r="AB65" s="157"/>
      <c r="AC65" s="157"/>
      <c r="AD65" s="157"/>
      <c r="AE65" s="157"/>
      <c r="AI65" s="156"/>
      <c r="AJ65" s="156"/>
      <c r="AK65" s="156"/>
      <c r="AL65" s="156"/>
      <c r="AM65" s="156"/>
      <c r="AN65" s="156"/>
      <c r="AO65" s="156"/>
      <c r="AP65" s="156"/>
      <c r="AQ65" s="156"/>
      <c r="AR65" s="156"/>
      <c r="AS65" s="156"/>
      <c r="AT65" s="156"/>
      <c r="AU65" s="156"/>
      <c r="AV65" s="156"/>
      <c r="AW65" s="156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  <c r="BI65" s="156"/>
      <c r="BJ65" s="156"/>
      <c r="BK65" s="156"/>
      <c r="BL65" s="156"/>
      <c r="BM65" s="156"/>
      <c r="BN65" s="156"/>
      <c r="BO65" s="156"/>
      <c r="BP65" s="156"/>
      <c r="BQ65" s="156"/>
      <c r="BR65" s="156"/>
      <c r="BS65" s="156"/>
      <c r="BT65" s="156"/>
      <c r="BU65" s="156"/>
      <c r="BV65" s="156"/>
      <c r="BW65" s="107">
        <v>179</v>
      </c>
      <c r="BX65" s="107">
        <v>172</v>
      </c>
      <c r="BY65" s="107">
        <v>215</v>
      </c>
      <c r="BZ65" s="107">
        <v>233</v>
      </c>
      <c r="CA65" s="107">
        <v>218</v>
      </c>
      <c r="CB65" s="107">
        <v>206</v>
      </c>
      <c r="CC65" s="107">
        <v>213</v>
      </c>
      <c r="CD65" s="107">
        <v>269</v>
      </c>
      <c r="CE65" s="107">
        <v>245</v>
      </c>
      <c r="CF65" s="107">
        <v>234</v>
      </c>
      <c r="CG65" s="107">
        <v>239</v>
      </c>
      <c r="CH65" s="107">
        <v>267</v>
      </c>
      <c r="CI65" s="107">
        <v>242</v>
      </c>
      <c r="CJ65" s="107">
        <v>236</v>
      </c>
      <c r="CK65" s="107">
        <v>268</v>
      </c>
      <c r="CL65" s="107">
        <v>323</v>
      </c>
      <c r="CM65" s="157"/>
      <c r="CN65" s="157"/>
      <c r="CO65" s="157"/>
      <c r="CP65" s="157"/>
      <c r="CQ65" s="157"/>
      <c r="CR65" s="157"/>
      <c r="CS65" s="157"/>
      <c r="CT65" s="157"/>
      <c r="CU65" s="157"/>
      <c r="CV65" s="157"/>
      <c r="CW65" s="157"/>
      <c r="CX65" s="157"/>
      <c r="CY65" s="157"/>
      <c r="CZ65" s="157"/>
      <c r="DA65" s="157"/>
      <c r="DB65" s="157"/>
      <c r="DE65" s="159"/>
    </row>
    <row r="66" spans="1:109" s="158" customFormat="1" x14ac:dyDescent="0.2">
      <c r="A66" s="185" t="s">
        <v>578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07">
        <f>SUM(X67:X70)</f>
        <v>3020</v>
      </c>
      <c r="Y66" s="107">
        <f t="shared" ref="Y66:Z66" si="254">SUM(Y67:Y70)</f>
        <v>3651</v>
      </c>
      <c r="Z66" s="107">
        <f t="shared" si="254"/>
        <v>4566</v>
      </c>
      <c r="AA66" s="157"/>
      <c r="AB66" s="157"/>
      <c r="AC66" s="157"/>
      <c r="AD66" s="157"/>
      <c r="AE66" s="157"/>
      <c r="AI66" s="156"/>
      <c r="AJ66" s="156"/>
      <c r="AK66" s="156"/>
      <c r="AL66" s="156"/>
      <c r="AM66" s="156"/>
      <c r="AN66" s="156"/>
      <c r="AO66" s="156"/>
      <c r="AP66" s="156"/>
      <c r="AQ66" s="156"/>
      <c r="AR66" s="156"/>
      <c r="AS66" s="156"/>
      <c r="AT66" s="156"/>
      <c r="AU66" s="156"/>
      <c r="AV66" s="156"/>
      <c r="AW66" s="156"/>
      <c r="AX66" s="156"/>
      <c r="AY66" s="156"/>
      <c r="AZ66" s="156"/>
      <c r="BA66" s="156"/>
      <c r="BB66" s="156"/>
      <c r="BC66" s="156"/>
      <c r="BD66" s="156"/>
      <c r="BE66" s="156"/>
      <c r="BF66" s="156"/>
      <c r="BG66" s="156"/>
      <c r="BH66" s="156"/>
      <c r="BI66" s="156"/>
      <c r="BJ66" s="156"/>
      <c r="BK66" s="156"/>
      <c r="BL66" s="156"/>
      <c r="BM66" s="156"/>
      <c r="BN66" s="156"/>
      <c r="BO66" s="156"/>
      <c r="BP66" s="156"/>
      <c r="BQ66" s="156"/>
      <c r="BR66" s="156"/>
      <c r="BS66" s="156"/>
      <c r="BT66" s="156"/>
      <c r="BU66" s="156"/>
      <c r="BV66" s="156"/>
      <c r="BW66" s="107">
        <f>SUM(BW67:BW70)</f>
        <v>628</v>
      </c>
      <c r="BX66" s="107">
        <f t="shared" ref="BX66:CL66" si="255">SUM(BX67:BX70)</f>
        <v>719</v>
      </c>
      <c r="BY66" s="107">
        <f t="shared" si="255"/>
        <v>711</v>
      </c>
      <c r="BZ66" s="107">
        <f t="shared" si="255"/>
        <v>962</v>
      </c>
      <c r="CA66" s="107">
        <f t="shared" si="255"/>
        <v>852</v>
      </c>
      <c r="CB66" s="107">
        <f t="shared" si="255"/>
        <v>904</v>
      </c>
      <c r="CC66" s="107">
        <f t="shared" si="255"/>
        <v>919</v>
      </c>
      <c r="CD66" s="107">
        <f t="shared" si="255"/>
        <v>976</v>
      </c>
      <c r="CE66" s="107">
        <f t="shared" si="255"/>
        <v>1189</v>
      </c>
      <c r="CF66" s="107">
        <f t="shared" si="255"/>
        <v>1206</v>
      </c>
      <c r="CG66" s="107">
        <f t="shared" si="255"/>
        <v>1038</v>
      </c>
      <c r="CH66" s="107">
        <f t="shared" si="255"/>
        <v>1133</v>
      </c>
      <c r="CI66" s="107">
        <f t="shared" si="255"/>
        <v>1104</v>
      </c>
      <c r="CJ66" s="107">
        <f t="shared" si="255"/>
        <v>1443</v>
      </c>
      <c r="CK66" s="107">
        <f t="shared" si="255"/>
        <v>1752</v>
      </c>
      <c r="CL66" s="107">
        <f t="shared" si="255"/>
        <v>1747</v>
      </c>
      <c r="CM66" s="157"/>
      <c r="CN66" s="157"/>
      <c r="CO66" s="157"/>
      <c r="CP66" s="157"/>
      <c r="CQ66" s="157"/>
      <c r="CR66" s="157"/>
      <c r="CS66" s="157"/>
      <c r="CT66" s="157"/>
      <c r="CU66" s="157"/>
      <c r="CV66" s="157"/>
      <c r="CW66" s="157"/>
      <c r="CX66" s="157"/>
      <c r="CY66" s="157"/>
      <c r="CZ66" s="157"/>
      <c r="DA66" s="157"/>
      <c r="DB66" s="157"/>
      <c r="DE66" s="159"/>
    </row>
    <row r="67" spans="1:109" s="158" customFormat="1" x14ac:dyDescent="0.2">
      <c r="A67" s="186" t="s">
        <v>579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>
        <f t="shared" ref="X67:X70" si="256">SUM(BW67:BZ67)</f>
        <v>546</v>
      </c>
      <c r="Y67" s="156">
        <f t="shared" ref="Y67:Y70" si="257">SUM(CA67:CD67)</f>
        <v>635</v>
      </c>
      <c r="Z67" s="156">
        <f t="shared" ref="Z67:Z70" si="258">SUM(CE67:CH67)</f>
        <v>670</v>
      </c>
      <c r="AA67" s="157"/>
      <c r="AB67" s="157"/>
      <c r="AC67" s="157"/>
      <c r="AD67" s="157"/>
      <c r="AE67" s="157"/>
      <c r="AI67" s="156"/>
      <c r="AJ67" s="156"/>
      <c r="AK67" s="156"/>
      <c r="AL67" s="156"/>
      <c r="AM67" s="156"/>
      <c r="AN67" s="156"/>
      <c r="AO67" s="156"/>
      <c r="AP67" s="156"/>
      <c r="AQ67" s="156"/>
      <c r="AR67" s="156"/>
      <c r="AS67" s="156"/>
      <c r="AT67" s="156"/>
      <c r="AU67" s="156"/>
      <c r="AV67" s="156"/>
      <c r="AW67" s="156"/>
      <c r="AX67" s="156"/>
      <c r="AY67" s="156"/>
      <c r="AZ67" s="156"/>
      <c r="BA67" s="156"/>
      <c r="BB67" s="156"/>
      <c r="BC67" s="156"/>
      <c r="BD67" s="156"/>
      <c r="BE67" s="156"/>
      <c r="BF67" s="156"/>
      <c r="BG67" s="156"/>
      <c r="BH67" s="156"/>
      <c r="BI67" s="156"/>
      <c r="BJ67" s="156"/>
      <c r="BK67" s="156"/>
      <c r="BL67" s="156"/>
      <c r="BM67" s="156"/>
      <c r="BN67" s="156"/>
      <c r="BO67" s="156"/>
      <c r="BP67" s="156"/>
      <c r="BQ67" s="156"/>
      <c r="BR67" s="156"/>
      <c r="BS67" s="156"/>
      <c r="BT67" s="156"/>
      <c r="BU67" s="156"/>
      <c r="BV67" s="156"/>
      <c r="BW67" s="156">
        <v>136</v>
      </c>
      <c r="BX67" s="156">
        <v>144</v>
      </c>
      <c r="BY67" s="156">
        <v>137</v>
      </c>
      <c r="BZ67" s="156">
        <v>129</v>
      </c>
      <c r="CA67" s="156">
        <v>152</v>
      </c>
      <c r="CB67" s="156">
        <v>153</v>
      </c>
      <c r="CC67" s="156">
        <v>171</v>
      </c>
      <c r="CD67" s="156">
        <v>159</v>
      </c>
      <c r="CE67" s="156">
        <v>164</v>
      </c>
      <c r="CF67" s="156">
        <v>162</v>
      </c>
      <c r="CG67" s="156">
        <v>142</v>
      </c>
      <c r="CH67" s="156">
        <v>202</v>
      </c>
      <c r="CI67" s="156">
        <v>130</v>
      </c>
      <c r="CJ67" s="156">
        <v>120</v>
      </c>
      <c r="CK67" s="156">
        <v>124</v>
      </c>
      <c r="CL67" s="156">
        <v>139</v>
      </c>
      <c r="CM67" s="157"/>
      <c r="CN67" s="157"/>
      <c r="CO67" s="157"/>
      <c r="CP67" s="157"/>
      <c r="CQ67" s="157"/>
      <c r="CR67" s="157"/>
      <c r="CS67" s="157"/>
      <c r="CT67" s="157"/>
      <c r="CU67" s="157"/>
      <c r="CV67" s="157"/>
      <c r="CW67" s="157"/>
      <c r="CX67" s="157"/>
      <c r="CY67" s="157"/>
      <c r="CZ67" s="157"/>
      <c r="DA67" s="157"/>
      <c r="DB67" s="157"/>
      <c r="DE67" s="159"/>
    </row>
    <row r="68" spans="1:109" s="158" customFormat="1" x14ac:dyDescent="0.2">
      <c r="A68" s="186" t="s">
        <v>580</v>
      </c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>
        <f t="shared" si="256"/>
        <v>1111</v>
      </c>
      <c r="Y68" s="156">
        <f t="shared" si="257"/>
        <v>1527</v>
      </c>
      <c r="Z68" s="156">
        <f t="shared" si="258"/>
        <v>2080</v>
      </c>
      <c r="AA68" s="157"/>
      <c r="AB68" s="157"/>
      <c r="AC68" s="157"/>
      <c r="AD68" s="157"/>
      <c r="AE68" s="157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  <c r="AU68" s="156"/>
      <c r="AV68" s="156"/>
      <c r="AW68" s="156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  <c r="BH68" s="156"/>
      <c r="BI68" s="156"/>
      <c r="BJ68" s="156"/>
      <c r="BK68" s="156"/>
      <c r="BL68" s="156"/>
      <c r="BM68" s="156"/>
      <c r="BN68" s="156"/>
      <c r="BO68" s="156"/>
      <c r="BP68" s="156"/>
      <c r="BQ68" s="156"/>
      <c r="BR68" s="156"/>
      <c r="BS68" s="156"/>
      <c r="BT68" s="156"/>
      <c r="BU68" s="156"/>
      <c r="BV68" s="156"/>
      <c r="BW68" s="156">
        <v>160</v>
      </c>
      <c r="BX68" s="156">
        <v>248</v>
      </c>
      <c r="BY68" s="156">
        <v>211</v>
      </c>
      <c r="BZ68" s="156">
        <v>492</v>
      </c>
      <c r="CA68" s="156">
        <v>336</v>
      </c>
      <c r="CB68" s="156">
        <v>391</v>
      </c>
      <c r="CC68" s="156">
        <v>364</v>
      </c>
      <c r="CD68" s="156">
        <v>436</v>
      </c>
      <c r="CE68" s="156">
        <v>403</v>
      </c>
      <c r="CF68" s="156">
        <v>411</v>
      </c>
      <c r="CG68" s="156">
        <v>498</v>
      </c>
      <c r="CH68" s="156">
        <v>768</v>
      </c>
      <c r="CI68" s="156">
        <v>585</v>
      </c>
      <c r="CJ68" s="156">
        <v>687</v>
      </c>
      <c r="CK68" s="156">
        <v>777</v>
      </c>
      <c r="CL68" s="156">
        <v>860</v>
      </c>
      <c r="CM68" s="157"/>
      <c r="CN68" s="157"/>
      <c r="CO68" s="157"/>
      <c r="CP68" s="157"/>
      <c r="CQ68" s="157"/>
      <c r="CR68" s="157"/>
      <c r="CS68" s="157"/>
      <c r="CT68" s="157"/>
      <c r="CU68" s="157"/>
      <c r="CV68" s="157"/>
      <c r="CW68" s="157"/>
      <c r="CX68" s="157"/>
      <c r="CY68" s="157"/>
      <c r="CZ68" s="157"/>
      <c r="DA68" s="157"/>
      <c r="DB68" s="157"/>
      <c r="DE68" s="159"/>
    </row>
    <row r="69" spans="1:109" s="158" customFormat="1" x14ac:dyDescent="0.2">
      <c r="A69" s="186" t="s">
        <v>581</v>
      </c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>
        <f t="shared" si="256"/>
        <v>1306</v>
      </c>
      <c r="Y69" s="156">
        <f t="shared" si="257"/>
        <v>1337</v>
      </c>
      <c r="Z69" s="156">
        <f t="shared" si="258"/>
        <v>1649</v>
      </c>
      <c r="AA69" s="157"/>
      <c r="AB69" s="157"/>
      <c r="AC69" s="157"/>
      <c r="AD69" s="157"/>
      <c r="AE69" s="157"/>
      <c r="AI69" s="156"/>
      <c r="AJ69" s="156"/>
      <c r="AK69" s="156"/>
      <c r="AL69" s="156"/>
      <c r="AM69" s="156"/>
      <c r="AN69" s="156"/>
      <c r="AO69" s="156"/>
      <c r="AP69" s="156"/>
      <c r="AQ69" s="156"/>
      <c r="AR69" s="156"/>
      <c r="AS69" s="156"/>
      <c r="AT69" s="156"/>
      <c r="AU69" s="156"/>
      <c r="AV69" s="156"/>
      <c r="AW69" s="156"/>
      <c r="AX69" s="156"/>
      <c r="AY69" s="156"/>
      <c r="AZ69" s="156"/>
      <c r="BA69" s="156"/>
      <c r="BB69" s="156"/>
      <c r="BC69" s="156"/>
      <c r="BD69" s="156"/>
      <c r="BE69" s="156"/>
      <c r="BF69" s="156"/>
      <c r="BG69" s="156"/>
      <c r="BH69" s="156"/>
      <c r="BI69" s="156"/>
      <c r="BJ69" s="156"/>
      <c r="BK69" s="156"/>
      <c r="BL69" s="156"/>
      <c r="BM69" s="156"/>
      <c r="BN69" s="156"/>
      <c r="BO69" s="156"/>
      <c r="BP69" s="156"/>
      <c r="BQ69" s="156"/>
      <c r="BR69" s="156"/>
      <c r="BS69" s="156"/>
      <c r="BT69" s="156"/>
      <c r="BU69" s="156"/>
      <c r="BV69" s="156"/>
      <c r="BW69" s="156">
        <v>340</v>
      </c>
      <c r="BX69" s="156">
        <v>332</v>
      </c>
      <c r="BY69" s="156">
        <v>329</v>
      </c>
      <c r="BZ69" s="156">
        <v>305</v>
      </c>
      <c r="CA69" s="156">
        <v>336</v>
      </c>
      <c r="CB69" s="156">
        <v>326</v>
      </c>
      <c r="CC69" s="156">
        <v>325</v>
      </c>
      <c r="CD69" s="156">
        <v>350</v>
      </c>
      <c r="CE69" s="156">
        <v>578</v>
      </c>
      <c r="CF69" s="156">
        <v>582</v>
      </c>
      <c r="CG69" s="156">
        <v>343</v>
      </c>
      <c r="CH69" s="156">
        <v>146</v>
      </c>
      <c r="CI69" s="156">
        <v>332</v>
      </c>
      <c r="CJ69" s="156">
        <v>562</v>
      </c>
      <c r="CK69" s="156">
        <v>765</v>
      </c>
      <c r="CL69" s="156">
        <v>682</v>
      </c>
      <c r="CM69" s="157"/>
      <c r="CN69" s="157"/>
      <c r="CO69" s="157"/>
      <c r="CP69" s="157"/>
      <c r="CQ69" s="157"/>
      <c r="CR69" s="157"/>
      <c r="CS69" s="157"/>
      <c r="CT69" s="157"/>
      <c r="CU69" s="157"/>
      <c r="CV69" s="157"/>
      <c r="CW69" s="157"/>
      <c r="CX69" s="157"/>
      <c r="CY69" s="157"/>
      <c r="CZ69" s="157"/>
      <c r="DA69" s="157"/>
      <c r="DB69" s="157"/>
      <c r="DE69" s="159"/>
    </row>
    <row r="70" spans="1:109" s="158" customFormat="1" x14ac:dyDescent="0.2">
      <c r="A70" s="186" t="s">
        <v>582</v>
      </c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>
        <f t="shared" si="256"/>
        <v>57</v>
      </c>
      <c r="Y70" s="156">
        <f t="shared" si="257"/>
        <v>152</v>
      </c>
      <c r="Z70" s="156">
        <f t="shared" si="258"/>
        <v>167</v>
      </c>
      <c r="AA70" s="157"/>
      <c r="AB70" s="157"/>
      <c r="AC70" s="157"/>
      <c r="AD70" s="157"/>
      <c r="AE70" s="157"/>
      <c r="AI70" s="156"/>
      <c r="AJ70" s="156"/>
      <c r="AK70" s="156"/>
      <c r="AL70" s="156"/>
      <c r="AM70" s="156"/>
      <c r="AN70" s="156"/>
      <c r="AO70" s="156"/>
      <c r="AP70" s="156"/>
      <c r="AQ70" s="156"/>
      <c r="AR70" s="156"/>
      <c r="AS70" s="156"/>
      <c r="AT70" s="156"/>
      <c r="AU70" s="156"/>
      <c r="AV70" s="156"/>
      <c r="AW70" s="156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  <c r="BI70" s="156"/>
      <c r="BJ70" s="156"/>
      <c r="BK70" s="156"/>
      <c r="BL70" s="156"/>
      <c r="BM70" s="156"/>
      <c r="BN70" s="156"/>
      <c r="BO70" s="156"/>
      <c r="BP70" s="156"/>
      <c r="BQ70" s="156"/>
      <c r="BR70" s="156"/>
      <c r="BS70" s="156"/>
      <c r="BT70" s="156"/>
      <c r="BU70" s="156"/>
      <c r="BV70" s="156"/>
      <c r="BW70" s="156">
        <v>-8</v>
      </c>
      <c r="BX70" s="156">
        <v>-5</v>
      </c>
      <c r="BY70" s="156">
        <v>34</v>
      </c>
      <c r="BZ70" s="156">
        <v>36</v>
      </c>
      <c r="CA70" s="156">
        <v>28</v>
      </c>
      <c r="CB70" s="156">
        <v>34</v>
      </c>
      <c r="CC70" s="156">
        <v>59</v>
      </c>
      <c r="CD70" s="156">
        <v>31</v>
      </c>
      <c r="CE70" s="156">
        <v>44</v>
      </c>
      <c r="CF70" s="156">
        <v>51</v>
      </c>
      <c r="CG70" s="156">
        <v>55</v>
      </c>
      <c r="CH70" s="156">
        <v>17</v>
      </c>
      <c r="CI70" s="156">
        <v>57</v>
      </c>
      <c r="CJ70" s="156">
        <v>74</v>
      </c>
      <c r="CK70" s="156">
        <v>86</v>
      </c>
      <c r="CL70" s="156">
        <v>66</v>
      </c>
      <c r="CM70" s="157"/>
      <c r="CN70" s="157"/>
      <c r="CO70" s="157"/>
      <c r="CP70" s="157"/>
      <c r="CQ70" s="157"/>
      <c r="CR70" s="157"/>
      <c r="CS70" s="157"/>
      <c r="CT70" s="157"/>
      <c r="CU70" s="157"/>
      <c r="CV70" s="157"/>
      <c r="CW70" s="157"/>
      <c r="CX70" s="157"/>
      <c r="CY70" s="157"/>
      <c r="CZ70" s="157"/>
      <c r="DA70" s="157"/>
      <c r="DB70" s="157"/>
      <c r="DE70" s="159"/>
    </row>
    <row r="71" spans="1:109" s="158" customFormat="1" x14ac:dyDescent="0.2">
      <c r="A71" s="155"/>
      <c r="B71" s="156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7"/>
      <c r="AB71" s="157"/>
      <c r="AC71" s="157"/>
      <c r="AD71" s="157"/>
      <c r="AE71" s="157"/>
      <c r="AI71" s="156"/>
      <c r="AJ71" s="156"/>
      <c r="AK71" s="156"/>
      <c r="AL71" s="156"/>
      <c r="AM71" s="156"/>
      <c r="AN71" s="156"/>
      <c r="AO71" s="156"/>
      <c r="AP71" s="156"/>
      <c r="AQ71" s="156"/>
      <c r="AR71" s="156"/>
      <c r="AS71" s="156"/>
      <c r="AT71" s="156"/>
      <c r="AU71" s="156"/>
      <c r="AV71" s="156"/>
      <c r="AW71" s="156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  <c r="BI71" s="156"/>
      <c r="BJ71" s="156"/>
      <c r="BK71" s="156"/>
      <c r="BL71" s="156"/>
      <c r="BM71" s="156"/>
      <c r="BN71" s="156"/>
      <c r="BO71" s="156"/>
      <c r="BP71" s="156"/>
      <c r="BQ71" s="156"/>
      <c r="BR71" s="156"/>
      <c r="BS71" s="156"/>
      <c r="BT71" s="156"/>
      <c r="BU71" s="156"/>
      <c r="BV71" s="156"/>
      <c r="BW71" s="156"/>
      <c r="BX71" s="156"/>
      <c r="BY71" s="156"/>
      <c r="BZ71" s="156"/>
      <c r="CA71" s="156"/>
      <c r="CB71" s="156"/>
      <c r="CC71" s="156"/>
      <c r="CD71" s="156"/>
      <c r="CE71" s="156"/>
      <c r="CF71" s="156"/>
      <c r="CG71" s="156"/>
      <c r="CH71" s="156"/>
      <c r="CI71" s="156"/>
      <c r="CJ71" s="156"/>
      <c r="CK71" s="156"/>
      <c r="CL71" s="156"/>
      <c r="CM71" s="157"/>
      <c r="CN71" s="157"/>
      <c r="CO71" s="157"/>
      <c r="CP71" s="157"/>
      <c r="CQ71" s="157"/>
      <c r="CR71" s="157"/>
      <c r="CS71" s="157"/>
      <c r="CT71" s="157"/>
      <c r="CU71" s="157"/>
      <c r="CV71" s="157"/>
      <c r="CW71" s="157"/>
      <c r="CX71" s="157"/>
      <c r="CY71" s="157"/>
      <c r="CZ71" s="157"/>
      <c r="DA71" s="157"/>
      <c r="DB71" s="157"/>
      <c r="DE71" s="159"/>
    </row>
    <row r="72" spans="1:109" s="158" customFormat="1" x14ac:dyDescent="0.2">
      <c r="A72" s="185" t="s">
        <v>583</v>
      </c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>
        <f t="shared" ref="X72" si="259">SUM(BW72:BZ72)</f>
        <v>139</v>
      </c>
      <c r="Y72" s="156">
        <f t="shared" ref="Y72" si="260">SUM(CA72:CD72)</f>
        <v>941</v>
      </c>
      <c r="Z72" s="156">
        <f t="shared" ref="Z72" si="261">SUM(CE72:CH72)</f>
        <v>414</v>
      </c>
      <c r="AA72" s="157"/>
      <c r="AB72" s="157"/>
      <c r="AC72" s="157"/>
      <c r="AD72" s="157"/>
      <c r="AE72" s="157"/>
      <c r="AI72" s="156"/>
      <c r="AJ72" s="156"/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  <c r="BI72" s="156"/>
      <c r="BJ72" s="156"/>
      <c r="BK72" s="156"/>
      <c r="BL72" s="156"/>
      <c r="BM72" s="156"/>
      <c r="BN72" s="156"/>
      <c r="BO72" s="156"/>
      <c r="BP72" s="156"/>
      <c r="BQ72" s="156"/>
      <c r="BR72" s="156"/>
      <c r="BS72" s="156"/>
      <c r="BT72" s="156"/>
      <c r="BU72" s="156"/>
      <c r="BV72" s="156"/>
      <c r="BW72" s="107">
        <v>63</v>
      </c>
      <c r="BX72" s="107">
        <v>23</v>
      </c>
      <c r="BY72" s="107">
        <v>75</v>
      </c>
      <c r="BZ72" s="107">
        <v>-22</v>
      </c>
      <c r="CA72" s="107">
        <v>40</v>
      </c>
      <c r="CB72" s="107">
        <v>44</v>
      </c>
      <c r="CC72" s="107">
        <v>476</v>
      </c>
      <c r="CD72" s="107">
        <v>381</v>
      </c>
      <c r="CE72" s="107">
        <v>15</v>
      </c>
      <c r="CF72" s="107">
        <v>373</v>
      </c>
      <c r="CG72" s="107">
        <v>43</v>
      </c>
      <c r="CH72" s="107">
        <v>-17</v>
      </c>
      <c r="CI72" s="107">
        <v>44</v>
      </c>
      <c r="CJ72" s="156">
        <v>291</v>
      </c>
      <c r="CK72" s="156">
        <v>-40</v>
      </c>
      <c r="CL72" s="156">
        <v>190</v>
      </c>
      <c r="CM72" s="157"/>
      <c r="CN72" s="157"/>
      <c r="CO72" s="157"/>
      <c r="CP72" s="157"/>
      <c r="CQ72" s="157"/>
      <c r="CR72" s="157"/>
      <c r="CS72" s="157"/>
      <c r="CT72" s="157"/>
      <c r="CU72" s="157"/>
      <c r="CV72" s="157"/>
      <c r="CW72" s="157"/>
      <c r="CX72" s="157"/>
      <c r="CY72" s="157"/>
      <c r="CZ72" s="157"/>
      <c r="DA72" s="157"/>
      <c r="DB72" s="157"/>
      <c r="DE72" s="159"/>
    </row>
    <row r="73" spans="1:109" s="158" customFormat="1" x14ac:dyDescent="0.2">
      <c r="A73" s="155"/>
      <c r="B73" s="156"/>
      <c r="C73" s="156"/>
      <c r="D73" s="156"/>
      <c r="E73" s="156"/>
      <c r="F73" s="156"/>
      <c r="G73" s="156"/>
      <c r="H73" s="156"/>
      <c r="I73" s="156"/>
      <c r="J73" s="156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  <c r="AA73" s="157"/>
      <c r="AB73" s="157"/>
      <c r="AC73" s="157"/>
      <c r="AD73" s="157"/>
      <c r="AE73" s="157"/>
      <c r="AI73" s="156"/>
      <c r="AJ73" s="156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  <c r="BI73" s="156"/>
      <c r="BJ73" s="156"/>
      <c r="BK73" s="156"/>
      <c r="BL73" s="156"/>
      <c r="BM73" s="156"/>
      <c r="BN73" s="156"/>
      <c r="BO73" s="156"/>
      <c r="BP73" s="156"/>
      <c r="BQ73" s="156"/>
      <c r="BR73" s="156"/>
      <c r="BS73" s="156"/>
      <c r="BT73" s="156"/>
      <c r="BU73" s="156"/>
      <c r="BV73" s="156"/>
      <c r="BW73" s="156"/>
      <c r="BX73" s="156"/>
      <c r="BY73" s="156"/>
      <c r="BZ73" s="156"/>
      <c r="CA73" s="156"/>
      <c r="CB73" s="156"/>
      <c r="CC73" s="156"/>
      <c r="CD73" s="156"/>
      <c r="CE73" s="156"/>
      <c r="CF73" s="156"/>
      <c r="CG73" s="156"/>
      <c r="CH73" s="156"/>
      <c r="CI73" s="156"/>
      <c r="CJ73" s="156"/>
      <c r="CK73" s="156"/>
      <c r="CL73" s="156"/>
      <c r="CM73" s="157"/>
      <c r="CN73" s="157"/>
      <c r="CO73" s="157"/>
      <c r="CP73" s="157"/>
      <c r="CQ73" s="157"/>
      <c r="CR73" s="157"/>
      <c r="CS73" s="157"/>
      <c r="CT73" s="157"/>
      <c r="CU73" s="157"/>
      <c r="CV73" s="157"/>
      <c r="CW73" s="157"/>
      <c r="CX73" s="157"/>
      <c r="CY73" s="157"/>
      <c r="CZ73" s="157"/>
      <c r="DA73" s="157"/>
      <c r="DB73" s="157"/>
      <c r="DE73" s="159"/>
    </row>
    <row r="74" spans="1:109" s="109" customFormat="1" x14ac:dyDescent="0.2">
      <c r="A74" s="191" t="s">
        <v>584</v>
      </c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>
        <f t="shared" ref="X74:Y74" si="262">X52+X58+X64+X72</f>
        <v>10069</v>
      </c>
      <c r="Y74" s="107">
        <f t="shared" si="262"/>
        <v>12699</v>
      </c>
      <c r="Z74" s="107">
        <f>Z52+Z58+Z64+Z72</f>
        <v>14465</v>
      </c>
      <c r="AA74" s="108"/>
      <c r="AB74" s="108"/>
      <c r="AC74" s="108"/>
      <c r="AD74" s="108"/>
      <c r="AE74" s="108"/>
      <c r="AI74" s="107"/>
      <c r="AJ74" s="107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  <c r="AU74" s="107"/>
      <c r="AV74" s="107"/>
      <c r="AW74" s="107"/>
      <c r="AX74" s="107"/>
      <c r="AY74" s="107"/>
      <c r="AZ74" s="107"/>
      <c r="BA74" s="107"/>
      <c r="BB74" s="107"/>
      <c r="BC74" s="107"/>
      <c r="BD74" s="107"/>
      <c r="BE74" s="107"/>
      <c r="BF74" s="107"/>
      <c r="BG74" s="107"/>
      <c r="BH74" s="107"/>
      <c r="BI74" s="107"/>
      <c r="BJ74" s="107"/>
      <c r="BK74" s="107"/>
      <c r="BL74" s="107"/>
      <c r="BM74" s="107"/>
      <c r="BN74" s="107"/>
      <c r="BO74" s="107"/>
      <c r="BP74" s="107"/>
      <c r="BQ74" s="107"/>
      <c r="BR74" s="107"/>
      <c r="BS74" s="107"/>
      <c r="BT74" s="107"/>
      <c r="BU74" s="107"/>
      <c r="BV74" s="107"/>
      <c r="BW74" s="107">
        <f t="shared" ref="BW74:CH74" si="263">BW52+BW58+BW64+BW72</f>
        <v>2107</v>
      </c>
      <c r="BX74" s="107">
        <f t="shared" si="263"/>
        <v>2043</v>
      </c>
      <c r="BY74" s="107">
        <f t="shared" si="263"/>
        <v>2818</v>
      </c>
      <c r="BZ74" s="107">
        <f t="shared" si="263"/>
        <v>3101</v>
      </c>
      <c r="CA74" s="107">
        <f t="shared" si="263"/>
        <v>3005</v>
      </c>
      <c r="CB74" s="107">
        <f t="shared" si="263"/>
        <v>3087</v>
      </c>
      <c r="CC74" s="107">
        <f t="shared" si="263"/>
        <v>3248</v>
      </c>
      <c r="CD74" s="107">
        <f t="shared" si="263"/>
        <v>3359</v>
      </c>
      <c r="CE74" s="107">
        <f t="shared" si="263"/>
        <v>3351</v>
      </c>
      <c r="CF74" s="107">
        <f t="shared" si="263"/>
        <v>3807</v>
      </c>
      <c r="CG74" s="107">
        <f t="shared" si="263"/>
        <v>3479</v>
      </c>
      <c r="CH74" s="107">
        <f t="shared" si="263"/>
        <v>3828</v>
      </c>
      <c r="CI74" s="107">
        <f>CI52+CI58+CI64+CI72</f>
        <v>3930</v>
      </c>
      <c r="CJ74" s="107">
        <f>CJ52+CJ58+CJ64+CJ72</f>
        <v>4031</v>
      </c>
      <c r="CK74" s="107">
        <f>CK52+CK58+CK64+CK72</f>
        <v>3913</v>
      </c>
      <c r="CL74" s="107">
        <f>CL52+CL58+CL64+CL72</f>
        <v>4217</v>
      </c>
      <c r="CM74" s="108"/>
      <c r="CN74" s="108"/>
      <c r="CO74" s="108"/>
      <c r="CP74" s="108"/>
      <c r="CQ74" s="108"/>
      <c r="CR74" s="108"/>
      <c r="CS74" s="108"/>
      <c r="CT74" s="108"/>
      <c r="CU74" s="108"/>
      <c r="CV74" s="108"/>
      <c r="CW74" s="108"/>
      <c r="CX74" s="108"/>
      <c r="CY74" s="108"/>
      <c r="CZ74" s="108"/>
      <c r="DA74" s="108"/>
      <c r="DB74" s="108"/>
      <c r="DE74" s="117"/>
    </row>
    <row r="75" spans="1:109" s="158" customFormat="1" x14ac:dyDescent="0.2">
      <c r="A75" s="155" t="s">
        <v>585</v>
      </c>
      <c r="B75" s="156"/>
      <c r="C75" s="156"/>
      <c r="D75" s="156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>
        <f>+X74-X120-X127</f>
        <v>0.4100000000014461</v>
      </c>
      <c r="Y75" s="156">
        <f>+Y74-Y120-Y127</f>
        <v>-1.8799999999946522</v>
      </c>
      <c r="Z75" s="156">
        <f>+Z74-Z120-Z127</f>
        <v>-2.7999999999994998</v>
      </c>
      <c r="AA75" s="157"/>
      <c r="AB75" s="157"/>
      <c r="AC75" s="157"/>
      <c r="AD75" s="157"/>
      <c r="AE75" s="157"/>
      <c r="AI75" s="156"/>
      <c r="AJ75" s="156"/>
      <c r="AK75" s="156"/>
      <c r="AL75" s="156"/>
      <c r="AM75" s="156"/>
      <c r="AN75" s="156"/>
      <c r="AO75" s="156"/>
      <c r="AP75" s="156"/>
      <c r="AQ75" s="156"/>
      <c r="AR75" s="156"/>
      <c r="AS75" s="156"/>
      <c r="AT75" s="156"/>
      <c r="AU75" s="156"/>
      <c r="AV75" s="156"/>
      <c r="AW75" s="156"/>
      <c r="AX75" s="156"/>
      <c r="AY75" s="156"/>
      <c r="AZ75" s="156"/>
      <c r="BA75" s="156"/>
      <c r="BB75" s="156"/>
      <c r="BC75" s="156"/>
      <c r="BD75" s="156"/>
      <c r="BE75" s="156"/>
      <c r="BF75" s="156"/>
      <c r="BG75" s="156"/>
      <c r="BH75" s="156"/>
      <c r="BI75" s="156"/>
      <c r="BJ75" s="156"/>
      <c r="BK75" s="156"/>
      <c r="BL75" s="156"/>
      <c r="BM75" s="156"/>
      <c r="BN75" s="156"/>
      <c r="BO75" s="156"/>
      <c r="BP75" s="156"/>
      <c r="BQ75" s="156"/>
      <c r="BR75" s="156"/>
      <c r="BS75" s="156"/>
      <c r="BT75" s="156"/>
      <c r="BU75" s="156"/>
      <c r="BV75" s="156"/>
      <c r="BW75" s="156">
        <f t="shared" ref="BW75:CK75" si="264">+BW74-BW120-BW127</f>
        <v>-0.10999999999950205</v>
      </c>
      <c r="BX75" s="156">
        <f t="shared" si="264"/>
        <v>0.15999999999840497</v>
      </c>
      <c r="BY75" s="156">
        <f t="shared" si="264"/>
        <v>0.3799999999991428</v>
      </c>
      <c r="BZ75" s="156">
        <f t="shared" si="264"/>
        <v>0.18000000000120053</v>
      </c>
      <c r="CA75" s="156">
        <f t="shared" si="264"/>
        <v>-5.000000000103455E-2</v>
      </c>
      <c r="CB75" s="156">
        <f t="shared" si="264"/>
        <v>0.11999999999920874</v>
      </c>
      <c r="CC75" s="156">
        <f t="shared" si="264"/>
        <v>-2.2700000000012324</v>
      </c>
      <c r="CD75" s="156">
        <f t="shared" si="264"/>
        <v>0.519999999999186</v>
      </c>
      <c r="CE75" s="156">
        <f t="shared" si="264"/>
        <v>0.81000000000187811</v>
      </c>
      <c r="CF75" s="156">
        <f t="shared" si="264"/>
        <v>-0.57999999999890406</v>
      </c>
      <c r="CG75" s="156">
        <f t="shared" si="264"/>
        <v>-2.4000000000006594</v>
      </c>
      <c r="CH75" s="156">
        <f t="shared" si="264"/>
        <v>-0.58000000000021146</v>
      </c>
      <c r="CI75" s="156">
        <f t="shared" si="264"/>
        <v>-0.77000000000128921</v>
      </c>
      <c r="CJ75" s="156">
        <f t="shared" si="264"/>
        <v>-0.52000000000060709</v>
      </c>
      <c r="CK75" s="156">
        <f t="shared" si="264"/>
        <v>0.50000000000005684</v>
      </c>
      <c r="CL75" s="156">
        <f t="shared" ref="CL75" si="265">+CL74-CL120-CL127</f>
        <v>0.8100000000001728</v>
      </c>
      <c r="CM75" s="157"/>
      <c r="CN75" s="157"/>
      <c r="CO75" s="157"/>
      <c r="CP75" s="157"/>
      <c r="CQ75" s="157"/>
      <c r="CR75" s="157"/>
      <c r="CS75" s="157"/>
      <c r="CT75" s="157"/>
      <c r="CU75" s="157"/>
      <c r="CV75" s="157"/>
      <c r="CW75" s="157"/>
      <c r="CX75" s="157"/>
      <c r="CY75" s="157"/>
      <c r="CZ75" s="157"/>
      <c r="DA75" s="157"/>
      <c r="DB75" s="157"/>
      <c r="DE75" s="159"/>
    </row>
    <row r="76" spans="1:109" s="158" customFormat="1" x14ac:dyDescent="0.2">
      <c r="A76" s="155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  <c r="AA76" s="157"/>
      <c r="AB76" s="157"/>
      <c r="AC76" s="157"/>
      <c r="AD76" s="157"/>
      <c r="AE76" s="157"/>
      <c r="AI76" s="156"/>
      <c r="AJ76" s="156"/>
      <c r="AK76" s="156"/>
      <c r="AL76" s="156"/>
      <c r="AM76" s="156"/>
      <c r="AN76" s="156"/>
      <c r="AO76" s="156"/>
      <c r="AP76" s="156"/>
      <c r="AQ76" s="156"/>
      <c r="AR76" s="156"/>
      <c r="AS76" s="156"/>
      <c r="AT76" s="156"/>
      <c r="AU76" s="156"/>
      <c r="AV76" s="156"/>
      <c r="AW76" s="156"/>
      <c r="AX76" s="156"/>
      <c r="AY76" s="156"/>
      <c r="AZ76" s="156"/>
      <c r="BA76" s="156"/>
      <c r="BB76" s="156"/>
      <c r="BC76" s="156"/>
      <c r="BD76" s="156"/>
      <c r="BE76" s="156"/>
      <c r="BF76" s="156"/>
      <c r="BG76" s="156"/>
      <c r="BH76" s="156"/>
      <c r="BI76" s="156"/>
      <c r="BJ76" s="156"/>
      <c r="BK76" s="156"/>
      <c r="BL76" s="156"/>
      <c r="BM76" s="156"/>
      <c r="BN76" s="156"/>
      <c r="BO76" s="156"/>
      <c r="BP76" s="156"/>
      <c r="BQ76" s="156"/>
      <c r="BR76" s="156"/>
      <c r="BS76" s="156"/>
      <c r="BT76" s="156"/>
      <c r="BU76" s="156"/>
      <c r="BV76" s="156"/>
      <c r="BW76" s="156"/>
      <c r="BX76" s="156"/>
      <c r="BY76" s="156"/>
      <c r="BZ76" s="156"/>
      <c r="CA76" s="156"/>
      <c r="CB76" s="156"/>
      <c r="CC76" s="156"/>
      <c r="CD76" s="156"/>
      <c r="CE76" s="156"/>
      <c r="CF76" s="156"/>
      <c r="CG76" s="156"/>
      <c r="CH76" s="156"/>
      <c r="CI76" s="156"/>
      <c r="CJ76" s="156"/>
      <c r="CK76" s="156"/>
      <c r="CL76" s="156"/>
      <c r="CM76" s="157"/>
      <c r="CN76" s="157"/>
      <c r="CO76" s="157"/>
      <c r="CP76" s="157"/>
      <c r="CQ76" s="157"/>
      <c r="CR76" s="157"/>
      <c r="CS76" s="157"/>
      <c r="CT76" s="157"/>
      <c r="CU76" s="157"/>
      <c r="CV76" s="157"/>
      <c r="CW76" s="157"/>
      <c r="CX76" s="157"/>
      <c r="CY76" s="157"/>
      <c r="CZ76" s="157"/>
      <c r="DA76" s="157"/>
      <c r="DB76" s="157"/>
      <c r="DE76" s="159"/>
    </row>
    <row r="77" spans="1:109" s="109" customFormat="1" x14ac:dyDescent="0.2">
      <c r="A77" s="191" t="s">
        <v>549</v>
      </c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8"/>
      <c r="AB77" s="108"/>
      <c r="AC77" s="108"/>
      <c r="AD77" s="108"/>
      <c r="AE77" s="108"/>
      <c r="AI77" s="107"/>
      <c r="AJ77" s="107"/>
      <c r="AK77" s="107"/>
      <c r="AL77" s="107"/>
      <c r="AM77" s="107"/>
      <c r="AN77" s="107"/>
      <c r="AO77" s="107"/>
      <c r="AP77" s="107"/>
      <c r="AQ77" s="107"/>
      <c r="AR77" s="107"/>
      <c r="AS77" s="107"/>
      <c r="AT77" s="107"/>
      <c r="AU77" s="107"/>
      <c r="AV77" s="107"/>
      <c r="AW77" s="107"/>
      <c r="AX77" s="107"/>
      <c r="AY77" s="107"/>
      <c r="AZ77" s="107"/>
      <c r="BA77" s="107"/>
      <c r="BB77" s="107"/>
      <c r="BC77" s="107"/>
      <c r="BD77" s="107"/>
      <c r="BE77" s="107"/>
      <c r="BF77" s="107"/>
      <c r="BG77" s="107"/>
      <c r="BH77" s="107"/>
      <c r="BI77" s="107"/>
      <c r="BJ77" s="107"/>
      <c r="BK77" s="107"/>
      <c r="BL77" s="107"/>
      <c r="BM77" s="107"/>
      <c r="BN77" s="107"/>
      <c r="BO77" s="107"/>
      <c r="BP77" s="107"/>
      <c r="BQ77" s="107"/>
      <c r="BR77" s="107"/>
      <c r="BS77" s="107"/>
      <c r="BT77" s="107"/>
      <c r="BU77" s="107"/>
      <c r="BV77" s="107"/>
      <c r="BW77" s="107"/>
      <c r="BX77" s="107"/>
      <c r="BY77" s="107"/>
      <c r="BZ77" s="107"/>
      <c r="CA77" s="107"/>
      <c r="CB77" s="107"/>
      <c r="CC77" s="107"/>
      <c r="CD77" s="107"/>
      <c r="CE77" s="107"/>
      <c r="CF77" s="107"/>
      <c r="CG77" s="107"/>
      <c r="CH77" s="107"/>
      <c r="CI77" s="107"/>
      <c r="CJ77" s="107"/>
      <c r="CK77" s="107"/>
      <c r="CL77" s="107"/>
      <c r="CM77" s="108"/>
      <c r="CN77" s="108"/>
      <c r="CO77" s="108"/>
      <c r="CP77" s="108"/>
      <c r="CQ77" s="108"/>
      <c r="CR77" s="108"/>
      <c r="CS77" s="108"/>
      <c r="CT77" s="108"/>
      <c r="CU77" s="108"/>
      <c r="CV77" s="108"/>
      <c r="CW77" s="108"/>
      <c r="CX77" s="108"/>
      <c r="CY77" s="108"/>
      <c r="CZ77" s="108"/>
      <c r="DA77" s="108"/>
      <c r="DB77" s="108"/>
      <c r="DE77" s="117"/>
    </row>
    <row r="78" spans="1:109" s="158" customFormat="1" x14ac:dyDescent="0.2">
      <c r="A78" s="185" t="s">
        <v>550</v>
      </c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201">
        <f t="shared" ref="X78:Z78" si="266">+X52/X5</f>
        <v>0.15967493960026355</v>
      </c>
      <c r="Y78" s="201">
        <f t="shared" si="266"/>
        <v>0.19262733900984041</v>
      </c>
      <c r="Z78" s="201">
        <f t="shared" si="266"/>
        <v>0.2119047619047619</v>
      </c>
      <c r="AA78" s="157"/>
      <c r="AB78" s="157"/>
      <c r="AC78" s="157"/>
      <c r="AD78" s="157"/>
      <c r="AE78" s="157"/>
      <c r="AI78" s="156"/>
      <c r="AJ78" s="156"/>
      <c r="AK78" s="156"/>
      <c r="AL78" s="156"/>
      <c r="AM78" s="156"/>
      <c r="AN78" s="156"/>
      <c r="AO78" s="156"/>
      <c r="AP78" s="156"/>
      <c r="AQ78" s="156"/>
      <c r="AR78" s="156"/>
      <c r="AS78" s="156"/>
      <c r="AT78" s="156"/>
      <c r="AU78" s="156"/>
      <c r="AV78" s="156"/>
      <c r="AW78" s="156"/>
      <c r="AX78" s="156"/>
      <c r="AY78" s="156"/>
      <c r="AZ78" s="156"/>
      <c r="BA78" s="156"/>
      <c r="BB78" s="156"/>
      <c r="BC78" s="156"/>
      <c r="BD78" s="156"/>
      <c r="BE78" s="156"/>
      <c r="BF78" s="156"/>
      <c r="BG78" s="156"/>
      <c r="BH78" s="156"/>
      <c r="BI78" s="156"/>
      <c r="BJ78" s="156"/>
      <c r="BK78" s="156"/>
      <c r="BL78" s="156"/>
      <c r="BM78" s="156"/>
      <c r="BN78" s="156"/>
      <c r="BO78" s="156"/>
      <c r="BP78" s="156"/>
      <c r="BQ78" s="156"/>
      <c r="BR78" s="156"/>
      <c r="BS78" s="156"/>
      <c r="BT78" s="156"/>
      <c r="BU78" s="156"/>
      <c r="BV78" s="156"/>
      <c r="BW78" s="201">
        <f t="shared" ref="BW78:CJ78" si="267">+BW52/BW5</f>
        <v>8.9560975609756094E-2</v>
      </c>
      <c r="BX78" s="201">
        <f t="shared" si="267"/>
        <v>8.1299131154323537E-2</v>
      </c>
      <c r="BY78" s="201">
        <f t="shared" si="267"/>
        <v>0.19646182495344505</v>
      </c>
      <c r="BZ78" s="201">
        <f t="shared" si="267"/>
        <v>0.34720776968435657</v>
      </c>
      <c r="CA78" s="201">
        <f t="shared" si="267"/>
        <v>0.20468199709964782</v>
      </c>
      <c r="CB78" s="201">
        <f t="shared" si="267"/>
        <v>0.22521616730343857</v>
      </c>
      <c r="CC78" s="201">
        <f t="shared" si="267"/>
        <v>0.17809600645421542</v>
      </c>
      <c r="CD78" s="201">
        <f t="shared" si="267"/>
        <v>0.16210092687950567</v>
      </c>
      <c r="CE78" s="201">
        <f t="shared" si="267"/>
        <v>0.18171362852213915</v>
      </c>
      <c r="CF78" s="201">
        <f t="shared" si="267"/>
        <v>0.23016241299303944</v>
      </c>
      <c r="CG78" s="201">
        <f t="shared" si="267"/>
        <v>0.23756345177664975</v>
      </c>
      <c r="CH78" s="201">
        <f t="shared" si="267"/>
        <v>0.2029122541603631</v>
      </c>
      <c r="CI78" s="201">
        <f t="shared" si="267"/>
        <v>0.20107349298100743</v>
      </c>
      <c r="CJ78" s="201">
        <f t="shared" si="267"/>
        <v>0.20858369098712445</v>
      </c>
      <c r="CK78" s="201">
        <f>+CK52/CK5</f>
        <v>0.14589515331355093</v>
      </c>
      <c r="CL78" s="201">
        <f>+CL52/CL5</f>
        <v>0.20870994248151192</v>
      </c>
      <c r="CM78" s="157"/>
      <c r="CN78" s="157"/>
      <c r="CO78" s="157"/>
      <c r="CP78" s="157"/>
      <c r="CQ78" s="157"/>
      <c r="CR78" s="157"/>
      <c r="CS78" s="157"/>
      <c r="CT78" s="157"/>
      <c r="CU78" s="157"/>
      <c r="CV78" s="157"/>
      <c r="CW78" s="157"/>
      <c r="CX78" s="157"/>
      <c r="CY78" s="157"/>
      <c r="CZ78" s="157"/>
      <c r="DA78" s="157"/>
      <c r="DB78" s="157"/>
      <c r="DE78" s="159"/>
    </row>
    <row r="79" spans="1:109" s="158" customFormat="1" x14ac:dyDescent="0.2">
      <c r="A79" s="186" t="s">
        <v>586</v>
      </c>
      <c r="B79" s="15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201">
        <f t="shared" ref="X79:Z79" si="268">+X53/X6</f>
        <v>0.25685044569164739</v>
      </c>
      <c r="Y79" s="201">
        <f t="shared" si="268"/>
        <v>0.25721941053885083</v>
      </c>
      <c r="Z79" s="201">
        <f t="shared" si="268"/>
        <v>0.21252115059221657</v>
      </c>
      <c r="AA79" s="157"/>
      <c r="AB79" s="157"/>
      <c r="AC79" s="157"/>
      <c r="AD79" s="157"/>
      <c r="AE79" s="157"/>
      <c r="AI79" s="156"/>
      <c r="AJ79" s="156"/>
      <c r="AK79" s="156"/>
      <c r="AL79" s="156"/>
      <c r="AM79" s="156"/>
      <c r="AN79" s="156"/>
      <c r="AO79" s="156"/>
      <c r="AP79" s="156"/>
      <c r="AQ79" s="156"/>
      <c r="AR79" s="156"/>
      <c r="AS79" s="156"/>
      <c r="AT79" s="156"/>
      <c r="AU79" s="156"/>
      <c r="AV79" s="156"/>
      <c r="AW79" s="156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  <c r="BJ79" s="156"/>
      <c r="BK79" s="156"/>
      <c r="BL79" s="156"/>
      <c r="BM79" s="156"/>
      <c r="BN79" s="156"/>
      <c r="BO79" s="156"/>
      <c r="BP79" s="156"/>
      <c r="BQ79" s="156"/>
      <c r="BR79" s="156"/>
      <c r="BS79" s="156"/>
      <c r="BT79" s="156"/>
      <c r="BU79" s="156"/>
      <c r="BV79" s="156"/>
      <c r="BW79" s="201">
        <f t="shared" ref="BW79:CK79" si="269">+BW53/BW6</f>
        <v>0.24933687002652519</v>
      </c>
      <c r="BX79" s="201">
        <f t="shared" si="269"/>
        <v>0.23580246913580247</v>
      </c>
      <c r="BY79" s="201">
        <f t="shared" si="269"/>
        <v>0.26328800988875156</v>
      </c>
      <c r="BZ79" s="201">
        <f t="shared" si="269"/>
        <v>0.28353658536585363</v>
      </c>
      <c r="CA79" s="201">
        <f t="shared" si="269"/>
        <v>0.34588235294117647</v>
      </c>
      <c r="CB79" s="201">
        <f t="shared" si="269"/>
        <v>0.25361366622864651</v>
      </c>
      <c r="CC79" s="201">
        <f t="shared" si="269"/>
        <v>0.2153846153846154</v>
      </c>
      <c r="CD79" s="201">
        <f t="shared" si="269"/>
        <v>0.2159468438538206</v>
      </c>
      <c r="CE79" s="201">
        <f t="shared" si="269"/>
        <v>0.20512820512820512</v>
      </c>
      <c r="CF79" s="201">
        <f t="shared" si="269"/>
        <v>0.20078226857887874</v>
      </c>
      <c r="CG79" s="201">
        <f t="shared" si="269"/>
        <v>0.22968749999999999</v>
      </c>
      <c r="CH79" s="201">
        <f t="shared" si="269"/>
        <v>0.21810699588477367</v>
      </c>
      <c r="CI79" s="201">
        <f t="shared" si="269"/>
        <v>0.2191958495460441</v>
      </c>
      <c r="CJ79" s="201">
        <f t="shared" si="269"/>
        <v>0.24246079613992763</v>
      </c>
      <c r="CK79" s="201">
        <f t="shared" si="269"/>
        <v>0.30647482014388489</v>
      </c>
      <c r="CL79" s="201">
        <f t="shared" ref="CL79" si="270">+CL53/CL6</f>
        <v>0.19375000000000001</v>
      </c>
      <c r="CM79" s="157"/>
      <c r="CN79" s="157"/>
      <c r="CO79" s="157"/>
      <c r="CP79" s="157"/>
      <c r="CQ79" s="157"/>
      <c r="CR79" s="157"/>
      <c r="CS79" s="157"/>
      <c r="CT79" s="157"/>
      <c r="CU79" s="157"/>
      <c r="CV79" s="157"/>
      <c r="CW79" s="157"/>
      <c r="CX79" s="157"/>
      <c r="CY79" s="157"/>
      <c r="CZ79" s="157"/>
      <c r="DA79" s="157"/>
      <c r="DB79" s="157"/>
      <c r="DE79" s="159"/>
    </row>
    <row r="80" spans="1:109" s="158" customFormat="1" x14ac:dyDescent="0.2">
      <c r="A80" s="186" t="s">
        <v>587</v>
      </c>
      <c r="B80" s="156"/>
      <c r="C80" s="156"/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201">
        <f t="shared" ref="X80:Z80" si="271">+X54/X7</f>
        <v>0.13335270191748982</v>
      </c>
      <c r="Y80" s="201">
        <f t="shared" si="271"/>
        <v>0.21479591836734693</v>
      </c>
      <c r="Z80" s="201">
        <f t="shared" si="271"/>
        <v>0.24420372481946029</v>
      </c>
      <c r="AA80" s="157"/>
      <c r="AB80" s="157"/>
      <c r="AC80" s="157"/>
      <c r="AD80" s="157"/>
      <c r="AE80" s="157"/>
      <c r="AI80" s="156"/>
      <c r="AJ80" s="156"/>
      <c r="AK80" s="156"/>
      <c r="AL80" s="156"/>
      <c r="AM80" s="156"/>
      <c r="AN80" s="156"/>
      <c r="AO80" s="156"/>
      <c r="AP80" s="156"/>
      <c r="AQ80" s="156"/>
      <c r="AR80" s="156"/>
      <c r="AS80" s="156"/>
      <c r="AT80" s="156"/>
      <c r="AU80" s="156"/>
      <c r="AV80" s="156"/>
      <c r="AW80" s="156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  <c r="BJ80" s="156"/>
      <c r="BK80" s="156"/>
      <c r="BL80" s="156"/>
      <c r="BM80" s="156"/>
      <c r="BN80" s="156"/>
      <c r="BO80" s="156"/>
      <c r="BP80" s="156"/>
      <c r="BQ80" s="156"/>
      <c r="BR80" s="156"/>
      <c r="BS80" s="156"/>
      <c r="BT80" s="156"/>
      <c r="BU80" s="156"/>
      <c r="BV80" s="156"/>
      <c r="BW80" s="201">
        <f t="shared" ref="BW80:CK80" si="272">+BW54/BW7</f>
        <v>0.14054600606673406</v>
      </c>
      <c r="BX80" s="201">
        <f t="shared" si="272"/>
        <v>0.13623188405797101</v>
      </c>
      <c r="BY80" s="201">
        <f t="shared" si="272"/>
        <v>0.1549970077797726</v>
      </c>
      <c r="BZ80" s="201">
        <f t="shared" si="272"/>
        <v>9.6688741721854307E-2</v>
      </c>
      <c r="CA80" s="201">
        <f t="shared" si="272"/>
        <v>0.19924812030075187</v>
      </c>
      <c r="CB80" s="201">
        <f t="shared" si="272"/>
        <v>0.22925457102672292</v>
      </c>
      <c r="CC80" s="201">
        <f t="shared" si="272"/>
        <v>0.22611683848797251</v>
      </c>
      <c r="CD80" s="201">
        <f t="shared" si="272"/>
        <v>0.20611229566453448</v>
      </c>
      <c r="CE80" s="201">
        <f t="shared" si="272"/>
        <v>0.24824056301983366</v>
      </c>
      <c r="CF80" s="201">
        <f t="shared" si="272"/>
        <v>0.20470756062767476</v>
      </c>
      <c r="CG80" s="201">
        <f t="shared" si="272"/>
        <v>0.18985976267529667</v>
      </c>
      <c r="CH80" s="201">
        <f t="shared" si="272"/>
        <v>0.31678832116788319</v>
      </c>
      <c r="CI80" s="201">
        <f t="shared" si="272"/>
        <v>0.20616113744075829</v>
      </c>
      <c r="CJ80" s="201">
        <f t="shared" si="272"/>
        <v>0.19752130131680867</v>
      </c>
      <c r="CK80" s="201">
        <f t="shared" si="272"/>
        <v>0.15409309791332262</v>
      </c>
      <c r="CL80" s="201">
        <f t="shared" ref="CL80" si="273">+CL54/CL7</f>
        <v>0.15518546555639667</v>
      </c>
      <c r="CM80" s="157"/>
      <c r="CN80" s="157"/>
      <c r="CO80" s="157"/>
      <c r="CP80" s="157"/>
      <c r="CQ80" s="157"/>
      <c r="CR80" s="157"/>
      <c r="CS80" s="157"/>
      <c r="CT80" s="157"/>
      <c r="CU80" s="157"/>
      <c r="CV80" s="157"/>
      <c r="CW80" s="157"/>
      <c r="CX80" s="157"/>
      <c r="CY80" s="157"/>
      <c r="CZ80" s="157"/>
      <c r="DA80" s="157"/>
      <c r="DB80" s="157"/>
      <c r="DE80" s="159"/>
    </row>
    <row r="81" spans="1:109" s="158" customFormat="1" x14ac:dyDescent="0.2">
      <c r="A81" s="186" t="s">
        <v>588</v>
      </c>
      <c r="B81" s="156"/>
      <c r="C81" s="156"/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201">
        <f t="shared" ref="X81:Z81" si="274">+X56/X9</f>
        <v>0.13135022646590769</v>
      </c>
      <c r="Y81" s="201">
        <f t="shared" si="274"/>
        <v>0.14722249341013374</v>
      </c>
      <c r="Z81" s="201">
        <f t="shared" si="274"/>
        <v>0.1862770904624024</v>
      </c>
      <c r="AA81" s="157"/>
      <c r="AB81" s="157"/>
      <c r="AC81" s="157"/>
      <c r="AD81" s="157"/>
      <c r="AE81" s="157"/>
      <c r="AI81" s="156"/>
      <c r="AJ81" s="156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  <c r="BI81" s="156"/>
      <c r="BJ81" s="156"/>
      <c r="BK81" s="156"/>
      <c r="BL81" s="156"/>
      <c r="BM81" s="156"/>
      <c r="BN81" s="156"/>
      <c r="BO81" s="156"/>
      <c r="BP81" s="156"/>
      <c r="BQ81" s="156"/>
      <c r="BR81" s="156"/>
      <c r="BS81" s="156"/>
      <c r="BT81" s="156"/>
      <c r="BU81" s="156"/>
      <c r="BV81" s="156"/>
      <c r="BW81" s="201">
        <f t="shared" ref="BW81:CK81" si="275">+BW56/BW9</f>
        <v>-1.6518424396442185E-2</v>
      </c>
      <c r="BX81" s="201">
        <f t="shared" si="275"/>
        <v>-2.8646981048920231E-2</v>
      </c>
      <c r="BY81" s="201">
        <f t="shared" si="275"/>
        <v>0.19117647058823528</v>
      </c>
      <c r="BZ81" s="201">
        <f t="shared" si="275"/>
        <v>0.92386530014641288</v>
      </c>
      <c r="CA81" s="201">
        <f t="shared" si="275"/>
        <v>0.14431673052362706</v>
      </c>
      <c r="CB81" s="201">
        <f t="shared" si="275"/>
        <v>0.204644412191582</v>
      </c>
      <c r="CC81" s="201">
        <f t="shared" si="275"/>
        <v>0.12771635531833778</v>
      </c>
      <c r="CD81" s="201">
        <f t="shared" si="275"/>
        <v>0.1073558648111332</v>
      </c>
      <c r="CE81" s="201">
        <f t="shared" si="275"/>
        <v>0.12629325722440243</v>
      </c>
      <c r="CF81" s="201">
        <f t="shared" si="275"/>
        <v>0.24454976303317535</v>
      </c>
      <c r="CG81" s="201">
        <f t="shared" si="275"/>
        <v>0.24330827067669172</v>
      </c>
      <c r="CH81" s="201">
        <f t="shared" si="275"/>
        <v>0.14055080721747387</v>
      </c>
      <c r="CI81" s="201">
        <f t="shared" si="275"/>
        <v>0.18381294964028777</v>
      </c>
      <c r="CJ81" s="201">
        <f t="shared" si="275"/>
        <v>-6.7796610169491525E-2</v>
      </c>
      <c r="CK81" s="201">
        <f t="shared" si="275"/>
        <v>-3.152173913043478</v>
      </c>
      <c r="CL81" s="201">
        <f t="shared" ref="CL81" si="276">+CL56/CL9</f>
        <v>0.40727272727272729</v>
      </c>
      <c r="CM81" s="157"/>
      <c r="CN81" s="157"/>
      <c r="CO81" s="157"/>
      <c r="CP81" s="157"/>
      <c r="CQ81" s="157"/>
      <c r="CR81" s="157"/>
      <c r="CS81" s="157"/>
      <c r="CT81" s="157"/>
      <c r="CU81" s="157"/>
      <c r="CV81" s="157"/>
      <c r="CW81" s="157"/>
      <c r="CX81" s="157"/>
      <c r="CY81" s="157"/>
      <c r="CZ81" s="157"/>
      <c r="DA81" s="157"/>
      <c r="DB81" s="157"/>
      <c r="DE81" s="159"/>
    </row>
    <row r="82" spans="1:109" s="158" customFormat="1" x14ac:dyDescent="0.2">
      <c r="A82" s="185"/>
      <c r="B82" s="156"/>
      <c r="C82" s="156"/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200"/>
      <c r="Y82" s="200"/>
      <c r="Z82" s="200"/>
      <c r="AA82" s="157"/>
      <c r="AB82" s="157"/>
      <c r="AC82" s="157"/>
      <c r="AD82" s="157"/>
      <c r="AE82" s="157"/>
      <c r="AI82" s="156"/>
      <c r="AJ82" s="156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  <c r="BJ82" s="156"/>
      <c r="BK82" s="156"/>
      <c r="BL82" s="156"/>
      <c r="BM82" s="156"/>
      <c r="BN82" s="156"/>
      <c r="BO82" s="156"/>
      <c r="BP82" s="156"/>
      <c r="BQ82" s="156"/>
      <c r="BR82" s="156"/>
      <c r="BS82" s="156"/>
      <c r="BT82" s="156"/>
      <c r="BU82" s="156"/>
      <c r="BV82" s="156"/>
      <c r="BW82" s="200"/>
      <c r="BX82" s="200"/>
      <c r="BY82" s="200"/>
      <c r="BZ82" s="200"/>
      <c r="CA82" s="200"/>
      <c r="CB82" s="200"/>
      <c r="CC82" s="200"/>
      <c r="CD82" s="200"/>
      <c r="CE82" s="200"/>
      <c r="CF82" s="200"/>
      <c r="CG82" s="200"/>
      <c r="CH82" s="200"/>
      <c r="CI82" s="200"/>
      <c r="CJ82" s="200"/>
      <c r="CK82" s="200"/>
      <c r="CL82" s="200"/>
      <c r="CM82" s="157"/>
      <c r="CN82" s="157"/>
      <c r="CO82" s="157"/>
      <c r="CP82" s="157"/>
      <c r="CQ82" s="157"/>
      <c r="CR82" s="157"/>
      <c r="CS82" s="157"/>
      <c r="CT82" s="157"/>
      <c r="CU82" s="157"/>
      <c r="CV82" s="157"/>
      <c r="CW82" s="157"/>
      <c r="CX82" s="157"/>
      <c r="CY82" s="157"/>
      <c r="CZ82" s="157"/>
      <c r="DA82" s="157"/>
      <c r="DB82" s="157"/>
      <c r="DE82" s="159"/>
    </row>
    <row r="83" spans="1:109" s="198" customFormat="1" x14ac:dyDescent="0.2">
      <c r="A83" s="185" t="s">
        <v>551</v>
      </c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201">
        <f t="shared" ref="X83:Z83" si="277">X58/X11</f>
        <v>0.39075271440771014</v>
      </c>
      <c r="Y83" s="201">
        <f t="shared" si="277"/>
        <v>0.33637971698113206</v>
      </c>
      <c r="Z83" s="201">
        <f t="shared" si="277"/>
        <v>0.43681068501467168</v>
      </c>
      <c r="AA83" s="197"/>
      <c r="AB83" s="197"/>
      <c r="AC83" s="197"/>
      <c r="AD83" s="197"/>
      <c r="AE83" s="197"/>
      <c r="AI83" s="196"/>
      <c r="AJ83" s="196"/>
      <c r="AK83" s="196"/>
      <c r="AL83" s="196"/>
      <c r="AM83" s="196"/>
      <c r="AN83" s="196"/>
      <c r="AO83" s="196"/>
      <c r="AP83" s="196"/>
      <c r="AQ83" s="196"/>
      <c r="AR83" s="196"/>
      <c r="AS83" s="196"/>
      <c r="AT83" s="196"/>
      <c r="AU83" s="196"/>
      <c r="AV83" s="196"/>
      <c r="AW83" s="196"/>
      <c r="AX83" s="196"/>
      <c r="AY83" s="196"/>
      <c r="AZ83" s="196"/>
      <c r="BA83" s="196"/>
      <c r="BB83" s="196"/>
      <c r="BC83" s="196"/>
      <c r="BD83" s="196"/>
      <c r="BE83" s="196"/>
      <c r="BF83" s="196"/>
      <c r="BG83" s="196"/>
      <c r="BH83" s="196"/>
      <c r="BI83" s="196"/>
      <c r="BJ83" s="196"/>
      <c r="BK83" s="196"/>
      <c r="BL83" s="196"/>
      <c r="BM83" s="196"/>
      <c r="BN83" s="196"/>
      <c r="BO83" s="196"/>
      <c r="BP83" s="196"/>
      <c r="BQ83" s="196"/>
      <c r="BR83" s="196"/>
      <c r="BS83" s="196"/>
      <c r="BT83" s="196"/>
      <c r="BU83" s="196"/>
      <c r="BV83" s="196"/>
      <c r="BW83" s="201">
        <f t="shared" ref="BW83:CJ83" si="278">BW58/BW11</f>
        <v>0.37224880382775122</v>
      </c>
      <c r="BX83" s="201">
        <f t="shared" si="278"/>
        <v>0.45913911416094821</v>
      </c>
      <c r="BY83" s="201">
        <f t="shared" si="278"/>
        <v>0.39749608763693273</v>
      </c>
      <c r="BZ83" s="201">
        <f t="shared" si="278"/>
        <v>0.35833011209895632</v>
      </c>
      <c r="CA83" s="201">
        <f t="shared" si="278"/>
        <v>0.43417903303015798</v>
      </c>
      <c r="CB83" s="201">
        <f t="shared" si="278"/>
        <v>0.37884436160298229</v>
      </c>
      <c r="CC83" s="201">
        <f t="shared" si="278"/>
        <v>0.30475040257648955</v>
      </c>
      <c r="CD83" s="201">
        <f t="shared" si="278"/>
        <v>0.2736476713913798</v>
      </c>
      <c r="CE83" s="201">
        <f t="shared" si="278"/>
        <v>0.4003357112882921</v>
      </c>
      <c r="CF83" s="201">
        <f t="shared" si="278"/>
        <v>0.52187499999999998</v>
      </c>
      <c r="CG83" s="201">
        <f t="shared" si="278"/>
        <v>0.46585021196420162</v>
      </c>
      <c r="CH83" s="201">
        <f t="shared" si="278"/>
        <v>0.39687590396297368</v>
      </c>
      <c r="CI83" s="201">
        <f t="shared" si="278"/>
        <v>0.432</v>
      </c>
      <c r="CJ83" s="201">
        <f t="shared" si="278"/>
        <v>0.43592582341544422</v>
      </c>
      <c r="CK83" s="201">
        <f>CK58/CK11</f>
        <v>0.43287526427061312</v>
      </c>
      <c r="CL83" s="201">
        <f>CL58/CL11</f>
        <v>0.36188811188811187</v>
      </c>
      <c r="CM83" s="197"/>
      <c r="CN83" s="197"/>
      <c r="CO83" s="197"/>
      <c r="CP83" s="197"/>
      <c r="CQ83" s="197"/>
      <c r="CR83" s="197"/>
      <c r="CS83" s="197"/>
      <c r="CT83" s="197"/>
      <c r="CU83" s="197"/>
      <c r="CV83" s="197"/>
      <c r="CW83" s="197"/>
      <c r="CX83" s="197"/>
      <c r="CY83" s="197"/>
      <c r="CZ83" s="197"/>
      <c r="DA83" s="197"/>
      <c r="DB83" s="197"/>
      <c r="DE83" s="199"/>
    </row>
    <row r="84" spans="1:109" s="198" customFormat="1" x14ac:dyDescent="0.2">
      <c r="A84" s="186" t="s">
        <v>589</v>
      </c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201">
        <f t="shared" ref="X84:Z84" si="279">X59/X12</f>
        <v>0.89800374298190888</v>
      </c>
      <c r="Y84" s="201">
        <f t="shared" si="279"/>
        <v>0.87073241902538667</v>
      </c>
      <c r="Z84" s="201">
        <f t="shared" si="279"/>
        <v>0.89813599369913366</v>
      </c>
      <c r="AA84" s="197"/>
      <c r="AB84" s="197"/>
      <c r="AC84" s="197"/>
      <c r="AD84" s="197"/>
      <c r="AE84" s="197"/>
      <c r="AI84" s="196"/>
      <c r="AJ84" s="196"/>
      <c r="AK84" s="196"/>
      <c r="AL84" s="196"/>
      <c r="AM84" s="196"/>
      <c r="AN84" s="196"/>
      <c r="AO84" s="196"/>
      <c r="AP84" s="196"/>
      <c r="AQ84" s="196"/>
      <c r="AR84" s="196"/>
      <c r="AS84" s="196"/>
      <c r="AT84" s="196"/>
      <c r="AU84" s="196"/>
      <c r="AV84" s="196"/>
      <c r="AW84" s="196"/>
      <c r="AX84" s="196"/>
      <c r="AY84" s="196"/>
      <c r="AZ84" s="196"/>
      <c r="BA84" s="196"/>
      <c r="BB84" s="196"/>
      <c r="BC84" s="196"/>
      <c r="BD84" s="196"/>
      <c r="BE84" s="196"/>
      <c r="BF84" s="196"/>
      <c r="BG84" s="196"/>
      <c r="BH84" s="196"/>
      <c r="BI84" s="196"/>
      <c r="BJ84" s="196"/>
      <c r="BK84" s="196"/>
      <c r="BL84" s="196"/>
      <c r="BM84" s="196"/>
      <c r="BN84" s="196"/>
      <c r="BO84" s="196"/>
      <c r="BP84" s="196"/>
      <c r="BQ84" s="196"/>
      <c r="BR84" s="196"/>
      <c r="BS84" s="196"/>
      <c r="BT84" s="196"/>
      <c r="BU84" s="196"/>
      <c r="BV84" s="196"/>
      <c r="BW84" s="201">
        <f t="shared" ref="BW84:CK84" si="280">BW59/BW12</f>
        <v>0.87845303867403313</v>
      </c>
      <c r="BX84" s="201">
        <f t="shared" si="280"/>
        <v>0.86104218362282881</v>
      </c>
      <c r="BY84" s="201">
        <f t="shared" si="280"/>
        <v>0.92897727272727271</v>
      </c>
      <c r="BZ84" s="201">
        <f t="shared" si="280"/>
        <v>0.93046776232616946</v>
      </c>
      <c r="CA84" s="201">
        <f t="shared" si="280"/>
        <v>0.93783494105037513</v>
      </c>
      <c r="CB84" s="201">
        <f t="shared" si="280"/>
        <v>0.83296703296703301</v>
      </c>
      <c r="CC84" s="201">
        <f t="shared" si="280"/>
        <v>0.83310719131614652</v>
      </c>
      <c r="CD84" s="201">
        <f t="shared" si="280"/>
        <v>0.87012987012987009</v>
      </c>
      <c r="CE84" s="201">
        <f t="shared" si="280"/>
        <v>0.90119760479041922</v>
      </c>
      <c r="CF84" s="201">
        <f t="shared" si="280"/>
        <v>0.91553701772679874</v>
      </c>
      <c r="CG84" s="201">
        <f t="shared" si="280"/>
        <v>0.89963724304715842</v>
      </c>
      <c r="CH84" s="201">
        <f t="shared" si="280"/>
        <v>0.87757100881488737</v>
      </c>
      <c r="CI84" s="201">
        <f t="shared" si="280"/>
        <v>0.91101321585903083</v>
      </c>
      <c r="CJ84" s="201">
        <f t="shared" si="280"/>
        <v>0.9263370332996973</v>
      </c>
      <c r="CK84" s="201">
        <f t="shared" si="280"/>
        <v>0.88650306748466257</v>
      </c>
      <c r="CL84" s="201">
        <f t="shared" ref="CL84" si="281">CL59/CL12</f>
        <v>0.80019493177387913</v>
      </c>
      <c r="CM84" s="197"/>
      <c r="CN84" s="197"/>
      <c r="CO84" s="197"/>
      <c r="CP84" s="197"/>
      <c r="CQ84" s="197"/>
      <c r="CR84" s="197"/>
      <c r="CS84" s="197"/>
      <c r="CT84" s="197"/>
      <c r="CU84" s="197"/>
      <c r="CV84" s="197"/>
      <c r="CW84" s="197"/>
      <c r="CX84" s="197"/>
      <c r="CY84" s="197"/>
      <c r="CZ84" s="197"/>
      <c r="DA84" s="197"/>
      <c r="DB84" s="197"/>
      <c r="DE84" s="199"/>
    </row>
    <row r="85" spans="1:109" s="198" customFormat="1" x14ac:dyDescent="0.2">
      <c r="A85" s="186" t="s">
        <v>590</v>
      </c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201">
        <f t="shared" ref="X85:Z85" si="282">X60/X13</f>
        <v>7.2425828970331591E-2</v>
      </c>
      <c r="Y85" s="201">
        <f t="shared" si="282"/>
        <v>6.1316732048439362E-2</v>
      </c>
      <c r="Z85" s="201">
        <f t="shared" si="282"/>
        <v>8.3242059145673605E-2</v>
      </c>
      <c r="AA85" s="197"/>
      <c r="AB85" s="197"/>
      <c r="AC85" s="197"/>
      <c r="AD85" s="197"/>
      <c r="AE85" s="197"/>
      <c r="AI85" s="196"/>
      <c r="AJ85" s="196"/>
      <c r="AK85" s="196"/>
      <c r="AL85" s="196"/>
      <c r="AM85" s="196"/>
      <c r="AN85" s="196"/>
      <c r="AO85" s="196"/>
      <c r="AP85" s="196"/>
      <c r="AQ85" s="196"/>
      <c r="AR85" s="196"/>
      <c r="AS85" s="196"/>
      <c r="AT85" s="196"/>
      <c r="AU85" s="196"/>
      <c r="AV85" s="196"/>
      <c r="AW85" s="196"/>
      <c r="AX85" s="196"/>
      <c r="AY85" s="196"/>
      <c r="AZ85" s="196"/>
      <c r="BA85" s="196"/>
      <c r="BB85" s="196"/>
      <c r="BC85" s="196"/>
      <c r="BD85" s="196"/>
      <c r="BE85" s="196"/>
      <c r="BF85" s="196"/>
      <c r="BG85" s="196"/>
      <c r="BH85" s="196"/>
      <c r="BI85" s="196"/>
      <c r="BJ85" s="196"/>
      <c r="BK85" s="196"/>
      <c r="BL85" s="196"/>
      <c r="BM85" s="196"/>
      <c r="BN85" s="196"/>
      <c r="BO85" s="196"/>
      <c r="BP85" s="196"/>
      <c r="BQ85" s="196"/>
      <c r="BR85" s="196"/>
      <c r="BS85" s="196"/>
      <c r="BT85" s="196"/>
      <c r="BU85" s="196"/>
      <c r="BV85" s="196"/>
      <c r="BW85" s="201">
        <f t="shared" ref="BW85:CK85" si="283">BW60/BW13</f>
        <v>1.1086474501108648E-2</v>
      </c>
      <c r="BX85" s="201">
        <f t="shared" si="283"/>
        <v>0.11013215859030837</v>
      </c>
      <c r="BY85" s="201">
        <f t="shared" si="283"/>
        <v>6.7132867132867133E-2</v>
      </c>
      <c r="BZ85" s="201">
        <f t="shared" si="283"/>
        <v>8.8573360378634211E-2</v>
      </c>
      <c r="CA85" s="201">
        <f t="shared" si="283"/>
        <v>4.2895442359249331E-2</v>
      </c>
      <c r="CB85" s="201">
        <f t="shared" si="283"/>
        <v>6.7015706806282729E-2</v>
      </c>
      <c r="CC85" s="201">
        <f t="shared" si="283"/>
        <v>5.0284864998761454E-2</v>
      </c>
      <c r="CD85" s="201">
        <f t="shared" si="283"/>
        <v>7.5577326801959416E-2</v>
      </c>
      <c r="CE85" s="201">
        <f t="shared" si="283"/>
        <v>3.6849378166743434E-2</v>
      </c>
      <c r="CF85" s="201">
        <f t="shared" si="283"/>
        <v>8.0318619316296053E-2</v>
      </c>
      <c r="CG85" s="201">
        <f t="shared" si="283"/>
        <v>0.16009148084619781</v>
      </c>
      <c r="CH85" s="201">
        <f t="shared" si="283"/>
        <v>7.5241157556270102E-2</v>
      </c>
      <c r="CI85" s="201">
        <f t="shared" si="283"/>
        <v>0.11443381180223286</v>
      </c>
      <c r="CJ85" s="201">
        <f t="shared" si="283"/>
        <v>0.11286089238845144</v>
      </c>
      <c r="CK85" s="201">
        <f t="shared" si="283"/>
        <v>0.11143330571665286</v>
      </c>
      <c r="CL85" s="201">
        <f t="shared" ref="CL85" si="284">CL60/CL13</f>
        <v>9.1938405797101455E-2</v>
      </c>
      <c r="CM85" s="197"/>
      <c r="CN85" s="197"/>
      <c r="CO85" s="197"/>
      <c r="CP85" s="197"/>
      <c r="CQ85" s="197"/>
      <c r="CR85" s="197"/>
      <c r="CS85" s="197"/>
      <c r="CT85" s="197"/>
      <c r="CU85" s="197"/>
      <c r="CV85" s="197"/>
      <c r="CW85" s="197"/>
      <c r="CX85" s="197"/>
      <c r="CY85" s="197"/>
      <c r="CZ85" s="197"/>
      <c r="DA85" s="197"/>
      <c r="DB85" s="197"/>
      <c r="DE85" s="199"/>
    </row>
    <row r="86" spans="1:109" s="198" customFormat="1" x14ac:dyDescent="0.2">
      <c r="A86" s="186" t="s">
        <v>591</v>
      </c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201" t="e">
        <f t="shared" ref="X86:Z86" si="285">X61/X14</f>
        <v>#DIV/0!</v>
      </c>
      <c r="Y86" s="201">
        <f t="shared" si="285"/>
        <v>1.7167381974248927E-2</v>
      </c>
      <c r="Z86" s="201">
        <f t="shared" si="285"/>
        <v>0.16376241334082817</v>
      </c>
      <c r="AA86" s="197"/>
      <c r="AB86" s="197"/>
      <c r="AC86" s="197"/>
      <c r="AD86" s="197"/>
      <c r="AE86" s="197"/>
      <c r="AI86" s="196"/>
      <c r="AJ86" s="196"/>
      <c r="AK86" s="196"/>
      <c r="AL86" s="196"/>
      <c r="AM86" s="196"/>
      <c r="AN86" s="196"/>
      <c r="AO86" s="196"/>
      <c r="AP86" s="196"/>
      <c r="AQ86" s="196"/>
      <c r="AR86" s="196"/>
      <c r="AS86" s="196"/>
      <c r="AT86" s="196"/>
      <c r="AU86" s="196"/>
      <c r="AV86" s="196"/>
      <c r="AW86" s="196"/>
      <c r="AX86" s="196"/>
      <c r="AY86" s="196"/>
      <c r="AZ86" s="196"/>
      <c r="BA86" s="196"/>
      <c r="BB86" s="196"/>
      <c r="BC86" s="196"/>
      <c r="BD86" s="196"/>
      <c r="BE86" s="196"/>
      <c r="BF86" s="196"/>
      <c r="BG86" s="196"/>
      <c r="BH86" s="196"/>
      <c r="BI86" s="196"/>
      <c r="BJ86" s="196"/>
      <c r="BK86" s="196"/>
      <c r="BL86" s="196"/>
      <c r="BM86" s="196"/>
      <c r="BN86" s="196"/>
      <c r="BO86" s="196"/>
      <c r="BP86" s="196"/>
      <c r="BQ86" s="196"/>
      <c r="BR86" s="196"/>
      <c r="BS86" s="196"/>
      <c r="BT86" s="196"/>
      <c r="BU86" s="196"/>
      <c r="BV86" s="196"/>
      <c r="BW86" s="201" t="e">
        <f t="shared" ref="BW86:CK86" si="286">BW61/BW14</f>
        <v>#DIV/0!</v>
      </c>
      <c r="BX86" s="201" t="e">
        <f t="shared" si="286"/>
        <v>#DIV/0!</v>
      </c>
      <c r="BY86" s="201" t="e">
        <f t="shared" si="286"/>
        <v>#DIV/0!</v>
      </c>
      <c r="BZ86" s="201" t="e">
        <f t="shared" si="286"/>
        <v>#DIV/0!</v>
      </c>
      <c r="CA86" s="201" t="e">
        <f t="shared" si="286"/>
        <v>#DIV/0!</v>
      </c>
      <c r="CB86" s="201" t="e">
        <f t="shared" si="286"/>
        <v>#DIV/0!</v>
      </c>
      <c r="CC86" s="201" t="e">
        <f t="shared" si="286"/>
        <v>#DIV/0!</v>
      </c>
      <c r="CD86" s="201">
        <f t="shared" si="286"/>
        <v>1.7167381974248927E-2</v>
      </c>
      <c r="CE86" s="201">
        <f t="shared" si="286"/>
        <v>0.10674157303370786</v>
      </c>
      <c r="CF86" s="201">
        <f t="shared" si="286"/>
        <v>9.2907801418439712E-2</v>
      </c>
      <c r="CG86" s="201">
        <f t="shared" si="286"/>
        <v>0.16703621581670361</v>
      </c>
      <c r="CH86" s="201">
        <f t="shared" si="286"/>
        <v>0.26759628154050463</v>
      </c>
      <c r="CI86" s="201">
        <f t="shared" si="286"/>
        <v>0.18536887786732795</v>
      </c>
      <c r="CJ86" s="201">
        <f t="shared" si="286"/>
        <v>0.26297968397291194</v>
      </c>
      <c r="CK86" s="201">
        <f t="shared" si="286"/>
        <v>0.28051643192488263</v>
      </c>
      <c r="CL86" s="201">
        <f t="shared" ref="CL86" si="287">CL61/CL14</f>
        <v>0.26663118680149017</v>
      </c>
      <c r="CM86" s="197"/>
      <c r="CN86" s="197"/>
      <c r="CO86" s="197"/>
      <c r="CP86" s="197"/>
      <c r="CQ86" s="197"/>
      <c r="CR86" s="197"/>
      <c r="CS86" s="197"/>
      <c r="CT86" s="197"/>
      <c r="CU86" s="197"/>
      <c r="CV86" s="197"/>
      <c r="CW86" s="197"/>
      <c r="CX86" s="197"/>
      <c r="CY86" s="197"/>
      <c r="CZ86" s="197"/>
      <c r="DA86" s="197"/>
      <c r="DB86" s="197"/>
      <c r="DE86" s="199"/>
    </row>
    <row r="87" spans="1:109" s="198" customFormat="1" x14ac:dyDescent="0.2">
      <c r="A87" s="185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7"/>
      <c r="AB87" s="197"/>
      <c r="AC87" s="197"/>
      <c r="AD87" s="197"/>
      <c r="AE87" s="197"/>
      <c r="AI87" s="196"/>
      <c r="AJ87" s="196"/>
      <c r="AK87" s="196"/>
      <c r="AL87" s="196"/>
      <c r="AM87" s="196"/>
      <c r="AN87" s="196"/>
      <c r="AO87" s="196"/>
      <c r="AP87" s="196"/>
      <c r="AQ87" s="196"/>
      <c r="AR87" s="196"/>
      <c r="AS87" s="196"/>
      <c r="AT87" s="196"/>
      <c r="AU87" s="196"/>
      <c r="AV87" s="196"/>
      <c r="AW87" s="196"/>
      <c r="AX87" s="196"/>
      <c r="AY87" s="196"/>
      <c r="AZ87" s="196"/>
      <c r="BA87" s="196"/>
      <c r="BB87" s="196"/>
      <c r="BC87" s="196"/>
      <c r="BD87" s="196"/>
      <c r="BE87" s="196"/>
      <c r="BF87" s="196"/>
      <c r="BG87" s="196"/>
      <c r="BH87" s="196"/>
      <c r="BI87" s="196"/>
      <c r="BJ87" s="196"/>
      <c r="BK87" s="196"/>
      <c r="BL87" s="196"/>
      <c r="BM87" s="196"/>
      <c r="BN87" s="196"/>
      <c r="BO87" s="196"/>
      <c r="BP87" s="196"/>
      <c r="BQ87" s="196"/>
      <c r="BR87" s="196"/>
      <c r="BS87" s="196"/>
      <c r="BT87" s="196"/>
      <c r="BU87" s="196"/>
      <c r="BV87" s="196"/>
      <c r="BW87" s="196"/>
      <c r="BX87" s="196"/>
      <c r="BY87" s="196"/>
      <c r="BZ87" s="196"/>
      <c r="CA87" s="196"/>
      <c r="CB87" s="196"/>
      <c r="CC87" s="196"/>
      <c r="CD87" s="196"/>
      <c r="CE87" s="196"/>
      <c r="CF87" s="196"/>
      <c r="CG87" s="196"/>
      <c r="CH87" s="196"/>
      <c r="CI87" s="196"/>
      <c r="CJ87" s="196"/>
      <c r="CK87" s="196"/>
      <c r="CL87" s="196"/>
      <c r="CM87" s="197"/>
      <c r="CN87" s="197"/>
      <c r="CO87" s="197"/>
      <c r="CP87" s="197"/>
      <c r="CQ87" s="197"/>
      <c r="CR87" s="197"/>
      <c r="CS87" s="197"/>
      <c r="CT87" s="197"/>
      <c r="CU87" s="197"/>
      <c r="CV87" s="197"/>
      <c r="CW87" s="197"/>
      <c r="CX87" s="197"/>
      <c r="CY87" s="197"/>
      <c r="CZ87" s="197"/>
      <c r="DA87" s="197"/>
      <c r="DB87" s="197"/>
      <c r="DE87" s="199"/>
    </row>
    <row r="88" spans="1:109" s="158" customFormat="1" x14ac:dyDescent="0.2">
      <c r="A88" s="185" t="s">
        <v>552</v>
      </c>
      <c r="B88" s="156"/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201">
        <f t="shared" ref="X88:Z88" si="288">X64/X17</f>
        <v>0.11058987055859612</v>
      </c>
      <c r="Y88" s="201">
        <f t="shared" si="288"/>
        <v>0.12586311661050656</v>
      </c>
      <c r="Z88" s="201">
        <f t="shared" si="288"/>
        <v>0.14188947395327436</v>
      </c>
      <c r="AA88" s="157"/>
      <c r="AB88" s="157"/>
      <c r="AC88" s="157"/>
      <c r="AD88" s="157"/>
      <c r="AE88" s="157"/>
      <c r="AI88" s="156"/>
      <c r="AJ88" s="156"/>
      <c r="AK88" s="156"/>
      <c r="AL88" s="156"/>
      <c r="AM88" s="156"/>
      <c r="AN88" s="156"/>
      <c r="AO88" s="156"/>
      <c r="AP88" s="156"/>
      <c r="AQ88" s="156"/>
      <c r="AR88" s="156"/>
      <c r="AS88" s="156"/>
      <c r="AT88" s="156"/>
      <c r="AU88" s="156"/>
      <c r="AV88" s="156"/>
      <c r="AW88" s="156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  <c r="BJ88" s="156"/>
      <c r="BK88" s="156"/>
      <c r="BL88" s="156"/>
      <c r="BM88" s="156"/>
      <c r="BN88" s="156"/>
      <c r="BO88" s="156"/>
      <c r="BP88" s="156"/>
      <c r="BQ88" s="156"/>
      <c r="BR88" s="156"/>
      <c r="BS88" s="156"/>
      <c r="BT88" s="156"/>
      <c r="BU88" s="156"/>
      <c r="BV88" s="156"/>
      <c r="BW88" s="201">
        <f t="shared" ref="BW88:CJ88" si="289">BW64/BW17</f>
        <v>9.0056913290927354E-2</v>
      </c>
      <c r="BX88" s="201">
        <f t="shared" si="289"/>
        <v>9.8780487804878053E-2</v>
      </c>
      <c r="BY88" s="201">
        <f t="shared" si="289"/>
        <v>0.1121608527131783</v>
      </c>
      <c r="BZ88" s="201">
        <f t="shared" si="289"/>
        <v>0.14404532304725168</v>
      </c>
      <c r="CA88" s="201">
        <f t="shared" si="289"/>
        <v>0.11533901045596637</v>
      </c>
      <c r="CB88" s="201">
        <f t="shared" si="289"/>
        <v>0.11742304030466519</v>
      </c>
      <c r="CC88" s="201">
        <f t="shared" si="289"/>
        <v>0.13394864513075375</v>
      </c>
      <c r="CD88" s="201">
        <f t="shared" si="289"/>
        <v>0.13795013850415513</v>
      </c>
      <c r="CE88" s="201">
        <f t="shared" si="289"/>
        <v>0.13693659281894577</v>
      </c>
      <c r="CF88" s="201">
        <f t="shared" si="289"/>
        <v>0.14109347442680775</v>
      </c>
      <c r="CG88" s="201">
        <f t="shared" si="289"/>
        <v>0.14424488873828081</v>
      </c>
      <c r="CH88" s="201">
        <f t="shared" si="289"/>
        <v>0.14597018037743717</v>
      </c>
      <c r="CI88" s="201">
        <f t="shared" si="289"/>
        <v>0.13355824568366739</v>
      </c>
      <c r="CJ88" s="201">
        <f t="shared" si="289"/>
        <v>0.15352962692026334</v>
      </c>
      <c r="CK88" s="201">
        <f>CK64/CK17</f>
        <v>0.20984832744649906</v>
      </c>
      <c r="CL88" s="201">
        <f>CL64/CL17</f>
        <v>0.20195121951219513</v>
      </c>
      <c r="CM88" s="157"/>
      <c r="CN88" s="157"/>
      <c r="CO88" s="157"/>
      <c r="CP88" s="157"/>
      <c r="CQ88" s="157"/>
      <c r="CR88" s="157"/>
      <c r="CS88" s="157"/>
      <c r="CT88" s="157"/>
      <c r="CU88" s="157"/>
      <c r="CV88" s="157"/>
      <c r="CW88" s="157"/>
      <c r="CX88" s="157"/>
      <c r="CY88" s="157"/>
      <c r="CZ88" s="157"/>
      <c r="DA88" s="157"/>
      <c r="DB88" s="157"/>
      <c r="DE88" s="159"/>
    </row>
    <row r="89" spans="1:109" s="158" customFormat="1" x14ac:dyDescent="0.2">
      <c r="A89" s="185" t="s">
        <v>592</v>
      </c>
      <c r="B89" s="156"/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201">
        <f t="shared" ref="X89:Z89" si="290">X65/X18</f>
        <v>0.71917191719171913</v>
      </c>
      <c r="Y89" s="201">
        <f t="shared" si="290"/>
        <v>0.71847739888977002</v>
      </c>
      <c r="Z89" s="201">
        <f t="shared" si="290"/>
        <v>0.69709837225760796</v>
      </c>
      <c r="AA89" s="157"/>
      <c r="AB89" s="157"/>
      <c r="AC89" s="157"/>
      <c r="AD89" s="157"/>
      <c r="AE89" s="157"/>
      <c r="AI89" s="156"/>
      <c r="AJ89" s="156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  <c r="BI89" s="156"/>
      <c r="BJ89" s="156"/>
      <c r="BK89" s="156"/>
      <c r="BL89" s="156"/>
      <c r="BM89" s="156"/>
      <c r="BN89" s="156"/>
      <c r="BO89" s="156"/>
      <c r="BP89" s="156"/>
      <c r="BQ89" s="156"/>
      <c r="BR89" s="156"/>
      <c r="BS89" s="156"/>
      <c r="BT89" s="156"/>
      <c r="BU89" s="156"/>
      <c r="BV89" s="156"/>
      <c r="BW89" s="201">
        <f t="shared" ref="BW89:CK89" si="291">BW65/BW18</f>
        <v>0.71887550200803207</v>
      </c>
      <c r="BX89" s="201">
        <f t="shared" si="291"/>
        <v>0.69076305220883538</v>
      </c>
      <c r="BY89" s="201">
        <f t="shared" si="291"/>
        <v>0.84645669291338588</v>
      </c>
      <c r="BZ89" s="201">
        <f t="shared" si="291"/>
        <v>0.64902506963788298</v>
      </c>
      <c r="CA89" s="201">
        <f t="shared" si="291"/>
        <v>0.73154362416107388</v>
      </c>
      <c r="CB89" s="201">
        <f t="shared" si="291"/>
        <v>0.71527777777777779</v>
      </c>
      <c r="CC89" s="201">
        <f t="shared" si="291"/>
        <v>0.71959459459459463</v>
      </c>
      <c r="CD89" s="201">
        <f t="shared" si="291"/>
        <v>0.70976253298153036</v>
      </c>
      <c r="CE89" s="201">
        <f t="shared" si="291"/>
        <v>0.74468085106382975</v>
      </c>
      <c r="CF89" s="201">
        <f t="shared" si="291"/>
        <v>0.6964285714285714</v>
      </c>
      <c r="CG89" s="201">
        <f t="shared" si="291"/>
        <v>0.7264437689969605</v>
      </c>
      <c r="CH89" s="201">
        <f t="shared" si="291"/>
        <v>0.63723150357995229</v>
      </c>
      <c r="CI89" s="201">
        <f t="shared" si="291"/>
        <v>0.76340694006309151</v>
      </c>
      <c r="CJ89" s="201">
        <f t="shared" si="291"/>
        <v>0.7637540453074434</v>
      </c>
      <c r="CK89" s="201">
        <f t="shared" si="291"/>
        <v>0.85350318471337583</v>
      </c>
      <c r="CL89" s="201">
        <f t="shared" ref="CL89" si="292">CL65/CL18</f>
        <v>0.78019323671497587</v>
      </c>
      <c r="CM89" s="157"/>
      <c r="CN89" s="157"/>
      <c r="CO89" s="157"/>
      <c r="CP89" s="157"/>
      <c r="CQ89" s="157"/>
      <c r="CR89" s="157"/>
      <c r="CS89" s="157"/>
      <c r="CT89" s="157"/>
      <c r="CU89" s="157"/>
      <c r="CV89" s="157"/>
      <c r="CW89" s="157"/>
      <c r="CX89" s="157"/>
      <c r="CY89" s="157"/>
      <c r="CZ89" s="157"/>
      <c r="DA89" s="157"/>
      <c r="DB89" s="157"/>
      <c r="DE89" s="159"/>
    </row>
    <row r="90" spans="1:109" s="158" customFormat="1" x14ac:dyDescent="0.2">
      <c r="A90" s="185" t="s">
        <v>593</v>
      </c>
      <c r="B90" s="156"/>
      <c r="C90" s="156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201">
        <f t="shared" ref="X90:Z90" si="293">X66/X19</f>
        <v>9.0359643348692481E-2</v>
      </c>
      <c r="Y90" s="201">
        <f t="shared" si="293"/>
        <v>0.10447846616111031</v>
      </c>
      <c r="Z90" s="201">
        <f t="shared" si="293"/>
        <v>0.12108515208570898</v>
      </c>
      <c r="AA90" s="157"/>
      <c r="AB90" s="157"/>
      <c r="AC90" s="157"/>
      <c r="AD90" s="157"/>
      <c r="AE90" s="157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  <c r="BJ90" s="156"/>
      <c r="BK90" s="156"/>
      <c r="BL90" s="156"/>
      <c r="BM90" s="156"/>
      <c r="BN90" s="156"/>
      <c r="BO90" s="156"/>
      <c r="BP90" s="156"/>
      <c r="BQ90" s="156"/>
      <c r="BR90" s="156"/>
      <c r="BS90" s="156"/>
      <c r="BT90" s="156"/>
      <c r="BU90" s="156"/>
      <c r="BV90" s="156"/>
      <c r="BW90" s="201">
        <f t="shared" ref="BW90:CK90" si="294">BW66/BW19</f>
        <v>7.2084481175390264E-2</v>
      </c>
      <c r="BX90" s="201">
        <f t="shared" si="294"/>
        <v>8.1974689317067612E-2</v>
      </c>
      <c r="BY90" s="201">
        <f t="shared" si="294"/>
        <v>8.885278680329918E-2</v>
      </c>
      <c r="BZ90" s="201">
        <f t="shared" si="294"/>
        <v>0.12120448532191004</v>
      </c>
      <c r="CA90" s="201">
        <f t="shared" si="294"/>
        <v>9.4888072168392915E-2</v>
      </c>
      <c r="CB90" s="201">
        <f t="shared" si="294"/>
        <v>9.8636115657392248E-2</v>
      </c>
      <c r="CC90" s="201">
        <f t="shared" si="294"/>
        <v>0.11269160024524831</v>
      </c>
      <c r="CD90" s="201">
        <f t="shared" si="294"/>
        <v>0.11288457089983807</v>
      </c>
      <c r="CE90" s="201">
        <f t="shared" si="294"/>
        <v>0.11722370107463276</v>
      </c>
      <c r="CF90" s="201">
        <f t="shared" si="294"/>
        <v>0.12218844984802432</v>
      </c>
      <c r="CG90" s="201">
        <f t="shared" si="294"/>
        <v>0.12177381511027686</v>
      </c>
      <c r="CH90" s="201">
        <f t="shared" si="294"/>
        <v>0.12352812908853031</v>
      </c>
      <c r="CI90" s="201">
        <f t="shared" si="294"/>
        <v>0.11310316565925622</v>
      </c>
      <c r="CJ90" s="201">
        <f t="shared" si="294"/>
        <v>0.13578620494965654</v>
      </c>
      <c r="CK90" s="201">
        <f t="shared" si="294"/>
        <v>0.18814432989690721</v>
      </c>
      <c r="CL90" s="201">
        <f t="shared" ref="CL90" si="295">CL66/CL19</f>
        <v>0.17761285075233835</v>
      </c>
      <c r="CM90" s="157"/>
      <c r="CN90" s="157"/>
      <c r="CO90" s="157"/>
      <c r="CP90" s="157"/>
      <c r="CQ90" s="157"/>
      <c r="CR90" s="157"/>
      <c r="CS90" s="157"/>
      <c r="CT90" s="157"/>
      <c r="CU90" s="157"/>
      <c r="CV90" s="157"/>
      <c r="CW90" s="157"/>
      <c r="CX90" s="157"/>
      <c r="CY90" s="157"/>
      <c r="CZ90" s="157"/>
      <c r="DA90" s="157"/>
      <c r="DB90" s="157"/>
      <c r="DE90" s="159"/>
    </row>
    <row r="91" spans="1:109" s="158" customFormat="1" x14ac:dyDescent="0.2">
      <c r="A91" s="186" t="s">
        <v>594</v>
      </c>
      <c r="B91" s="156"/>
      <c r="C91" s="156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201">
        <f t="shared" ref="X91:Z91" si="296">X67/X20</f>
        <v>0.10981496379726469</v>
      </c>
      <c r="Y91" s="201">
        <f t="shared" si="296"/>
        <v>0.14471285323609845</v>
      </c>
      <c r="Z91" s="201">
        <f t="shared" si="296"/>
        <v>0.1516523313716614</v>
      </c>
      <c r="AA91" s="157"/>
      <c r="AB91" s="157"/>
      <c r="AC91" s="157"/>
      <c r="AD91" s="157"/>
      <c r="AE91" s="157"/>
      <c r="AI91" s="156"/>
      <c r="AJ91" s="156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/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  <c r="BJ91" s="156"/>
      <c r="BK91" s="156"/>
      <c r="BL91" s="156"/>
      <c r="BM91" s="156"/>
      <c r="BN91" s="156"/>
      <c r="BO91" s="156"/>
      <c r="BP91" s="156"/>
      <c r="BQ91" s="156"/>
      <c r="BR91" s="156"/>
      <c r="BS91" s="156"/>
      <c r="BT91" s="156"/>
      <c r="BU91" s="156"/>
      <c r="BV91" s="156"/>
      <c r="BW91" s="201">
        <f t="shared" ref="BW91:CK91" si="297">BW67/BW20</f>
        <v>9.4182825484764546E-2</v>
      </c>
      <c r="BX91" s="201">
        <f t="shared" si="297"/>
        <v>0.11735941320293398</v>
      </c>
      <c r="BY91" s="201">
        <f t="shared" si="297"/>
        <v>0.11359867330016583</v>
      </c>
      <c r="BZ91" s="201">
        <f t="shared" si="297"/>
        <v>0.11780821917808219</v>
      </c>
      <c r="CA91" s="201">
        <f t="shared" si="297"/>
        <v>0.12848689771766694</v>
      </c>
      <c r="CB91" s="201">
        <f t="shared" si="297"/>
        <v>0.14474929044465468</v>
      </c>
      <c r="CC91" s="201">
        <f t="shared" si="297"/>
        <v>0.15702479338842976</v>
      </c>
      <c r="CD91" s="201">
        <f t="shared" si="297"/>
        <v>0.1501416430594901</v>
      </c>
      <c r="CE91" s="201">
        <f t="shared" si="297"/>
        <v>0.13225806451612904</v>
      </c>
      <c r="CF91" s="201">
        <f t="shared" si="297"/>
        <v>0.14136125654450263</v>
      </c>
      <c r="CG91" s="201">
        <f t="shared" si="297"/>
        <v>0.14609053497942387</v>
      </c>
      <c r="CH91" s="201">
        <f t="shared" si="297"/>
        <v>0.19056603773584907</v>
      </c>
      <c r="CI91" s="201">
        <f t="shared" si="297"/>
        <v>0.11035653650254669</v>
      </c>
      <c r="CJ91" s="201">
        <f t="shared" si="297"/>
        <v>0.10628875110717449</v>
      </c>
      <c r="CK91" s="201">
        <f t="shared" si="297"/>
        <v>0.11365719523373052</v>
      </c>
      <c r="CL91" s="201">
        <f t="shared" ref="CL91" si="298">CL67/CL20</f>
        <v>0.11870196413321947</v>
      </c>
      <c r="CM91" s="157"/>
      <c r="CN91" s="157"/>
      <c r="CO91" s="157"/>
      <c r="CP91" s="157"/>
      <c r="CQ91" s="157"/>
      <c r="CR91" s="157"/>
      <c r="CS91" s="157"/>
      <c r="CT91" s="157"/>
      <c r="CU91" s="157"/>
      <c r="CV91" s="157"/>
      <c r="CW91" s="157"/>
      <c r="CX91" s="157"/>
      <c r="CY91" s="157"/>
      <c r="CZ91" s="157"/>
      <c r="DA91" s="157"/>
      <c r="DB91" s="157"/>
      <c r="DE91" s="159"/>
    </row>
    <row r="92" spans="1:109" s="158" customFormat="1" x14ac:dyDescent="0.2">
      <c r="A92" s="186" t="s">
        <v>595</v>
      </c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201">
        <f t="shared" ref="X92:Z92" si="299">X68/X21</f>
        <v>6.7496962332928317E-2</v>
      </c>
      <c r="Y92" s="201">
        <f t="shared" si="299"/>
        <v>8.2831570382424738E-2</v>
      </c>
      <c r="Z92" s="201">
        <f t="shared" si="299"/>
        <v>0.10562665041641275</v>
      </c>
      <c r="AA92" s="157"/>
      <c r="AB92" s="157"/>
      <c r="AC92" s="157"/>
      <c r="AD92" s="157"/>
      <c r="AE92" s="157"/>
      <c r="AI92" s="156"/>
      <c r="AJ92" s="156"/>
      <c r="AK92" s="156"/>
      <c r="AL92" s="156"/>
      <c r="AM92" s="156"/>
      <c r="AN92" s="156"/>
      <c r="AO92" s="156"/>
      <c r="AP92" s="156"/>
      <c r="AQ92" s="156"/>
      <c r="AR92" s="156"/>
      <c r="AS92" s="156"/>
      <c r="AT92" s="156"/>
      <c r="AU92" s="156"/>
      <c r="AV92" s="156"/>
      <c r="AW92" s="156"/>
      <c r="AX92" s="156"/>
      <c r="AY92" s="156"/>
      <c r="AZ92" s="156"/>
      <c r="BA92" s="156"/>
      <c r="BB92" s="156"/>
      <c r="BC92" s="156"/>
      <c r="BD92" s="156"/>
      <c r="BE92" s="156"/>
      <c r="BF92" s="156"/>
      <c r="BG92" s="156"/>
      <c r="BH92" s="156"/>
      <c r="BI92" s="156"/>
      <c r="BJ92" s="156"/>
      <c r="BK92" s="156"/>
      <c r="BL92" s="156"/>
      <c r="BM92" s="156"/>
      <c r="BN92" s="156"/>
      <c r="BO92" s="156"/>
      <c r="BP92" s="156"/>
      <c r="BQ92" s="156"/>
      <c r="BR92" s="156"/>
      <c r="BS92" s="156"/>
      <c r="BT92" s="156"/>
      <c r="BU92" s="156"/>
      <c r="BV92" s="156"/>
      <c r="BW92" s="201">
        <f t="shared" ref="BW92:CK92" si="300">BW68/BW21</f>
        <v>4.0393839939409239E-2</v>
      </c>
      <c r="BX92" s="201">
        <f t="shared" si="300"/>
        <v>5.8684335068622813E-2</v>
      </c>
      <c r="BY92" s="201">
        <f t="shared" si="300"/>
        <v>5.1513671875E-2</v>
      </c>
      <c r="BZ92" s="201">
        <f t="shared" si="300"/>
        <v>0.11778788604261432</v>
      </c>
      <c r="CA92" s="201">
        <f t="shared" si="300"/>
        <v>7.2695802682821289E-2</v>
      </c>
      <c r="CB92" s="201">
        <f t="shared" si="300"/>
        <v>8.3582727661393755E-2</v>
      </c>
      <c r="CC92" s="201">
        <f t="shared" si="300"/>
        <v>8.2802547770700632E-2</v>
      </c>
      <c r="CD92" s="201">
        <f t="shared" si="300"/>
        <v>9.2002532179784768E-2</v>
      </c>
      <c r="CE92" s="201">
        <f t="shared" si="300"/>
        <v>7.8161365399534527E-2</v>
      </c>
      <c r="CF92" s="201">
        <f t="shared" si="300"/>
        <v>8.5358255451713397E-2</v>
      </c>
      <c r="CG92" s="201">
        <f t="shared" si="300"/>
        <v>0.10852037480932665</v>
      </c>
      <c r="CH92" s="201">
        <f t="shared" si="300"/>
        <v>0.14964925954793454</v>
      </c>
      <c r="CI92" s="201">
        <f t="shared" si="300"/>
        <v>0.11328427575522851</v>
      </c>
      <c r="CJ92" s="201">
        <f t="shared" si="300"/>
        <v>0.13216621777606771</v>
      </c>
      <c r="CK92" s="201">
        <f t="shared" si="300"/>
        <v>0.16814542306859986</v>
      </c>
      <c r="CL92" s="201">
        <f t="shared" ref="CL92" si="301">CL68/CL21</f>
        <v>0.17148554336989033</v>
      </c>
      <c r="CM92" s="157"/>
      <c r="CN92" s="157"/>
      <c r="CO92" s="157"/>
      <c r="CP92" s="157"/>
      <c r="CQ92" s="157"/>
      <c r="CR92" s="157"/>
      <c r="CS92" s="157"/>
      <c r="CT92" s="157"/>
      <c r="CU92" s="157"/>
      <c r="CV92" s="157"/>
      <c r="CW92" s="157"/>
      <c r="CX92" s="157"/>
      <c r="CY92" s="157"/>
      <c r="CZ92" s="157"/>
      <c r="DA92" s="157"/>
      <c r="DB92" s="157"/>
      <c r="DE92" s="159"/>
    </row>
    <row r="93" spans="1:109" s="158" customFormat="1" x14ac:dyDescent="0.2">
      <c r="A93" s="186" t="s">
        <v>596</v>
      </c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201">
        <f t="shared" ref="X93:Z93" si="302">X69/X22</f>
        <v>0.12580676235430113</v>
      </c>
      <c r="Y93" s="201">
        <f t="shared" si="302"/>
        <v>0.13333998204846914</v>
      </c>
      <c r="Z93" s="201">
        <f t="shared" si="302"/>
        <v>0.16005047073667863</v>
      </c>
      <c r="AA93" s="157"/>
      <c r="AB93" s="157"/>
      <c r="AC93" s="157"/>
      <c r="AD93" s="157"/>
      <c r="AE93" s="157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6"/>
      <c r="BN93" s="156"/>
      <c r="BO93" s="156"/>
      <c r="BP93" s="156"/>
      <c r="BQ93" s="156"/>
      <c r="BR93" s="156"/>
      <c r="BS93" s="156"/>
      <c r="BT93" s="156"/>
      <c r="BU93" s="156"/>
      <c r="BV93" s="156"/>
      <c r="BW93" s="201">
        <f t="shared" ref="BW93:CK93" si="303">BW69/BW22</f>
        <v>0.1088348271446863</v>
      </c>
      <c r="BX93" s="201">
        <f t="shared" si="303"/>
        <v>0.11201079622132254</v>
      </c>
      <c r="BY93" s="201">
        <f t="shared" si="303"/>
        <v>0.14713774597495527</v>
      </c>
      <c r="BZ93" s="201">
        <f t="shared" si="303"/>
        <v>0.1482741857073408</v>
      </c>
      <c r="CA93" s="201">
        <f t="shared" si="303"/>
        <v>0.11978609625668449</v>
      </c>
      <c r="CB93" s="201">
        <f t="shared" si="303"/>
        <v>0.11088435374149661</v>
      </c>
      <c r="CC93" s="201">
        <f t="shared" si="303"/>
        <v>0.14567458538771852</v>
      </c>
      <c r="CD93" s="201">
        <f t="shared" si="303"/>
        <v>0.17064846416382254</v>
      </c>
      <c r="CE93" s="201">
        <f t="shared" si="303"/>
        <v>0.19318181818181818</v>
      </c>
      <c r="CF93" s="201">
        <f t="shared" si="303"/>
        <v>0.18743961352657004</v>
      </c>
      <c r="CG93" s="201">
        <f t="shared" si="303"/>
        <v>0.15719523373052247</v>
      </c>
      <c r="CH93" s="201">
        <f t="shared" si="303"/>
        <v>7.2134387351778656E-2</v>
      </c>
      <c r="CI93" s="201">
        <f t="shared" si="303"/>
        <v>0.13833333333333334</v>
      </c>
      <c r="CJ93" s="201">
        <f t="shared" si="303"/>
        <v>0.17858277724817287</v>
      </c>
      <c r="CK93" s="201">
        <f t="shared" si="303"/>
        <v>0.31097560975609756</v>
      </c>
      <c r="CL93" s="201">
        <f t="shared" ref="CL93" si="304">CL69/CL22</f>
        <v>0.24418188327962764</v>
      </c>
      <c r="CM93" s="157"/>
      <c r="CN93" s="157"/>
      <c r="CO93" s="157"/>
      <c r="CP93" s="157"/>
      <c r="CQ93" s="157"/>
      <c r="CR93" s="157"/>
      <c r="CS93" s="157"/>
      <c r="CT93" s="157"/>
      <c r="CU93" s="157"/>
      <c r="CV93" s="157"/>
      <c r="CW93" s="157"/>
      <c r="CX93" s="157"/>
      <c r="CY93" s="157"/>
      <c r="CZ93" s="157"/>
      <c r="DA93" s="157"/>
      <c r="DB93" s="157"/>
      <c r="DE93" s="159"/>
    </row>
    <row r="94" spans="1:109" s="158" customFormat="1" x14ac:dyDescent="0.2">
      <c r="A94" s="155"/>
      <c r="B94" s="156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  <c r="AA94" s="157"/>
      <c r="AB94" s="157"/>
      <c r="AC94" s="157"/>
      <c r="AD94" s="157"/>
      <c r="AE94" s="157"/>
      <c r="AI94" s="156"/>
      <c r="AJ94" s="156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  <c r="BJ94" s="156"/>
      <c r="BK94" s="156"/>
      <c r="BL94" s="156"/>
      <c r="BM94" s="156"/>
      <c r="BN94" s="156"/>
      <c r="BO94" s="156"/>
      <c r="BP94" s="156"/>
      <c r="BQ94" s="156"/>
      <c r="BR94" s="156"/>
      <c r="BS94" s="156"/>
      <c r="BT94" s="156"/>
      <c r="BU94" s="156"/>
      <c r="BV94" s="156"/>
      <c r="BW94" s="156"/>
      <c r="BX94" s="156"/>
      <c r="BY94" s="156"/>
      <c r="BZ94" s="156"/>
      <c r="CA94" s="156"/>
      <c r="CB94" s="156"/>
      <c r="CC94" s="156"/>
      <c r="CD94" s="156"/>
      <c r="CE94" s="156"/>
      <c r="CF94" s="156"/>
      <c r="CG94" s="156"/>
      <c r="CH94" s="156"/>
      <c r="CI94" s="156"/>
      <c r="CJ94" s="156"/>
      <c r="CK94" s="156"/>
      <c r="CL94" s="156"/>
      <c r="CM94" s="157"/>
      <c r="CN94" s="157"/>
      <c r="CO94" s="157"/>
      <c r="CP94" s="157"/>
      <c r="CQ94" s="157"/>
      <c r="CR94" s="157"/>
      <c r="CS94" s="157"/>
      <c r="CT94" s="157"/>
      <c r="CU94" s="157"/>
      <c r="CV94" s="157"/>
      <c r="CW94" s="157"/>
      <c r="CX94" s="157"/>
      <c r="CY94" s="157"/>
      <c r="CZ94" s="157"/>
      <c r="DA94" s="157"/>
      <c r="DB94" s="157"/>
      <c r="DE94" s="159"/>
    </row>
    <row r="95" spans="1:109" s="158" customFormat="1" x14ac:dyDescent="0.2">
      <c r="A95" s="155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  <c r="AA95" s="157"/>
      <c r="AB95" s="157"/>
      <c r="AC95" s="157"/>
      <c r="AD95" s="157"/>
      <c r="AE95" s="157"/>
      <c r="AI95" s="156"/>
      <c r="AJ95" s="156"/>
      <c r="AK95" s="156"/>
      <c r="AL95" s="156"/>
      <c r="AM95" s="156"/>
      <c r="AN95" s="156"/>
      <c r="AO95" s="156"/>
      <c r="AP95" s="156"/>
      <c r="AQ95" s="156"/>
      <c r="AR95" s="156"/>
      <c r="AS95" s="156"/>
      <c r="AT95" s="156"/>
      <c r="AU95" s="156"/>
      <c r="AV95" s="156"/>
      <c r="AW95" s="156"/>
      <c r="AX95" s="156"/>
      <c r="AY95" s="156"/>
      <c r="AZ95" s="156"/>
      <c r="BA95" s="156"/>
      <c r="BB95" s="156"/>
      <c r="BC95" s="156"/>
      <c r="BD95" s="156"/>
      <c r="BE95" s="156"/>
      <c r="BF95" s="156"/>
      <c r="BG95" s="156"/>
      <c r="BH95" s="156"/>
      <c r="BI95" s="156"/>
      <c r="BJ95" s="156"/>
      <c r="BK95" s="156"/>
      <c r="BL95" s="156"/>
      <c r="BM95" s="156"/>
      <c r="BN95" s="156"/>
      <c r="BO95" s="156"/>
      <c r="BP95" s="156"/>
      <c r="BQ95" s="156"/>
      <c r="BR95" s="156"/>
      <c r="BS95" s="156"/>
      <c r="BT95" s="156"/>
      <c r="BU95" s="156"/>
      <c r="BV95" s="156"/>
      <c r="BW95" s="156"/>
      <c r="BX95" s="156"/>
      <c r="BY95" s="156"/>
      <c r="BZ95" s="156"/>
      <c r="CA95" s="156"/>
      <c r="CB95" s="156"/>
      <c r="CC95" s="156"/>
      <c r="CD95" s="156"/>
      <c r="CE95" s="156"/>
      <c r="CF95" s="156"/>
      <c r="CG95" s="156"/>
      <c r="CH95" s="156"/>
      <c r="CI95" s="156"/>
      <c r="CJ95" s="156"/>
      <c r="CK95" s="156"/>
      <c r="CL95" s="156"/>
      <c r="CM95" s="157"/>
      <c r="CN95" s="157"/>
      <c r="CO95" s="157"/>
      <c r="CP95" s="157"/>
      <c r="CQ95" s="157"/>
      <c r="CR95" s="157"/>
      <c r="CS95" s="157"/>
      <c r="CT95" s="157"/>
      <c r="CU95" s="157"/>
      <c r="CV95" s="157"/>
      <c r="CW95" s="157"/>
      <c r="CX95" s="157"/>
      <c r="CY95" s="157"/>
      <c r="CZ95" s="157"/>
      <c r="DA95" s="157"/>
      <c r="DB95" s="157"/>
      <c r="DE95" s="159"/>
    </row>
    <row r="96" spans="1:109" s="158" customFormat="1" x14ac:dyDescent="0.2">
      <c r="A96" s="155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  <c r="AA96" s="157"/>
      <c r="AB96" s="157"/>
      <c r="AC96" s="157"/>
      <c r="AD96" s="157"/>
      <c r="AE96" s="157"/>
      <c r="AI96" s="156"/>
      <c r="AJ96" s="156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  <c r="BG96" s="156"/>
      <c r="BH96" s="156"/>
      <c r="BI96" s="156"/>
      <c r="BJ96" s="156"/>
      <c r="BK96" s="156"/>
      <c r="BL96" s="156"/>
      <c r="BM96" s="156"/>
      <c r="BN96" s="156"/>
      <c r="BO96" s="156"/>
      <c r="BP96" s="156"/>
      <c r="BQ96" s="156"/>
      <c r="BR96" s="156"/>
      <c r="BS96" s="156"/>
      <c r="BT96" s="156"/>
      <c r="BU96" s="156"/>
      <c r="BV96" s="156"/>
      <c r="BW96" s="156"/>
      <c r="BX96" s="156"/>
      <c r="BY96" s="156"/>
      <c r="BZ96" s="156"/>
      <c r="CA96" s="156"/>
      <c r="CB96" s="156"/>
      <c r="CC96" s="156"/>
      <c r="CD96" s="156"/>
      <c r="CE96" s="156"/>
      <c r="CF96" s="156"/>
      <c r="CG96" s="156"/>
      <c r="CH96" s="156"/>
      <c r="CI96" s="156"/>
      <c r="CJ96" s="156"/>
      <c r="CK96" s="156"/>
      <c r="CL96" s="156"/>
      <c r="CM96" s="157"/>
      <c r="CN96" s="157"/>
      <c r="CO96" s="157"/>
      <c r="CP96" s="157"/>
      <c r="CQ96" s="157"/>
      <c r="CR96" s="157"/>
      <c r="CS96" s="157"/>
      <c r="CT96" s="157"/>
      <c r="CU96" s="157"/>
      <c r="CV96" s="157"/>
      <c r="CW96" s="157"/>
      <c r="CX96" s="157"/>
      <c r="CY96" s="157"/>
      <c r="CZ96" s="157"/>
      <c r="DA96" s="157"/>
      <c r="DB96" s="157"/>
      <c r="DE96" s="159"/>
    </row>
    <row r="97" spans="1:110" s="106" customFormat="1" x14ac:dyDescent="0.2">
      <c r="A97" s="151" t="s">
        <v>500</v>
      </c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5"/>
      <c r="AB97" s="105"/>
      <c r="AC97" s="105"/>
      <c r="AD97" s="105"/>
      <c r="AE97" s="105"/>
      <c r="AI97" s="104"/>
      <c r="AJ97" s="104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  <c r="BM97" s="104"/>
      <c r="BN97" s="104"/>
      <c r="BO97" s="104"/>
      <c r="BP97" s="104"/>
      <c r="BQ97" s="104"/>
      <c r="BR97" s="104"/>
      <c r="BS97" s="104"/>
      <c r="BT97" s="104"/>
      <c r="BU97" s="104"/>
      <c r="BV97" s="104"/>
      <c r="BW97" s="104"/>
      <c r="BX97" s="104"/>
      <c r="BY97" s="104"/>
      <c r="BZ97" s="104"/>
      <c r="CA97" s="104"/>
      <c r="CB97" s="104"/>
      <c r="CC97" s="104"/>
      <c r="CD97" s="104"/>
      <c r="CE97" s="104"/>
      <c r="CF97" s="104"/>
      <c r="CG97" s="104"/>
      <c r="CH97" s="104"/>
      <c r="CI97" s="104"/>
      <c r="CJ97" s="104"/>
      <c r="CK97" s="104"/>
      <c r="CL97" s="104"/>
      <c r="CM97" s="105"/>
      <c r="CN97" s="105"/>
      <c r="CO97" s="105"/>
      <c r="CP97" s="105"/>
      <c r="CQ97" s="105"/>
      <c r="CR97" s="105"/>
      <c r="CS97" s="105"/>
      <c r="CT97" s="105"/>
      <c r="CU97" s="105"/>
      <c r="CV97" s="105"/>
      <c r="CW97" s="105"/>
      <c r="CX97" s="105"/>
      <c r="CY97" s="105"/>
      <c r="CZ97" s="105"/>
      <c r="DA97" s="105"/>
      <c r="DB97" s="105"/>
      <c r="DE97" s="118"/>
    </row>
    <row r="98" spans="1:110" s="106" customFormat="1" x14ac:dyDescent="0.2">
      <c r="A98" s="151" t="s">
        <v>485</v>
      </c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05"/>
      <c r="AC98" s="105"/>
      <c r="AD98" s="105"/>
      <c r="AE98" s="105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60"/>
      <c r="CK98" s="160"/>
      <c r="CL98" s="160"/>
      <c r="CM98" s="105"/>
      <c r="CN98" s="105"/>
      <c r="CO98" s="105"/>
      <c r="CP98" s="105"/>
      <c r="CQ98" s="105"/>
      <c r="CR98" s="105"/>
      <c r="CS98" s="105"/>
      <c r="CT98" s="105"/>
      <c r="CU98" s="105"/>
      <c r="CV98" s="105"/>
      <c r="CW98" s="105"/>
      <c r="CX98" s="105"/>
      <c r="CY98" s="105"/>
      <c r="CZ98" s="105"/>
      <c r="DA98" s="105"/>
      <c r="DB98" s="105"/>
      <c r="DE98" s="118"/>
    </row>
    <row r="99" spans="1:110" s="25" customFormat="1" outlineLevel="1" x14ac:dyDescent="0.2">
      <c r="A99" s="25" t="s">
        <v>430</v>
      </c>
      <c r="B99" s="25">
        <f>'Annual Raw'!C6</f>
        <v>3374.8175030000002</v>
      </c>
      <c r="C99" s="25">
        <f>'Annual Raw'!D6</f>
        <v>3861.06</v>
      </c>
      <c r="D99" s="25">
        <f>'Annual Raw'!E6</f>
        <v>4805.45</v>
      </c>
      <c r="E99" s="25">
        <f>'Annual Raw'!F6</f>
        <v>4996.38</v>
      </c>
      <c r="F99" s="25">
        <f>'Annual Raw'!G6</f>
        <v>4900.58</v>
      </c>
      <c r="G99" s="25">
        <f>'Annual Raw'!H6</f>
        <v>5623.21</v>
      </c>
      <c r="H99" s="25">
        <f>'Annual Raw'!I6</f>
        <v>6484.23</v>
      </c>
      <c r="I99" s="25">
        <f>'Annual Raw'!J6</f>
        <v>10904.19</v>
      </c>
      <c r="J99" s="25">
        <f>'Annual Raw'!K6</f>
        <v>18068.439999999999</v>
      </c>
      <c r="K99" s="25">
        <f>'Annual Raw'!L6</f>
        <v>18996.79</v>
      </c>
      <c r="L99" s="25">
        <f>'Annual Raw'!M6</f>
        <v>19462.88</v>
      </c>
      <c r="M99" s="25">
        <f>'Annual Raw'!N6</f>
        <v>26019.81</v>
      </c>
      <c r="N99" s="25">
        <f>'Annual Raw'!O6</f>
        <v>33042.1</v>
      </c>
      <c r="O99" s="25">
        <f>'Annual Raw'!P6</f>
        <v>35737.879999999997</v>
      </c>
      <c r="P99" s="25">
        <f>'Annual Raw'!Q6</f>
        <v>33596.76</v>
      </c>
      <c r="Q99" s="25">
        <f>'Annual Raw'!R6</f>
        <v>29500.89</v>
      </c>
      <c r="R99" s="25">
        <f>'Annual Raw'!S6</f>
        <v>27587.59</v>
      </c>
      <c r="S99" s="25">
        <f>'Annual Raw'!T6</f>
        <v>26840.27</v>
      </c>
      <c r="T99" s="25">
        <f>'Annual Raw'!U6</f>
        <v>29881.06</v>
      </c>
      <c r="U99" s="25">
        <f>'Annual Raw'!V6</f>
        <v>29136.37</v>
      </c>
      <c r="V99" s="25">
        <f>'Annual Raw'!W6</f>
        <v>32703.31</v>
      </c>
      <c r="W99" s="25">
        <f>'Annual Raw'!X6</f>
        <v>42815.67</v>
      </c>
      <c r="X99" s="25">
        <f>'Annual Raw'!Y6</f>
        <v>55109.08</v>
      </c>
      <c r="Y99" s="25">
        <f>'Annual Raw'!Z6</f>
        <v>61448.9</v>
      </c>
      <c r="Z99" s="25">
        <f>'Annual Raw'!AA6</f>
        <v>65478.239999999998</v>
      </c>
      <c r="AA99" s="25">
        <f>'Annual Raw'!AB6</f>
        <v>62428.59</v>
      </c>
      <c r="AB99" s="17">
        <f>+SUM(CM99:CP99)</f>
        <v>78342.752529999998</v>
      </c>
      <c r="AC99" s="17">
        <f>+SUM(CQ99:CT99)</f>
        <v>84881.196633793006</v>
      </c>
      <c r="AD99" s="17">
        <f>+SUM(CU99:CX99)</f>
        <v>90082.516490238719</v>
      </c>
      <c r="AE99" s="17">
        <f>+SUM(CY99:DB99)</f>
        <v>95893.630188417097</v>
      </c>
      <c r="AI99" s="25">
        <f>'QTR Raw'!C6+'QTR Raw'!C8</f>
        <v>7253.8899999999994</v>
      </c>
      <c r="AJ99" s="25">
        <f>'QTR Raw'!D6+'QTR Raw'!D8</f>
        <v>7699.7699999999995</v>
      </c>
      <c r="AK99" s="25">
        <f>'QTR Raw'!E6+'QTR Raw'!E8</f>
        <v>9039.31</v>
      </c>
      <c r="AL99" s="25">
        <f>'QTR Raw'!F6+'QTR Raw'!F8</f>
        <v>9032.4599999999991</v>
      </c>
      <c r="AM99" s="25">
        <f>'QTR Raw'!G6+'QTR Raw'!G8</f>
        <v>9339.49</v>
      </c>
      <c r="AN99" s="25">
        <f>'QTR Raw'!H6+'QTR Raw'!H8</f>
        <v>8764.69</v>
      </c>
      <c r="AO99" s="25">
        <f>'QTR Raw'!I6+'QTR Raw'!I8</f>
        <v>8700.02</v>
      </c>
      <c r="AP99" s="25">
        <f>'QTR Raw'!J6+'QTR Raw'!J8</f>
        <v>8901.81</v>
      </c>
      <c r="AQ99" s="25">
        <f>'QTR Raw'!K6+'QTR Raw'!K8</f>
        <v>8707.5300000000007</v>
      </c>
      <c r="AR99" s="25">
        <f>'QTR Raw'!L6+'QTR Raw'!L8</f>
        <v>8584</v>
      </c>
      <c r="AS99" s="25">
        <f>'QTR Raw'!M6+'QTR Raw'!M8</f>
        <v>8528.4</v>
      </c>
      <c r="AT99" s="25">
        <f>'QTR Raw'!N6+'QTR Raw'!N8</f>
        <v>7907.6399999999994</v>
      </c>
      <c r="AU99" s="25">
        <f>'QTR Raw'!O6+'QTR Raw'!O8</f>
        <v>7183.6699999999992</v>
      </c>
      <c r="AV99" s="25">
        <f>'QTR Raw'!P6+'QTR Raw'!P8</f>
        <v>7666.33</v>
      </c>
      <c r="AW99" s="25">
        <f>'QTR Raw'!Q6+'QTR Raw'!Q8</f>
        <v>7353.1500000000005</v>
      </c>
      <c r="AX99" s="25">
        <f>'QTR Raw'!R6+'QTR Raw'!R8</f>
        <v>7297.74</v>
      </c>
      <c r="AY99" s="25">
        <f>'QTR Raw'!S6+'QTR Raw'!S8</f>
        <v>6838.3</v>
      </c>
      <c r="AZ99" s="25">
        <f>'QTR Raw'!T6+'QTR Raw'!T8</f>
        <v>7213.64</v>
      </c>
      <c r="BA99" s="25">
        <f>'QTR Raw'!U6+'QTR Raw'!U8</f>
        <v>6574.47</v>
      </c>
      <c r="BB99" s="25">
        <f>'QTR Raw'!V6+'QTR Raw'!V8</f>
        <v>7005.24</v>
      </c>
      <c r="BC99" s="25">
        <f>'QTR Raw'!W6+'QTR Raw'!W8</f>
        <v>6415</v>
      </c>
      <c r="BD99" s="25">
        <f>'QTR Raw'!X6+'QTR Raw'!X8</f>
        <v>6873.65</v>
      </c>
      <c r="BE99" s="25">
        <f>'QTR Raw'!Y6+'QTR Raw'!Y8</f>
        <v>6360.22</v>
      </c>
      <c r="BF99" s="25">
        <f>'QTR Raw'!Z6+'QTR Raw'!Z8</f>
        <v>7216.91</v>
      </c>
      <c r="BG99" s="25">
        <f>'QTR Raw'!AA6+'QTR Raw'!AA8</f>
        <v>7315.2</v>
      </c>
      <c r="BH99" s="25">
        <f>'QTR Raw'!AB6+'QTR Raw'!AB8</f>
        <v>7353.41</v>
      </c>
      <c r="BI99" s="25">
        <f>'QTR Raw'!AC6+'QTR Raw'!AC8</f>
        <v>7982.61</v>
      </c>
      <c r="BJ99" s="25">
        <f>'QTR Raw'!AD6+'QTR Raw'!AD8</f>
        <v>7229.84</v>
      </c>
      <c r="BK99" s="25">
        <f>'QTR Raw'!AE6+'QTR Raw'!AE8</f>
        <v>7766.72</v>
      </c>
      <c r="BL99" s="25">
        <f>'QTR Raw'!AF6+'QTR Raw'!AF8</f>
        <v>7677.82</v>
      </c>
      <c r="BM99" s="25">
        <f>'QTR Raw'!AG6+'QTR Raw'!AG8</f>
        <v>7071.03</v>
      </c>
      <c r="BN99" s="25">
        <f>'QTR Raw'!AH6+'QTR Raw'!AH8</f>
        <v>6620.8</v>
      </c>
      <c r="BO99" s="25">
        <f>'QTR Raw'!AI6+'QTR Raw'!AI8</f>
        <v>6452.99</v>
      </c>
      <c r="BP99" s="25">
        <f>'QTR Raw'!AJ6+'QTR Raw'!AJ8</f>
        <v>8289.81</v>
      </c>
      <c r="BQ99" s="25">
        <f>'QTR Raw'!AK6+'QTR Raw'!AK8</f>
        <v>7597.91</v>
      </c>
      <c r="BR99" s="25">
        <f>'QTR Raw'!AL6+'QTR Raw'!AL8</f>
        <v>10362.6</v>
      </c>
      <c r="BS99" s="25">
        <f>'QTR Raw'!AM6+'QTR Raw'!AM8</f>
        <v>10132.35</v>
      </c>
      <c r="BT99" s="25">
        <f>'QTR Raw'!AN6+'QTR Raw'!AN8</f>
        <v>9810.2199999999993</v>
      </c>
      <c r="BU99" s="25">
        <f>'QTR Raw'!AO6+'QTR Raw'!AO8</f>
        <v>10913.14</v>
      </c>
      <c r="BV99" s="25">
        <f>'QTR Raw'!AP6+'QTR Raw'!AP8</f>
        <v>11959.96</v>
      </c>
      <c r="BW99" s="25">
        <f>'QTR Raw'!AQ6+'QTR Raw'!AQ8</f>
        <v>14495.48</v>
      </c>
      <c r="BX99" s="25">
        <f>'QTR Raw'!AR6+'QTR Raw'!AR8</f>
        <v>14030.72</v>
      </c>
      <c r="BY99" s="25">
        <f>'QTR Raw'!AS6+'QTR Raw'!AS8</f>
        <v>14129.12</v>
      </c>
      <c r="BZ99" s="25">
        <f>'QTR Raw'!AT6+'QTR Raw'!AT8</f>
        <v>12453.76</v>
      </c>
      <c r="CA99" s="25">
        <f>'QTR Raw'!AU6+'QTR Raw'!AU8</f>
        <v>15213.29</v>
      </c>
      <c r="CB99" s="25">
        <f>'QTR Raw'!AV6+'QTR Raw'!AV8</f>
        <v>15738.03</v>
      </c>
      <c r="CC99" s="25">
        <f>'QTR Raw'!AW6+'QTR Raw'!AW8</f>
        <v>14651</v>
      </c>
      <c r="CD99" s="25">
        <f>'QTR Raw'!AX6+'QTR Raw'!AX8</f>
        <v>15846.58</v>
      </c>
      <c r="CE99" s="25">
        <f>'QTR Raw'!AY6+'QTR Raw'!AY8</f>
        <v>17293.62</v>
      </c>
      <c r="CF99" s="25">
        <f>'QTR Raw'!AZ6+'QTR Raw'!AZ8</f>
        <v>15697.67</v>
      </c>
      <c r="CG99" s="25">
        <f>'QTR Raw'!BA6+'QTR Raw'!BA8</f>
        <v>15391.06</v>
      </c>
      <c r="CH99" s="25">
        <f>'QTR Raw'!BB6+'QTR Raw'!BB8</f>
        <v>17095.88</v>
      </c>
      <c r="CI99" s="25">
        <f>'QTR Raw'!BC6+'QTR Raw'!BC8</f>
        <v>18035.07</v>
      </c>
      <c r="CJ99" s="25">
        <f>'QTR Raw'!BD6+'QTR Raw'!BD8</f>
        <v>15544.91</v>
      </c>
      <c r="CK99" s="25">
        <f>'QTR Raw'!BE6+'QTR Raw'!BE8</f>
        <v>13948.41</v>
      </c>
      <c r="CL99" s="25">
        <f>'QTR Raw'!BF6+'QTR Raw'!BF8</f>
        <v>14900.2</v>
      </c>
      <c r="CM99" s="17">
        <f t="shared" ref="CM99:DB99" si="305">CM27</f>
        <v>17444.190000000002</v>
      </c>
      <c r="CN99" s="17">
        <f t="shared" si="305"/>
        <v>21397.707000000002</v>
      </c>
      <c r="CO99" s="17">
        <f t="shared" si="305"/>
        <v>19259.817900000002</v>
      </c>
      <c r="CP99" s="17">
        <f t="shared" si="305"/>
        <v>20241.037629999999</v>
      </c>
      <c r="CQ99" s="17">
        <f t="shared" si="305"/>
        <v>21120.061611000001</v>
      </c>
      <c r="CR99" s="17">
        <f t="shared" si="305"/>
        <v>22412.273056700004</v>
      </c>
      <c r="CS99" s="17">
        <f t="shared" si="305"/>
        <v>20153.809622990004</v>
      </c>
      <c r="CT99" s="17">
        <f t="shared" si="305"/>
        <v>21195.052343103001</v>
      </c>
      <c r="CU99" s="17">
        <f t="shared" si="305"/>
        <v>22460.3376260691</v>
      </c>
      <c r="CV99" s="17">
        <f t="shared" si="305"/>
        <v>23765.125063379273</v>
      </c>
      <c r="CW99" s="17">
        <f t="shared" si="305"/>
        <v>21373.009486986222</v>
      </c>
      <c r="CX99" s="17">
        <f t="shared" si="305"/>
        <v>22484.044313804137</v>
      </c>
      <c r="CY99" s="17">
        <f t="shared" si="305"/>
        <v>23916.094096228764</v>
      </c>
      <c r="CZ99" s="17">
        <f t="shared" si="305"/>
        <v>25302.307362317377</v>
      </c>
      <c r="DA99" s="17">
        <f t="shared" si="305"/>
        <v>22740.234494462791</v>
      </c>
      <c r="DB99" s="17">
        <f t="shared" si="305"/>
        <v>23934.994235408165</v>
      </c>
      <c r="DE99" s="119"/>
      <c r="DF99" s="25">
        <v>17586.68</v>
      </c>
    </row>
    <row r="100" spans="1:110" s="92" customFormat="1" outlineLevel="1" x14ac:dyDescent="0.2">
      <c r="A100" s="92" t="s">
        <v>109</v>
      </c>
      <c r="B100" s="92">
        <f>'Annual Raw'!C7+'Annual Raw'!C8+'Annual Raw'!C9</f>
        <v>0.35590899999999998</v>
      </c>
      <c r="C100" s="92">
        <f>'Annual Raw'!D7+'Annual Raw'!D8+'Annual Raw'!D9</f>
        <v>0</v>
      </c>
      <c r="D100" s="92">
        <f>'Annual Raw'!E7+'Annual Raw'!E8+'Annual Raw'!E9</f>
        <v>0</v>
      </c>
      <c r="E100" s="92">
        <f>'Annual Raw'!F7+'Annual Raw'!F8+'Annual Raw'!F9</f>
        <v>2.66</v>
      </c>
      <c r="F100" s="92">
        <f>'Annual Raw'!G7+'Annual Raw'!G8+'Annual Raw'!G9</f>
        <v>0.28999999999999998</v>
      </c>
      <c r="G100" s="92">
        <f>'Annual Raw'!H7+'Annual Raw'!H8+'Annual Raw'!H9</f>
        <v>1.95</v>
      </c>
      <c r="H100" s="92">
        <f>'Annual Raw'!I7+'Annual Raw'!I8+'Annual Raw'!I9</f>
        <v>8.59</v>
      </c>
      <c r="I100" s="92">
        <f>'Annual Raw'!J7+'Annual Raw'!J8+'Annual Raw'!J9</f>
        <v>13.33</v>
      </c>
      <c r="J100" s="92">
        <f>'Annual Raw'!K7+'Annual Raw'!K8+'Annual Raw'!K9</f>
        <v>7.12</v>
      </c>
      <c r="K100" s="92">
        <f>'Annual Raw'!L7+'Annual Raw'!L8+'Annual Raw'!L9</f>
        <v>10.95</v>
      </c>
      <c r="L100" s="92">
        <f>'Annual Raw'!M7+'Annual Raw'!M8+'Annual Raw'!M9</f>
        <v>12.12</v>
      </c>
      <c r="M100" s="92">
        <f>'Annual Raw'!N7+'Annual Raw'!N8+'Annual Raw'!N9</f>
        <v>18.41</v>
      </c>
      <c r="N100" s="92">
        <f>'Annual Raw'!O7+'Annual Raw'!O8+'Annual Raw'!O9</f>
        <v>16.670000000000002</v>
      </c>
      <c r="O100" s="92">
        <f>'Annual Raw'!P7+'Annual Raw'!P8+'Annual Raw'!P9</f>
        <v>19.64</v>
      </c>
      <c r="P100" s="92">
        <f>'Annual Raw'!Q7+'Annual Raw'!Q8+'Annual Raw'!Q9</f>
        <v>3.97</v>
      </c>
      <c r="Q100" s="92">
        <f>'Annual Raw'!R7+'Annual Raw'!R8+'Annual Raw'!R9</f>
        <v>6.59</v>
      </c>
      <c r="R100" s="92">
        <f>'Annual Raw'!S7+'Annual Raw'!S8+'Annual Raw'!S9</f>
        <v>0</v>
      </c>
      <c r="S100" s="92">
        <f>'Annual Raw'!T7+'Annual Raw'!T8+'Annual Raw'!T9</f>
        <v>0</v>
      </c>
      <c r="T100" s="92">
        <f>'Annual Raw'!U7+'Annual Raw'!U8+'Annual Raw'!U9</f>
        <v>0</v>
      </c>
      <c r="U100" s="92">
        <f>'Annual Raw'!V7+'Annual Raw'!V8+'Annual Raw'!V9</f>
        <v>0</v>
      </c>
      <c r="V100" s="92">
        <f>'Annual Raw'!W7+'Annual Raw'!W8+'Annual Raw'!W9</f>
        <v>0</v>
      </c>
      <c r="W100" s="92">
        <f>'Annual Raw'!X7+'Annual Raw'!X8+'Annual Raw'!X9</f>
        <v>0</v>
      </c>
      <c r="X100" s="92">
        <f>'Annual Raw'!Y7+'Annual Raw'!Y8+'Annual Raw'!Y9</f>
        <v>0</v>
      </c>
      <c r="Y100" s="92">
        <f>'Annual Raw'!Z7+'Annual Raw'!Z8+'Annual Raw'!Z9</f>
        <v>0</v>
      </c>
      <c r="Z100" s="92">
        <f>'Annual Raw'!AA7+'Annual Raw'!AA8+'Annual Raw'!AA9</f>
        <v>0</v>
      </c>
      <c r="AA100" s="92">
        <f>'Annual Raw'!AB7+'Annual Raw'!AB8+'Annual Raw'!AB9</f>
        <v>0</v>
      </c>
      <c r="AB100" s="76">
        <f>+SUM(CM100:CP100)</f>
        <v>0</v>
      </c>
      <c r="AC100" s="76">
        <f>+SUM(CQ100:CT100)</f>
        <v>0</v>
      </c>
      <c r="AD100" s="76">
        <f>+SUM(CU100:CX100)</f>
        <v>0</v>
      </c>
      <c r="AE100" s="76">
        <f>+SUM(CY100:DB100)</f>
        <v>0</v>
      </c>
      <c r="AI100" s="92">
        <f>+'QTR Raw'!C20+'QTR Raw'!C19+'QTR Raw'!C13+'QTR Raw'!C7</f>
        <v>45.23</v>
      </c>
      <c r="AJ100" s="92">
        <f>+'QTR Raw'!D20+'QTR Raw'!D19+'QTR Raw'!D13+'QTR Raw'!D7</f>
        <v>31.63</v>
      </c>
      <c r="AK100" s="92">
        <f>+'QTR Raw'!E20+'QTR Raw'!E19+'QTR Raw'!E13+'QTR Raw'!E7</f>
        <v>86.03</v>
      </c>
      <c r="AL100" s="92">
        <f>+'QTR Raw'!F20+'QTR Raw'!F19+'QTR Raw'!F13+'QTR Raw'!F7</f>
        <v>24.75</v>
      </c>
      <c r="AM100" s="92">
        <f>+'QTR Raw'!G20+'QTR Raw'!G19+'QTR Raw'!G13+'QTR Raw'!G7</f>
        <v>292.76</v>
      </c>
      <c r="AN100" s="92">
        <f>+'QTR Raw'!H20+'QTR Raw'!H19+'QTR Raw'!H13+'QTR Raw'!H7</f>
        <v>354.52</v>
      </c>
      <c r="AO100" s="92">
        <f>+'QTR Raw'!I20+'QTR Raw'!I19+'QTR Raw'!I13+'QTR Raw'!I7</f>
        <v>159.69</v>
      </c>
      <c r="AP100" s="92">
        <f>+'QTR Raw'!J20+'QTR Raw'!J19+'QTR Raw'!J13+'QTR Raw'!J7</f>
        <v>0</v>
      </c>
      <c r="AQ100" s="92">
        <f>+'QTR Raw'!K20+'QTR Raw'!K19+'QTR Raw'!K13+'QTR Raw'!K7</f>
        <v>136.75</v>
      </c>
      <c r="AR100" s="92">
        <f>+'QTR Raw'!L20+'QTR Raw'!L19+'QTR Raw'!L13+'QTR Raw'!L7</f>
        <v>120.8</v>
      </c>
      <c r="AS100" s="92">
        <f>+'QTR Raw'!M20+'QTR Raw'!M19+'QTR Raw'!M13+'QTR Raw'!M7</f>
        <v>0</v>
      </c>
      <c r="AT100" s="92">
        <f>+'QTR Raw'!N20+'QTR Raw'!N19+'QTR Raw'!N13+'QTR Raw'!N7</f>
        <v>99.07</v>
      </c>
      <c r="AU100" s="92">
        <f>+'QTR Raw'!O20+'QTR Raw'!O19+'QTR Raw'!O13+'QTR Raw'!O7</f>
        <v>171.04</v>
      </c>
      <c r="AV100" s="92">
        <f>+'QTR Raw'!P20+'QTR Raw'!P19+'QTR Raw'!P13+'QTR Raw'!P7</f>
        <v>259.83</v>
      </c>
      <c r="AW100" s="92">
        <f>+'QTR Raw'!Q20+'QTR Raw'!Q19+'QTR Raw'!Q13+'QTR Raw'!Q7</f>
        <v>153.57</v>
      </c>
      <c r="AX100" s="92">
        <f>+'QTR Raw'!R20+'QTR Raw'!R19+'QTR Raw'!R13+'QTR Raw'!R7</f>
        <v>78.31</v>
      </c>
      <c r="AY100" s="92">
        <f>+'QTR Raw'!S20+'QTR Raw'!S19+'QTR Raw'!S13+'QTR Raw'!S7</f>
        <v>0</v>
      </c>
      <c r="AZ100" s="92">
        <f>+'QTR Raw'!T20+'QTR Raw'!T19+'QTR Raw'!T13+'QTR Raw'!T7</f>
        <v>0</v>
      </c>
      <c r="BA100" s="92">
        <f>+'QTR Raw'!U20+'QTR Raw'!U19+'QTR Raw'!U13+'QTR Raw'!U7</f>
        <v>0</v>
      </c>
      <c r="BB100" s="92">
        <f>+'QTR Raw'!V20+'QTR Raw'!V19+'QTR Raw'!V13+'QTR Raw'!V7</f>
        <v>0</v>
      </c>
      <c r="BC100" s="92">
        <f>+'QTR Raw'!W20+'QTR Raw'!W19+'QTR Raw'!W13+'QTR Raw'!W7</f>
        <v>0</v>
      </c>
      <c r="BD100" s="92">
        <f>+'QTR Raw'!X20+'QTR Raw'!X19+'QTR Raw'!X13+'QTR Raw'!X7</f>
        <v>0</v>
      </c>
      <c r="BE100" s="92">
        <f>+'QTR Raw'!Y20+'QTR Raw'!Y19+'QTR Raw'!Y13+'QTR Raw'!Y7</f>
        <v>0</v>
      </c>
      <c r="BF100" s="92">
        <f>+'QTR Raw'!Z20+'QTR Raw'!Z19+'QTR Raw'!Z13+'QTR Raw'!Z7</f>
        <v>0</v>
      </c>
      <c r="BG100" s="92">
        <f>+'QTR Raw'!AA20+'QTR Raw'!AA19+'QTR Raw'!AA13+'QTR Raw'!AA7</f>
        <v>0</v>
      </c>
      <c r="BH100" s="92">
        <f>+'QTR Raw'!AB20+'QTR Raw'!AB19+'QTR Raw'!AB13+'QTR Raw'!AB7</f>
        <v>0</v>
      </c>
      <c r="BI100" s="92">
        <f>+'QTR Raw'!AC20+'QTR Raw'!AC19+'QTR Raw'!AC13+'QTR Raw'!AC7</f>
        <v>0</v>
      </c>
      <c r="BJ100" s="92">
        <f>+'QTR Raw'!AD20+'QTR Raw'!AD19+'QTR Raw'!AD13+'QTR Raw'!AD7</f>
        <v>0</v>
      </c>
      <c r="BK100" s="92">
        <f>+'QTR Raw'!AE20+'QTR Raw'!AE19+'QTR Raw'!AE13+'QTR Raw'!AE7</f>
        <v>0</v>
      </c>
      <c r="BL100" s="92">
        <f>+'QTR Raw'!AF20+'QTR Raw'!AF19+'QTR Raw'!AF13+'QTR Raw'!AF7</f>
        <v>0</v>
      </c>
      <c r="BM100" s="92">
        <f>+'QTR Raw'!AG20+'QTR Raw'!AG19+'QTR Raw'!AG13+'QTR Raw'!AG7</f>
        <v>0</v>
      </c>
      <c r="BN100" s="92">
        <f>+'QTR Raw'!AH20+'QTR Raw'!AH19+'QTR Raw'!AH13+'QTR Raw'!AH7</f>
        <v>0</v>
      </c>
      <c r="BO100" s="92">
        <f>+'QTR Raw'!AI20+'QTR Raw'!AI19+'QTR Raw'!AI13+'QTR Raw'!AI7</f>
        <v>0</v>
      </c>
      <c r="BP100" s="92">
        <f>+'QTR Raw'!AJ20+'QTR Raw'!AJ19+'QTR Raw'!AJ13+'QTR Raw'!AJ7</f>
        <v>0</v>
      </c>
      <c r="BQ100" s="92">
        <f>+'QTR Raw'!AK20+'QTR Raw'!AK19+'QTR Raw'!AK13+'QTR Raw'!AK7</f>
        <v>0</v>
      </c>
      <c r="BR100" s="92">
        <f>+'QTR Raw'!AL20+'QTR Raw'!AL19+'QTR Raw'!AL13+'QTR Raw'!AL7</f>
        <v>0</v>
      </c>
      <c r="BS100" s="92">
        <f>+'QTR Raw'!AM20+'QTR Raw'!AM19+'QTR Raw'!AM13+'QTR Raw'!AM7</f>
        <v>0</v>
      </c>
      <c r="BT100" s="92">
        <f>+'QTR Raw'!AN20+'QTR Raw'!AN19+'QTR Raw'!AN13+'QTR Raw'!AN7</f>
        <v>0</v>
      </c>
      <c r="BU100" s="92">
        <f>+'QTR Raw'!AO20+'QTR Raw'!AO19+'QTR Raw'!AO13+'QTR Raw'!AO7</f>
        <v>0</v>
      </c>
      <c r="BV100" s="92">
        <f>+'QTR Raw'!AP20+'QTR Raw'!AP19+'QTR Raw'!AP13+'QTR Raw'!AP7</f>
        <v>0</v>
      </c>
      <c r="BW100" s="92">
        <f>+'QTR Raw'!AQ20+'QTR Raw'!AQ19+'QTR Raw'!AQ13+'QTR Raw'!AQ7</f>
        <v>0</v>
      </c>
      <c r="BX100" s="92">
        <f>+'QTR Raw'!AR20+'QTR Raw'!AR19+'QTR Raw'!AR13+'QTR Raw'!AR7</f>
        <v>0</v>
      </c>
      <c r="BY100" s="92">
        <f>+'QTR Raw'!AS20+'QTR Raw'!AS19+'QTR Raw'!AS13+'QTR Raw'!AS7</f>
        <v>0</v>
      </c>
      <c r="BZ100" s="92">
        <f>+'QTR Raw'!AT20+'QTR Raw'!AT19+'QTR Raw'!AT13+'QTR Raw'!AT7</f>
        <v>0</v>
      </c>
      <c r="CA100" s="92">
        <f>+'QTR Raw'!AU20+'QTR Raw'!AU19+'QTR Raw'!AU13+'QTR Raw'!AU7</f>
        <v>0</v>
      </c>
      <c r="CB100" s="92">
        <f>+'QTR Raw'!AV20+'QTR Raw'!AV19+'QTR Raw'!AV13+'QTR Raw'!AV7</f>
        <v>0</v>
      </c>
      <c r="CC100" s="92">
        <f>+'QTR Raw'!AW20+'QTR Raw'!AW19+'QTR Raw'!AW13+'QTR Raw'!AW7</f>
        <v>0</v>
      </c>
      <c r="CD100" s="92">
        <f>+'QTR Raw'!AX20+'QTR Raw'!AX19+'QTR Raw'!AX13+'QTR Raw'!AX7</f>
        <v>0</v>
      </c>
      <c r="CE100" s="92">
        <f>+'QTR Raw'!AY20+'QTR Raw'!AY19+'QTR Raw'!AY13+'QTR Raw'!AY7</f>
        <v>0</v>
      </c>
      <c r="CF100" s="92">
        <f>+'QTR Raw'!AZ20+'QTR Raw'!AZ19+'QTR Raw'!AZ13+'QTR Raw'!AZ7</f>
        <v>0</v>
      </c>
      <c r="CG100" s="92">
        <f>+'QTR Raw'!BA20+'QTR Raw'!BA19+'QTR Raw'!BA13+'QTR Raw'!BA7</f>
        <v>0</v>
      </c>
      <c r="CH100" s="92">
        <f>+'QTR Raw'!BB20+'QTR Raw'!BB19+'QTR Raw'!BB13+'QTR Raw'!BB7</f>
        <v>0</v>
      </c>
      <c r="CI100" s="92">
        <f>+'QTR Raw'!BC20+'QTR Raw'!BC19+'QTR Raw'!BC13+'QTR Raw'!BC7</f>
        <v>0</v>
      </c>
      <c r="CJ100" s="92">
        <f>+'QTR Raw'!BD20+'QTR Raw'!BD19+'QTR Raw'!BD13+'QTR Raw'!BD7</f>
        <v>0</v>
      </c>
      <c r="CK100" s="92">
        <f>+'QTR Raw'!BE20+'QTR Raw'!BE19+'QTR Raw'!BE13+'QTR Raw'!BE7</f>
        <v>0</v>
      </c>
      <c r="CL100" s="92">
        <f>+'QTR Raw'!BF20+'QTR Raw'!BF19+'QTR Raw'!BF13+'QTR Raw'!BF7</f>
        <v>0</v>
      </c>
      <c r="CM100" s="74"/>
      <c r="CN100" s="74"/>
      <c r="CO100" s="74"/>
      <c r="CP100" s="74"/>
      <c r="CQ100" s="74"/>
      <c r="CR100" s="74"/>
      <c r="CS100" s="74"/>
      <c r="CT100" s="74"/>
      <c r="CU100" s="74"/>
      <c r="CV100" s="74"/>
      <c r="CW100" s="74"/>
      <c r="CX100" s="74"/>
      <c r="CY100" s="74"/>
      <c r="CZ100" s="74"/>
      <c r="DA100" s="74"/>
      <c r="DB100" s="74"/>
      <c r="DE100" s="120"/>
      <c r="DF100" s="92">
        <v>0</v>
      </c>
    </row>
    <row r="101" spans="1:110" s="26" customFormat="1" x14ac:dyDescent="0.2">
      <c r="A101" s="26" t="s">
        <v>431</v>
      </c>
      <c r="B101" s="26">
        <f>+B99-B100</f>
        <v>3374.4615940000003</v>
      </c>
      <c r="C101" s="26">
        <f>+C99-C100</f>
        <v>3861.06</v>
      </c>
      <c r="D101" s="26">
        <f t="shared" ref="D101:U101" si="306">+D99-D100</f>
        <v>4805.45</v>
      </c>
      <c r="E101" s="26">
        <f t="shared" si="306"/>
        <v>4993.72</v>
      </c>
      <c r="F101" s="26">
        <f t="shared" si="306"/>
        <v>4900.29</v>
      </c>
      <c r="G101" s="26">
        <f t="shared" si="306"/>
        <v>5621.26</v>
      </c>
      <c r="H101" s="26">
        <f t="shared" si="306"/>
        <v>6475.6399999999994</v>
      </c>
      <c r="I101" s="26">
        <f t="shared" si="306"/>
        <v>10890.86</v>
      </c>
      <c r="J101" s="26">
        <f t="shared" si="306"/>
        <v>18061.32</v>
      </c>
      <c r="K101" s="26">
        <f t="shared" si="306"/>
        <v>18985.84</v>
      </c>
      <c r="L101" s="26">
        <f t="shared" si="306"/>
        <v>19450.760000000002</v>
      </c>
      <c r="M101" s="26">
        <f t="shared" si="306"/>
        <v>26001.4</v>
      </c>
      <c r="N101" s="26">
        <f t="shared" si="306"/>
        <v>33025.43</v>
      </c>
      <c r="O101" s="26">
        <f t="shared" si="306"/>
        <v>35718.239999999998</v>
      </c>
      <c r="P101" s="26">
        <f t="shared" si="306"/>
        <v>33592.79</v>
      </c>
      <c r="Q101" s="26">
        <f t="shared" si="306"/>
        <v>29494.3</v>
      </c>
      <c r="R101" s="26">
        <f t="shared" si="306"/>
        <v>27587.59</v>
      </c>
      <c r="S101" s="26">
        <f t="shared" si="306"/>
        <v>26840.27</v>
      </c>
      <c r="T101" s="26">
        <f t="shared" si="306"/>
        <v>29881.06</v>
      </c>
      <c r="U101" s="26">
        <f t="shared" si="306"/>
        <v>29136.37</v>
      </c>
      <c r="V101" s="26">
        <f>+V99-V100</f>
        <v>32703.31</v>
      </c>
      <c r="W101" s="26">
        <f>+W99-W100</f>
        <v>42815.67</v>
      </c>
      <c r="X101" s="26">
        <f>+X99-X100</f>
        <v>55109.08</v>
      </c>
      <c r="Y101" s="26">
        <f>+Y99-Y100</f>
        <v>61448.9</v>
      </c>
      <c r="Z101" s="26">
        <f>+Z99-Z100</f>
        <v>65478.239999999998</v>
      </c>
      <c r="AA101" s="26">
        <f>+AA99-AA100</f>
        <v>62428.59</v>
      </c>
      <c r="AB101" s="27">
        <f t="shared" ref="AB101:AD101" si="307">+AB99-AB100</f>
        <v>78342.752529999998</v>
      </c>
      <c r="AC101" s="27">
        <f t="shared" si="307"/>
        <v>84881.196633793006</v>
      </c>
      <c r="AD101" s="27">
        <f t="shared" si="307"/>
        <v>90082.516490238719</v>
      </c>
      <c r="AE101" s="27">
        <f t="shared" ref="AE101" si="308">+AE99-AE100</f>
        <v>95893.630188417097</v>
      </c>
      <c r="AI101" s="26">
        <f t="shared" ref="AI101" si="309">+AI99-AI100</f>
        <v>7208.66</v>
      </c>
      <c r="AJ101" s="26">
        <f t="shared" ref="AJ101" si="310">+AJ99-AJ100</f>
        <v>7668.1399999999994</v>
      </c>
      <c r="AK101" s="26">
        <f t="shared" ref="AK101:AM101" si="311">+AK99-AK100</f>
        <v>8953.2799999999988</v>
      </c>
      <c r="AL101" s="26">
        <f t="shared" si="311"/>
        <v>9007.7099999999991</v>
      </c>
      <c r="AM101" s="26">
        <f t="shared" si="311"/>
        <v>9046.73</v>
      </c>
      <c r="AN101" s="26">
        <f t="shared" ref="AN101:AO101" si="312">+AN99-AN100</f>
        <v>8410.17</v>
      </c>
      <c r="AO101" s="26">
        <f t="shared" si="312"/>
        <v>8540.33</v>
      </c>
      <c r="AP101" s="26">
        <f t="shared" ref="AP101:AW101" si="313">+AP99-AP100</f>
        <v>8901.81</v>
      </c>
      <c r="AQ101" s="26">
        <f t="shared" si="313"/>
        <v>8570.7800000000007</v>
      </c>
      <c r="AR101" s="26">
        <f t="shared" si="313"/>
        <v>8463.2000000000007</v>
      </c>
      <c r="AS101" s="26">
        <f t="shared" si="313"/>
        <v>8528.4</v>
      </c>
      <c r="AT101" s="26">
        <f t="shared" si="313"/>
        <v>7808.57</v>
      </c>
      <c r="AU101" s="26">
        <f t="shared" si="313"/>
        <v>7012.6299999999992</v>
      </c>
      <c r="AV101" s="26">
        <f t="shared" si="313"/>
        <v>7406.5</v>
      </c>
      <c r="AW101" s="26">
        <f t="shared" si="313"/>
        <v>7199.5800000000008</v>
      </c>
      <c r="AX101" s="26">
        <f t="shared" ref="AX101:CF101" si="314">+AX99-AX100</f>
        <v>7219.4299999999994</v>
      </c>
      <c r="AY101" s="26">
        <f t="shared" si="314"/>
        <v>6838.3</v>
      </c>
      <c r="AZ101" s="26">
        <f t="shared" si="314"/>
        <v>7213.64</v>
      </c>
      <c r="BA101" s="26">
        <f t="shared" si="314"/>
        <v>6574.47</v>
      </c>
      <c r="BB101" s="26">
        <f t="shared" si="314"/>
        <v>7005.24</v>
      </c>
      <c r="BC101" s="26">
        <f t="shared" si="314"/>
        <v>6415</v>
      </c>
      <c r="BD101" s="26">
        <f t="shared" si="314"/>
        <v>6873.65</v>
      </c>
      <c r="BE101" s="26">
        <f t="shared" si="314"/>
        <v>6360.22</v>
      </c>
      <c r="BF101" s="26">
        <f t="shared" si="314"/>
        <v>7216.91</v>
      </c>
      <c r="BG101" s="26">
        <f t="shared" si="314"/>
        <v>7315.2</v>
      </c>
      <c r="BH101" s="26">
        <f t="shared" si="314"/>
        <v>7353.41</v>
      </c>
      <c r="BI101" s="26">
        <f t="shared" si="314"/>
        <v>7982.61</v>
      </c>
      <c r="BJ101" s="26">
        <f t="shared" si="314"/>
        <v>7229.84</v>
      </c>
      <c r="BK101" s="26">
        <f t="shared" si="314"/>
        <v>7766.72</v>
      </c>
      <c r="BL101" s="26">
        <f t="shared" si="314"/>
        <v>7677.82</v>
      </c>
      <c r="BM101" s="26">
        <f t="shared" si="314"/>
        <v>7071.03</v>
      </c>
      <c r="BN101" s="26">
        <f t="shared" si="314"/>
        <v>6620.8</v>
      </c>
      <c r="BO101" s="26">
        <f t="shared" si="314"/>
        <v>6452.99</v>
      </c>
      <c r="BP101" s="26">
        <f t="shared" si="314"/>
        <v>8289.81</v>
      </c>
      <c r="BQ101" s="26">
        <f t="shared" si="314"/>
        <v>7597.91</v>
      </c>
      <c r="BR101" s="26">
        <f t="shared" si="314"/>
        <v>10362.6</v>
      </c>
      <c r="BS101" s="26">
        <f t="shared" si="314"/>
        <v>10132.35</v>
      </c>
      <c r="BT101" s="26">
        <f t="shared" si="314"/>
        <v>9810.2199999999993</v>
      </c>
      <c r="BU101" s="26">
        <f t="shared" si="314"/>
        <v>10913.14</v>
      </c>
      <c r="BV101" s="26">
        <f t="shared" si="314"/>
        <v>11959.96</v>
      </c>
      <c r="BW101" s="26">
        <f t="shared" si="314"/>
        <v>14495.48</v>
      </c>
      <c r="BX101" s="26">
        <f t="shared" si="314"/>
        <v>14030.72</v>
      </c>
      <c r="BY101" s="26">
        <f t="shared" si="314"/>
        <v>14129.12</v>
      </c>
      <c r="BZ101" s="26">
        <f t="shared" si="314"/>
        <v>12453.76</v>
      </c>
      <c r="CA101" s="26">
        <f t="shared" si="314"/>
        <v>15213.29</v>
      </c>
      <c r="CB101" s="26">
        <f t="shared" si="314"/>
        <v>15738.03</v>
      </c>
      <c r="CC101" s="26">
        <f t="shared" si="314"/>
        <v>14651</v>
      </c>
      <c r="CD101" s="26">
        <f t="shared" si="314"/>
        <v>15846.58</v>
      </c>
      <c r="CE101" s="26">
        <f t="shared" si="314"/>
        <v>17293.62</v>
      </c>
      <c r="CF101" s="26">
        <f t="shared" si="314"/>
        <v>15697.67</v>
      </c>
      <c r="CG101" s="26">
        <f t="shared" ref="CG101:CH101" si="315">+CG99-CG100</f>
        <v>15391.06</v>
      </c>
      <c r="CH101" s="26">
        <f t="shared" si="315"/>
        <v>17095.88</v>
      </c>
      <c r="CI101" s="26">
        <f t="shared" ref="CI101:CJ101" si="316">+CI99-CI100</f>
        <v>18035.07</v>
      </c>
      <c r="CJ101" s="26">
        <f t="shared" si="316"/>
        <v>15544.91</v>
      </c>
      <c r="CK101" s="26">
        <f t="shared" ref="CK101:CL101" si="317">+CK99-CK100</f>
        <v>13948.41</v>
      </c>
      <c r="CL101" s="26">
        <f t="shared" si="317"/>
        <v>14900.2</v>
      </c>
      <c r="CM101" s="27">
        <f t="shared" ref="CM101:DB101" si="318">+CM99-CM100</f>
        <v>17444.190000000002</v>
      </c>
      <c r="CN101" s="27">
        <f t="shared" si="318"/>
        <v>21397.707000000002</v>
      </c>
      <c r="CO101" s="27">
        <f t="shared" si="318"/>
        <v>19259.817900000002</v>
      </c>
      <c r="CP101" s="27">
        <f t="shared" si="318"/>
        <v>20241.037629999999</v>
      </c>
      <c r="CQ101" s="27">
        <f t="shared" si="318"/>
        <v>21120.061611000001</v>
      </c>
      <c r="CR101" s="27">
        <f t="shared" si="318"/>
        <v>22412.273056700004</v>
      </c>
      <c r="CS101" s="27">
        <f t="shared" si="318"/>
        <v>20153.809622990004</v>
      </c>
      <c r="CT101" s="27">
        <f t="shared" si="318"/>
        <v>21195.052343103001</v>
      </c>
      <c r="CU101" s="27">
        <f t="shared" si="318"/>
        <v>22460.3376260691</v>
      </c>
      <c r="CV101" s="27">
        <f t="shared" si="318"/>
        <v>23765.125063379273</v>
      </c>
      <c r="CW101" s="27">
        <f t="shared" si="318"/>
        <v>21373.009486986222</v>
      </c>
      <c r="CX101" s="27">
        <f t="shared" si="318"/>
        <v>22484.044313804137</v>
      </c>
      <c r="CY101" s="27">
        <f t="shared" si="318"/>
        <v>23916.094096228764</v>
      </c>
      <c r="CZ101" s="27">
        <f t="shared" si="318"/>
        <v>25302.307362317377</v>
      </c>
      <c r="DA101" s="27">
        <f t="shared" si="318"/>
        <v>22740.234494462791</v>
      </c>
      <c r="DB101" s="27">
        <f t="shared" si="318"/>
        <v>23934.994235408165</v>
      </c>
      <c r="DE101" s="121"/>
      <c r="DF101" s="26">
        <v>17586.68</v>
      </c>
    </row>
    <row r="102" spans="1:110" s="39" customFormat="1" x14ac:dyDescent="0.2">
      <c r="A102" s="39" t="s">
        <v>484</v>
      </c>
      <c r="C102" s="39">
        <f t="shared" ref="C102" si="319">C101/B101-1</f>
        <v>0.14420030942571738</v>
      </c>
      <c r="D102" s="39">
        <f t="shared" ref="D102" si="320">D101/C101-1</f>
        <v>0.24459345361118445</v>
      </c>
      <c r="E102" s="39">
        <f t="shared" ref="E102" si="321">E101/D101-1</f>
        <v>3.917843282106781E-2</v>
      </c>
      <c r="F102" s="39">
        <f t="shared" ref="F102:R102" si="322">F101/E101-1</f>
        <v>-1.8709499130908469E-2</v>
      </c>
      <c r="G102" s="39">
        <f t="shared" si="322"/>
        <v>0.14712802711676254</v>
      </c>
      <c r="H102" s="39">
        <f t="shared" si="322"/>
        <v>0.15199083479504583</v>
      </c>
      <c r="I102" s="39">
        <f t="shared" si="322"/>
        <v>0.68181986645335457</v>
      </c>
      <c r="J102" s="39">
        <f t="shared" si="322"/>
        <v>0.65839245018299741</v>
      </c>
      <c r="K102" s="39">
        <f>K101/J101-1</f>
        <v>5.1187842306099407E-2</v>
      </c>
      <c r="L102" s="39">
        <f t="shared" si="322"/>
        <v>2.4487723482342627E-2</v>
      </c>
      <c r="M102" s="39">
        <f t="shared" si="322"/>
        <v>0.3367806707809875</v>
      </c>
      <c r="N102" s="39">
        <f t="shared" si="322"/>
        <v>0.27014045397555519</v>
      </c>
      <c r="O102" s="39">
        <f t="shared" si="322"/>
        <v>8.1537469761937986E-2</v>
      </c>
      <c r="P102" s="39">
        <f t="shared" si="322"/>
        <v>-5.9506011494407263E-2</v>
      </c>
      <c r="Q102" s="39">
        <f t="shared" si="322"/>
        <v>-0.12200504929778089</v>
      </c>
      <c r="R102" s="39">
        <f t="shared" si="322"/>
        <v>-6.4646728350901683E-2</v>
      </c>
      <c r="S102" s="39">
        <f t="shared" ref="S102:AA102" si="323">S101/R101-1</f>
        <v>-2.7088991825672371E-2</v>
      </c>
      <c r="T102" s="39">
        <f t="shared" si="323"/>
        <v>0.1132920794015857</v>
      </c>
      <c r="U102" s="39">
        <f t="shared" si="323"/>
        <v>-2.4921806656122758E-2</v>
      </c>
      <c r="V102" s="39">
        <f t="shared" si="323"/>
        <v>0.12242225095301862</v>
      </c>
      <c r="W102" s="39">
        <f t="shared" si="323"/>
        <v>0.30921518341721366</v>
      </c>
      <c r="X102" s="39">
        <f t="shared" si="323"/>
        <v>0.28712408330875139</v>
      </c>
      <c r="Y102" s="39">
        <f t="shared" si="323"/>
        <v>0.11504129628003223</v>
      </c>
      <c r="Z102" s="39">
        <f t="shared" si="323"/>
        <v>6.5572207150982331E-2</v>
      </c>
      <c r="AA102" s="39">
        <f t="shared" si="323"/>
        <v>-4.6575014844626228E-2</v>
      </c>
      <c r="AB102" s="40">
        <f t="shared" ref="AB102" si="324">AB101/AA101-1</f>
        <v>0.25491785942946987</v>
      </c>
      <c r="AC102" s="40">
        <f t="shared" ref="AC102" si="325">AC101/AB101-1</f>
        <v>8.345946360882861E-2</v>
      </c>
      <c r="AD102" s="40">
        <f t="shared" ref="AD102" si="326">AD101/AC101-1</f>
        <v>6.1277645258537294E-2</v>
      </c>
      <c r="AE102" s="40">
        <f t="shared" ref="AE102" si="327">AE101/AD101-1</f>
        <v>6.4508785107130873E-2</v>
      </c>
      <c r="AM102" s="39">
        <f t="shared" ref="AM102:CI102" si="328">+IF(AI101&lt;0,1-AM101/AI101,AM101/AI101-1)</f>
        <v>0.2549808147422683</v>
      </c>
      <c r="AN102" s="39">
        <f t="shared" si="328"/>
        <v>9.6767925468236093E-2</v>
      </c>
      <c r="AO102" s="39">
        <f t="shared" si="328"/>
        <v>-4.6122761714142646E-2</v>
      </c>
      <c r="AP102" s="39">
        <f t="shared" si="328"/>
        <v>-1.1756595183459506E-2</v>
      </c>
      <c r="AQ102" s="39">
        <f t="shared" si="328"/>
        <v>-5.261016964140619E-2</v>
      </c>
      <c r="AR102" s="39">
        <f t="shared" si="328"/>
        <v>6.3054611262318705E-3</v>
      </c>
      <c r="AS102" s="39">
        <f t="shared" si="328"/>
        <v>-1.3969015248825878E-3</v>
      </c>
      <c r="AT102" s="39">
        <f t="shared" si="328"/>
        <v>-0.12281097889080983</v>
      </c>
      <c r="AU102" s="39">
        <f t="shared" si="328"/>
        <v>-0.18179792270948514</v>
      </c>
      <c r="AV102" s="39">
        <f t="shared" si="328"/>
        <v>-0.12485820966064853</v>
      </c>
      <c r="AW102" s="39">
        <f t="shared" si="328"/>
        <v>-0.15581117208386086</v>
      </c>
      <c r="AX102" s="39">
        <f t="shared" si="328"/>
        <v>-7.5447873298183921E-2</v>
      </c>
      <c r="AY102" s="39">
        <f t="shared" si="328"/>
        <v>-2.4859432195909248E-2</v>
      </c>
      <c r="AZ102" s="39">
        <f t="shared" si="328"/>
        <v>-2.6039289813002076E-2</v>
      </c>
      <c r="BA102" s="39">
        <f t="shared" si="328"/>
        <v>-8.6825898177393723E-2</v>
      </c>
      <c r="BB102" s="39">
        <f t="shared" si="328"/>
        <v>-2.9668547239878995E-2</v>
      </c>
      <c r="BC102" s="39">
        <f t="shared" si="328"/>
        <v>-6.1901349750669077E-2</v>
      </c>
      <c r="BD102" s="39">
        <f t="shared" si="328"/>
        <v>-4.7131545239296746E-2</v>
      </c>
      <c r="BE102" s="39">
        <f t="shared" si="328"/>
        <v>-3.2588178210563035E-2</v>
      </c>
      <c r="BF102" s="39">
        <f t="shared" si="328"/>
        <v>3.0215952629745635E-2</v>
      </c>
      <c r="BG102" s="39">
        <f t="shared" si="328"/>
        <v>0.14032735775526106</v>
      </c>
      <c r="BH102" s="39">
        <f t="shared" si="328"/>
        <v>6.9796978315741942E-2</v>
      </c>
      <c r="BI102" s="39">
        <f t="shared" si="328"/>
        <v>0.25508394363716969</v>
      </c>
      <c r="BJ102" s="39">
        <f t="shared" si="328"/>
        <v>1.7916255017729199E-3</v>
      </c>
      <c r="BK102" s="39">
        <f t="shared" si="328"/>
        <v>6.172353455818036E-2</v>
      </c>
      <c r="BL102" s="39">
        <f t="shared" si="328"/>
        <v>4.4116947103452597E-2</v>
      </c>
      <c r="BM102" s="39">
        <f t="shared" si="328"/>
        <v>-0.11419573297455343</v>
      </c>
      <c r="BN102" s="39">
        <f t="shared" si="328"/>
        <v>-8.4239761875781527E-2</v>
      </c>
      <c r="BO102" s="39">
        <f t="shared" si="328"/>
        <v>-0.16914862387211083</v>
      </c>
      <c r="BP102" s="39">
        <f t="shared" si="328"/>
        <v>7.9708823598365175E-2</v>
      </c>
      <c r="BQ102" s="39">
        <f t="shared" si="328"/>
        <v>7.4512482622757892E-2</v>
      </c>
      <c r="BR102" s="39">
        <f t="shared" si="328"/>
        <v>0.56515828902851628</v>
      </c>
      <c r="BS102" s="39">
        <f t="shared" si="328"/>
        <v>0.57017909527211419</v>
      </c>
      <c r="BT102" s="39">
        <f t="shared" si="328"/>
        <v>0.18340709859453952</v>
      </c>
      <c r="BU102" s="39">
        <f t="shared" si="328"/>
        <v>0.43633446566226763</v>
      </c>
      <c r="BV102" s="39">
        <f t="shared" si="328"/>
        <v>0.15414664273444867</v>
      </c>
      <c r="BW102" s="39">
        <f t="shared" si="328"/>
        <v>0.43061382601272147</v>
      </c>
      <c r="BX102" s="39">
        <f t="shared" si="328"/>
        <v>0.43021461292407315</v>
      </c>
      <c r="BY102" s="39">
        <f t="shared" si="328"/>
        <v>0.29468878801151654</v>
      </c>
      <c r="BZ102" s="39">
        <f t="shared" si="328"/>
        <v>4.1287763504225916E-2</v>
      </c>
      <c r="CA102" s="39">
        <f t="shared" si="328"/>
        <v>4.9519574377668185E-2</v>
      </c>
      <c r="CB102" s="39">
        <f t="shared" si="328"/>
        <v>0.1216837054691422</v>
      </c>
      <c r="CC102" s="39">
        <f t="shared" si="328"/>
        <v>3.6936482951521299E-2</v>
      </c>
      <c r="CD102" s="39">
        <f t="shared" si="328"/>
        <v>0.27243338557993724</v>
      </c>
      <c r="CE102" s="39">
        <f t="shared" si="328"/>
        <v>0.13674425453008499</v>
      </c>
      <c r="CF102" s="39">
        <f t="shared" si="328"/>
        <v>-2.5644886939470979E-3</v>
      </c>
      <c r="CG102" s="39">
        <f t="shared" si="328"/>
        <v>5.051259299706512E-2</v>
      </c>
      <c r="CH102" s="39">
        <f t="shared" si="328"/>
        <v>7.8837200203450974E-2</v>
      </c>
      <c r="CI102" s="39">
        <f t="shared" si="328"/>
        <v>4.2874192910449027E-2</v>
      </c>
      <c r="CJ102" s="39">
        <f>+IF(CF101&lt;0,1-CJ101/CF101,CJ101/CF101-1)</f>
        <v>-9.7313805169811918E-3</v>
      </c>
      <c r="CK102" s="39">
        <f>+IF(CG101&lt;0,1-CK101/CG101,CK101/CG101-1)</f>
        <v>-9.3732985252477752E-2</v>
      </c>
      <c r="CL102" s="39">
        <f>+IF(CH101&lt;0,1-CL101/CH101,CL101/CH101-1)</f>
        <v>-0.12843328334078152</v>
      </c>
      <c r="CM102" s="40">
        <f t="shared" ref="CM102:DB102" si="329">+IF(CI101&lt;0,1-CM101/CI101,CM101/CI101-1)</f>
        <v>-3.2762833745585529E-2</v>
      </c>
      <c r="CN102" s="40">
        <f t="shared" si="329"/>
        <v>0.37650890227090428</v>
      </c>
      <c r="CO102" s="40">
        <f t="shared" si="329"/>
        <v>0.38078948783409738</v>
      </c>
      <c r="CP102" s="40">
        <f t="shared" si="329"/>
        <v>0.35844066723936585</v>
      </c>
      <c r="CQ102" s="40">
        <f t="shared" si="329"/>
        <v>0.21072182835660458</v>
      </c>
      <c r="CR102" s="40">
        <f t="shared" si="329"/>
        <v>4.7414709281700107E-2</v>
      </c>
      <c r="CS102" s="40">
        <f t="shared" si="329"/>
        <v>4.6417454600648167E-2</v>
      </c>
      <c r="CT102" s="40">
        <f t="shared" si="329"/>
        <v>4.7132697964506587E-2</v>
      </c>
      <c r="CU102" s="40">
        <f t="shared" si="329"/>
        <v>6.3459853467995542E-2</v>
      </c>
      <c r="CV102" s="40">
        <f t="shared" si="329"/>
        <v>6.0362106211036215E-2</v>
      </c>
      <c r="CW102" s="40">
        <f t="shared" si="329"/>
        <v>6.0494759393055153E-2</v>
      </c>
      <c r="CX102" s="40">
        <f t="shared" si="329"/>
        <v>6.0815701222864949E-2</v>
      </c>
      <c r="CY102" s="40">
        <f t="shared" si="329"/>
        <v>6.4814540831746426E-2</v>
      </c>
      <c r="CZ102" s="40">
        <f t="shared" si="329"/>
        <v>6.4682272651146899E-2</v>
      </c>
      <c r="DA102" s="40">
        <f t="shared" si="329"/>
        <v>6.3969700116825123E-2</v>
      </c>
      <c r="DB102" s="40">
        <f t="shared" si="329"/>
        <v>6.4532425810654326E-2</v>
      </c>
      <c r="DE102" s="122"/>
      <c r="DF102" s="39">
        <v>2.870867132899857E-2</v>
      </c>
    </row>
    <row r="103" spans="1:110" s="39" customFormat="1" x14ac:dyDescent="0.2">
      <c r="A103" s="39" t="s">
        <v>446</v>
      </c>
      <c r="AB103" s="40"/>
      <c r="AC103" s="40"/>
      <c r="AD103" s="40"/>
      <c r="AE103" s="40"/>
      <c r="AJ103" s="39">
        <f t="shared" ref="AJ103:AL103" si="330">+IF(AI101&lt;0,1-AJ101/AI101,AJ101/AI101-1)</f>
        <v>6.3740001609175589E-2</v>
      </c>
      <c r="AK103" s="39">
        <f t="shared" si="330"/>
        <v>0.167594749182983</v>
      </c>
      <c r="AL103" s="39">
        <f t="shared" si="330"/>
        <v>6.079336287930337E-3</v>
      </c>
      <c r="AM103" s="39">
        <f t="shared" ref="AM103:CI103" si="331">+IF(AL101&lt;0,1-AM101/AL101,AM101/AL101-1)</f>
        <v>4.3318446086741957E-3</v>
      </c>
      <c r="AN103" s="39">
        <f t="shared" si="331"/>
        <v>-7.0363545723150733E-2</v>
      </c>
      <c r="AO103" s="39">
        <f t="shared" si="331"/>
        <v>1.5476500475020138E-2</v>
      </c>
      <c r="AP103" s="39">
        <f t="shared" si="331"/>
        <v>4.2326233295434612E-2</v>
      </c>
      <c r="AQ103" s="39">
        <f t="shared" si="331"/>
        <v>-3.7186819309780739E-2</v>
      </c>
      <c r="AR103" s="39">
        <f t="shared" si="331"/>
        <v>-1.2551949764198822E-2</v>
      </c>
      <c r="AS103" s="39">
        <f t="shared" si="331"/>
        <v>7.7039417714337421E-3</v>
      </c>
      <c r="AT103" s="39">
        <f t="shared" si="331"/>
        <v>-8.440387411472261E-2</v>
      </c>
      <c r="AU103" s="39">
        <f t="shared" si="331"/>
        <v>-0.10193159566988585</v>
      </c>
      <c r="AV103" s="39">
        <f t="shared" si="331"/>
        <v>5.6165803699895989E-2</v>
      </c>
      <c r="AW103" s="39">
        <f t="shared" si="331"/>
        <v>-2.7937622358738867E-2</v>
      </c>
      <c r="AX103" s="39">
        <f t="shared" si="331"/>
        <v>2.7571052755852588E-3</v>
      </c>
      <c r="AY103" s="39">
        <f t="shared" si="331"/>
        <v>-5.2792256452379061E-2</v>
      </c>
      <c r="AZ103" s="39">
        <f t="shared" si="331"/>
        <v>5.4887910738048884E-2</v>
      </c>
      <c r="BA103" s="39">
        <f t="shared" si="331"/>
        <v>-8.8605752435663598E-2</v>
      </c>
      <c r="BB103" s="39">
        <f t="shared" si="331"/>
        <v>6.5521631401466607E-2</v>
      </c>
      <c r="BC103" s="39">
        <f t="shared" si="331"/>
        <v>-8.4256927671286008E-2</v>
      </c>
      <c r="BD103" s="39">
        <f t="shared" si="331"/>
        <v>7.14964925954793E-2</v>
      </c>
      <c r="BE103" s="39">
        <f t="shared" si="331"/>
        <v>-7.4695394732056442E-2</v>
      </c>
      <c r="BF103" s="39">
        <f t="shared" si="331"/>
        <v>0.13469502627267604</v>
      </c>
      <c r="BG103" s="39">
        <f t="shared" si="331"/>
        <v>1.3619402209532838E-2</v>
      </c>
      <c r="BH103" s="39">
        <f t="shared" si="331"/>
        <v>5.2233705161854882E-3</v>
      </c>
      <c r="BI103" s="39">
        <f t="shared" si="331"/>
        <v>8.556574432814168E-2</v>
      </c>
      <c r="BJ103" s="39">
        <f t="shared" si="331"/>
        <v>-9.4301237314612596E-2</v>
      </c>
      <c r="BK103" s="39">
        <f t="shared" si="331"/>
        <v>7.4258904761377753E-2</v>
      </c>
      <c r="BL103" s="39">
        <f t="shared" si="331"/>
        <v>-1.1446273330312007E-2</v>
      </c>
      <c r="BM103" s="39">
        <f t="shared" si="331"/>
        <v>-7.9031548017536202E-2</v>
      </c>
      <c r="BN103" s="39">
        <f t="shared" si="331"/>
        <v>-6.3672477701268382E-2</v>
      </c>
      <c r="BO103" s="39">
        <f t="shared" si="331"/>
        <v>-2.5345879652005854E-2</v>
      </c>
      <c r="BP103" s="39">
        <f t="shared" si="331"/>
        <v>0.28464634223824925</v>
      </c>
      <c r="BQ103" s="39">
        <f t="shared" si="331"/>
        <v>-8.3463915337022132E-2</v>
      </c>
      <c r="BR103" s="39">
        <f t="shared" si="331"/>
        <v>0.36387506564305183</v>
      </c>
      <c r="BS103" s="39">
        <f t="shared" si="331"/>
        <v>-2.2219327195877492E-2</v>
      </c>
      <c r="BT103" s="39">
        <f t="shared" si="331"/>
        <v>-3.1792229838092934E-2</v>
      </c>
      <c r="BU103" s="39">
        <f t="shared" si="331"/>
        <v>0.11242561328899869</v>
      </c>
      <c r="BV103" s="39">
        <f t="shared" si="331"/>
        <v>9.5922896618205078E-2</v>
      </c>
      <c r="BW103" s="39">
        <f t="shared" si="331"/>
        <v>0.21200070903247181</v>
      </c>
      <c r="BX103" s="39">
        <f t="shared" si="331"/>
        <v>-3.2062408419728072E-2</v>
      </c>
      <c r="BY103" s="39">
        <f t="shared" si="331"/>
        <v>7.0131825023949101E-3</v>
      </c>
      <c r="BZ103" s="39">
        <f t="shared" si="331"/>
        <v>-0.11857497140657025</v>
      </c>
      <c r="CA103" s="39">
        <f t="shared" si="331"/>
        <v>0.22158207641708216</v>
      </c>
      <c r="CB103" s="39">
        <f t="shared" si="331"/>
        <v>3.4492210429170722E-2</v>
      </c>
      <c r="CC103" s="39">
        <f t="shared" si="331"/>
        <v>-6.9070271183877541E-2</v>
      </c>
      <c r="CD103" s="39">
        <f t="shared" si="331"/>
        <v>8.1603986076035806E-2</v>
      </c>
      <c r="CE103" s="39">
        <f t="shared" si="331"/>
        <v>9.131560248331172E-2</v>
      </c>
      <c r="CF103" s="39">
        <f t="shared" si="331"/>
        <v>-9.2285478690985356E-2</v>
      </c>
      <c r="CG103" s="39">
        <f t="shared" si="331"/>
        <v>-1.9532198090544739E-2</v>
      </c>
      <c r="CH103" s="39">
        <f t="shared" si="331"/>
        <v>0.11076689974569653</v>
      </c>
      <c r="CI103" s="39">
        <f t="shared" si="331"/>
        <v>5.4936628006279742E-2</v>
      </c>
      <c r="CJ103" s="39">
        <f>+IF(CI101&lt;0,1-CJ101/CI101,CJ101/CI101-1)</f>
        <v>-0.13807320958554636</v>
      </c>
      <c r="CK103" s="39">
        <f>+IF(CJ101&lt;0,1-CK101/CJ101,CK101/CJ101-1)</f>
        <v>-0.10270242799733165</v>
      </c>
      <c r="CL103" s="39">
        <f>+IF(CK101&lt;0,1-CL101/CK101,CL101/CK101-1)</f>
        <v>6.8236451323125724E-2</v>
      </c>
      <c r="CM103" s="40">
        <f t="shared" ref="CM103:DB103" si="332">+IF(CL101&lt;0,1-CM101/CL101,CM101/CL101-1)</f>
        <v>0.17073529214372973</v>
      </c>
      <c r="CN103" s="40">
        <f t="shared" si="332"/>
        <v>0.22663803822361483</v>
      </c>
      <c r="CO103" s="40">
        <f t="shared" si="332"/>
        <v>-9.9912065344197831E-2</v>
      </c>
      <c r="CP103" s="40">
        <f t="shared" si="332"/>
        <v>5.0946469748293755E-2</v>
      </c>
      <c r="CQ103" s="40">
        <f t="shared" si="332"/>
        <v>4.342781220351899E-2</v>
      </c>
      <c r="CR103" s="40">
        <f t="shared" si="332"/>
        <v>6.1184075572344732E-2</v>
      </c>
      <c r="CS103" s="40">
        <f t="shared" si="332"/>
        <v>-0.10076904863671765</v>
      </c>
      <c r="CT103" s="40">
        <f t="shared" si="332"/>
        <v>5.1664808767729165E-2</v>
      </c>
      <c r="CU103" s="40">
        <f t="shared" si="332"/>
        <v>5.9697200199547051E-2</v>
      </c>
      <c r="CV103" s="40">
        <f t="shared" si="332"/>
        <v>5.8092957418224289E-2</v>
      </c>
      <c r="CW103" s="40">
        <f t="shared" si="332"/>
        <v>-0.10065655324823719</v>
      </c>
      <c r="CX103" s="40">
        <f t="shared" si="332"/>
        <v>5.1983078353771806E-2</v>
      </c>
      <c r="CY103" s="40">
        <f t="shared" si="332"/>
        <v>6.3691823518841506E-2</v>
      </c>
      <c r="CZ103" s="40">
        <f t="shared" si="332"/>
        <v>5.7961524173263612E-2</v>
      </c>
      <c r="DA103" s="40">
        <f t="shared" si="332"/>
        <v>-0.10125846750523115</v>
      </c>
      <c r="DB103" s="40">
        <f t="shared" si="332"/>
        <v>5.2539464412132419E-2</v>
      </c>
      <c r="DE103" s="122"/>
      <c r="DF103" s="39">
        <v>0.26083761518337933</v>
      </c>
    </row>
    <row r="104" spans="1:110" s="23" customFormat="1" outlineLevel="1" x14ac:dyDescent="0.2">
      <c r="A104" s="23" t="s">
        <v>2</v>
      </c>
      <c r="B104" s="23">
        <f>'Annual Raw'!C11</f>
        <v>-7.9388933000000002</v>
      </c>
      <c r="C104" s="23">
        <f>'Annual Raw'!D11</f>
        <v>1.81</v>
      </c>
      <c r="D104" s="23">
        <f>'Annual Raw'!E11</f>
        <v>19.2</v>
      </c>
      <c r="E104" s="23">
        <f>'Annual Raw'!F11</f>
        <v>0.57999999999999996</v>
      </c>
      <c r="F104" s="23">
        <f>'Annual Raw'!G11</f>
        <v>1.88</v>
      </c>
      <c r="G104" s="23">
        <f>'Annual Raw'!H11</f>
        <v>-28.48</v>
      </c>
      <c r="H104" s="23">
        <f>'Annual Raw'!I11</f>
        <v>-7.71</v>
      </c>
      <c r="I104" s="23">
        <f>'Annual Raw'!J11</f>
        <v>17.260000000000002</v>
      </c>
      <c r="J104" s="23">
        <f>'Annual Raw'!K11</f>
        <v>-79.38</v>
      </c>
      <c r="K104" s="23">
        <f>'Annual Raw'!L11</f>
        <v>-27.47</v>
      </c>
      <c r="L104" s="23">
        <f>'Annual Raw'!M11</f>
        <v>-11.38</v>
      </c>
      <c r="M104" s="23">
        <f>'Annual Raw'!N11</f>
        <v>-177.01</v>
      </c>
      <c r="N104" s="23">
        <f>'Annual Raw'!O11</f>
        <v>-275.12</v>
      </c>
      <c r="O104" s="23">
        <f>'Annual Raw'!P11</f>
        <v>130.77000000000001</v>
      </c>
      <c r="P104" s="23">
        <f>'Annual Raw'!Q11</f>
        <v>120.72</v>
      </c>
      <c r="Q104" s="23">
        <f>'Annual Raw'!R11</f>
        <v>34.159999999999997</v>
      </c>
      <c r="R104" s="23">
        <f>'Annual Raw'!S11</f>
        <v>28.24</v>
      </c>
      <c r="S104" s="23">
        <f>'Annual Raw'!T11</f>
        <v>-8.2899999999999991</v>
      </c>
      <c r="T104" s="23">
        <f>'Annual Raw'!U11</f>
        <v>24.37</v>
      </c>
      <c r="U104" s="23">
        <f>'Annual Raw'!V11</f>
        <v>-15.64</v>
      </c>
      <c r="V104" s="23">
        <f>'Annual Raw'!W11</f>
        <v>0.41</v>
      </c>
      <c r="W104" s="23">
        <f>'Annual Raw'!X11</f>
        <v>-199.22</v>
      </c>
      <c r="X104" s="23">
        <f>'Annual Raw'!Y11</f>
        <v>43.53</v>
      </c>
      <c r="Y104" s="23">
        <f>'Annual Raw'!Z11</f>
        <v>-51.78</v>
      </c>
      <c r="Z104" s="23">
        <f>'Annual Raw'!AA11</f>
        <v>-440.76</v>
      </c>
      <c r="AA104" s="23">
        <f>'Annual Raw'!AB11</f>
        <v>-84.11</v>
      </c>
      <c r="AB104" s="76">
        <f>+SUM(CM104:CP104)</f>
        <v>0</v>
      </c>
      <c r="AC104" s="76">
        <f>+SUM(CQ104:CT104)</f>
        <v>0</v>
      </c>
      <c r="AD104" s="76">
        <f>+SUM(CU104:CX104)</f>
        <v>0</v>
      </c>
      <c r="AE104" s="76">
        <f>+SUM(CY104:DB104)</f>
        <v>0</v>
      </c>
      <c r="AI104" s="23">
        <f>'QTR Raw'!C10</f>
        <v>-0.18</v>
      </c>
      <c r="AJ104" s="23">
        <f>'QTR Raw'!D10</f>
        <v>-252.37</v>
      </c>
      <c r="AK104" s="23">
        <f>'QTR Raw'!E10</f>
        <v>-115.71</v>
      </c>
      <c r="AL104" s="23">
        <f>'QTR Raw'!F10</f>
        <v>93.14</v>
      </c>
      <c r="AM104" s="23">
        <f>'QTR Raw'!G10</f>
        <v>54.72</v>
      </c>
      <c r="AN104" s="23">
        <f>'QTR Raw'!H10</f>
        <v>-129.44</v>
      </c>
      <c r="AO104" s="23">
        <f>'QTR Raw'!I10</f>
        <v>136.87</v>
      </c>
      <c r="AP104" s="23">
        <f>'QTR Raw'!J10</f>
        <v>68.62</v>
      </c>
      <c r="AQ104" s="23">
        <f>'QTR Raw'!K10</f>
        <v>-24.36</v>
      </c>
      <c r="AR104" s="23">
        <f>'QTR Raw'!L10</f>
        <v>-14.75</v>
      </c>
      <c r="AS104" s="23">
        <f>'QTR Raw'!M10</f>
        <v>148.66999999999999</v>
      </c>
      <c r="AT104" s="23">
        <f>'QTR Raw'!N10</f>
        <v>11.16</v>
      </c>
      <c r="AU104" s="23">
        <f>'QTR Raw'!O10</f>
        <v>0.49</v>
      </c>
      <c r="AV104" s="23">
        <f>'QTR Raw'!P10</f>
        <v>1.9</v>
      </c>
      <c r="AW104" s="23">
        <f>'QTR Raw'!Q10</f>
        <v>7.25</v>
      </c>
      <c r="AX104" s="23">
        <f>'QTR Raw'!R10</f>
        <v>24.52</v>
      </c>
      <c r="AY104" s="23">
        <f>'QTR Raw'!S10</f>
        <v>25.72</v>
      </c>
      <c r="AZ104" s="23">
        <f>'QTR Raw'!T10</f>
        <v>-44.36</v>
      </c>
      <c r="BA104" s="23">
        <f>'QTR Raw'!U10</f>
        <v>43.63</v>
      </c>
      <c r="BB104" s="23">
        <f>'QTR Raw'!V10</f>
        <v>3.35</v>
      </c>
      <c r="BC104" s="23">
        <f>'QTR Raw'!W10</f>
        <v>-9.33</v>
      </c>
      <c r="BD104" s="23">
        <f>'QTR Raw'!X10</f>
        <v>-96.82</v>
      </c>
      <c r="BE104" s="23">
        <f>'QTR Raw'!Y10</f>
        <v>94.68</v>
      </c>
      <c r="BF104" s="23">
        <f>'QTR Raw'!Z10</f>
        <v>2.96</v>
      </c>
      <c r="BG104" s="23">
        <f>'QTR Raw'!AA10</f>
        <v>26.07</v>
      </c>
      <c r="BH104" s="23">
        <f>'QTR Raw'!AB10</f>
        <v>-77.06</v>
      </c>
      <c r="BI104" s="23">
        <f>'QTR Raw'!AC10</f>
        <v>13.31</v>
      </c>
      <c r="BJ104" s="23">
        <f>'QTR Raw'!AD10</f>
        <v>62.05</v>
      </c>
      <c r="BK104" s="23">
        <f>'QTR Raw'!AE10</f>
        <v>1.41</v>
      </c>
      <c r="BL104" s="23">
        <f>'QTR Raw'!AF10</f>
        <v>-6.95</v>
      </c>
      <c r="BM104" s="23">
        <f>'QTR Raw'!AG10</f>
        <v>-11.25</v>
      </c>
      <c r="BN104" s="23">
        <f>'QTR Raw'!AH10</f>
        <v>1.1499999999999999</v>
      </c>
      <c r="BO104" s="23">
        <f>'QTR Raw'!AI10</f>
        <v>1.54</v>
      </c>
      <c r="BP104" s="23">
        <f>'QTR Raw'!AJ10</f>
        <v>7.44</v>
      </c>
      <c r="BQ104" s="23">
        <f>'QTR Raw'!AK10</f>
        <v>-35.81</v>
      </c>
      <c r="BR104" s="23">
        <f>'QTR Raw'!AL10</f>
        <v>27.24</v>
      </c>
      <c r="BS104" s="23">
        <f>'QTR Raw'!AM10</f>
        <v>15.94</v>
      </c>
      <c r="BT104" s="23">
        <f>'QTR Raw'!AN10</f>
        <v>-36.56</v>
      </c>
      <c r="BU104" s="23">
        <f>'QTR Raw'!AO10</f>
        <v>-41.57</v>
      </c>
      <c r="BV104" s="23">
        <f>'QTR Raw'!AP10</f>
        <v>-137.03</v>
      </c>
      <c r="BW104" s="23">
        <f>'QTR Raw'!AQ10</f>
        <v>-4.05</v>
      </c>
      <c r="BX104" s="23">
        <f>'QTR Raw'!AR10</f>
        <v>-93.11</v>
      </c>
      <c r="BY104" s="23">
        <f>'QTR Raw'!AS10</f>
        <v>22.29</v>
      </c>
      <c r="BZ104" s="23">
        <f>'QTR Raw'!AT10</f>
        <v>118.4</v>
      </c>
      <c r="CA104" s="23">
        <f>'QTR Raw'!AU10</f>
        <v>-87.72</v>
      </c>
      <c r="CB104" s="23">
        <f>'QTR Raw'!AV10</f>
        <v>-70</v>
      </c>
      <c r="CC104" s="23">
        <f>'QTR Raw'!AW10</f>
        <v>-305.29000000000002</v>
      </c>
      <c r="CD104" s="23">
        <f>'QTR Raw'!AX10</f>
        <v>411.23</v>
      </c>
      <c r="CE104" s="23">
        <f>'QTR Raw'!AY10</f>
        <v>-105.01</v>
      </c>
      <c r="CF104" s="23">
        <f>'QTR Raw'!AZ10</f>
        <v>33.54</v>
      </c>
      <c r="CG104" s="23">
        <f>'QTR Raw'!BA10</f>
        <v>-418.23</v>
      </c>
      <c r="CH104" s="23">
        <f>'QTR Raw'!BB10</f>
        <v>48.94</v>
      </c>
      <c r="CI104" s="23">
        <f>'QTR Raw'!BC10</f>
        <v>-40.409999999999997</v>
      </c>
      <c r="CJ104" s="23">
        <f>'QTR Raw'!BD10</f>
        <v>-221.01</v>
      </c>
      <c r="CK104" s="23">
        <f>'QTR Raw'!BE10</f>
        <v>169.57</v>
      </c>
      <c r="CL104" s="23">
        <f>'QTR Raw'!BF10</f>
        <v>7.74</v>
      </c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E104" s="123"/>
      <c r="DF104" s="23">
        <v>-84.109999999999971</v>
      </c>
    </row>
    <row r="105" spans="1:110" s="23" customFormat="1" outlineLevel="1" x14ac:dyDescent="0.2">
      <c r="A105" s="23" t="s">
        <v>3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76">
        <f>+SUM(CM105:CP105)</f>
        <v>0</v>
      </c>
      <c r="AC105" s="76">
        <f>+SUM(CQ105:CT105)</f>
        <v>0</v>
      </c>
      <c r="AD105" s="76">
        <f>+SUM(CU105:CX105)</f>
        <v>0</v>
      </c>
      <c r="AE105" s="76">
        <f>+SUM(CY105:DB105)</f>
        <v>0</v>
      </c>
      <c r="AI105" s="23">
        <f>'QTR Raw'!C12</f>
        <v>11.77</v>
      </c>
      <c r="AJ105" s="23">
        <f>'QTR Raw'!D12</f>
        <v>9.26</v>
      </c>
      <c r="AK105" s="23">
        <f>'QTR Raw'!E12</f>
        <v>7.15</v>
      </c>
      <c r="AL105" s="23">
        <f>'QTR Raw'!F12</f>
        <v>9.2899999999999991</v>
      </c>
      <c r="AM105" s="23">
        <f>'QTR Raw'!G12</f>
        <v>14.56</v>
      </c>
      <c r="AN105" s="23">
        <f>'QTR Raw'!H12</f>
        <v>9.6999999999999993</v>
      </c>
      <c r="AO105" s="23">
        <f>'QTR Raw'!I12</f>
        <v>10.17</v>
      </c>
      <c r="AP105" s="23">
        <f>'QTR Raw'!J12</f>
        <v>9.27</v>
      </c>
      <c r="AQ105" s="23">
        <f>'QTR Raw'!K12</f>
        <v>5.13</v>
      </c>
      <c r="AR105" s="23">
        <f>'QTR Raw'!L12</f>
        <v>8.1199999999999992</v>
      </c>
      <c r="AS105" s="23">
        <f>'QTR Raw'!M12</f>
        <v>9.4499999999999993</v>
      </c>
      <c r="AT105" s="23">
        <f>'QTR Raw'!N12</f>
        <v>8.4</v>
      </c>
      <c r="AU105" s="23">
        <f>'QTR Raw'!O12</f>
        <v>7.32</v>
      </c>
      <c r="AV105" s="23">
        <f>'QTR Raw'!P12</f>
        <v>4.93</v>
      </c>
      <c r="AW105" s="23">
        <f>'QTR Raw'!Q12</f>
        <v>7.19</v>
      </c>
      <c r="AX105" s="23">
        <f>'QTR Raw'!R12</f>
        <v>10.16</v>
      </c>
      <c r="AY105" s="23">
        <f>'QTR Raw'!S12</f>
        <v>6.74</v>
      </c>
      <c r="AZ105" s="23">
        <f>'QTR Raw'!T12</f>
        <v>7.73</v>
      </c>
      <c r="BA105" s="23">
        <f>'QTR Raw'!U12</f>
        <v>2.3199999999999998</v>
      </c>
      <c r="BB105" s="23">
        <f>'QTR Raw'!V12</f>
        <v>9.61</v>
      </c>
      <c r="BC105" s="23">
        <f>'QTR Raw'!W12</f>
        <v>4.99</v>
      </c>
      <c r="BD105" s="23">
        <f>'QTR Raw'!X12</f>
        <v>3.32</v>
      </c>
      <c r="BE105" s="23">
        <f>'QTR Raw'!Y12</f>
        <v>16.649999999999999</v>
      </c>
      <c r="BF105" s="23">
        <f>'QTR Raw'!Z12</f>
        <v>156.72</v>
      </c>
      <c r="BG105" s="23">
        <f>'QTR Raw'!AA12</f>
        <v>99.17</v>
      </c>
      <c r="BH105" s="23">
        <f>'QTR Raw'!AB12</f>
        <v>30.95</v>
      </c>
      <c r="BI105" s="23">
        <f>'QTR Raw'!AC12</f>
        <v>149.61000000000001</v>
      </c>
      <c r="BJ105" s="23">
        <f>'QTR Raw'!AD12</f>
        <v>65.489999999999995</v>
      </c>
      <c r="BK105" s="23">
        <f>'QTR Raw'!AE12</f>
        <v>42.97</v>
      </c>
      <c r="BL105" s="23">
        <f>'QTR Raw'!AF12</f>
        <v>25.13</v>
      </c>
      <c r="BM105" s="23">
        <f>'QTR Raw'!AG12</f>
        <v>8.07</v>
      </c>
      <c r="BN105" s="23">
        <f>'QTR Raw'!AH12</f>
        <v>35.57</v>
      </c>
      <c r="BO105" s="23">
        <f>'QTR Raw'!AI12</f>
        <v>4.25</v>
      </c>
      <c r="BP105" s="23">
        <f>'QTR Raw'!AJ12</f>
        <v>7.42</v>
      </c>
      <c r="BQ105" s="23">
        <f>'QTR Raw'!AK12</f>
        <v>7.93</v>
      </c>
      <c r="BR105" s="23">
        <f>'QTR Raw'!AL12</f>
        <v>9.2899999999999991</v>
      </c>
      <c r="BS105" s="23">
        <f>'QTR Raw'!AM12</f>
        <v>8.06</v>
      </c>
      <c r="BT105" s="23">
        <f>'QTR Raw'!AN12</f>
        <v>5.89</v>
      </c>
      <c r="BU105" s="23">
        <f>'QTR Raw'!AO12</f>
        <v>18.579999999999998</v>
      </c>
      <c r="BV105" s="23">
        <f>'QTR Raw'!AP12</f>
        <v>16.579999999999998</v>
      </c>
      <c r="BW105" s="23">
        <f>'QTR Raw'!AQ12</f>
        <v>24.1</v>
      </c>
      <c r="BX105" s="23">
        <f>'QTR Raw'!AR12</f>
        <v>10.3</v>
      </c>
      <c r="BY105" s="23">
        <f>'QTR Raw'!AS12</f>
        <v>8.2200000000000006</v>
      </c>
      <c r="BZ105" s="23">
        <f>'QTR Raw'!AT12</f>
        <v>13.53</v>
      </c>
      <c r="CA105" s="23">
        <f>'QTR Raw'!AU12</f>
        <v>9.75</v>
      </c>
      <c r="CB105" s="23">
        <f>'QTR Raw'!AV12</f>
        <v>11.07</v>
      </c>
      <c r="CC105" s="23">
        <f>'QTR Raw'!AW12</f>
        <v>5.65</v>
      </c>
      <c r="CD105" s="23">
        <f>'QTR Raw'!AX12</f>
        <v>13.42</v>
      </c>
      <c r="CE105" s="23">
        <v>5.55</v>
      </c>
      <c r="CF105" s="23">
        <f>'QTR Raw'!AZ12</f>
        <v>7.79</v>
      </c>
      <c r="CG105" s="23">
        <f>'QTR Raw'!BA12</f>
        <v>7.39</v>
      </c>
      <c r="CH105" s="23">
        <f>'QTR Raw'!BB12</f>
        <v>11.11</v>
      </c>
      <c r="CI105" s="23">
        <v>6.42</v>
      </c>
      <c r="CJ105" s="23">
        <f>'QTR Raw'!BD12</f>
        <v>12.94</v>
      </c>
      <c r="CK105" s="23">
        <f>'QTR Raw'!BE12</f>
        <v>14.75</v>
      </c>
      <c r="CL105" s="23">
        <f>'QTR Raw'!BF12</f>
        <v>8.24</v>
      </c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E105" s="123"/>
      <c r="DF105" s="23">
        <v>42.35</v>
      </c>
    </row>
    <row r="106" spans="1:110" s="23" customFormat="1" outlineLevel="1" x14ac:dyDescent="0.2">
      <c r="A106" s="23" t="s">
        <v>4</v>
      </c>
      <c r="B106" s="23">
        <f>'Annual Raw'!C12</f>
        <v>0</v>
      </c>
      <c r="C106" s="23">
        <f>'Annual Raw'!D12</f>
        <v>0</v>
      </c>
      <c r="D106" s="23">
        <f>'Annual Raw'!E12</f>
        <v>0</v>
      </c>
      <c r="E106" s="23">
        <f>'Annual Raw'!F12</f>
        <v>0</v>
      </c>
      <c r="F106" s="23">
        <f>'Annual Raw'!G12</f>
        <v>0</v>
      </c>
      <c r="G106" s="23">
        <f>'Annual Raw'!H12</f>
        <v>0</v>
      </c>
      <c r="H106" s="23">
        <f>'Annual Raw'!I12</f>
        <v>0</v>
      </c>
      <c r="I106" s="23">
        <f>'Annual Raw'!J12</f>
        <v>0</v>
      </c>
      <c r="J106" s="23">
        <f>'Annual Raw'!K12</f>
        <v>0</v>
      </c>
      <c r="K106" s="23">
        <f>'Annual Raw'!L12</f>
        <v>0</v>
      </c>
      <c r="L106" s="23">
        <f>'Annual Raw'!M12</f>
        <v>0</v>
      </c>
      <c r="M106" s="23">
        <f>'Annual Raw'!N12</f>
        <v>0</v>
      </c>
      <c r="N106" s="23">
        <f>'Annual Raw'!O12</f>
        <v>0</v>
      </c>
      <c r="O106" s="23">
        <f>'Annual Raw'!P12</f>
        <v>0</v>
      </c>
      <c r="P106" s="23">
        <f>'Annual Raw'!Q12</f>
        <v>0</v>
      </c>
      <c r="Q106" s="23">
        <f>'Annual Raw'!R12</f>
        <v>0</v>
      </c>
      <c r="R106" s="23">
        <f>'Annual Raw'!S12</f>
        <v>0</v>
      </c>
      <c r="S106" s="23">
        <f>'Annual Raw'!T12</f>
        <v>0</v>
      </c>
      <c r="T106" s="23">
        <f>'Annual Raw'!U12</f>
        <v>0</v>
      </c>
      <c r="U106" s="23">
        <f>'Annual Raw'!V12</f>
        <v>0</v>
      </c>
      <c r="V106" s="23">
        <f>'Annual Raw'!W12</f>
        <v>0</v>
      </c>
      <c r="W106" s="23">
        <f>'Annual Raw'!X12</f>
        <v>0</v>
      </c>
      <c r="X106" s="23">
        <f>'Annual Raw'!Y12</f>
        <v>0</v>
      </c>
      <c r="Y106" s="23">
        <f>'Annual Raw'!Z12</f>
        <v>0</v>
      </c>
      <c r="Z106" s="23">
        <f>'Annual Raw'!AA12</f>
        <v>0</v>
      </c>
      <c r="AA106" s="23">
        <f>'Annual Raw'!AB12</f>
        <v>0</v>
      </c>
      <c r="AB106" s="24">
        <f>+SUM(CM106:CP106)</f>
        <v>90.60455921848552</v>
      </c>
      <c r="AC106" s="24">
        <f>+SUM(CQ106:CT106)</f>
        <v>124.71002525489166</v>
      </c>
      <c r="AD106" s="24">
        <f>+SUM(CU106:CX106)</f>
        <v>137.20249297788178</v>
      </c>
      <c r="AE106" s="24">
        <f>+SUM(CY106:DB106)</f>
        <v>146.54705009738973</v>
      </c>
      <c r="CM106" s="24">
        <f t="shared" ref="CM106:DB106" si="333">+CM101-CM107</f>
        <v>-4.2863511602517974</v>
      </c>
      <c r="CN106" s="24">
        <f t="shared" si="333"/>
        <v>3.5096063032615348</v>
      </c>
      <c r="CO106" s="24">
        <f t="shared" si="333"/>
        <v>68.397285848437605</v>
      </c>
      <c r="CP106" s="24">
        <f t="shared" si="333"/>
        <v>22.984018227038177</v>
      </c>
      <c r="CQ106" s="24">
        <f t="shared" si="333"/>
        <v>24.315052898022259</v>
      </c>
      <c r="CR106" s="24">
        <f t="shared" si="333"/>
        <v>33.630208290640439</v>
      </c>
      <c r="CS106" s="24">
        <f t="shared" si="333"/>
        <v>36.975259018108773</v>
      </c>
      <c r="CT106" s="24">
        <f t="shared" si="333"/>
        <v>29.789505048120191</v>
      </c>
      <c r="CU106" s="24">
        <f t="shared" si="333"/>
        <v>33.083801753953594</v>
      </c>
      <c r="CV106" s="24">
        <f t="shared" si="333"/>
        <v>36.917108279863896</v>
      </c>
      <c r="CW106" s="24">
        <f t="shared" si="333"/>
        <v>33.483757798981969</v>
      </c>
      <c r="CX106" s="24">
        <f t="shared" si="333"/>
        <v>33.717825145082315</v>
      </c>
      <c r="CY106" s="24">
        <f t="shared" si="333"/>
        <v>36.42824086012115</v>
      </c>
      <c r="CZ106" s="24">
        <f t="shared" si="333"/>
        <v>38.857099452430703</v>
      </c>
      <c r="DA106" s="24">
        <f t="shared" si="333"/>
        <v>34.821854483936477</v>
      </c>
      <c r="DB106" s="24">
        <f t="shared" si="333"/>
        <v>36.439855300901399</v>
      </c>
      <c r="DE106" s="123"/>
      <c r="DF106" s="23">
        <v>6.4068338999895786</v>
      </c>
    </row>
    <row r="107" spans="1:110" s="31" customFormat="1" x14ac:dyDescent="0.2">
      <c r="A107" s="31" t="s">
        <v>5</v>
      </c>
      <c r="B107" s="31">
        <f t="shared" ref="B107:AE107" si="334">B101-B104-B106-B105</f>
        <v>3382.4004873000003</v>
      </c>
      <c r="C107" s="31">
        <f t="shared" si="334"/>
        <v>3859.25</v>
      </c>
      <c r="D107" s="31">
        <f t="shared" si="334"/>
        <v>4786.25</v>
      </c>
      <c r="E107" s="31">
        <f t="shared" si="334"/>
        <v>4993.1400000000003</v>
      </c>
      <c r="F107" s="31">
        <f t="shared" si="334"/>
        <v>4898.41</v>
      </c>
      <c r="G107" s="31">
        <f t="shared" si="334"/>
        <v>5649.74</v>
      </c>
      <c r="H107" s="31">
        <f t="shared" si="334"/>
        <v>6483.3499999999995</v>
      </c>
      <c r="I107" s="31">
        <f t="shared" si="334"/>
        <v>10873.6</v>
      </c>
      <c r="J107" s="31">
        <f t="shared" si="334"/>
        <v>18140.7</v>
      </c>
      <c r="K107" s="31">
        <f t="shared" si="334"/>
        <v>19013.310000000001</v>
      </c>
      <c r="L107" s="31">
        <f t="shared" si="334"/>
        <v>19462.140000000003</v>
      </c>
      <c r="M107" s="31">
        <f t="shared" si="334"/>
        <v>26178.41</v>
      </c>
      <c r="N107" s="31">
        <f t="shared" si="334"/>
        <v>33300.550000000003</v>
      </c>
      <c r="O107" s="31">
        <f t="shared" si="334"/>
        <v>35587.47</v>
      </c>
      <c r="P107" s="31">
        <f t="shared" si="334"/>
        <v>33472.07</v>
      </c>
      <c r="Q107" s="31">
        <f t="shared" si="334"/>
        <v>29460.14</v>
      </c>
      <c r="R107" s="31">
        <f t="shared" si="334"/>
        <v>27559.35</v>
      </c>
      <c r="S107" s="31">
        <f t="shared" si="334"/>
        <v>26848.560000000001</v>
      </c>
      <c r="T107" s="31">
        <f t="shared" si="334"/>
        <v>29856.690000000002</v>
      </c>
      <c r="U107" s="31">
        <f t="shared" si="334"/>
        <v>29152.01</v>
      </c>
      <c r="V107" s="31">
        <f t="shared" si="334"/>
        <v>32702.9</v>
      </c>
      <c r="W107" s="31">
        <f t="shared" si="334"/>
        <v>43014.89</v>
      </c>
      <c r="X107" s="31">
        <f t="shared" si="334"/>
        <v>55065.55</v>
      </c>
      <c r="Y107" s="31">
        <f t="shared" si="334"/>
        <v>61500.68</v>
      </c>
      <c r="Z107" s="31">
        <f t="shared" si="334"/>
        <v>65919</v>
      </c>
      <c r="AA107" s="31">
        <f t="shared" ref="AA107" si="335">AA101-AA104-AA106-AA105</f>
        <v>62512.7</v>
      </c>
      <c r="AB107" s="32">
        <f t="shared" si="334"/>
        <v>78252.147970781516</v>
      </c>
      <c r="AC107" s="32">
        <f t="shared" si="334"/>
        <v>84756.486608538107</v>
      </c>
      <c r="AD107" s="32">
        <f t="shared" si="334"/>
        <v>89945.313997260833</v>
      </c>
      <c r="AE107" s="32">
        <f t="shared" si="334"/>
        <v>95747.083138319707</v>
      </c>
      <c r="AI107" s="31">
        <f t="shared" ref="AI107:BN107" si="336">AI101-AI104-AI106-AI105</f>
        <v>7197.07</v>
      </c>
      <c r="AJ107" s="31">
        <f t="shared" si="336"/>
        <v>7911.2499999999991</v>
      </c>
      <c r="AK107" s="31">
        <f t="shared" si="336"/>
        <v>9061.8399999999983</v>
      </c>
      <c r="AL107" s="31">
        <f t="shared" si="336"/>
        <v>8905.2799999999988</v>
      </c>
      <c r="AM107" s="31">
        <f t="shared" si="336"/>
        <v>8977.4500000000007</v>
      </c>
      <c r="AN107" s="31">
        <f t="shared" si="336"/>
        <v>8529.91</v>
      </c>
      <c r="AO107" s="31">
        <f t="shared" si="336"/>
        <v>8393.2899999999991</v>
      </c>
      <c r="AP107" s="31">
        <f t="shared" si="336"/>
        <v>8823.9199999999983</v>
      </c>
      <c r="AQ107" s="31">
        <f t="shared" si="336"/>
        <v>8590.010000000002</v>
      </c>
      <c r="AR107" s="31">
        <f t="shared" si="336"/>
        <v>8469.83</v>
      </c>
      <c r="AS107" s="31">
        <f t="shared" si="336"/>
        <v>8370.2799999999988</v>
      </c>
      <c r="AT107" s="31">
        <f t="shared" si="336"/>
        <v>7789.01</v>
      </c>
      <c r="AU107" s="31">
        <f t="shared" si="336"/>
        <v>7004.82</v>
      </c>
      <c r="AV107" s="31">
        <f t="shared" si="336"/>
        <v>7399.67</v>
      </c>
      <c r="AW107" s="31">
        <f t="shared" si="336"/>
        <v>7185.1400000000012</v>
      </c>
      <c r="AX107" s="31">
        <f t="shared" si="336"/>
        <v>7184.7499999999991</v>
      </c>
      <c r="AY107" s="31">
        <f t="shared" si="336"/>
        <v>6805.84</v>
      </c>
      <c r="AZ107" s="31">
        <f t="shared" si="336"/>
        <v>7250.27</v>
      </c>
      <c r="BA107" s="31">
        <f t="shared" si="336"/>
        <v>6528.52</v>
      </c>
      <c r="BB107" s="31">
        <f t="shared" si="336"/>
        <v>6992.28</v>
      </c>
      <c r="BC107" s="31">
        <f t="shared" si="336"/>
        <v>6419.34</v>
      </c>
      <c r="BD107" s="31">
        <f t="shared" si="336"/>
        <v>6967.15</v>
      </c>
      <c r="BE107" s="31">
        <f t="shared" si="336"/>
        <v>6248.89</v>
      </c>
      <c r="BF107" s="31">
        <f t="shared" si="336"/>
        <v>7057.23</v>
      </c>
      <c r="BG107" s="31">
        <f t="shared" si="336"/>
        <v>7189.96</v>
      </c>
      <c r="BH107" s="31">
        <f t="shared" si="336"/>
        <v>7399.52</v>
      </c>
      <c r="BI107" s="31">
        <f t="shared" si="336"/>
        <v>7819.69</v>
      </c>
      <c r="BJ107" s="31">
        <f t="shared" si="336"/>
        <v>7102.3</v>
      </c>
      <c r="BK107" s="31">
        <f t="shared" si="336"/>
        <v>7722.34</v>
      </c>
      <c r="BL107" s="31">
        <f t="shared" si="336"/>
        <v>7659.6399999999994</v>
      </c>
      <c r="BM107" s="31">
        <f t="shared" si="336"/>
        <v>7074.21</v>
      </c>
      <c r="BN107" s="31">
        <f t="shared" si="336"/>
        <v>6584.0800000000008</v>
      </c>
      <c r="BO107" s="31">
        <f t="shared" ref="BO107:CK107" si="337">BO101-BO104-BO106-BO105</f>
        <v>6447.2</v>
      </c>
      <c r="BP107" s="31">
        <f t="shared" si="337"/>
        <v>8274.9499999999989</v>
      </c>
      <c r="BQ107" s="31">
        <f t="shared" si="337"/>
        <v>7625.79</v>
      </c>
      <c r="BR107" s="31">
        <f t="shared" si="337"/>
        <v>10326.07</v>
      </c>
      <c r="BS107" s="31">
        <f t="shared" si="337"/>
        <v>10108.35</v>
      </c>
      <c r="BT107" s="31">
        <f t="shared" si="337"/>
        <v>9840.89</v>
      </c>
      <c r="BU107" s="31">
        <f t="shared" si="337"/>
        <v>10936.13</v>
      </c>
      <c r="BV107" s="31">
        <f t="shared" si="337"/>
        <v>12080.41</v>
      </c>
      <c r="BW107" s="31">
        <f t="shared" si="337"/>
        <v>14475.429999999998</v>
      </c>
      <c r="BX107" s="31">
        <f t="shared" si="337"/>
        <v>14113.53</v>
      </c>
      <c r="BY107" s="31">
        <f t="shared" si="337"/>
        <v>14098.61</v>
      </c>
      <c r="BZ107" s="31">
        <f t="shared" si="337"/>
        <v>12321.83</v>
      </c>
      <c r="CA107" s="31">
        <f t="shared" si="337"/>
        <v>15291.26</v>
      </c>
      <c r="CB107" s="31">
        <f t="shared" si="337"/>
        <v>15796.960000000001</v>
      </c>
      <c r="CC107" s="31">
        <f t="shared" si="337"/>
        <v>14950.640000000001</v>
      </c>
      <c r="CD107" s="31">
        <f t="shared" si="337"/>
        <v>15421.93</v>
      </c>
      <c r="CE107" s="31">
        <f t="shared" si="337"/>
        <v>17393.079999999998</v>
      </c>
      <c r="CF107" s="31">
        <f t="shared" si="337"/>
        <v>15656.339999999998</v>
      </c>
      <c r="CG107" s="31">
        <f t="shared" si="337"/>
        <v>15801.9</v>
      </c>
      <c r="CH107" s="31">
        <f t="shared" si="337"/>
        <v>17035.830000000002</v>
      </c>
      <c r="CI107" s="31">
        <f t="shared" si="337"/>
        <v>18069.060000000001</v>
      </c>
      <c r="CJ107" s="31">
        <f t="shared" si="337"/>
        <v>15752.98</v>
      </c>
      <c r="CK107" s="31">
        <f t="shared" si="337"/>
        <v>13764.09</v>
      </c>
      <c r="CL107" s="31">
        <f t="shared" ref="CL107" si="338">CL101-CL104-CL106-CL105</f>
        <v>14884.220000000001</v>
      </c>
      <c r="CM107" s="32">
        <f t="shared" ref="CM107:DB107" si="339">+CM108*CM101</f>
        <v>17448.476351160254</v>
      </c>
      <c r="CN107" s="32">
        <f t="shared" si="339"/>
        <v>21394.197393696741</v>
      </c>
      <c r="CO107" s="32">
        <f t="shared" si="339"/>
        <v>19191.420614151564</v>
      </c>
      <c r="CP107" s="32">
        <f t="shared" si="339"/>
        <v>20218.053611772961</v>
      </c>
      <c r="CQ107" s="32">
        <f t="shared" si="339"/>
        <v>21095.746558101979</v>
      </c>
      <c r="CR107" s="32">
        <f t="shared" si="339"/>
        <v>22378.642848409363</v>
      </c>
      <c r="CS107" s="32">
        <f t="shared" si="339"/>
        <v>20116.834363971895</v>
      </c>
      <c r="CT107" s="32">
        <f t="shared" si="339"/>
        <v>21165.262838054881</v>
      </c>
      <c r="CU107" s="32">
        <f t="shared" si="339"/>
        <v>22427.253824315147</v>
      </c>
      <c r="CV107" s="32">
        <f t="shared" si="339"/>
        <v>23728.207955099409</v>
      </c>
      <c r="CW107" s="32">
        <f t="shared" si="339"/>
        <v>21339.52572918724</v>
      </c>
      <c r="CX107" s="32">
        <f t="shared" si="339"/>
        <v>22450.326488659055</v>
      </c>
      <c r="CY107" s="32">
        <f t="shared" si="339"/>
        <v>23879.665855368643</v>
      </c>
      <c r="CZ107" s="32">
        <f t="shared" si="339"/>
        <v>25263.450262864946</v>
      </c>
      <c r="DA107" s="32">
        <f t="shared" si="339"/>
        <v>22705.412639978855</v>
      </c>
      <c r="DB107" s="32">
        <f t="shared" si="339"/>
        <v>23898.554380107264</v>
      </c>
      <c r="DE107" s="124"/>
      <c r="DF107" s="31">
        <v>17580.273166100011</v>
      </c>
    </row>
    <row r="108" spans="1:110" s="41" customFormat="1" x14ac:dyDescent="0.2">
      <c r="A108" s="41" t="s">
        <v>6</v>
      </c>
      <c r="B108" s="41">
        <f t="shared" ref="B108:AE108" si="340">B107/B101</f>
        <v>1.0023526399927372</v>
      </c>
      <c r="C108" s="41">
        <f t="shared" si="340"/>
        <v>0.99953121681610746</v>
      </c>
      <c r="D108" s="41">
        <f t="shared" si="340"/>
        <v>0.99600453651583098</v>
      </c>
      <c r="E108" s="41">
        <f t="shared" si="340"/>
        <v>0.99988385412077574</v>
      </c>
      <c r="F108" s="41">
        <f t="shared" si="340"/>
        <v>0.99961634923647369</v>
      </c>
      <c r="G108" s="41">
        <f t="shared" si="340"/>
        <v>1.0050664797572073</v>
      </c>
      <c r="H108" s="41">
        <f t="shared" si="340"/>
        <v>1.0011906159082347</v>
      </c>
      <c r="I108" s="41">
        <f t="shared" si="340"/>
        <v>0.99841518484307024</v>
      </c>
      <c r="J108" s="41">
        <f t="shared" si="340"/>
        <v>1.0043950276059557</v>
      </c>
      <c r="K108" s="41">
        <f t="shared" si="340"/>
        <v>1.0014468677709283</v>
      </c>
      <c r="L108" s="41">
        <f t="shared" si="340"/>
        <v>1.0005850671130589</v>
      </c>
      <c r="M108" s="41">
        <f t="shared" si="340"/>
        <v>1.0068077103540578</v>
      </c>
      <c r="N108" s="41">
        <f t="shared" si="340"/>
        <v>1.0083305501245556</v>
      </c>
      <c r="O108" s="41">
        <f t="shared" si="340"/>
        <v>0.99633884536304151</v>
      </c>
      <c r="P108" s="41">
        <f t="shared" si="340"/>
        <v>0.99640637172440871</v>
      </c>
      <c r="Q108" s="41">
        <f t="shared" si="340"/>
        <v>0.99884181011246242</v>
      </c>
      <c r="R108" s="41">
        <f t="shared" si="340"/>
        <v>0.99897635132318552</v>
      </c>
      <c r="S108" s="41">
        <f t="shared" si="340"/>
        <v>1.0003088642550912</v>
      </c>
      <c r="T108" s="41">
        <f t="shared" si="340"/>
        <v>0.99918443321622463</v>
      </c>
      <c r="U108" s="41">
        <f t="shared" si="340"/>
        <v>1.000536786154212</v>
      </c>
      <c r="V108" s="41">
        <f t="shared" si="340"/>
        <v>0.99998746304273178</v>
      </c>
      <c r="W108" s="41">
        <f t="shared" si="340"/>
        <v>1.0046529693451018</v>
      </c>
      <c r="X108" s="41">
        <f t="shared" si="340"/>
        <v>0.99921011201783805</v>
      </c>
      <c r="Y108" s="41">
        <f t="shared" si="340"/>
        <v>1.000842651373743</v>
      </c>
      <c r="Z108" s="41">
        <f t="shared" si="340"/>
        <v>1.0067313965677758</v>
      </c>
      <c r="AA108" s="41">
        <f t="shared" ref="AA108" si="341">AA107/AA101</f>
        <v>1.0013472993703687</v>
      </c>
      <c r="AB108" s="42">
        <f t="shared" si="340"/>
        <v>0.99884348511773591</v>
      </c>
      <c r="AC108" s="42">
        <f t="shared" si="340"/>
        <v>0.9985307697087149</v>
      </c>
      <c r="AD108" s="42">
        <f t="shared" si="340"/>
        <v>0.99847692428760304</v>
      </c>
      <c r="AE108" s="42">
        <f t="shared" si="340"/>
        <v>0.99847177492593153</v>
      </c>
      <c r="AI108" s="41">
        <f t="shared" ref="AI108:BN108" si="342">AI107/AI101</f>
        <v>0.99839221158994873</v>
      </c>
      <c r="AJ108" s="41">
        <f t="shared" si="342"/>
        <v>1.0317039073360683</v>
      </c>
      <c r="AK108" s="41">
        <f t="shared" si="342"/>
        <v>1.0121251653025483</v>
      </c>
      <c r="AL108" s="41">
        <f t="shared" si="342"/>
        <v>0.98862863036221194</v>
      </c>
      <c r="AM108" s="41">
        <f t="shared" si="342"/>
        <v>0.99234198434130361</v>
      </c>
      <c r="AN108" s="41">
        <f t="shared" si="342"/>
        <v>1.0142375243306616</v>
      </c>
      <c r="AO108" s="41">
        <f t="shared" si="342"/>
        <v>0.98278286670421389</v>
      </c>
      <c r="AP108" s="41">
        <f t="shared" si="342"/>
        <v>0.99125009408198994</v>
      </c>
      <c r="AQ108" s="41">
        <f t="shared" si="342"/>
        <v>1.0022436697710129</v>
      </c>
      <c r="AR108" s="41">
        <f t="shared" si="342"/>
        <v>1.0007833916249171</v>
      </c>
      <c r="AS108" s="41">
        <f t="shared" si="342"/>
        <v>0.98145959382768155</v>
      </c>
      <c r="AT108" s="41">
        <f t="shared" si="342"/>
        <v>0.9974950599149397</v>
      </c>
      <c r="AU108" s="41">
        <f t="shared" si="342"/>
        <v>0.99888629515602567</v>
      </c>
      <c r="AV108" s="41">
        <f t="shared" si="342"/>
        <v>0.99907783703503683</v>
      </c>
      <c r="AW108" s="41">
        <f t="shared" si="342"/>
        <v>0.99799432744687888</v>
      </c>
      <c r="AX108" s="41">
        <f t="shared" si="342"/>
        <v>0.99519629666053966</v>
      </c>
      <c r="AY108" s="41">
        <f t="shared" si="342"/>
        <v>0.99525320620622082</v>
      </c>
      <c r="AZ108" s="41">
        <f t="shared" si="342"/>
        <v>1.0050778802379936</v>
      </c>
      <c r="BA108" s="41">
        <f t="shared" si="342"/>
        <v>0.99301084345962487</v>
      </c>
      <c r="BB108" s="41">
        <f t="shared" si="342"/>
        <v>0.99814995631841308</v>
      </c>
      <c r="BC108" s="41">
        <f t="shared" si="342"/>
        <v>1.000676539360873</v>
      </c>
      <c r="BD108" s="41">
        <f t="shared" si="342"/>
        <v>1.0136026710699555</v>
      </c>
      <c r="BE108" s="41">
        <f t="shared" si="342"/>
        <v>0.98249588850700131</v>
      </c>
      <c r="BF108" s="41">
        <f t="shared" si="342"/>
        <v>0.97787418715211905</v>
      </c>
      <c r="BG108" s="41">
        <f t="shared" si="342"/>
        <v>0.98287948381452317</v>
      </c>
      <c r="BH108" s="41">
        <f t="shared" si="342"/>
        <v>1.0062705601890825</v>
      </c>
      <c r="BI108" s="41">
        <f t="shared" si="342"/>
        <v>0.97959063514314237</v>
      </c>
      <c r="BJ108" s="41">
        <f t="shared" si="342"/>
        <v>0.98235922233410422</v>
      </c>
      <c r="BK108" s="41">
        <f t="shared" si="342"/>
        <v>0.99428587614848996</v>
      </c>
      <c r="BL108" s="41">
        <f t="shared" si="342"/>
        <v>0.99763214037317882</v>
      </c>
      <c r="BM108" s="41">
        <f t="shared" si="342"/>
        <v>1.0004497223176823</v>
      </c>
      <c r="BN108" s="41">
        <f t="shared" si="342"/>
        <v>0.99445384243595947</v>
      </c>
      <c r="BO108" s="41">
        <f t="shared" ref="BO108:CK108" si="343">BO107/BO101</f>
        <v>0.99910274151982259</v>
      </c>
      <c r="BP108" s="41">
        <f t="shared" si="343"/>
        <v>0.99820743780617405</v>
      </c>
      <c r="BQ108" s="41">
        <f t="shared" si="343"/>
        <v>1.0036694301459217</v>
      </c>
      <c r="BR108" s="41">
        <f t="shared" si="343"/>
        <v>0.99647482292088851</v>
      </c>
      <c r="BS108" s="41">
        <f t="shared" si="343"/>
        <v>0.99763134909473128</v>
      </c>
      <c r="BT108" s="41">
        <f t="shared" si="343"/>
        <v>1.0031263315195786</v>
      </c>
      <c r="BU108" s="41">
        <f t="shared" si="343"/>
        <v>1.002106634754067</v>
      </c>
      <c r="BV108" s="41">
        <f t="shared" si="343"/>
        <v>1.0100711039167356</v>
      </c>
      <c r="BW108" s="41">
        <f t="shared" si="343"/>
        <v>0.99861681020566406</v>
      </c>
      <c r="BX108" s="41">
        <f t="shared" si="343"/>
        <v>1.0059020492177166</v>
      </c>
      <c r="BY108" s="41">
        <f t="shared" si="343"/>
        <v>0.99784062984814337</v>
      </c>
      <c r="BZ108" s="41">
        <f t="shared" si="343"/>
        <v>0.98940641220001024</v>
      </c>
      <c r="CA108" s="41">
        <f t="shared" si="343"/>
        <v>1.0051251241513177</v>
      </c>
      <c r="CB108" s="41">
        <f t="shared" si="343"/>
        <v>1.003744433070721</v>
      </c>
      <c r="CC108" s="41">
        <f t="shared" si="343"/>
        <v>1.0204518462903558</v>
      </c>
      <c r="CD108" s="41">
        <f t="shared" si="343"/>
        <v>0.97320241970191679</v>
      </c>
      <c r="CE108" s="41">
        <f t="shared" si="343"/>
        <v>1.0057512539306404</v>
      </c>
      <c r="CF108" s="41">
        <f t="shared" si="343"/>
        <v>0.99736712518482029</v>
      </c>
      <c r="CG108" s="41">
        <f t="shared" si="343"/>
        <v>1.0266934181271465</v>
      </c>
      <c r="CH108" s="41">
        <f t="shared" si="343"/>
        <v>0.99648745779684933</v>
      </c>
      <c r="CI108" s="41">
        <f t="shared" si="343"/>
        <v>1.0018846613847354</v>
      </c>
      <c r="CJ108" s="41">
        <f t="shared" si="343"/>
        <v>1.0133850887525242</v>
      </c>
      <c r="CK108" s="41">
        <f t="shared" si="343"/>
        <v>0.98678559061570459</v>
      </c>
      <c r="CL108" s="41">
        <f t="shared" ref="CL108" si="344">CL107/CL101</f>
        <v>0.99892753117407818</v>
      </c>
      <c r="CM108" s="42">
        <f t="shared" ref="CM108:DB108" si="345">AVERAGE(CI108:CL108)</f>
        <v>1.0002457179817608</v>
      </c>
      <c r="CN108" s="42">
        <f t="shared" si="345"/>
        <v>0.99983598213101699</v>
      </c>
      <c r="CO108" s="42">
        <f t="shared" si="345"/>
        <v>0.99644870547564013</v>
      </c>
      <c r="CP108" s="42">
        <f t="shared" si="345"/>
        <v>0.99886448419062401</v>
      </c>
      <c r="CQ108" s="42">
        <f t="shared" si="345"/>
        <v>0.99884872244476042</v>
      </c>
      <c r="CR108" s="42">
        <f t="shared" si="345"/>
        <v>0.99849947356051039</v>
      </c>
      <c r="CS108" s="42">
        <f t="shared" si="345"/>
        <v>0.99816534641788368</v>
      </c>
      <c r="CT108" s="42">
        <f t="shared" si="345"/>
        <v>0.99859450665344474</v>
      </c>
      <c r="CU108" s="42">
        <f t="shared" si="345"/>
        <v>0.99852701226914975</v>
      </c>
      <c r="CV108" s="42">
        <f t="shared" si="345"/>
        <v>0.99844658472524717</v>
      </c>
      <c r="CW108" s="42">
        <f t="shared" si="345"/>
        <v>0.99843336251643133</v>
      </c>
      <c r="CX108" s="42">
        <f t="shared" si="345"/>
        <v>0.99850036654106833</v>
      </c>
      <c r="CY108" s="42">
        <f t="shared" si="345"/>
        <v>0.99847683151297417</v>
      </c>
      <c r="CZ108" s="42">
        <f t="shared" si="345"/>
        <v>0.99846428632393025</v>
      </c>
      <c r="DA108" s="42">
        <f t="shared" si="345"/>
        <v>0.99846871172360097</v>
      </c>
      <c r="DB108" s="42">
        <f t="shared" si="345"/>
        <v>0.99847754902539343</v>
      </c>
      <c r="DE108" s="125"/>
      <c r="DF108" s="41">
        <v>0.99963569963745347</v>
      </c>
    </row>
    <row r="109" spans="1:110" s="39" customFormat="1" x14ac:dyDescent="0.2">
      <c r="A109" s="39" t="s">
        <v>447</v>
      </c>
      <c r="C109" s="39">
        <f t="shared" ref="C109:AE109" si="346">+IF(B107&lt;0,1-C107/B107,C107/B107-1)</f>
        <v>0.14097961329252429</v>
      </c>
      <c r="D109" s="39">
        <f t="shared" si="346"/>
        <v>0.24020211180928941</v>
      </c>
      <c r="E109" s="39">
        <f t="shared" si="346"/>
        <v>4.3225907547662645E-2</v>
      </c>
      <c r="F109" s="39">
        <f t="shared" si="346"/>
        <v>-1.8972029624645059E-2</v>
      </c>
      <c r="G109" s="39">
        <f t="shared" si="346"/>
        <v>0.15338242409271574</v>
      </c>
      <c r="H109" s="39">
        <f t="shared" si="346"/>
        <v>0.14754838275743665</v>
      </c>
      <c r="I109" s="39">
        <f t="shared" si="346"/>
        <v>0.67715764226827191</v>
      </c>
      <c r="J109" s="39">
        <f t="shared" si="346"/>
        <v>0.66832511771630365</v>
      </c>
      <c r="K109" s="39">
        <f t="shared" si="346"/>
        <v>4.8102333427045396E-2</v>
      </c>
      <c r="L109" s="39">
        <f t="shared" si="346"/>
        <v>2.3606094888265261E-2</v>
      </c>
      <c r="M109" s="39">
        <f t="shared" si="346"/>
        <v>0.34509411606328988</v>
      </c>
      <c r="N109" s="39">
        <f t="shared" si="346"/>
        <v>0.27206159579592515</v>
      </c>
      <c r="O109" s="39">
        <f t="shared" si="346"/>
        <v>6.8675142002158962E-2</v>
      </c>
      <c r="P109" s="39">
        <f t="shared" si="346"/>
        <v>-5.9442269989971264E-2</v>
      </c>
      <c r="Q109" s="39">
        <f t="shared" si="346"/>
        <v>-0.11985903471162673</v>
      </c>
      <c r="R109" s="39">
        <f t="shared" si="346"/>
        <v>-6.452073886953702E-2</v>
      </c>
      <c r="S109" s="39">
        <f t="shared" si="346"/>
        <v>-2.5791246890801034E-2</v>
      </c>
      <c r="T109" s="39">
        <f t="shared" si="346"/>
        <v>0.11204064575530315</v>
      </c>
      <c r="U109" s="39">
        <f t="shared" si="346"/>
        <v>-2.3602080471746945E-2</v>
      </c>
      <c r="V109" s="39">
        <f t="shared" si="346"/>
        <v>0.12180600925973906</v>
      </c>
      <c r="W109" s="39">
        <f t="shared" si="346"/>
        <v>0.31532341168520217</v>
      </c>
      <c r="X109" s="39">
        <f t="shared" si="346"/>
        <v>0.28015089658488024</v>
      </c>
      <c r="Y109" s="39">
        <f t="shared" si="346"/>
        <v>0.11686308408796431</v>
      </c>
      <c r="Z109" s="39">
        <f t="shared" si="346"/>
        <v>7.1841807277578162E-2</v>
      </c>
      <c r="AA109" s="39">
        <f t="shared" si="346"/>
        <v>-5.1674024181192157E-2</v>
      </c>
      <c r="AB109" s="40">
        <f t="shared" si="346"/>
        <v>0.25178000583531857</v>
      </c>
      <c r="AC109" s="40">
        <f t="shared" si="346"/>
        <v>8.3120256841834328E-2</v>
      </c>
      <c r="AD109" s="40">
        <f t="shared" si="346"/>
        <v>6.1220416234195607E-2</v>
      </c>
      <c r="AE109" s="40">
        <f t="shared" si="346"/>
        <v>6.4503295204856981E-2</v>
      </c>
      <c r="AM109" s="39">
        <f>+IF(AI107&lt;0,1-AM107/AI107,AM107/AI107-1)</f>
        <v>0.24737566815384615</v>
      </c>
      <c r="AN109" s="39">
        <f t="shared" ref="AN109" si="347">+IF(AJ107&lt;0,1-AN107/AJ107,AN107/AJ107-1)</f>
        <v>7.8200031600568876E-2</v>
      </c>
      <c r="AO109" s="39">
        <f t="shared" ref="AO109" si="348">+IF(AK107&lt;0,1-AO107/AK107,AO107/AK107-1)</f>
        <v>-7.3776407440431457E-2</v>
      </c>
      <c r="AP109" s="39">
        <f t="shared" ref="AP109" si="349">+IF(AL107&lt;0,1-AP107/AL107,AP107/AL107-1)</f>
        <v>-9.1361529339898384E-3</v>
      </c>
      <c r="AQ109" s="39">
        <f t="shared" ref="AQ109" si="350">+IF(AM107&lt;0,1-AQ107/AM107,AQ107/AM107-1)</f>
        <v>-4.3157021203125479E-2</v>
      </c>
      <c r="AR109" s="39">
        <f t="shared" ref="AR109" si="351">+IF(AN107&lt;0,1-AR107/AN107,AR107/AN107-1)</f>
        <v>-7.0434506342974545E-3</v>
      </c>
      <c r="AS109" s="39">
        <f t="shared" ref="AS109" si="352">+IF(AO107&lt;0,1-AS107/AO107,AS107/AO107-1)</f>
        <v>-2.7414756311291422E-3</v>
      </c>
      <c r="AT109" s="39">
        <f t="shared" ref="AT109" si="353">+IF(AP107&lt;0,1-AT107/AP107,AT107/AP107-1)</f>
        <v>-0.11728460820134345</v>
      </c>
      <c r="AU109" s="39">
        <f t="shared" ref="AU109" si="354">+IF(AQ107&lt;0,1-AU107/AQ107,AU107/AQ107-1)</f>
        <v>-0.18453878400607238</v>
      </c>
      <c r="AV109" s="39">
        <f t="shared" ref="AV109" si="355">+IF(AR107&lt;0,1-AV107/AR107,AV107/AR107-1)</f>
        <v>-0.12634964338127208</v>
      </c>
      <c r="AW109" s="39">
        <f t="shared" ref="AW109" si="356">+IF(AS107&lt;0,1-AW107/AS107,AW107/AS107-1)</f>
        <v>-0.14158905078444184</v>
      </c>
      <c r="AX109" s="39">
        <f t="shared" ref="AX109" si="357">+IF(AT107&lt;0,1-AX107/AT107,AX107/AT107-1)</f>
        <v>-7.7578536938584075E-2</v>
      </c>
      <c r="AY109" s="39">
        <f t="shared" ref="AY109" si="358">+IF(AU107&lt;0,1-AY107/AU107,AY107/AU107-1)</f>
        <v>-2.8406154619247781E-2</v>
      </c>
      <c r="AZ109" s="39">
        <f t="shared" ref="AZ109" si="359">+IF(AV107&lt;0,1-AZ107/AV107,AZ107/AV107-1)</f>
        <v>-2.0190089558047797E-2</v>
      </c>
      <c r="BA109" s="39">
        <f t="shared" ref="BA109" si="360">+IF(AW107&lt;0,1-BA107/AW107,BA107/AW107-1)</f>
        <v>-9.1385832426368996E-2</v>
      </c>
      <c r="BB109" s="39">
        <f t="shared" ref="BB109" si="361">+IF(AX107&lt;0,1-BB107/AX107,BB107/AX107-1)</f>
        <v>-2.6788684366192195E-2</v>
      </c>
      <c r="BC109" s="39">
        <f t="shared" ref="BC109" si="362">+IF(AY107&lt;0,1-BC107/AY107,BC107/AY107-1)</f>
        <v>-5.6789463166927234E-2</v>
      </c>
      <c r="BD109" s="39">
        <f t="shared" ref="BD109" si="363">+IF(AZ107&lt;0,1-BD107/AZ107,BD107/AZ107-1)</f>
        <v>-3.9049580222529801E-2</v>
      </c>
      <c r="BE109" s="39">
        <f t="shared" ref="BE109" si="364">+IF(BA107&lt;0,1-BE107/BA107,BE107/BA107-1)</f>
        <v>-4.2832066073168251E-2</v>
      </c>
      <c r="BF109" s="39">
        <f t="shared" ref="BF109" si="365">+IF(BB107&lt;0,1-BF107/BB107,BF107/BB107-1)</f>
        <v>9.2888156652766174E-3</v>
      </c>
      <c r="BG109" s="39">
        <f t="shared" ref="BG109" si="366">+IF(BC107&lt;0,1-BG107/BC107,BG107/BC107-1)</f>
        <v>0.12004660915296594</v>
      </c>
      <c r="BH109" s="39">
        <f t="shared" ref="BH109" si="367">+IF(BD107&lt;0,1-BH107/BD107,BH107/BD107-1)</f>
        <v>6.2058373940564016E-2</v>
      </c>
      <c r="BI109" s="39">
        <f t="shared" ref="BI109" si="368">+IF(BE107&lt;0,1-BI107/BE107,BI107/BE107-1)</f>
        <v>0.25137264378153557</v>
      </c>
      <c r="BJ109" s="39">
        <f t="shared" ref="BJ109" si="369">+IF(BF107&lt;0,1-BJ107/BF107,BJ107/BF107-1)</f>
        <v>6.3863583870726881E-3</v>
      </c>
      <c r="BK109" s="39">
        <f t="shared" ref="BK109" si="370">+IF(BG107&lt;0,1-BK107/BG107,BK107/BG107-1)</f>
        <v>7.4044918191478182E-2</v>
      </c>
      <c r="BL109" s="39">
        <f t="shared" ref="BL109" si="371">+IF(BH107&lt;0,1-BL107/BH107,BL107/BH107-1)</f>
        <v>3.5153631586913647E-2</v>
      </c>
      <c r="BM109" s="39">
        <f t="shared" ref="BM109" si="372">+IF(BI107&lt;0,1-BM107/BI107,BM107/BI107-1)</f>
        <v>-9.5333702486927185E-2</v>
      </c>
      <c r="BN109" s="39">
        <f t="shared" ref="BN109" si="373">+IF(BJ107&lt;0,1-BN107/BJ107,BN107/BJ107-1)</f>
        <v>-7.2965095814031988E-2</v>
      </c>
      <c r="BO109" s="39">
        <f t="shared" ref="BO109" si="374">+IF(BK107&lt;0,1-BO107/BK107,BO107/BK107-1)</f>
        <v>-0.16512352473473069</v>
      </c>
      <c r="BP109" s="39">
        <f t="shared" ref="BP109" si="375">+IF(BL107&lt;0,1-BP107/BL107,BP107/BL107-1)</f>
        <v>8.0331451608691706E-2</v>
      </c>
      <c r="BQ109" s="39">
        <f t="shared" ref="BQ109" si="376">+IF(BM107&lt;0,1-BQ107/BM107,BQ107/BM107-1)</f>
        <v>7.7970543707353901E-2</v>
      </c>
      <c r="BR109" s="39">
        <f t="shared" ref="BR109" si="377">+IF(BN107&lt;0,1-BR107/BN107,BR107/BN107-1)</f>
        <v>0.568339084579774</v>
      </c>
      <c r="BS109" s="39">
        <f t="shared" ref="BS109" si="378">+IF(BO107&lt;0,1-BS107/BO107,BS107/BO107-1)</f>
        <v>0.56786667080282927</v>
      </c>
      <c r="BT109" s="39">
        <f t="shared" ref="BT109" si="379">+IF(BP107&lt;0,1-BT107/BP107,BT107/BP107-1)</f>
        <v>0.18923860567133355</v>
      </c>
      <c r="BU109" s="39">
        <f t="shared" ref="BU109" si="380">+IF(BQ107&lt;0,1-BU107/BQ107,BU107/BQ107-1)</f>
        <v>0.4340979754228742</v>
      </c>
      <c r="BV109" s="39">
        <f t="shared" ref="BV109" si="381">+IF(BR107&lt;0,1-BV107/BR107,BV107/BR107-1)</f>
        <v>0.1698942579316236</v>
      </c>
      <c r="BW109" s="39">
        <f t="shared" ref="BW109" si="382">+IF(BS107&lt;0,1-BW107/BS107,BW107/BS107-1)</f>
        <v>0.432026987589468</v>
      </c>
      <c r="BX109" s="39">
        <f t="shared" ref="BX109" si="383">+IF(BT107&lt;0,1-BX107/BT107,BX107/BT107-1)</f>
        <v>0.4341721124816964</v>
      </c>
      <c r="BY109" s="39">
        <f t="shared" ref="BY109" si="384">+IF(BU107&lt;0,1-BY107/BU107,BY107/BU107-1)</f>
        <v>0.28917725008755402</v>
      </c>
      <c r="BZ109" s="39">
        <f t="shared" ref="BZ109" si="385">+IF(BV107&lt;0,1-BZ107/BV107,BZ107/BV107-1)</f>
        <v>1.9984421058556689E-2</v>
      </c>
      <c r="CA109" s="39">
        <f t="shared" ref="CA109" si="386">+IF(BW107&lt;0,1-CA107/BW107,CA107/BW107-1)</f>
        <v>5.6359638366528797E-2</v>
      </c>
      <c r="CB109" s="39">
        <f t="shared" ref="CB109" si="387">+IF(BX107&lt;0,1-CB107/BX107,CB107/BX107-1)</f>
        <v>0.11927774270504976</v>
      </c>
      <c r="CC109" s="39">
        <f t="shared" ref="CC109" si="388">+IF(BY107&lt;0,1-CC107/BY107,CC107/BY107-1)</f>
        <v>6.0433617214746826E-2</v>
      </c>
      <c r="CD109" s="39">
        <f t="shared" ref="CD109" si="389">+IF(BZ107&lt;0,1-CD107/BZ107,CD107/BZ107-1)</f>
        <v>0.25159412197701148</v>
      </c>
      <c r="CE109" s="39">
        <f t="shared" ref="CE109" si="390">+IF(CA107&lt;0,1-CE107/CA107,CE107/CA107-1)</f>
        <v>0.13745237475525229</v>
      </c>
      <c r="CF109" s="39">
        <f t="shared" ref="CF109" si="391">+IF(CB107&lt;0,1-CF107/CB107,CF107/CB107-1)</f>
        <v>-8.901712734602274E-3</v>
      </c>
      <c r="CG109" s="39">
        <f t="shared" ref="CG109" si="392">+IF(CC107&lt;0,1-CG107/CC107,CG107/CC107-1)</f>
        <v>5.6938030746509716E-2</v>
      </c>
      <c r="CH109" s="39">
        <f t="shared" ref="CH109:CL109" si="393">+IF(CD107&lt;0,1-CH107/CD107,CH107/CD107-1)</f>
        <v>0.10464967743985354</v>
      </c>
      <c r="CI109" s="39">
        <f t="shared" si="393"/>
        <v>3.886488189555859E-2</v>
      </c>
      <c r="CJ109" s="39">
        <f t="shared" si="393"/>
        <v>6.1725792873685847E-3</v>
      </c>
      <c r="CK109" s="39">
        <f t="shared" si="393"/>
        <v>-0.12895980863060763</v>
      </c>
      <c r="CL109" s="39">
        <f t="shared" si="393"/>
        <v>-0.12629910019059831</v>
      </c>
      <c r="CM109" s="40">
        <f t="shared" ref="CM109" si="394">+CM107/CI107-1</f>
        <v>-3.4345098684699038E-2</v>
      </c>
      <c r="CN109" s="40">
        <f t="shared" ref="CN109" si="395">+CN107/CJ107-1</f>
        <v>0.35810477723559231</v>
      </c>
      <c r="CO109" s="40">
        <f t="shared" ref="CO109" si="396">+CO107/CK107-1</f>
        <v>0.39431089263086516</v>
      </c>
      <c r="CP109" s="40">
        <f t="shared" ref="CP109" si="397">+CP107/CL107-1</f>
        <v>0.35835492970225902</v>
      </c>
      <c r="CQ109" s="40">
        <f t="shared" ref="CQ109" si="398">+CQ107/CM107-1</f>
        <v>0.20903087086450367</v>
      </c>
      <c r="CR109" s="40">
        <f t="shared" ref="CR109" si="399">+CR107/CN107-1</f>
        <v>4.601460090307774E-2</v>
      </c>
      <c r="CS109" s="40">
        <f t="shared" ref="CS109" si="400">+CS107/CO107-1</f>
        <v>4.8220179653503115E-2</v>
      </c>
      <c r="CT109" s="40">
        <f t="shared" ref="CT109" si="401">+CT107/CP107-1</f>
        <v>4.6849674279741738E-2</v>
      </c>
      <c r="CU109" s="40">
        <f t="shared" ref="CU109" si="402">+CU107/CQ107-1</f>
        <v>6.3117333275972243E-2</v>
      </c>
      <c r="CV109" s="40">
        <f t="shared" ref="CV109" si="403">+CV107/CR107-1</f>
        <v>6.0305940616321552E-2</v>
      </c>
      <c r="CW109" s="40">
        <f t="shared" ref="CW109" si="404">+CW107/CS107-1</f>
        <v>6.0779511482438542E-2</v>
      </c>
      <c r="CX109" s="40">
        <f t="shared" ref="CX109" si="405">+CX107/CT107-1</f>
        <v>6.0715695355960664E-2</v>
      </c>
      <c r="CY109" s="40">
        <f t="shared" ref="CY109" si="406">+CY107/CU107-1</f>
        <v>6.4761028810349508E-2</v>
      </c>
      <c r="CZ109" s="40">
        <f t="shared" ref="CZ109" si="407">+CZ107/CV107-1</f>
        <v>6.4701148551574494E-2</v>
      </c>
      <c r="DA109" s="40">
        <f t="shared" ref="DA109" si="408">+DA107/CW107-1</f>
        <v>6.400736961662723E-2</v>
      </c>
      <c r="DB109" s="40">
        <f t="shared" ref="DB109" si="409">+DB107/CX107-1</f>
        <v>6.4508099344559255E-2</v>
      </c>
      <c r="DE109" s="122"/>
      <c r="DF109" s="39">
        <v>3.1958710911062616E-2</v>
      </c>
    </row>
    <row r="110" spans="1:110" s="39" customFormat="1" x14ac:dyDescent="0.2">
      <c r="A110" s="39" t="s">
        <v>448</v>
      </c>
      <c r="AB110" s="40"/>
      <c r="AC110" s="40"/>
      <c r="AD110" s="40"/>
      <c r="AE110" s="40"/>
      <c r="AJ110" s="39">
        <f>+IF(AI107&lt;0,1-AJ107/AI107,AJ107/AI107-1)</f>
        <v>9.923204859755419E-2</v>
      </c>
      <c r="AK110" s="39">
        <f t="shared" ref="AK110" si="410">+IF(AJ107&lt;0,1-AK107/AJ107,AK107/AJ107-1)</f>
        <v>0.14543719386948961</v>
      </c>
      <c r="AL110" s="39">
        <f t="shared" ref="AL110" si="411">+IF(AK107&lt;0,1-AL107/AK107,AL107/AK107-1)</f>
        <v>-1.7276844437774219E-2</v>
      </c>
      <c r="AM110" s="39">
        <f t="shared" ref="AM110" si="412">+IF(AL107&lt;0,1-AM107/AL107,AM107/AL107-1)</f>
        <v>8.104180890438295E-3</v>
      </c>
      <c r="AN110" s="39">
        <f t="shared" ref="AN110" si="413">+IF(AM107&lt;0,1-AN107/AM107,AN107/AM107-1)</f>
        <v>-4.9851572551225631E-2</v>
      </c>
      <c r="AO110" s="39">
        <f t="shared" ref="AO110" si="414">+IF(AN107&lt;0,1-AO107/AN107,AO107/AN107-1)</f>
        <v>-1.6016581652092521E-2</v>
      </c>
      <c r="AP110" s="39">
        <f t="shared" ref="AP110" si="415">+IF(AO107&lt;0,1-AP107/AO107,AP107/AO107-1)</f>
        <v>5.1306460279580302E-2</v>
      </c>
      <c r="AQ110" s="39">
        <f t="shared" ref="AQ110" si="416">+IF(AP107&lt;0,1-AQ107/AP107,AQ107/AP107-1)</f>
        <v>-2.6508626551464243E-2</v>
      </c>
      <c r="AR110" s="39">
        <f t="shared" ref="AR110" si="417">+IF(AQ107&lt;0,1-AR107/AQ107,AR107/AQ107-1)</f>
        <v>-1.3990670558008955E-2</v>
      </c>
      <c r="AS110" s="39">
        <f t="shared" ref="AS110" si="418">+IF(AR107&lt;0,1-AS107/AR107,AS107/AR107-1)</f>
        <v>-1.1753482655496139E-2</v>
      </c>
      <c r="AT110" s="39">
        <f t="shared" ref="AT110" si="419">+IF(AS107&lt;0,1-AT107/AS107,AT107/AS107-1)</f>
        <v>-6.9444510816842331E-2</v>
      </c>
      <c r="AU110" s="39">
        <f t="shared" ref="AU110" si="420">+IF(AT107&lt;0,1-AU107/AT107,AU107/AT107-1)</f>
        <v>-0.10067903366409858</v>
      </c>
      <c r="AV110" s="39">
        <f t="shared" ref="AV110" si="421">+IF(AU107&lt;0,1-AV107/AU107,AV107/AU107-1)</f>
        <v>5.6368329236154535E-2</v>
      </c>
      <c r="AW110" s="39">
        <f t="shared" ref="AW110" si="422">+IF(AV107&lt;0,1-AW107/AV107,AW107/AV107-1)</f>
        <v>-2.8991833419598323E-2</v>
      </c>
      <c r="AX110" s="39">
        <f t="shared" ref="AX110" si="423">+IF(AW107&lt;0,1-AX107/AW107,AX107/AW107-1)</f>
        <v>-5.4278691856035621E-5</v>
      </c>
      <c r="AY110" s="39">
        <f t="shared" ref="AY110" si="424">+IF(AX107&lt;0,1-AY107/AX107,AY107/AX107-1)</f>
        <v>-5.2738091095723472E-2</v>
      </c>
      <c r="AZ110" s="39">
        <f t="shared" ref="AZ110" si="425">+IF(AY107&lt;0,1-AZ107/AY107,AZ107/AY107-1)</f>
        <v>6.530127067342173E-2</v>
      </c>
      <c r="BA110" s="39">
        <f t="shared" ref="BA110" si="426">+IF(AZ107&lt;0,1-BA107/AZ107,BA107/AZ107-1)</f>
        <v>-9.9548016832476605E-2</v>
      </c>
      <c r="BB110" s="39">
        <f t="shared" ref="BB110" si="427">+IF(BA107&lt;0,1-BB107/BA107,BB107/BA107-1)</f>
        <v>7.103600816111455E-2</v>
      </c>
      <c r="BC110" s="39">
        <f t="shared" ref="BC110" si="428">+IF(BB107&lt;0,1-BC107/BB107,BC107/BB107-1)</f>
        <v>-8.1938938372033143E-2</v>
      </c>
      <c r="BD110" s="39">
        <f t="shared" ref="BD110" si="429">+IF(BC107&lt;0,1-BD107/BC107,BD107/BC107-1)</f>
        <v>8.533743344331346E-2</v>
      </c>
      <c r="BE110" s="39">
        <f t="shared" ref="BE110" si="430">+IF(BD107&lt;0,1-BE107/BD107,BE107/BD107-1)</f>
        <v>-0.10309236918969722</v>
      </c>
      <c r="BF110" s="39">
        <f t="shared" ref="BF110" si="431">+IF(BE107&lt;0,1-BF107/BE107,BF107/BE107-1)</f>
        <v>0.129357373869599</v>
      </c>
      <c r="BG110" s="39">
        <f t="shared" ref="BG110" si="432">+IF(BF107&lt;0,1-BG107/BF107,BG107/BF107-1)</f>
        <v>1.8807662496475253E-2</v>
      </c>
      <c r="BH110" s="39">
        <f t="shared" ref="BH110" si="433">+IF(BG107&lt;0,1-BH107/BG107,BH107/BG107-1)</f>
        <v>2.9146198309865534E-2</v>
      </c>
      <c r="BI110" s="39">
        <f t="shared" ref="BI110" si="434">+IF(BH107&lt;0,1-BI107/BH107,BI107/BH107-1)</f>
        <v>5.6783412978139047E-2</v>
      </c>
      <c r="BJ110" s="39">
        <f t="shared" ref="BJ110" si="435">+IF(BI107&lt;0,1-BJ107/BI107,BJ107/BI107-1)</f>
        <v>-9.1741488473328192E-2</v>
      </c>
      <c r="BK110" s="39">
        <f t="shared" ref="BK110" si="436">+IF(BJ107&lt;0,1-BK107/BJ107,BK107/BJ107-1)</f>
        <v>8.7301296763020453E-2</v>
      </c>
      <c r="BL110" s="39">
        <f t="shared" ref="BL110" si="437">+IF(BK107&lt;0,1-BL107/BK107,BL107/BK107-1)</f>
        <v>-8.1193006264941303E-3</v>
      </c>
      <c r="BM110" s="39">
        <f t="shared" ref="BM110" si="438">+IF(BL107&lt;0,1-BM107/BL107,BM107/BL107-1)</f>
        <v>-7.6430484983628366E-2</v>
      </c>
      <c r="BN110" s="39">
        <f t="shared" ref="BN110" si="439">+IF(BM107&lt;0,1-BN107/BM107,BN107/BM107-1)</f>
        <v>-6.9284061400495478E-2</v>
      </c>
      <c r="BO110" s="39">
        <f t="shared" ref="BO110" si="440">+IF(BN107&lt;0,1-BO107/BN107,BO107/BN107-1)</f>
        <v>-2.0789540831824826E-2</v>
      </c>
      <c r="BP110" s="39">
        <f t="shared" ref="BP110" si="441">+IF(BO107&lt;0,1-BP107/BO107,BP107/BO107-1)</f>
        <v>0.28349516068991187</v>
      </c>
      <c r="BQ110" s="39">
        <f t="shared" ref="BQ110" si="442">+IF(BP107&lt;0,1-BQ107/BP107,BQ107/BP107-1)</f>
        <v>-7.844881237953083E-2</v>
      </c>
      <c r="BR110" s="39">
        <f t="shared" ref="BR110" si="443">+IF(BQ107&lt;0,1-BR107/BQ107,BR107/BQ107-1)</f>
        <v>0.35409839505152907</v>
      </c>
      <c r="BS110" s="39">
        <f t="shared" ref="BS110" si="444">+IF(BR107&lt;0,1-BS107/BR107,BS107/BR107-1)</f>
        <v>-2.1084497780859413E-2</v>
      </c>
      <c r="BT110" s="39">
        <f t="shared" ref="BT110" si="445">+IF(BS107&lt;0,1-BT107/BS107,BT107/BS107-1)</f>
        <v>-2.6459313339961654E-2</v>
      </c>
      <c r="BU110" s="39">
        <f t="shared" ref="BU110" si="446">+IF(BT107&lt;0,1-BU107/BT107,BU107/BT107-1)</f>
        <v>0.11129481174975031</v>
      </c>
      <c r="BV110" s="39">
        <f t="shared" ref="BV110" si="447">+IF(BU107&lt;0,1-BV107/BU107,BV107/BU107-1)</f>
        <v>0.10463299174388019</v>
      </c>
      <c r="BW110" s="39">
        <f t="shared" ref="BW110" si="448">+IF(BV107&lt;0,1-BW107/BV107,BW107/BV107-1)</f>
        <v>0.19825651612817774</v>
      </c>
      <c r="BX110" s="39">
        <f t="shared" ref="BX110" si="449">+IF(BW107&lt;0,1-BX107/BW107,BX107/BW107-1)</f>
        <v>-2.5000984426714612E-2</v>
      </c>
      <c r="BY110" s="39">
        <f t="shared" ref="BY110" si="450">+IF(BX107&lt;0,1-BY107/BX107,BY107/BX107-1)</f>
        <v>-1.0571416222588947E-3</v>
      </c>
      <c r="BZ110" s="39">
        <f t="shared" ref="BZ110" si="451">+IF(BY107&lt;0,1-BZ107/BY107,BZ107/BY107-1)</f>
        <v>-0.12602518971728427</v>
      </c>
      <c r="CA110" s="39">
        <f t="shared" ref="CA110" si="452">+IF(BZ107&lt;0,1-CA107/BZ107,CA107/BZ107-1)</f>
        <v>0.24098936602761123</v>
      </c>
      <c r="CB110" s="39">
        <f t="shared" ref="CB110" si="453">+IF(CA107&lt;0,1-CB107/CA107,CB107/CA107-1)</f>
        <v>3.3071179222641023E-2</v>
      </c>
      <c r="CC110" s="39">
        <f t="shared" ref="CC110" si="454">+IF(CB107&lt;0,1-CC107/CB107,CC107/CB107-1)</f>
        <v>-5.357486503732356E-2</v>
      </c>
      <c r="CD110" s="39">
        <f t="shared" ref="CD110" si="455">+IF(CC107&lt;0,1-CD107/CC107,CD107/CC107-1)</f>
        <v>3.1523065233327818E-2</v>
      </c>
      <c r="CE110" s="39">
        <f t="shared" ref="CE110" si="456">+IF(CD107&lt;0,1-CE107/CD107,CE107/CD107-1)</f>
        <v>0.12781474173465956</v>
      </c>
      <c r="CF110" s="39">
        <f t="shared" ref="CF110" si="457">+IF(CE107&lt;0,1-CF107/CE107,CF107/CE107-1)</f>
        <v>-9.9852355074546928E-2</v>
      </c>
      <c r="CG110" s="39">
        <f t="shared" ref="CG110" si="458">+IF(CF107&lt;0,1-CG107/CF107,CG107/CF107-1)</f>
        <v>9.2971920640456673E-3</v>
      </c>
      <c r="CH110" s="39">
        <f t="shared" ref="CH110:CL110" si="459">+IF(CG107&lt;0,1-CH107/CG107,CH107/CG107-1)</f>
        <v>7.8087445180643034E-2</v>
      </c>
      <c r="CI110" s="39">
        <f t="shared" si="459"/>
        <v>6.0650405645043426E-2</v>
      </c>
      <c r="CJ110" s="39">
        <f t="shared" si="459"/>
        <v>-0.12817932974930635</v>
      </c>
      <c r="CK110" s="39">
        <f t="shared" si="459"/>
        <v>-0.12625484194101688</v>
      </c>
      <c r="CL110" s="39">
        <f t="shared" si="459"/>
        <v>8.1380607072461864E-2</v>
      </c>
      <c r="CM110" s="40">
        <f t="shared" ref="CM110" si="460">+CM107/CL107-1</f>
        <v>0.1722801968232297</v>
      </c>
      <c r="CN110" s="40">
        <f t="shared" ref="CN110" si="461">+CN107/CM107-1</f>
        <v>0.22613556411039371</v>
      </c>
      <c r="CO110" s="40">
        <f t="shared" ref="CO110" si="462">+CO107/CN107-1</f>
        <v>-0.10296141234043998</v>
      </c>
      <c r="CP110" s="40">
        <f t="shared" ref="CP110" si="463">+CP107/CO107-1</f>
        <v>5.3494372212569141E-2</v>
      </c>
      <c r="CQ110" s="40">
        <f t="shared" ref="CQ110" si="464">+CQ107/CP107-1</f>
        <v>4.3411347263316191E-2</v>
      </c>
      <c r="CR110" s="40">
        <f t="shared" ref="CR110" si="465">+CR107/CQ107-1</f>
        <v>6.0813031042728394E-2</v>
      </c>
      <c r="CS110" s="40">
        <f t="shared" ref="CS110" si="466">+CS107/CR107-1</f>
        <v>-0.10106995762695381</v>
      </c>
      <c r="CT110" s="40">
        <f t="shared" ref="CT110" si="467">+CT107/CS107-1</f>
        <v>5.2116971045934601E-2</v>
      </c>
      <c r="CU110" s="40">
        <f t="shared" ref="CU110" si="468">+CU107/CT107-1</f>
        <v>5.962557592203499E-2</v>
      </c>
      <c r="CV110" s="40">
        <f t="shared" ref="CV110" si="469">+CV107/CU107-1</f>
        <v>5.8007732064538242E-2</v>
      </c>
      <c r="CW110" s="40">
        <f t="shared" ref="CW110" si="470">+CW107/CV107-1</f>
        <v>-0.10066846305596455</v>
      </c>
      <c r="CX110" s="40">
        <f t="shared" ref="CX110" si="471">+CX107/CW107-1</f>
        <v>5.205367605487643E-2</v>
      </c>
      <c r="CY110" s="40">
        <f t="shared" ref="CY110" si="472">+CY107/CX107-1</f>
        <v>6.3666751903658447E-2</v>
      </c>
      <c r="CZ110" s="40">
        <f t="shared" ref="CZ110" si="473">+CZ107/CY107-1</f>
        <v>5.7948231599111777E-2</v>
      </c>
      <c r="DA110" s="40">
        <f t="shared" ref="DA110" si="474">+DA107/CZ107-1</f>
        <v>-0.10125448409737536</v>
      </c>
      <c r="DB110" s="40">
        <f t="shared" ref="DB110" si="475">+DB107/DA107-1</f>
        <v>5.254878028631671E-2</v>
      </c>
      <c r="DE110" s="122"/>
      <c r="DF110" s="39">
        <v>0.27725648161992633</v>
      </c>
    </row>
    <row r="111" spans="1:110" s="23" customFormat="1" outlineLevel="1" x14ac:dyDescent="0.2">
      <c r="A111" s="23" t="s">
        <v>7</v>
      </c>
      <c r="B111" s="23">
        <f>+'Annual Raw'!C13</f>
        <v>2107.8015558000002</v>
      </c>
      <c r="C111" s="23">
        <f>+'Annual Raw'!D13</f>
        <v>2188.79</v>
      </c>
      <c r="D111" s="23">
        <f>+'Annual Raw'!E13</f>
        <v>2783.68</v>
      </c>
      <c r="E111" s="23">
        <f>+'Annual Raw'!F13</f>
        <v>2698.83</v>
      </c>
      <c r="F111" s="23">
        <f>+'Annual Raw'!G13</f>
        <v>3011.47</v>
      </c>
      <c r="G111" s="23">
        <f>+'Annual Raw'!H13</f>
        <v>3770.73</v>
      </c>
      <c r="H111" s="23">
        <f>+'Annual Raw'!I13</f>
        <v>4626</v>
      </c>
      <c r="I111" s="23">
        <f>+'Annual Raw'!J13</f>
        <v>6512.76</v>
      </c>
      <c r="J111" s="23">
        <f>+'Annual Raw'!K13</f>
        <v>10580.25</v>
      </c>
      <c r="K111" s="23">
        <f>+'Annual Raw'!L13</f>
        <v>9805.42</v>
      </c>
      <c r="L111" s="23">
        <f>+'Annual Raw'!M13</f>
        <v>9768.0499999999993</v>
      </c>
      <c r="M111" s="23">
        <f>+'Annual Raw'!N13</f>
        <v>13087.38</v>
      </c>
      <c r="N111" s="23">
        <f>+'Annual Raw'!O13</f>
        <v>18247.330000000002</v>
      </c>
      <c r="O111" s="23">
        <f>+'Annual Raw'!P13</f>
        <v>18635.689999999999</v>
      </c>
      <c r="P111" s="23">
        <f>+'Annual Raw'!Q13</f>
        <v>17840.330000000002</v>
      </c>
      <c r="Q111" s="23">
        <f>+'Annual Raw'!R13</f>
        <v>18536.89</v>
      </c>
      <c r="R111" s="23">
        <f>+'Annual Raw'!S13</f>
        <v>18171.580000000002</v>
      </c>
      <c r="S111" s="23">
        <f>+'Annual Raw'!T13</f>
        <v>16819.82</v>
      </c>
      <c r="T111" s="23">
        <f>+'Annual Raw'!U13</f>
        <v>19512.349999999999</v>
      </c>
      <c r="U111" s="23">
        <f>+'Annual Raw'!V13</f>
        <v>17425.77</v>
      </c>
      <c r="V111" s="23">
        <f>+'Annual Raw'!W13</f>
        <v>20571.05</v>
      </c>
      <c r="W111" s="23">
        <f>+'Annual Raw'!X13</f>
        <v>27831.67</v>
      </c>
      <c r="X111" s="23">
        <f>+'Annual Raw'!Y13</f>
        <v>37959.660000000003</v>
      </c>
      <c r="Y111" s="23">
        <f>+'Annual Raw'!Z13</f>
        <v>40793.370000000003</v>
      </c>
      <c r="Z111" s="23">
        <f>+'Annual Raw'!AA13</f>
        <v>40673.19</v>
      </c>
      <c r="AA111" s="23">
        <f>+'Annual Raw'!AB13</f>
        <v>37274.370000000003</v>
      </c>
      <c r="AB111" s="76">
        <f t="shared" ref="AB111" si="476">+SUM(CM111:CP111)</f>
        <v>0</v>
      </c>
      <c r="AC111" s="76">
        <f t="shared" ref="AC111" si="477">+SUM(CQ111:CT111)</f>
        <v>0</v>
      </c>
      <c r="AD111" s="76">
        <f t="shared" ref="AD111" si="478">+SUM(CU111:CX111)</f>
        <v>0</v>
      </c>
      <c r="AE111" s="76">
        <f t="shared" ref="AE111" si="479">+SUM(CY111:DB111)</f>
        <v>0</v>
      </c>
      <c r="AI111" s="23">
        <f>'QTR Raw'!C15+'QTR Raw'!C11</f>
        <v>3843.41</v>
      </c>
      <c r="AJ111" s="23">
        <f>'QTR Raw'!D15+'QTR Raw'!D11</f>
        <v>4336.21</v>
      </c>
      <c r="AK111" s="23">
        <f>'QTR Raw'!E15+'QTR Raw'!E11</f>
        <v>5036.87</v>
      </c>
      <c r="AL111" s="23">
        <f>'QTR Raw'!F15+'QTR Raw'!F11</f>
        <v>5361.2599999999993</v>
      </c>
      <c r="AM111" s="23">
        <f>'QTR Raw'!G15+'QTR Raw'!G11</f>
        <v>4897.9500000000007</v>
      </c>
      <c r="AN111" s="23">
        <f>'QTR Raw'!H15+'QTR Raw'!H11</f>
        <v>4596.7300000000005</v>
      </c>
      <c r="AO111" s="23">
        <f>'QTR Raw'!I15+'QTR Raw'!I11</f>
        <v>4146.29</v>
      </c>
      <c r="AP111" s="23">
        <f>'QTR Raw'!J15+'QTR Raw'!J11</f>
        <v>4419.1900000000005</v>
      </c>
      <c r="AQ111" s="23">
        <f>'QTR Raw'!K15+'QTR Raw'!K11</f>
        <v>4733.1500000000005</v>
      </c>
      <c r="AR111" s="23">
        <f>'QTR Raw'!L15+'QTR Raw'!L11</f>
        <v>4381.96</v>
      </c>
      <c r="AS111" s="23">
        <f>'QTR Raw'!M15+'QTR Raw'!M11</f>
        <v>4552.9399999999996</v>
      </c>
      <c r="AT111" s="23">
        <f>'QTR Raw'!N15+'QTR Raw'!N11</f>
        <v>3673.93</v>
      </c>
      <c r="AU111" s="23">
        <f>'QTR Raw'!O15+'QTR Raw'!O11</f>
        <v>4393.5700000000006</v>
      </c>
      <c r="AV111" s="23">
        <f>'QTR Raw'!P15+'QTR Raw'!P11</f>
        <v>4798.49</v>
      </c>
      <c r="AW111" s="23">
        <f>'QTR Raw'!Q15+'QTR Raw'!Q11</f>
        <v>4495.41</v>
      </c>
      <c r="AX111" s="23">
        <f>'QTR Raw'!R15+'QTR Raw'!R11</f>
        <v>4680.68</v>
      </c>
      <c r="AY111" s="23">
        <f>'QTR Raw'!S15+'QTR Raw'!S11</f>
        <v>4233.96</v>
      </c>
      <c r="AZ111" s="23">
        <f>'QTR Raw'!T15+'QTR Raw'!T11</f>
        <v>4795.4800000000005</v>
      </c>
      <c r="BA111" s="23">
        <f>'QTR Raw'!U15+'QTR Raw'!U11</f>
        <v>4231.59</v>
      </c>
      <c r="BB111" s="23">
        <f>'QTR Raw'!V15+'QTR Raw'!V11</f>
        <v>4660.0199999999995</v>
      </c>
      <c r="BC111" s="23">
        <f>'QTR Raw'!W15+'QTR Raw'!W11</f>
        <v>3519.54</v>
      </c>
      <c r="BD111" s="23">
        <f>'QTR Raw'!X15+'QTR Raw'!X11</f>
        <v>4189.78</v>
      </c>
      <c r="BE111" s="23">
        <f>'QTR Raw'!Y15+'QTR Raw'!Y11</f>
        <v>4094.14</v>
      </c>
      <c r="BF111" s="23">
        <f>'QTR Raw'!Z15+'QTR Raw'!Z11</f>
        <v>4552.6899999999996</v>
      </c>
      <c r="BG111" s="23">
        <f>'QTR Raw'!AA15+'QTR Raw'!AA11</f>
        <v>4496.6499999999996</v>
      </c>
      <c r="BH111" s="23">
        <f>'QTR Raw'!AB15+'QTR Raw'!AB11</f>
        <v>4677.0999999999995</v>
      </c>
      <c r="BI111" s="23">
        <f>'QTR Raw'!AC15+'QTR Raw'!AC11</f>
        <v>5000.45</v>
      </c>
      <c r="BJ111" s="23">
        <f>'QTR Raw'!AD15+'QTR Raw'!AD11</f>
        <v>4744.7</v>
      </c>
      <c r="BK111" s="23">
        <f>'QTR Raw'!AE15+'QTR Raw'!AE11</f>
        <v>4465.4900000000007</v>
      </c>
      <c r="BL111" s="23">
        <f>'QTR Raw'!AF15+'QTR Raw'!AF11</f>
        <v>4425.5600000000004</v>
      </c>
      <c r="BM111" s="23">
        <f>'QTR Raw'!AG15+'QTR Raw'!AG11</f>
        <v>4286.25</v>
      </c>
      <c r="BN111" s="23">
        <f>'QTR Raw'!AH15+'QTR Raw'!AH11</f>
        <v>3922.73</v>
      </c>
      <c r="BO111" s="23">
        <f>'QTR Raw'!AI15+'QTR Raw'!AI11</f>
        <v>3708.38</v>
      </c>
      <c r="BP111" s="23">
        <f>'QTR Raw'!AJ15+'QTR Raw'!AJ11</f>
        <v>4989.5</v>
      </c>
      <c r="BQ111" s="23">
        <f>'QTR Raw'!AK15+'QTR Raw'!AK11</f>
        <v>4583.46</v>
      </c>
      <c r="BR111" s="23">
        <f>'QTR Raw'!AL15+'QTR Raw'!AL11</f>
        <v>6756.22</v>
      </c>
      <c r="BS111" s="23">
        <f>'QTR Raw'!AM15+'QTR Raw'!AM11</f>
        <v>5804.19</v>
      </c>
      <c r="BT111" s="23">
        <f>'QTR Raw'!AN15+'QTR Raw'!AN11</f>
        <v>6202.8</v>
      </c>
      <c r="BU111" s="23">
        <f>'QTR Raw'!AO15+'QTR Raw'!AO11</f>
        <v>7089.6399999999994</v>
      </c>
      <c r="BV111" s="23">
        <f>'QTR Raw'!AP15+'QTR Raw'!AP11</f>
        <v>7667.7400000000007</v>
      </c>
      <c r="BW111" s="23">
        <f>'QTR Raw'!AQ15+'QTR Raw'!AQ11</f>
        <v>10296.189999999999</v>
      </c>
      <c r="BX111" s="23">
        <f>'QTR Raw'!AR15+'QTR Raw'!AR11</f>
        <v>9828.0499999999993</v>
      </c>
      <c r="BY111" s="23">
        <f>'QTR Raw'!AS15+'QTR Raw'!AS11</f>
        <v>9065.7199999999993</v>
      </c>
      <c r="BZ111" s="23">
        <f>'QTR Raw'!AT15+'QTR Raw'!AT11</f>
        <v>7518.6</v>
      </c>
      <c r="CA111" s="23">
        <f>'QTR Raw'!AU15+'QTR Raw'!AU11</f>
        <v>9855.09</v>
      </c>
      <c r="CB111" s="23">
        <f>'QTR Raw'!AV15+'QTR Raw'!AV11</f>
        <v>10175.18</v>
      </c>
      <c r="CC111" s="23">
        <f>'QTR Raw'!AW15+'QTR Raw'!AW11</f>
        <v>9816.58</v>
      </c>
      <c r="CD111" s="23">
        <f>'QTR Raw'!AX15+'QTR Raw'!AX11</f>
        <v>9737.94</v>
      </c>
      <c r="CE111" s="23">
        <f>'QTR Raw'!AY15+'QTR Raw'!AY11+5971</f>
        <v>10930.71</v>
      </c>
      <c r="CF111" s="23">
        <f>'QTR Raw'!AZ15+'QTR Raw'!AZ11</f>
        <v>8926.4700000000012</v>
      </c>
      <c r="CG111" s="23">
        <f>'QTR Raw'!BA15+'QTR Raw'!BA11</f>
        <v>9409.74</v>
      </c>
      <c r="CH111" s="23">
        <f>'QTR Raw'!BB15+'QTR Raw'!BB11</f>
        <v>10096.490000000002</v>
      </c>
      <c r="CI111" s="23">
        <f>'QTR Raw'!BC15+'QTR Raw'!BC11+5260</f>
        <v>10763.76</v>
      </c>
      <c r="CJ111" s="23">
        <f>'QTR Raw'!BD15+'QTR Raw'!BD11</f>
        <v>9179.6299999999992</v>
      </c>
      <c r="CK111" s="23">
        <f>'QTR Raw'!BE15+'QTR Raw'!BE11</f>
        <v>7343.1100000000006</v>
      </c>
      <c r="CL111" s="23">
        <f>'QTR Raw'!BF15+'QTR Raw'!BF11</f>
        <v>8476.73</v>
      </c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E111" s="123"/>
      <c r="DF111" s="23">
        <v>35763.229999999996</v>
      </c>
    </row>
    <row r="112" spans="1:110" s="23" customFormat="1" outlineLevel="1" x14ac:dyDescent="0.2">
      <c r="A112" s="23" t="s">
        <v>8</v>
      </c>
      <c r="B112" s="23">
        <f>'Annual Raw'!C14</f>
        <v>133.60525469999999</v>
      </c>
      <c r="C112" s="23">
        <f>'Annual Raw'!D14</f>
        <v>137.15</v>
      </c>
      <c r="D112" s="23">
        <f>'Annual Raw'!E14</f>
        <v>181.63</v>
      </c>
      <c r="E112" s="23">
        <f>'Annual Raw'!F14</f>
        <v>245.5</v>
      </c>
      <c r="F112" s="23">
        <f>'Annual Raw'!G14</f>
        <v>209.4</v>
      </c>
      <c r="G112" s="23">
        <f>'Annual Raw'!H14</f>
        <v>234.95</v>
      </c>
      <c r="H112" s="23">
        <f>'Annual Raw'!I14</f>
        <v>275.20999999999998</v>
      </c>
      <c r="I112" s="23">
        <f>'Annual Raw'!J14</f>
        <v>448.32</v>
      </c>
      <c r="J112" s="23">
        <f>'Annual Raw'!K14</f>
        <v>600.79999999999995</v>
      </c>
      <c r="K112" s="23">
        <f>'Annual Raw'!L14</f>
        <v>788.18</v>
      </c>
      <c r="L112" s="23">
        <f>'Annual Raw'!M14</f>
        <v>825.93</v>
      </c>
      <c r="M112" s="23">
        <f>'Annual Raw'!N14</f>
        <v>1146.26</v>
      </c>
      <c r="N112" s="23">
        <f>'Annual Raw'!O14</f>
        <v>1322.95</v>
      </c>
      <c r="O112" s="23">
        <f>'Annual Raw'!P14</f>
        <v>1349.35</v>
      </c>
      <c r="P112" s="23">
        <f>'Annual Raw'!Q14</f>
        <v>1545.67</v>
      </c>
      <c r="Q112" s="23">
        <f>'Annual Raw'!R14</f>
        <v>1227.51</v>
      </c>
      <c r="R112" s="23">
        <f>'Annual Raw'!S14</f>
        <v>1261.1099999999999</v>
      </c>
      <c r="S112" s="23">
        <f>'Annual Raw'!T14</f>
        <v>1381.92</v>
      </c>
      <c r="T112" s="23">
        <f>'Annual Raw'!U14</f>
        <v>1339.05</v>
      </c>
      <c r="U112" s="23">
        <f>'Annual Raw'!V14</f>
        <v>1440.64</v>
      </c>
      <c r="V112" s="23">
        <f>'Annual Raw'!W14</f>
        <v>2316.67</v>
      </c>
      <c r="W112" s="23">
        <f>'Annual Raw'!X14</f>
        <v>3611.63</v>
      </c>
      <c r="X112" s="23">
        <f>'Annual Raw'!Y14</f>
        <v>3624.26</v>
      </c>
      <c r="Y112" s="23">
        <f>'Annual Raw'!Z14</f>
        <v>4036.09</v>
      </c>
      <c r="Z112" s="23">
        <f>'Annual Raw'!AA14</f>
        <v>4372.92</v>
      </c>
      <c r="AA112" s="23">
        <f>'Annual Raw'!AB14</f>
        <v>4693.7299999999996</v>
      </c>
      <c r="AB112" s="76">
        <f t="shared" ref="AB112" si="480">+SUM(CM112:CP112)</f>
        <v>5022.2910999999995</v>
      </c>
      <c r="AC112" s="76">
        <f t="shared" ref="AC112" si="481">+SUM(CQ112:CT112)</f>
        <v>5373.8514770000002</v>
      </c>
      <c r="AD112" s="76">
        <f t="shared" ref="AD112" si="482">+SUM(CU112:CX112)</f>
        <v>5750.0210803900009</v>
      </c>
      <c r="AE112" s="76">
        <f t="shared" ref="AE112" si="483">+SUM(CY112:DB112)</f>
        <v>6152.5225560173003</v>
      </c>
      <c r="AI112" s="23">
        <f>'QTR Raw'!C16</f>
        <v>309.79000000000002</v>
      </c>
      <c r="AJ112" s="23">
        <f>'QTR Raw'!D16</f>
        <v>345.32</v>
      </c>
      <c r="AK112" s="23">
        <f>'QTR Raw'!E16</f>
        <v>333.66</v>
      </c>
      <c r="AL112" s="23">
        <f>'QTR Raw'!F16</f>
        <v>334.18</v>
      </c>
      <c r="AM112" s="23">
        <f>'QTR Raw'!G16</f>
        <v>330.16</v>
      </c>
      <c r="AN112" s="23">
        <f>'QTR Raw'!H16</f>
        <v>307.39999999999998</v>
      </c>
      <c r="AO112" s="23">
        <f>'QTR Raw'!I16</f>
        <v>323.02999999999997</v>
      </c>
      <c r="AP112" s="23">
        <f>'QTR Raw'!J16</f>
        <v>388.76</v>
      </c>
      <c r="AQ112" s="23">
        <f>'QTR Raw'!K16</f>
        <v>370.78</v>
      </c>
      <c r="AR112" s="23">
        <f>'QTR Raw'!L16</f>
        <v>379.26</v>
      </c>
      <c r="AS112" s="23">
        <f>'QTR Raw'!M16</f>
        <v>367.6</v>
      </c>
      <c r="AT112" s="23">
        <f>'QTR Raw'!N16</f>
        <v>428.03</v>
      </c>
      <c r="AU112" s="23">
        <f>'QTR Raw'!O16</f>
        <v>304.82</v>
      </c>
      <c r="AV112" s="23">
        <f>'QTR Raw'!P16</f>
        <v>308.44</v>
      </c>
      <c r="AW112" s="23">
        <f>'QTR Raw'!Q16</f>
        <v>298.27999999999997</v>
      </c>
      <c r="AX112" s="23">
        <f>'QTR Raw'!R16</f>
        <v>315.97000000000003</v>
      </c>
      <c r="AY112" s="23">
        <f>'QTR Raw'!S16</f>
        <v>311.57</v>
      </c>
      <c r="AZ112" s="23">
        <f>'QTR Raw'!T16</f>
        <v>307.08</v>
      </c>
      <c r="BA112" s="23">
        <f>'QTR Raw'!U16</f>
        <v>285.89999999999998</v>
      </c>
      <c r="BB112" s="23">
        <f>'QTR Raw'!V16</f>
        <v>372.28</v>
      </c>
      <c r="BC112" s="23">
        <f>'QTR Raw'!W16</f>
        <v>317.95999999999998</v>
      </c>
      <c r="BD112" s="23">
        <f>'QTR Raw'!X16</f>
        <v>378.09</v>
      </c>
      <c r="BE112" s="23">
        <f>'QTR Raw'!Y16</f>
        <v>338.62</v>
      </c>
      <c r="BF112" s="23">
        <f>'QTR Raw'!Z16</f>
        <v>347.25</v>
      </c>
      <c r="BG112" s="23">
        <f>'QTR Raw'!AA16</f>
        <v>334.07</v>
      </c>
      <c r="BH112" s="23">
        <f>'QTR Raw'!AB16</f>
        <v>341.26</v>
      </c>
      <c r="BI112" s="23">
        <f>'QTR Raw'!AC16</f>
        <v>339.24</v>
      </c>
      <c r="BJ112" s="23">
        <f>'QTR Raw'!AD16</f>
        <v>324.48</v>
      </c>
      <c r="BK112" s="23">
        <f>'QTR Raw'!AE16</f>
        <v>347.68</v>
      </c>
      <c r="BL112" s="23">
        <f>'QTR Raw'!AF16</f>
        <v>359.59</v>
      </c>
      <c r="BM112" s="23">
        <f>'QTR Raw'!AG16</f>
        <v>367.77</v>
      </c>
      <c r="BN112" s="23">
        <f>'QTR Raw'!AH16</f>
        <v>365.6</v>
      </c>
      <c r="BO112" s="23">
        <f>'QTR Raw'!AI16</f>
        <v>405.25</v>
      </c>
      <c r="BP112" s="23">
        <f>'QTR Raw'!AJ16</f>
        <v>575.29</v>
      </c>
      <c r="BQ112" s="23">
        <f>'QTR Raw'!AK16</f>
        <v>498.8</v>
      </c>
      <c r="BR112" s="23">
        <f>'QTR Raw'!AL16</f>
        <v>832.22</v>
      </c>
      <c r="BS112" s="23">
        <f>'QTR Raw'!AM16</f>
        <v>879.96</v>
      </c>
      <c r="BT112" s="23">
        <f>'QTR Raw'!AN16</f>
        <v>802.03</v>
      </c>
      <c r="BU112" s="23">
        <f>'QTR Raw'!AO16</f>
        <v>970.21</v>
      </c>
      <c r="BV112" s="23">
        <f>'QTR Raw'!AP16</f>
        <v>959.43</v>
      </c>
      <c r="BW112" s="23">
        <f>'QTR Raw'!AQ16</f>
        <v>939.52</v>
      </c>
      <c r="BX112" s="23">
        <f>'QTR Raw'!AR16</f>
        <v>916.38</v>
      </c>
      <c r="BY112" s="23">
        <f>'QTR Raw'!AS16</f>
        <v>917.17</v>
      </c>
      <c r="BZ112" s="23">
        <f>'QTR Raw'!AT16</f>
        <v>851.19</v>
      </c>
      <c r="CA112" s="23">
        <f>'QTR Raw'!AU16</f>
        <v>975.14</v>
      </c>
      <c r="CB112" s="23">
        <f>'QTR Raw'!AV16</f>
        <v>994.9</v>
      </c>
      <c r="CC112" s="23">
        <f>'QTR Raw'!AW16</f>
        <v>981.55</v>
      </c>
      <c r="CD112" s="23">
        <f>'QTR Raw'!AX16</f>
        <v>1084.5</v>
      </c>
      <c r="CE112" s="23">
        <f>'QTR Raw'!AY16</f>
        <v>1013.62</v>
      </c>
      <c r="CF112" s="23">
        <f>'QTR Raw'!AZ16</f>
        <v>1040.72</v>
      </c>
      <c r="CG112" s="23">
        <f>'QTR Raw'!BA16</f>
        <v>1057.94</v>
      </c>
      <c r="CH112" s="23">
        <f>'QTR Raw'!BB16</f>
        <v>1260.6400000000001</v>
      </c>
      <c r="CI112" s="23">
        <f>'QTR Raw'!BC16</f>
        <v>1161.3599999999999</v>
      </c>
      <c r="CJ112" s="23">
        <f>'QTR Raw'!BD16</f>
        <v>1102.1099999999999</v>
      </c>
      <c r="CK112" s="23">
        <f>'QTR Raw'!BE16</f>
        <v>1196.49</v>
      </c>
      <c r="CL112" s="23">
        <f>'QTR Raw'!BF16</f>
        <v>1233.77</v>
      </c>
      <c r="CM112" s="24">
        <f t="shared" ref="CM112:DB112" si="484">CI112*107%</f>
        <v>1242.6551999999999</v>
      </c>
      <c r="CN112" s="24">
        <f t="shared" si="484"/>
        <v>1179.2576999999999</v>
      </c>
      <c r="CO112" s="24">
        <f t="shared" si="484"/>
        <v>1280.2443000000001</v>
      </c>
      <c r="CP112" s="24">
        <f t="shared" si="484"/>
        <v>1320.1339</v>
      </c>
      <c r="CQ112" s="24">
        <f t="shared" si="484"/>
        <v>1329.6410639999999</v>
      </c>
      <c r="CR112" s="24">
        <f t="shared" si="484"/>
        <v>1261.8057389999999</v>
      </c>
      <c r="CS112" s="24">
        <f t="shared" si="484"/>
        <v>1369.8614010000001</v>
      </c>
      <c r="CT112" s="24">
        <f t="shared" si="484"/>
        <v>1412.5432730000002</v>
      </c>
      <c r="CU112" s="24">
        <f t="shared" si="484"/>
        <v>1422.71593848</v>
      </c>
      <c r="CV112" s="24">
        <f t="shared" si="484"/>
        <v>1350.1321407299999</v>
      </c>
      <c r="CW112" s="24">
        <f t="shared" si="484"/>
        <v>1465.7516990700003</v>
      </c>
      <c r="CX112" s="24">
        <f t="shared" si="484"/>
        <v>1511.4213021100004</v>
      </c>
      <c r="CY112" s="24">
        <f t="shared" si="484"/>
        <v>1522.3060541736002</v>
      </c>
      <c r="CZ112" s="24">
        <f t="shared" si="484"/>
        <v>1444.6413905811</v>
      </c>
      <c r="DA112" s="24">
        <f t="shared" si="484"/>
        <v>1568.3543180049005</v>
      </c>
      <c r="DB112" s="24">
        <f t="shared" si="484"/>
        <v>1617.2207932577005</v>
      </c>
      <c r="DE112" s="123"/>
      <c r="DF112" s="23">
        <v>1348.8848000000003</v>
      </c>
    </row>
    <row r="113" spans="1:110" s="23" customFormat="1" outlineLevel="1" x14ac:dyDescent="0.2">
      <c r="A113" s="23" t="s">
        <v>10</v>
      </c>
      <c r="B113" s="23">
        <f>'Annual Raw'!C17</f>
        <v>101.0173367</v>
      </c>
      <c r="C113" s="23">
        <f>'Annual Raw'!D17</f>
        <v>64.540000000000006</v>
      </c>
      <c r="D113" s="23">
        <f>'Annual Raw'!E17</f>
        <v>73.150000000000006</v>
      </c>
      <c r="E113" s="23">
        <f>'Annual Raw'!F17</f>
        <v>100.9</v>
      </c>
      <c r="F113" s="23">
        <f>'Annual Raw'!G17</f>
        <v>195.38</v>
      </c>
      <c r="G113" s="23">
        <f>'Annual Raw'!H17</f>
        <v>99.68</v>
      </c>
      <c r="H113" s="23">
        <f>'Annual Raw'!I17</f>
        <v>97.03</v>
      </c>
      <c r="I113" s="23">
        <f>'Annual Raw'!J17</f>
        <v>157.74</v>
      </c>
      <c r="J113" s="23">
        <f>'Annual Raw'!K17</f>
        <v>65.09</v>
      </c>
      <c r="K113" s="23">
        <f>'Annual Raw'!L17</f>
        <v>111.64</v>
      </c>
      <c r="L113" s="23">
        <f>'Annual Raw'!M17</f>
        <v>245.64</v>
      </c>
      <c r="M113" s="23">
        <f>'Annual Raw'!N17</f>
        <v>465.67</v>
      </c>
      <c r="N113" s="23">
        <f>'Annual Raw'!O17</f>
        <v>384.99</v>
      </c>
      <c r="O113" s="23">
        <f>'Annual Raw'!P17</f>
        <v>544.33000000000004</v>
      </c>
      <c r="P113" s="23">
        <f>'Annual Raw'!Q17</f>
        <v>594.5</v>
      </c>
      <c r="Q113" s="23">
        <f>'Annual Raw'!R17</f>
        <v>590.29</v>
      </c>
      <c r="R113" s="23">
        <f>'Annual Raw'!S17</f>
        <v>572.04</v>
      </c>
      <c r="S113" s="23">
        <f>'Annual Raw'!T17</f>
        <v>653.69000000000005</v>
      </c>
      <c r="T113" s="23">
        <f>'Annual Raw'!U17</f>
        <v>574.94000000000005</v>
      </c>
      <c r="U113" s="23">
        <f>'Annual Raw'!V17</f>
        <v>640.89</v>
      </c>
      <c r="V113" s="23">
        <f>'Annual Raw'!W17</f>
        <v>770.13</v>
      </c>
      <c r="W113" s="23">
        <f>'Annual Raw'!X17</f>
        <v>1211.6400000000001</v>
      </c>
      <c r="X113" s="23">
        <f>'Annual Raw'!Y17</f>
        <v>1740.07</v>
      </c>
      <c r="Y113" s="23">
        <f>'Annual Raw'!Z17</f>
        <v>1785.81</v>
      </c>
      <c r="Z113" s="23">
        <f>'Annual Raw'!AA17</f>
        <v>749.09</v>
      </c>
      <c r="AA113" s="23">
        <f>'Annual Raw'!AB17</f>
        <v>863.74</v>
      </c>
      <c r="AB113" s="76">
        <f t="shared" ref="AB113:AB116" si="485">+SUM(CM113:CP113)</f>
        <v>0</v>
      </c>
      <c r="AC113" s="76">
        <f t="shared" ref="AC113:AC116" si="486">+SUM(CQ113:CT113)</f>
        <v>0</v>
      </c>
      <c r="AD113" s="76">
        <f t="shared" ref="AD113:AD116" si="487">+SUM(CU113:CX113)</f>
        <v>0</v>
      </c>
      <c r="AE113" s="76">
        <f t="shared" ref="AE113:AE116" si="488">+SUM(CY113:DB113)</f>
        <v>0</v>
      </c>
      <c r="AI113" s="23">
        <f>'QTR Raw'!C17</f>
        <v>0</v>
      </c>
      <c r="AJ113" s="23">
        <f>'QTR Raw'!D17</f>
        <v>0</v>
      </c>
      <c r="AK113" s="23">
        <f>'QTR Raw'!E17</f>
        <v>0</v>
      </c>
      <c r="AL113" s="23">
        <f>'QTR Raw'!F17</f>
        <v>0</v>
      </c>
      <c r="AM113" s="23">
        <f>'QTR Raw'!G17</f>
        <v>0</v>
      </c>
      <c r="AN113" s="23">
        <f>'QTR Raw'!H17</f>
        <v>0</v>
      </c>
      <c r="AO113" s="23">
        <f>'QTR Raw'!I17</f>
        <v>0</v>
      </c>
      <c r="AP113" s="23">
        <f>'QTR Raw'!J17</f>
        <v>0</v>
      </c>
      <c r="AQ113" s="23">
        <f>'QTR Raw'!K17</f>
        <v>0</v>
      </c>
      <c r="AR113" s="23">
        <f>'QTR Raw'!L17</f>
        <v>0</v>
      </c>
      <c r="AS113" s="23">
        <f>'QTR Raw'!M17</f>
        <v>0</v>
      </c>
      <c r="AT113" s="23">
        <f>'QTR Raw'!N17</f>
        <v>0</v>
      </c>
      <c r="AU113" s="23">
        <f>'QTR Raw'!O17</f>
        <v>0</v>
      </c>
      <c r="AV113" s="23">
        <f>'QTR Raw'!P17</f>
        <v>0</v>
      </c>
      <c r="AW113" s="23">
        <f>'QTR Raw'!Q17</f>
        <v>0</v>
      </c>
      <c r="AX113" s="23">
        <f>'QTR Raw'!R17</f>
        <v>0</v>
      </c>
      <c r="AY113" s="23">
        <f>'QTR Raw'!S17</f>
        <v>0</v>
      </c>
      <c r="AZ113" s="23">
        <f>'QTR Raw'!T17</f>
        <v>0</v>
      </c>
      <c r="BA113" s="23">
        <f>'QTR Raw'!U17</f>
        <v>0</v>
      </c>
      <c r="BB113" s="23">
        <f>'QTR Raw'!V17</f>
        <v>0</v>
      </c>
      <c r="BC113" s="23">
        <f>'QTR Raw'!W17</f>
        <v>0</v>
      </c>
      <c r="BD113" s="23">
        <f>'QTR Raw'!X17</f>
        <v>0</v>
      </c>
      <c r="BE113" s="23">
        <f>'QTR Raw'!Y17</f>
        <v>0</v>
      </c>
      <c r="BF113" s="23">
        <f>'QTR Raw'!Z17</f>
        <v>0</v>
      </c>
      <c r="BG113" s="23">
        <f>'QTR Raw'!AA17</f>
        <v>0</v>
      </c>
      <c r="BH113" s="23">
        <f>'QTR Raw'!AB17</f>
        <v>0</v>
      </c>
      <c r="BI113" s="23">
        <f>'QTR Raw'!AC17</f>
        <v>0</v>
      </c>
      <c r="BJ113" s="23">
        <f>'QTR Raw'!AD17</f>
        <v>0</v>
      </c>
      <c r="BK113" s="23">
        <f>'QTR Raw'!AE17</f>
        <v>0</v>
      </c>
      <c r="BL113" s="23">
        <f>'QTR Raw'!AF17</f>
        <v>0</v>
      </c>
      <c r="BM113" s="23">
        <f>'QTR Raw'!AG17</f>
        <v>0</v>
      </c>
      <c r="BN113" s="23">
        <f>'QTR Raw'!AH17</f>
        <v>0</v>
      </c>
      <c r="BO113" s="23">
        <f>'QTR Raw'!AI17</f>
        <v>0</v>
      </c>
      <c r="BP113" s="23">
        <f>'QTR Raw'!AJ17</f>
        <v>0</v>
      </c>
      <c r="BQ113" s="23">
        <f>'QTR Raw'!AK17</f>
        <v>0</v>
      </c>
      <c r="BR113" s="23">
        <f>'QTR Raw'!AL17</f>
        <v>0</v>
      </c>
      <c r="BS113" s="23">
        <f>'QTR Raw'!AM17</f>
        <v>0</v>
      </c>
      <c r="BT113" s="23">
        <f>'QTR Raw'!AN17</f>
        <v>0</v>
      </c>
      <c r="BU113" s="23">
        <f>'QTR Raw'!AO17</f>
        <v>0</v>
      </c>
      <c r="BV113" s="23">
        <f>'QTR Raw'!AP17</f>
        <v>0</v>
      </c>
      <c r="BW113" s="23">
        <f>'QTR Raw'!AQ17</f>
        <v>0</v>
      </c>
      <c r="BX113" s="23">
        <f>'QTR Raw'!AR17</f>
        <v>0</v>
      </c>
      <c r="BY113" s="23">
        <f>'QTR Raw'!AS17</f>
        <v>0</v>
      </c>
      <c r="BZ113" s="23">
        <f>'QTR Raw'!AT17</f>
        <v>0</v>
      </c>
      <c r="CA113" s="23">
        <f>'QTR Raw'!AU17</f>
        <v>0</v>
      </c>
      <c r="CB113" s="23">
        <f>'QTR Raw'!AV17</f>
        <v>0</v>
      </c>
      <c r="CC113" s="23">
        <f>'QTR Raw'!AW17</f>
        <v>0</v>
      </c>
      <c r="CD113" s="23">
        <f>'QTR Raw'!AX17</f>
        <v>0</v>
      </c>
      <c r="CE113" s="23">
        <f>'QTR Raw'!AY17</f>
        <v>0</v>
      </c>
      <c r="CF113" s="23">
        <f>'QTR Raw'!AZ17</f>
        <v>0</v>
      </c>
      <c r="CG113" s="23">
        <f>'QTR Raw'!BA17</f>
        <v>0</v>
      </c>
      <c r="CH113" s="23">
        <f>'QTR Raw'!BB17</f>
        <v>0</v>
      </c>
      <c r="CI113" s="23">
        <f>'QTR Raw'!BC17</f>
        <v>0</v>
      </c>
      <c r="CJ113" s="23">
        <f>'QTR Raw'!BD17</f>
        <v>0</v>
      </c>
      <c r="CK113" s="23">
        <f>'QTR Raw'!BE17</f>
        <v>0</v>
      </c>
      <c r="CL113" s="23">
        <f>'QTR Raw'!BF17</f>
        <v>0</v>
      </c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E113" s="123"/>
      <c r="DF113" s="23">
        <v>0</v>
      </c>
    </row>
    <row r="114" spans="1:110" s="23" customFormat="1" outlineLevel="1" x14ac:dyDescent="0.2">
      <c r="A114" s="23" t="s">
        <v>12</v>
      </c>
      <c r="B114" s="23">
        <f>'Annual Raw'!C19-'Annual Raw'!C20</f>
        <v>145.92908180000001</v>
      </c>
      <c r="C114" s="23">
        <f>'Annual Raw'!D19-'Annual Raw'!D20</f>
        <v>195.68</v>
      </c>
      <c r="D114" s="23">
        <f>'Annual Raw'!E19-'Annual Raw'!E20</f>
        <v>163.08000000000001</v>
      </c>
      <c r="E114" s="23">
        <f>'Annual Raw'!F19-'Annual Raw'!F20</f>
        <v>151.29</v>
      </c>
      <c r="F114" s="23">
        <f>'Annual Raw'!G19-'Annual Raw'!G20</f>
        <v>139.97</v>
      </c>
      <c r="G114" s="23">
        <f>'Annual Raw'!H19-'Annual Raw'!H20</f>
        <v>96.56</v>
      </c>
      <c r="H114" s="23">
        <f>'Annual Raw'!I19-'Annual Raw'!I20</f>
        <v>66.44</v>
      </c>
      <c r="I114" s="23">
        <f>'Annual Raw'!J19-'Annual Raw'!J20</f>
        <v>96.34</v>
      </c>
      <c r="J114" s="23">
        <f>'Annual Raw'!K19-'Annual Raw'!K20</f>
        <v>106.87</v>
      </c>
      <c r="K114" s="23">
        <f>'Annual Raw'!L19-'Annual Raw'!L20</f>
        <v>1002.68</v>
      </c>
      <c r="L114" s="23">
        <f>'Annual Raw'!M19-'Annual Raw'!M20</f>
        <v>230.95</v>
      </c>
      <c r="M114" s="23">
        <f>'Annual Raw'!N19-'Annual Raw'!N20</f>
        <v>720.9</v>
      </c>
      <c r="N114" s="23">
        <f>'Annual Raw'!O19-'Annual Raw'!O20</f>
        <v>1011.53</v>
      </c>
      <c r="O114" s="23">
        <f>'Annual Raw'!P19-'Annual Raw'!P20</f>
        <v>1272.8900000000001</v>
      </c>
      <c r="P114" s="23">
        <f>'Annual Raw'!Q19-'Annual Raw'!Q20</f>
        <v>469.21</v>
      </c>
      <c r="Q114" s="23">
        <f>'Annual Raw'!R19-'Annual Raw'!R20</f>
        <v>997.21</v>
      </c>
      <c r="R114" s="23">
        <f>'Annual Raw'!S19-'Annual Raw'!S20</f>
        <v>375.58</v>
      </c>
      <c r="S114" s="23">
        <f>'Annual Raw'!T19-'Annual Raw'!T20</f>
        <v>285.31</v>
      </c>
      <c r="T114" s="23">
        <f>'Annual Raw'!U19-'Annual Raw'!U20</f>
        <v>363.64</v>
      </c>
      <c r="U114" s="23">
        <f>'Annual Raw'!V19-'Annual Raw'!V20</f>
        <v>275.16000000000003</v>
      </c>
      <c r="V114" s="23">
        <f>'Annual Raw'!W19-'Annual Raw'!W20</f>
        <v>288.60000000000002</v>
      </c>
      <c r="W114" s="23">
        <f>'Annual Raw'!X19-'Annual Raw'!X20</f>
        <v>495.3</v>
      </c>
      <c r="X114" s="23">
        <f>'Annual Raw'!Y19-'Annual Raw'!Y20</f>
        <v>1225.6099999999999</v>
      </c>
      <c r="Y114" s="23">
        <f>'Annual Raw'!Z19-'Annual Raw'!Z20</f>
        <v>808.13</v>
      </c>
      <c r="Z114" s="23">
        <f>'Annual Raw'!AA19-'Annual Raw'!AA20</f>
        <v>937.43</v>
      </c>
      <c r="AA114" s="23">
        <f>'Annual Raw'!AB19-'Annual Raw'!AB20</f>
        <v>1043.47</v>
      </c>
      <c r="AB114" s="76">
        <f t="shared" si="485"/>
        <v>0</v>
      </c>
      <c r="AC114" s="76">
        <f t="shared" si="486"/>
        <v>0</v>
      </c>
      <c r="AD114" s="76">
        <f t="shared" si="487"/>
        <v>0</v>
      </c>
      <c r="AE114" s="76">
        <f t="shared" si="488"/>
        <v>0</v>
      </c>
      <c r="AI114" s="23">
        <f>+'QTR Raw'!C21</f>
        <v>0</v>
      </c>
      <c r="AJ114" s="23">
        <f>+'QTR Raw'!D21</f>
        <v>0</v>
      </c>
      <c r="AK114" s="23">
        <f>+'QTR Raw'!E21</f>
        <v>0</v>
      </c>
      <c r="AL114" s="23">
        <f>+'QTR Raw'!F21</f>
        <v>0</v>
      </c>
      <c r="AM114" s="23">
        <f>+'QTR Raw'!G21</f>
        <v>0</v>
      </c>
      <c r="AN114" s="23">
        <f>+'QTR Raw'!H21</f>
        <v>0</v>
      </c>
      <c r="AO114" s="23">
        <f>+'QTR Raw'!I21</f>
        <v>0</v>
      </c>
      <c r="AP114" s="23">
        <f>+'QTR Raw'!J21</f>
        <v>0</v>
      </c>
      <c r="AQ114" s="23">
        <f>+'QTR Raw'!K21</f>
        <v>0</v>
      </c>
      <c r="AR114" s="23">
        <f>+'QTR Raw'!L21</f>
        <v>0</v>
      </c>
      <c r="AS114" s="23">
        <f>+'QTR Raw'!M21</f>
        <v>0</v>
      </c>
      <c r="AT114" s="23">
        <f>+'QTR Raw'!N21</f>
        <v>0</v>
      </c>
      <c r="AU114" s="23">
        <f>+'QTR Raw'!O21</f>
        <v>0</v>
      </c>
      <c r="AV114" s="23">
        <f>+'QTR Raw'!P21</f>
        <v>0</v>
      </c>
      <c r="AW114" s="23">
        <f>+'QTR Raw'!Q21</f>
        <v>588.73</v>
      </c>
      <c r="AX114" s="23">
        <f>+'QTR Raw'!R21</f>
        <v>0</v>
      </c>
      <c r="AY114" s="23">
        <f>+'QTR Raw'!S21</f>
        <v>0</v>
      </c>
      <c r="AZ114" s="23">
        <f>+'QTR Raw'!T21</f>
        <v>-70.88</v>
      </c>
      <c r="BA114" s="23">
        <f>+'QTR Raw'!U21</f>
        <v>-135.18</v>
      </c>
      <c r="BB114" s="23">
        <f>+'QTR Raw'!V21</f>
        <v>128.76</v>
      </c>
      <c r="BC114" s="23">
        <f>+'QTR Raw'!W21</f>
        <v>249.09</v>
      </c>
      <c r="BD114" s="23">
        <f>+'QTR Raw'!X21</f>
        <v>264.12</v>
      </c>
      <c r="BE114" s="23">
        <f>+'QTR Raw'!Y21</f>
        <v>-145.85</v>
      </c>
      <c r="BF114" s="23">
        <f>+'QTR Raw'!Z21</f>
        <v>42.49</v>
      </c>
      <c r="BG114" s="23">
        <f>+'QTR Raw'!AA21</f>
        <v>116.64</v>
      </c>
      <c r="BH114" s="23">
        <f>+'QTR Raw'!AB21</f>
        <v>74.12</v>
      </c>
      <c r="BI114" s="23">
        <f>+'QTR Raw'!AC21</f>
        <v>72.06</v>
      </c>
      <c r="BJ114" s="23">
        <f>+'QTR Raw'!AD21</f>
        <v>-366.09</v>
      </c>
      <c r="BK114" s="23">
        <f>+'QTR Raw'!AE21</f>
        <v>200</v>
      </c>
      <c r="BL114" s="23">
        <f>+'QTR Raw'!AF21</f>
        <v>348.98</v>
      </c>
      <c r="BM114" s="23">
        <f>+'QTR Raw'!AG21</f>
        <v>-100.22</v>
      </c>
      <c r="BN114" s="23">
        <f>+'QTR Raw'!AH21</f>
        <v>-260.07</v>
      </c>
      <c r="BO114" s="23">
        <f>+'QTR Raw'!AI21</f>
        <v>-218.5</v>
      </c>
      <c r="BP114" s="23">
        <f>+'QTR Raw'!AJ21</f>
        <v>-138.15</v>
      </c>
      <c r="BQ114" s="23">
        <f>+'QTR Raw'!AK21</f>
        <v>-157.59</v>
      </c>
      <c r="BR114" s="23">
        <f>+'QTR Raw'!AL21</f>
        <v>-16.670000000000002</v>
      </c>
      <c r="BS114" s="23">
        <f>+'QTR Raw'!AM21</f>
        <v>158.16</v>
      </c>
      <c r="BT114" s="23">
        <f>+'QTR Raw'!AN21</f>
        <v>308.29000000000002</v>
      </c>
      <c r="BU114" s="23">
        <f>+'QTR Raw'!AO21</f>
        <v>-101.8</v>
      </c>
      <c r="BV114" s="23">
        <f>+'QTR Raw'!AP21</f>
        <v>-125.18</v>
      </c>
      <c r="BW114" s="23">
        <f>+'QTR Raw'!AQ21</f>
        <v>-280.42</v>
      </c>
      <c r="BX114" s="23">
        <f>+'QTR Raw'!AR21</f>
        <v>-132.05000000000001</v>
      </c>
      <c r="BY114" s="23">
        <f>+'QTR Raw'!AS21</f>
        <v>-210.01</v>
      </c>
      <c r="BZ114" s="23">
        <f>+'QTR Raw'!AT21</f>
        <v>-301.57</v>
      </c>
      <c r="CA114" s="23">
        <f>+'QTR Raw'!AU21</f>
        <v>209.96</v>
      </c>
      <c r="CB114" s="23">
        <f>+'QTR Raw'!AV21</f>
        <v>295.62</v>
      </c>
      <c r="CC114" s="23">
        <f>+'QTR Raw'!AW21</f>
        <v>-189.72</v>
      </c>
      <c r="CD114" s="23">
        <f>+'QTR Raw'!AX21</f>
        <v>-409.29</v>
      </c>
      <c r="CE114" s="23">
        <f>+'QTR Raw'!AY21</f>
        <v>483.96</v>
      </c>
      <c r="CF114" s="23">
        <f>+'QTR Raw'!AZ21</f>
        <v>450.55</v>
      </c>
      <c r="CG114" s="23">
        <f>+'QTR Raw'!BA21</f>
        <v>273.57</v>
      </c>
      <c r="CH114" s="23">
        <f>+'QTR Raw'!BB21</f>
        <v>-231.91</v>
      </c>
      <c r="CI114" s="23">
        <f>+'QTR Raw'!BC21</f>
        <v>570.76</v>
      </c>
      <c r="CJ114" s="23">
        <f>+'QTR Raw'!BD21</f>
        <v>-224.16</v>
      </c>
      <c r="CK114" s="23">
        <f>+'QTR Raw'!BE21</f>
        <v>-536.91999999999996</v>
      </c>
      <c r="CL114" s="23">
        <f>+'QTR Raw'!BF21</f>
        <v>-1061.72</v>
      </c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E114" s="123"/>
      <c r="DF114" s="23">
        <v>-1252.04</v>
      </c>
    </row>
    <row r="115" spans="1:110" s="23" customFormat="1" outlineLevel="1" x14ac:dyDescent="0.2">
      <c r="A115" s="23" t="s">
        <v>9</v>
      </c>
      <c r="B115" s="23">
        <f>'Annual Raw'!C15+'Annual Raw'!C16</f>
        <v>151.80271089999999</v>
      </c>
      <c r="C115" s="23">
        <f>'Annual Raw'!D15+'Annual Raw'!D16</f>
        <v>195.58</v>
      </c>
      <c r="D115" s="23">
        <f>'Annual Raw'!E15+'Annual Raw'!E16</f>
        <v>190.96</v>
      </c>
      <c r="E115" s="23">
        <f>'Annual Raw'!F15+'Annual Raw'!F16</f>
        <v>322.60000000000002</v>
      </c>
      <c r="F115" s="23">
        <f>'Annual Raw'!G15+'Annual Raw'!G16</f>
        <v>237.45</v>
      </c>
      <c r="G115" s="23">
        <f>'Annual Raw'!H15+'Annual Raw'!H16</f>
        <v>470.94</v>
      </c>
      <c r="H115" s="23">
        <f>'Annual Raw'!I15+'Annual Raw'!I16</f>
        <v>333.98</v>
      </c>
      <c r="I115" s="23">
        <f>'Annual Raw'!J15+'Annual Raw'!J16</f>
        <v>1298.52</v>
      </c>
      <c r="J115" s="23">
        <f>'Annual Raw'!K15+'Annual Raw'!K16</f>
        <v>2649.65</v>
      </c>
      <c r="K115" s="23">
        <f>'Annual Raw'!L15+'Annual Raw'!L16</f>
        <v>3263.58</v>
      </c>
      <c r="L115" s="23">
        <f>'Annual Raw'!M15+'Annual Raw'!M16</f>
        <v>3772.17</v>
      </c>
      <c r="M115" s="23">
        <f>'Annual Raw'!N15+'Annual Raw'!N16</f>
        <v>5459.99</v>
      </c>
      <c r="N115" s="23">
        <f>'Annual Raw'!O15+'Annual Raw'!O16</f>
        <v>5281.51</v>
      </c>
      <c r="O115" s="23">
        <f>'Annual Raw'!P15+'Annual Raw'!P16</f>
        <v>6124.57</v>
      </c>
      <c r="P115" s="23">
        <f>'Annual Raw'!Q15+'Annual Raw'!Q16</f>
        <v>5999.97</v>
      </c>
      <c r="Q115" s="23">
        <f>'Annual Raw'!R15+'Annual Raw'!R16</f>
        <v>1597.16</v>
      </c>
      <c r="R115" s="23">
        <f>'Annual Raw'!S15+'Annual Raw'!S16</f>
        <v>1357.17</v>
      </c>
      <c r="S115" s="23">
        <f>'Annual Raw'!T15+'Annual Raw'!T16</f>
        <v>1408.26</v>
      </c>
      <c r="T115" s="23">
        <f>'Annual Raw'!U15+'Annual Raw'!U16</f>
        <v>1337.16</v>
      </c>
      <c r="U115" s="23">
        <f>'Annual Raw'!V15+'Annual Raw'!V16</f>
        <v>1433.57</v>
      </c>
      <c r="V115" s="23">
        <f>'Annual Raw'!W15+'Annual Raw'!W16</f>
        <v>1715.43</v>
      </c>
      <c r="W115" s="23">
        <f>'Annual Raw'!X15+'Annual Raw'!X16</f>
        <v>2379.59</v>
      </c>
      <c r="X115" s="23">
        <f>'Annual Raw'!Y15+'Annual Raw'!Y16</f>
        <v>2793.33</v>
      </c>
      <c r="Y115" s="23">
        <f>'Annual Raw'!Z15+'Annual Raw'!Z16</f>
        <v>3237.3</v>
      </c>
      <c r="Z115" s="23">
        <f>'Annual Raw'!AA15+'Annual Raw'!AA16</f>
        <v>5264.32</v>
      </c>
      <c r="AA115" s="23">
        <f>'Annual Raw'!AB15+'Annual Raw'!AB16</f>
        <v>5451.69</v>
      </c>
      <c r="AB115" s="76">
        <f t="shared" si="485"/>
        <v>55339.240874113544</v>
      </c>
      <c r="AC115" s="76">
        <f t="shared" si="486"/>
        <v>59983.068002174346</v>
      </c>
      <c r="AD115" s="76">
        <f t="shared" si="487"/>
        <v>63610.509473389473</v>
      </c>
      <c r="AE115" s="76">
        <f t="shared" si="488"/>
        <v>67684.118903376104</v>
      </c>
      <c r="AI115" s="23">
        <f>'QTR Raw'!C14</f>
        <v>1674.97</v>
      </c>
      <c r="AJ115" s="23">
        <f>'QTR Raw'!D14</f>
        <v>1751.01</v>
      </c>
      <c r="AK115" s="23">
        <f>'QTR Raw'!E14</f>
        <v>1921.1</v>
      </c>
      <c r="AL115" s="23">
        <f>'QTR Raw'!F14</f>
        <v>1377.23</v>
      </c>
      <c r="AM115" s="23">
        <f>'QTR Raw'!G14</f>
        <v>1974.36</v>
      </c>
      <c r="AN115" s="23">
        <f>'QTR Raw'!H14</f>
        <v>1949.61</v>
      </c>
      <c r="AO115" s="23">
        <f>'QTR Raw'!I14</f>
        <v>2297.17</v>
      </c>
      <c r="AP115" s="23">
        <f>'QTR Raw'!J14</f>
        <v>2194.44</v>
      </c>
      <c r="AQ115" s="23">
        <f>'QTR Raw'!K14</f>
        <v>1958.6</v>
      </c>
      <c r="AR115" s="23">
        <f>'QTR Raw'!L14</f>
        <v>2001.7</v>
      </c>
      <c r="AS115" s="23">
        <f>'QTR Raw'!M14</f>
        <v>2270.17</v>
      </c>
      <c r="AT115" s="23">
        <f>'QTR Raw'!N14</f>
        <v>2156.4299999999998</v>
      </c>
      <c r="AU115" s="23">
        <f>'QTR Raw'!O14</f>
        <v>633.79999999999995</v>
      </c>
      <c r="AV115" s="23">
        <f>'QTR Raw'!P14</f>
        <v>544.53</v>
      </c>
      <c r="AW115" s="23">
        <f>'QTR Raw'!Q14</f>
        <v>621.29999999999995</v>
      </c>
      <c r="AX115" s="23">
        <f>'QTR Raw'!R14</f>
        <v>894.85</v>
      </c>
      <c r="AY115" s="23">
        <f>'QTR Raw'!S14</f>
        <v>624.80999999999995</v>
      </c>
      <c r="AZ115" s="23">
        <f>'QTR Raw'!T14</f>
        <v>694.42</v>
      </c>
      <c r="BA115" s="23">
        <f>'QTR Raw'!U14</f>
        <v>637.12</v>
      </c>
      <c r="BB115" s="23">
        <f>'QTR Raw'!V14</f>
        <v>609.98</v>
      </c>
      <c r="BC115" s="23">
        <f>'QTR Raw'!W14</f>
        <v>647.6</v>
      </c>
      <c r="BD115" s="23">
        <f>'QTR Raw'!X14</f>
        <v>592.22</v>
      </c>
      <c r="BE115" s="23">
        <f>'QTR Raw'!Y14</f>
        <v>628.34</v>
      </c>
      <c r="BF115" s="23">
        <f>'QTR Raw'!Z14</f>
        <v>787.94</v>
      </c>
      <c r="BG115" s="23">
        <f>'QTR Raw'!AA14</f>
        <v>586.66</v>
      </c>
      <c r="BH115" s="23">
        <f>'QTR Raw'!AB14</f>
        <v>634.48</v>
      </c>
      <c r="BI115" s="23">
        <f>'QTR Raw'!AC14</f>
        <v>602.4</v>
      </c>
      <c r="BJ115" s="23">
        <f>'QTR Raw'!AD14</f>
        <v>684.84</v>
      </c>
      <c r="BK115" s="23">
        <f>'QTR Raw'!AE14</f>
        <v>607.11</v>
      </c>
      <c r="BL115" s="23">
        <f>'QTR Raw'!AF14</f>
        <v>618.46</v>
      </c>
      <c r="BM115" s="23">
        <f>'QTR Raw'!AG14</f>
        <v>615.22</v>
      </c>
      <c r="BN115" s="23">
        <f>'QTR Raw'!AH14</f>
        <v>715.99</v>
      </c>
      <c r="BO115" s="23">
        <f>'QTR Raw'!AI14</f>
        <v>602.29</v>
      </c>
      <c r="BP115" s="23">
        <f>'QTR Raw'!AJ14</f>
        <v>724.3</v>
      </c>
      <c r="BQ115" s="23">
        <f>'QTR Raw'!AK14</f>
        <v>809.27</v>
      </c>
      <c r="BR115" s="23">
        <f>'QTR Raw'!AL14</f>
        <v>1181.22</v>
      </c>
      <c r="BS115" s="23">
        <f>'QTR Raw'!AM14</f>
        <v>1079.02</v>
      </c>
      <c r="BT115" s="23">
        <f>'QTR Raw'!AN14</f>
        <v>1172.42</v>
      </c>
      <c r="BU115" s="23">
        <f>'QTR Raw'!AO14</f>
        <v>1242.52</v>
      </c>
      <c r="BV115" s="23">
        <f>'QTR Raw'!AP14</f>
        <v>1584.65</v>
      </c>
      <c r="BW115" s="23">
        <f>'QTR Raw'!AQ14</f>
        <v>1556.33</v>
      </c>
      <c r="BX115" s="23">
        <f>'QTR Raw'!AR14</f>
        <v>1608.66</v>
      </c>
      <c r="BY115" s="23">
        <f>'QTR Raw'!AS14</f>
        <v>1780.94</v>
      </c>
      <c r="BZ115" s="23">
        <f>'QTR Raw'!AT14</f>
        <v>2024.33</v>
      </c>
      <c r="CA115" s="23">
        <f>'QTR Raw'!AU14</f>
        <v>1517.44</v>
      </c>
      <c r="CB115" s="23">
        <f>'QTR Raw'!AV14</f>
        <v>1535.89</v>
      </c>
      <c r="CC115" s="23">
        <f>'QTR Raw'!AW14</f>
        <v>1735.09</v>
      </c>
      <c r="CD115" s="23">
        <f>'QTR Raw'!AX14</f>
        <v>2267.66</v>
      </c>
      <c r="CE115" s="23">
        <f>'QTR Raw'!AY14</f>
        <v>1861.96</v>
      </c>
      <c r="CF115" s="23">
        <f>'QTR Raw'!AZ14</f>
        <v>1944.15</v>
      </c>
      <c r="CG115" s="23">
        <f>'QTR Raw'!BA14</f>
        <v>1981.62</v>
      </c>
      <c r="CH115" s="23">
        <f>'QTR Raw'!BB14</f>
        <v>2433.1</v>
      </c>
      <c r="CI115" s="23">
        <f>'QTR Raw'!BC14</f>
        <v>2004.12</v>
      </c>
      <c r="CJ115" s="23">
        <f>'QTR Raw'!BD14</f>
        <v>2169.29</v>
      </c>
      <c r="CK115" s="23">
        <f>'QTR Raw'!BE14</f>
        <v>2169.58</v>
      </c>
      <c r="CL115" s="23">
        <f>'QTR Raw'!BF14</f>
        <v>2574.5300000000002</v>
      </c>
      <c r="CM115" s="24">
        <f t="shared" ref="CM115:DB115" si="489">+CM118-CM112</f>
        <v>12293.07911682771</v>
      </c>
      <c r="CN115" s="24">
        <f t="shared" si="489"/>
        <v>15272.66945507534</v>
      </c>
      <c r="CO115" s="24">
        <f t="shared" si="489"/>
        <v>13441.921521706565</v>
      </c>
      <c r="CP115" s="24">
        <f t="shared" si="489"/>
        <v>14331.570780503926</v>
      </c>
      <c r="CQ115" s="24">
        <f t="shared" si="489"/>
        <v>14945.864167257849</v>
      </c>
      <c r="CR115" s="24">
        <f t="shared" si="489"/>
        <v>15979.654432289397</v>
      </c>
      <c r="CS115" s="24">
        <f t="shared" si="489"/>
        <v>14136.322087493219</v>
      </c>
      <c r="CT115" s="24">
        <f t="shared" si="489"/>
        <v>14921.227315133881</v>
      </c>
      <c r="CU115" s="24">
        <f t="shared" si="489"/>
        <v>15871.394326648286</v>
      </c>
      <c r="CV115" s="24">
        <f t="shared" si="489"/>
        <v>16944.878344895256</v>
      </c>
      <c r="CW115" s="24">
        <f t="shared" si="489"/>
        <v>14990.628364721344</v>
      </c>
      <c r="CX115" s="24">
        <f t="shared" si="489"/>
        <v>15803.608437124589</v>
      </c>
      <c r="CY115" s="24">
        <f t="shared" si="489"/>
        <v>16892.334345761636</v>
      </c>
      <c r="CZ115" s="24">
        <f t="shared" si="489"/>
        <v>18037.239212032593</v>
      </c>
      <c r="DA115" s="24">
        <f t="shared" si="489"/>
        <v>15941.608940860233</v>
      </c>
      <c r="DB115" s="24">
        <f t="shared" si="489"/>
        <v>16812.936404721651</v>
      </c>
      <c r="DE115" s="123"/>
      <c r="DF115" s="23">
        <v>12748.070034762377</v>
      </c>
    </row>
    <row r="116" spans="1:110" s="23" customFormat="1" outlineLevel="1" x14ac:dyDescent="0.2">
      <c r="A116" s="23" t="s">
        <v>11</v>
      </c>
      <c r="B116" s="23">
        <f>'Annual Raw'!C18</f>
        <v>52.609518100000003</v>
      </c>
      <c r="C116" s="23">
        <f>'Annual Raw'!D18</f>
        <v>117.17</v>
      </c>
      <c r="D116" s="23">
        <f>'Annual Raw'!E18</f>
        <v>143.78</v>
      </c>
      <c r="E116" s="23">
        <f>'Annual Raw'!F18</f>
        <v>149.63</v>
      </c>
      <c r="F116" s="23">
        <f>'Annual Raw'!G18</f>
        <v>0</v>
      </c>
      <c r="G116" s="23">
        <f>'Annual Raw'!H18</f>
        <v>0</v>
      </c>
      <c r="H116" s="23">
        <f>'Annual Raw'!I18</f>
        <v>0</v>
      </c>
      <c r="I116" s="23">
        <f>'Annual Raw'!J18</f>
        <v>237.8</v>
      </c>
      <c r="J116" s="23">
        <f>'Annual Raw'!K18</f>
        <v>489.63</v>
      </c>
      <c r="K116" s="23">
        <f>'Annual Raw'!L18</f>
        <v>483.86</v>
      </c>
      <c r="L116" s="23">
        <f>'Annual Raw'!M18</f>
        <v>521.35</v>
      </c>
      <c r="M116" s="23">
        <f>'Annual Raw'!N18</f>
        <v>652.44000000000005</v>
      </c>
      <c r="N116" s="23">
        <f>'Annual Raw'!O18</f>
        <v>763.23</v>
      </c>
      <c r="O116" s="23">
        <f>'Annual Raw'!P18</f>
        <v>773.62</v>
      </c>
      <c r="P116" s="23">
        <f>'Annual Raw'!Q18</f>
        <v>743.85</v>
      </c>
      <c r="Q116" s="23">
        <f>'Annual Raw'!R18</f>
        <v>26.84</v>
      </c>
      <c r="R116" s="23">
        <f>'Annual Raw'!S18</f>
        <v>23</v>
      </c>
      <c r="S116" s="23">
        <f>'Annual Raw'!T18</f>
        <v>27.45</v>
      </c>
      <c r="T116" s="23">
        <f>'Annual Raw'!U18</f>
        <v>16.940000000000001</v>
      </c>
      <c r="U116" s="23">
        <f>'Annual Raw'!V18</f>
        <v>15.4</v>
      </c>
      <c r="V116" s="23">
        <f>'Annual Raw'!W18</f>
        <v>38.32</v>
      </c>
      <c r="W116" s="23">
        <f>'Annual Raw'!X18</f>
        <v>14.98</v>
      </c>
      <c r="X116" s="23">
        <f>'Annual Raw'!Y18</f>
        <v>46.27</v>
      </c>
      <c r="Y116" s="23">
        <f>'Annual Raw'!Z18</f>
        <v>56.15</v>
      </c>
      <c r="Z116" s="23">
        <f>'Annual Raw'!AA18</f>
        <v>14.91</v>
      </c>
      <c r="AA116" s="23">
        <f>'Annual Raw'!AB18</f>
        <v>90.64</v>
      </c>
      <c r="AB116" s="76">
        <f t="shared" si="485"/>
        <v>0</v>
      </c>
      <c r="AC116" s="76">
        <f t="shared" si="486"/>
        <v>0</v>
      </c>
      <c r="AD116" s="76">
        <f t="shared" si="487"/>
        <v>0</v>
      </c>
      <c r="AE116" s="76">
        <f t="shared" si="488"/>
        <v>0</v>
      </c>
      <c r="AI116" s="23">
        <f>'QTR Raw'!C18</f>
        <v>0</v>
      </c>
      <c r="AJ116" s="23">
        <f>'QTR Raw'!D18</f>
        <v>0</v>
      </c>
      <c r="AK116" s="23">
        <f>'QTR Raw'!E18</f>
        <v>0</v>
      </c>
      <c r="AL116" s="23">
        <f>'QTR Raw'!F18</f>
        <v>0</v>
      </c>
      <c r="AM116" s="23">
        <f>'QTR Raw'!G18</f>
        <v>0</v>
      </c>
      <c r="AN116" s="23">
        <f>'QTR Raw'!H18</f>
        <v>0</v>
      </c>
      <c r="AO116" s="23">
        <f>'QTR Raw'!I18</f>
        <v>0</v>
      </c>
      <c r="AP116" s="23">
        <f>'QTR Raw'!J18</f>
        <v>0</v>
      </c>
      <c r="AQ116" s="23">
        <f>'QTR Raw'!K18</f>
        <v>0</v>
      </c>
      <c r="AR116" s="23">
        <f>'QTR Raw'!L18</f>
        <v>0</v>
      </c>
      <c r="AS116" s="23">
        <f>'QTR Raw'!M18</f>
        <v>0</v>
      </c>
      <c r="AT116" s="23">
        <f>'QTR Raw'!N18</f>
        <v>0</v>
      </c>
      <c r="AU116" s="23">
        <f>'QTR Raw'!O18</f>
        <v>0</v>
      </c>
      <c r="AV116" s="23">
        <f>'QTR Raw'!P18</f>
        <v>0</v>
      </c>
      <c r="AW116" s="23">
        <f>'QTR Raw'!Q18</f>
        <v>0</v>
      </c>
      <c r="AX116" s="23">
        <f>'QTR Raw'!R18</f>
        <v>0</v>
      </c>
      <c r="AY116" s="23">
        <f>'QTR Raw'!S18</f>
        <v>0</v>
      </c>
      <c r="AZ116" s="23">
        <f>'QTR Raw'!T18</f>
        <v>0</v>
      </c>
      <c r="BA116" s="23">
        <f>'QTR Raw'!U18</f>
        <v>0</v>
      </c>
      <c r="BB116" s="23">
        <f>'QTR Raw'!V18</f>
        <v>0</v>
      </c>
      <c r="BC116" s="23">
        <f>'QTR Raw'!W18</f>
        <v>0</v>
      </c>
      <c r="BD116" s="23">
        <f>'QTR Raw'!X18</f>
        <v>0</v>
      </c>
      <c r="BE116" s="23">
        <f>'QTR Raw'!Y18</f>
        <v>0</v>
      </c>
      <c r="BF116" s="23">
        <f>'QTR Raw'!Z18</f>
        <v>0</v>
      </c>
      <c r="BG116" s="23">
        <f>'QTR Raw'!AA18</f>
        <v>0</v>
      </c>
      <c r="BH116" s="23">
        <f>'QTR Raw'!AB18</f>
        <v>0</v>
      </c>
      <c r="BI116" s="23">
        <f>'QTR Raw'!AC18</f>
        <v>0</v>
      </c>
      <c r="BJ116" s="23">
        <f>'QTR Raw'!AD18</f>
        <v>0</v>
      </c>
      <c r="BK116" s="23">
        <f>'QTR Raw'!AE18</f>
        <v>0</v>
      </c>
      <c r="BL116" s="23">
        <f>'QTR Raw'!AF18</f>
        <v>0</v>
      </c>
      <c r="BM116" s="23">
        <f>'QTR Raw'!AG18</f>
        <v>0</v>
      </c>
      <c r="BN116" s="23">
        <f>'QTR Raw'!AH18</f>
        <v>0</v>
      </c>
      <c r="BO116" s="23">
        <f>'QTR Raw'!AI18</f>
        <v>0</v>
      </c>
      <c r="BP116" s="23">
        <f>'QTR Raw'!AJ18</f>
        <v>0</v>
      </c>
      <c r="BQ116" s="23">
        <f>'QTR Raw'!AK18</f>
        <v>0</v>
      </c>
      <c r="BR116" s="23">
        <f>'QTR Raw'!AL18</f>
        <v>0</v>
      </c>
      <c r="BS116" s="23">
        <f>'QTR Raw'!AM18</f>
        <v>0</v>
      </c>
      <c r="BT116" s="23">
        <f>'QTR Raw'!AN18</f>
        <v>0</v>
      </c>
      <c r="BU116" s="23">
        <f>'QTR Raw'!AO18</f>
        <v>0</v>
      </c>
      <c r="BV116" s="23">
        <f>'QTR Raw'!AP18</f>
        <v>0</v>
      </c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E116" s="123"/>
      <c r="DF116" s="23">
        <v>0</v>
      </c>
    </row>
    <row r="117" spans="1:110" s="23" customFormat="1" outlineLevel="1" x14ac:dyDescent="0.2">
      <c r="U117" s="23">
        <v>-1378</v>
      </c>
      <c r="V117" s="23">
        <v>-686</v>
      </c>
      <c r="X117" s="23">
        <v>-924</v>
      </c>
      <c r="Y117" s="23">
        <v>-93.43</v>
      </c>
      <c r="Z117" s="23">
        <v>976</v>
      </c>
      <c r="AA117" s="23">
        <v>976</v>
      </c>
      <c r="AB117" s="76"/>
      <c r="AC117" s="76"/>
      <c r="AD117" s="76"/>
      <c r="AE117" s="76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E117" s="123"/>
    </row>
    <row r="118" spans="1:110" s="22" customFormat="1" x14ac:dyDescent="0.2">
      <c r="A118" s="33" t="s">
        <v>348</v>
      </c>
      <c r="B118" s="22">
        <f t="shared" ref="B118:Y118" si="490">+SUM(B111:B117)</f>
        <v>2692.7654580000003</v>
      </c>
      <c r="C118" s="22">
        <f t="shared" si="490"/>
        <v>2898.91</v>
      </c>
      <c r="D118" s="22">
        <f t="shared" si="490"/>
        <v>3536.28</v>
      </c>
      <c r="E118" s="22">
        <f t="shared" si="490"/>
        <v>3668.75</v>
      </c>
      <c r="F118" s="22">
        <f t="shared" si="490"/>
        <v>3793.6699999999996</v>
      </c>
      <c r="G118" s="22">
        <f t="shared" si="490"/>
        <v>4672.8599999999997</v>
      </c>
      <c r="H118" s="22">
        <f t="shared" si="490"/>
        <v>5398.66</v>
      </c>
      <c r="I118" s="22">
        <f t="shared" si="490"/>
        <v>8751.48</v>
      </c>
      <c r="J118" s="22">
        <f t="shared" si="490"/>
        <v>14492.289999999999</v>
      </c>
      <c r="K118" s="22">
        <f t="shared" si="490"/>
        <v>15455.36</v>
      </c>
      <c r="L118" s="22">
        <f t="shared" si="490"/>
        <v>15364.09</v>
      </c>
      <c r="M118" s="22">
        <f t="shared" si="490"/>
        <v>21532.639999999996</v>
      </c>
      <c r="N118" s="22">
        <f t="shared" si="490"/>
        <v>27011.540000000005</v>
      </c>
      <c r="O118" s="22">
        <f t="shared" si="490"/>
        <v>28700.449999999997</v>
      </c>
      <c r="P118" s="22">
        <f t="shared" si="490"/>
        <v>27193.53</v>
      </c>
      <c r="Q118" s="22">
        <f t="shared" si="490"/>
        <v>22975.899999999998</v>
      </c>
      <c r="R118" s="22">
        <f t="shared" si="490"/>
        <v>21760.480000000003</v>
      </c>
      <c r="S118" s="22">
        <f t="shared" si="490"/>
        <v>20576.449999999997</v>
      </c>
      <c r="T118" s="22">
        <f t="shared" si="490"/>
        <v>23144.079999999994</v>
      </c>
      <c r="U118" s="22">
        <f t="shared" si="490"/>
        <v>19853.43</v>
      </c>
      <c r="V118" s="22">
        <f t="shared" si="490"/>
        <v>25014.2</v>
      </c>
      <c r="W118" s="22">
        <f t="shared" si="490"/>
        <v>35544.810000000005</v>
      </c>
      <c r="X118" s="22">
        <f t="shared" si="490"/>
        <v>46465.200000000004</v>
      </c>
      <c r="Y118" s="22">
        <f t="shared" si="490"/>
        <v>50623.420000000006</v>
      </c>
      <c r="Z118" s="22">
        <f>+SUM(Z111:Z117)</f>
        <v>52987.86</v>
      </c>
      <c r="AA118" s="22">
        <f>+SUM(AA111:AA117)</f>
        <v>50393.640000000007</v>
      </c>
      <c r="AB118" s="21">
        <f t="shared" ref="AA118:AE118" si="491">+SUM(AB111:AB116)</f>
        <v>60361.531974113546</v>
      </c>
      <c r="AC118" s="21">
        <f t="shared" si="491"/>
        <v>65356.91947917435</v>
      </c>
      <c r="AD118" s="21">
        <f t="shared" si="491"/>
        <v>69360.530553779477</v>
      </c>
      <c r="AE118" s="21">
        <f t="shared" si="491"/>
        <v>73836.641459393402</v>
      </c>
      <c r="AI118" s="22">
        <f t="shared" ref="AI118:BV118" si="492">+SUM(AI111:AI116)</f>
        <v>5828.17</v>
      </c>
      <c r="AJ118" s="22">
        <f t="shared" si="492"/>
        <v>6432.54</v>
      </c>
      <c r="AK118" s="22">
        <f t="shared" si="492"/>
        <v>7291.6299999999992</v>
      </c>
      <c r="AL118" s="22">
        <f t="shared" si="492"/>
        <v>7072.67</v>
      </c>
      <c r="AM118" s="22">
        <f t="shared" si="492"/>
        <v>7202.47</v>
      </c>
      <c r="AN118" s="22">
        <f t="shared" si="492"/>
        <v>6853.74</v>
      </c>
      <c r="AO118" s="22">
        <f t="shared" si="492"/>
        <v>6766.49</v>
      </c>
      <c r="AP118" s="22">
        <f t="shared" si="492"/>
        <v>7002.3900000000012</v>
      </c>
      <c r="AQ118" s="22">
        <f t="shared" si="492"/>
        <v>7062.5300000000007</v>
      </c>
      <c r="AR118" s="22">
        <f t="shared" si="492"/>
        <v>6762.92</v>
      </c>
      <c r="AS118" s="22">
        <f t="shared" si="492"/>
        <v>7190.71</v>
      </c>
      <c r="AT118" s="22">
        <f t="shared" si="492"/>
        <v>6258.3899999999994</v>
      </c>
      <c r="AU118" s="22">
        <f t="shared" si="492"/>
        <v>5332.1900000000005</v>
      </c>
      <c r="AV118" s="22">
        <f t="shared" si="492"/>
        <v>5651.4599999999991</v>
      </c>
      <c r="AW118" s="22">
        <f t="shared" si="492"/>
        <v>6003.72</v>
      </c>
      <c r="AX118" s="22">
        <f t="shared" si="492"/>
        <v>5891.5000000000009</v>
      </c>
      <c r="AY118" s="22">
        <f t="shared" si="492"/>
        <v>5170.34</v>
      </c>
      <c r="AZ118" s="22">
        <f t="shared" si="492"/>
        <v>5726.1</v>
      </c>
      <c r="BA118" s="22">
        <f t="shared" si="492"/>
        <v>5019.4299999999994</v>
      </c>
      <c r="BB118" s="22">
        <f t="shared" si="492"/>
        <v>5771.0399999999991</v>
      </c>
      <c r="BC118" s="22">
        <f t="shared" si="492"/>
        <v>4734.1900000000005</v>
      </c>
      <c r="BD118" s="22">
        <f t="shared" si="492"/>
        <v>5424.21</v>
      </c>
      <c r="BE118" s="22">
        <f t="shared" si="492"/>
        <v>4915.25</v>
      </c>
      <c r="BF118" s="22">
        <f t="shared" si="492"/>
        <v>5730.369999999999</v>
      </c>
      <c r="BG118" s="22">
        <f t="shared" si="492"/>
        <v>5534.0199999999995</v>
      </c>
      <c r="BH118" s="22">
        <f t="shared" si="492"/>
        <v>5726.9599999999991</v>
      </c>
      <c r="BI118" s="22">
        <f t="shared" si="492"/>
        <v>6014.15</v>
      </c>
      <c r="BJ118" s="22">
        <f t="shared" si="492"/>
        <v>5387.93</v>
      </c>
      <c r="BK118" s="22">
        <f t="shared" si="492"/>
        <v>5620.2800000000007</v>
      </c>
      <c r="BL118" s="22">
        <f t="shared" si="492"/>
        <v>5752.5900000000011</v>
      </c>
      <c r="BM118" s="22">
        <f t="shared" si="492"/>
        <v>5169.0200000000004</v>
      </c>
      <c r="BN118" s="22">
        <f t="shared" si="492"/>
        <v>4744.25</v>
      </c>
      <c r="BO118" s="22">
        <f t="shared" si="492"/>
        <v>4497.42</v>
      </c>
      <c r="BP118" s="22">
        <f t="shared" si="492"/>
        <v>6150.9400000000005</v>
      </c>
      <c r="BQ118" s="22">
        <f t="shared" si="492"/>
        <v>5733.9400000000005</v>
      </c>
      <c r="BR118" s="22">
        <f t="shared" si="492"/>
        <v>8752.99</v>
      </c>
      <c r="BS118" s="22">
        <f t="shared" si="492"/>
        <v>7921.33</v>
      </c>
      <c r="BT118" s="22">
        <f t="shared" si="492"/>
        <v>8485.5400000000009</v>
      </c>
      <c r="BU118" s="22">
        <f t="shared" si="492"/>
        <v>9200.57</v>
      </c>
      <c r="BV118" s="22">
        <f t="shared" si="492"/>
        <v>10086.64</v>
      </c>
      <c r="BW118" s="22">
        <f t="shared" ref="BW118:CK118" si="493">+SUM(BW111:BW116)</f>
        <v>12511.619999999999</v>
      </c>
      <c r="BX118" s="22">
        <f t="shared" si="493"/>
        <v>12221.039999999999</v>
      </c>
      <c r="BY118" s="22">
        <f t="shared" si="493"/>
        <v>11553.82</v>
      </c>
      <c r="BZ118" s="22">
        <f t="shared" si="493"/>
        <v>10092.550000000001</v>
      </c>
      <c r="CA118" s="22">
        <f t="shared" si="493"/>
        <v>12557.63</v>
      </c>
      <c r="CB118" s="22">
        <f t="shared" si="493"/>
        <v>13001.59</v>
      </c>
      <c r="CC118" s="22">
        <f t="shared" si="493"/>
        <v>12343.5</v>
      </c>
      <c r="CD118" s="22">
        <f t="shared" si="493"/>
        <v>12680.81</v>
      </c>
      <c r="CE118" s="22">
        <f t="shared" si="493"/>
        <v>14290.25</v>
      </c>
      <c r="CF118" s="22">
        <f t="shared" si="493"/>
        <v>12361.89</v>
      </c>
      <c r="CG118" s="22">
        <f t="shared" si="493"/>
        <v>12722.869999999999</v>
      </c>
      <c r="CH118" s="22">
        <f t="shared" si="493"/>
        <v>13558.320000000002</v>
      </c>
      <c r="CI118" s="22">
        <f t="shared" si="493"/>
        <v>14500</v>
      </c>
      <c r="CJ118" s="22">
        <f t="shared" si="493"/>
        <v>12226.869999999999</v>
      </c>
      <c r="CK118" s="22">
        <f t="shared" si="493"/>
        <v>10172.26</v>
      </c>
      <c r="CL118" s="22">
        <f t="shared" ref="CL118" si="494">+SUM(CL111:CL116)</f>
        <v>11223.310000000001</v>
      </c>
      <c r="CM118" s="21">
        <f t="shared" ref="CM118:DB118" si="495">CM119*CM101</f>
        <v>13535.734316827709</v>
      </c>
      <c r="CN118" s="21">
        <f t="shared" si="495"/>
        <v>16451.92715507534</v>
      </c>
      <c r="CO118" s="21">
        <f t="shared" si="495"/>
        <v>14722.165821706565</v>
      </c>
      <c r="CP118" s="21">
        <f t="shared" si="495"/>
        <v>15651.704680503926</v>
      </c>
      <c r="CQ118" s="21">
        <f t="shared" si="495"/>
        <v>16275.505231257848</v>
      </c>
      <c r="CR118" s="21">
        <f t="shared" si="495"/>
        <v>17241.460171289396</v>
      </c>
      <c r="CS118" s="21">
        <f t="shared" si="495"/>
        <v>15506.18348849322</v>
      </c>
      <c r="CT118" s="21">
        <f t="shared" si="495"/>
        <v>16333.770588133882</v>
      </c>
      <c r="CU118" s="21">
        <f t="shared" si="495"/>
        <v>17294.110265128285</v>
      </c>
      <c r="CV118" s="21">
        <f t="shared" si="495"/>
        <v>18295.010485625255</v>
      </c>
      <c r="CW118" s="21">
        <f t="shared" si="495"/>
        <v>16456.380063791345</v>
      </c>
      <c r="CX118" s="21">
        <f t="shared" si="495"/>
        <v>17315.029739234589</v>
      </c>
      <c r="CY118" s="21">
        <f t="shared" si="495"/>
        <v>18414.640399935237</v>
      </c>
      <c r="CZ118" s="21">
        <f t="shared" si="495"/>
        <v>19481.880602613692</v>
      </c>
      <c r="DA118" s="21">
        <f t="shared" si="495"/>
        <v>17509.963258865133</v>
      </c>
      <c r="DB118" s="21">
        <f t="shared" si="495"/>
        <v>18430.157197979352</v>
      </c>
      <c r="DE118" s="126"/>
      <c r="DF118" s="22">
        <v>14096.954834762377</v>
      </c>
    </row>
    <row r="119" spans="1:110" s="44" customFormat="1" x14ac:dyDescent="0.2">
      <c r="A119" s="43" t="s">
        <v>349</v>
      </c>
      <c r="B119" s="44">
        <f t="shared" ref="B119:AE119" si="496">B118/B101</f>
        <v>0.79798373251244059</v>
      </c>
      <c r="C119" s="44">
        <f t="shared" si="496"/>
        <v>0.75080677326951661</v>
      </c>
      <c r="D119" s="44">
        <f t="shared" si="496"/>
        <v>0.73588945884360468</v>
      </c>
      <c r="E119" s="44">
        <f t="shared" si="496"/>
        <v>0.73467274897270973</v>
      </c>
      <c r="F119" s="44">
        <f t="shared" si="496"/>
        <v>0.77417254897159138</v>
      </c>
      <c r="G119" s="44">
        <f t="shared" si="496"/>
        <v>0.83128337774804928</v>
      </c>
      <c r="H119" s="44">
        <f t="shared" si="496"/>
        <v>0.83368748108295088</v>
      </c>
      <c r="I119" s="44">
        <f t="shared" si="496"/>
        <v>0.80356188583821653</v>
      </c>
      <c r="J119" s="44">
        <f t="shared" si="496"/>
        <v>0.80239373423426408</v>
      </c>
      <c r="K119" s="44">
        <f t="shared" si="496"/>
        <v>0.81404667899866434</v>
      </c>
      <c r="L119" s="44">
        <f t="shared" si="496"/>
        <v>0.78989664157081774</v>
      </c>
      <c r="M119" s="44">
        <f t="shared" si="496"/>
        <v>0.82813386971470748</v>
      </c>
      <c r="N119" s="44">
        <f t="shared" si="496"/>
        <v>0.81790123550245986</v>
      </c>
      <c r="O119" s="44">
        <f t="shared" si="496"/>
        <v>0.80352363386325865</v>
      </c>
      <c r="P119" s="44">
        <f t="shared" si="496"/>
        <v>0.80950495627186658</v>
      </c>
      <c r="Q119" s="44">
        <f t="shared" si="496"/>
        <v>0.77899458539446598</v>
      </c>
      <c r="R119" s="44">
        <f t="shared" si="496"/>
        <v>0.78877785265041289</v>
      </c>
      <c r="S119" s="44">
        <f t="shared" si="496"/>
        <v>0.7666260436277279</v>
      </c>
      <c r="T119" s="44">
        <f t="shared" si="496"/>
        <v>0.77454012675587791</v>
      </c>
      <c r="U119" s="44">
        <f t="shared" si="496"/>
        <v>0.68139682465591978</v>
      </c>
      <c r="V119" s="44">
        <f t="shared" si="496"/>
        <v>0.7648828207297671</v>
      </c>
      <c r="W119" s="44">
        <f t="shared" si="496"/>
        <v>0.83018226738014389</v>
      </c>
      <c r="X119" s="44">
        <f t="shared" si="496"/>
        <v>0.84314962253044334</v>
      </c>
      <c r="Y119" s="44">
        <f t="shared" si="496"/>
        <v>0.8238295559399762</v>
      </c>
      <c r="Z119" s="44">
        <f t="shared" si="496"/>
        <v>0.80924380374304505</v>
      </c>
      <c r="AA119" s="44">
        <f t="shared" ref="AA119" si="497">AA118/AA101</f>
        <v>0.80722053789778059</v>
      </c>
      <c r="AB119" s="52">
        <f t="shared" si="496"/>
        <v>0.77048010217663909</v>
      </c>
      <c r="AC119" s="52">
        <f t="shared" si="496"/>
        <v>0.76998112740029834</v>
      </c>
      <c r="AD119" s="52">
        <f t="shared" si="496"/>
        <v>0.76996661789855014</v>
      </c>
      <c r="AE119" s="52">
        <f t="shared" si="496"/>
        <v>0.76998483960107766</v>
      </c>
      <c r="AI119" s="44">
        <f t="shared" ref="AI119:BN119" si="498">AI118/AI101</f>
        <v>0.8084956149964071</v>
      </c>
      <c r="AJ119" s="44">
        <f t="shared" si="498"/>
        <v>0.83886574840834938</v>
      </c>
      <c r="AK119" s="44">
        <f t="shared" si="498"/>
        <v>0.81440879766968088</v>
      </c>
      <c r="AL119" s="44">
        <f t="shared" si="498"/>
        <v>0.78517958504436758</v>
      </c>
      <c r="AM119" s="44">
        <f t="shared" si="498"/>
        <v>0.79614070498401091</v>
      </c>
      <c r="AN119" s="44">
        <f t="shared" si="498"/>
        <v>0.81493477539693016</v>
      </c>
      <c r="AO119" s="44">
        <f t="shared" si="498"/>
        <v>0.7922984240655806</v>
      </c>
      <c r="AP119" s="44">
        <f t="shared" si="498"/>
        <v>0.78662541662875318</v>
      </c>
      <c r="AQ119" s="44">
        <f t="shared" si="498"/>
        <v>0.82402418449662695</v>
      </c>
      <c r="AR119" s="44">
        <f t="shared" si="498"/>
        <v>0.79909726817279514</v>
      </c>
      <c r="AS119" s="44">
        <f t="shared" si="498"/>
        <v>0.84314877350968531</v>
      </c>
      <c r="AT119" s="44">
        <f t="shared" si="498"/>
        <v>0.80147709503788778</v>
      </c>
      <c r="AU119" s="44">
        <f t="shared" si="498"/>
        <v>0.76036950473645426</v>
      </c>
      <c r="AV119" s="44">
        <f t="shared" si="498"/>
        <v>0.76304057247012747</v>
      </c>
      <c r="AW119" s="44">
        <f t="shared" si="498"/>
        <v>0.83389864408757175</v>
      </c>
      <c r="AX119" s="44">
        <f t="shared" si="498"/>
        <v>0.81606165583709533</v>
      </c>
      <c r="AY119" s="44">
        <f t="shared" si="498"/>
        <v>0.75608557682464939</v>
      </c>
      <c r="AZ119" s="44">
        <f t="shared" si="498"/>
        <v>0.79378787962803798</v>
      </c>
      <c r="BA119" s="44">
        <f t="shared" si="498"/>
        <v>0.76347294915027364</v>
      </c>
      <c r="BB119" s="44">
        <f t="shared" si="498"/>
        <v>0.8238175993970227</v>
      </c>
      <c r="BC119" s="44">
        <f t="shared" si="498"/>
        <v>0.73798752922837108</v>
      </c>
      <c r="BD119" s="44">
        <f t="shared" si="498"/>
        <v>0.78913095662420984</v>
      </c>
      <c r="BE119" s="44">
        <f t="shared" si="498"/>
        <v>0.77281131784749579</v>
      </c>
      <c r="BF119" s="44">
        <f t="shared" si="498"/>
        <v>0.79401987831357179</v>
      </c>
      <c r="BG119" s="44">
        <f t="shared" si="498"/>
        <v>0.75650973315835512</v>
      </c>
      <c r="BH119" s="44">
        <f t="shared" si="498"/>
        <v>0.77881690263428793</v>
      </c>
      <c r="BI119" s="44">
        <f t="shared" si="498"/>
        <v>0.7534064673083114</v>
      </c>
      <c r="BJ119" s="44">
        <f t="shared" si="498"/>
        <v>0.74523502594801549</v>
      </c>
      <c r="BK119" s="44">
        <f t="shared" si="498"/>
        <v>0.72363623254089249</v>
      </c>
      <c r="BL119" s="44">
        <f t="shared" si="498"/>
        <v>0.74924783336936807</v>
      </c>
      <c r="BM119" s="44">
        <f t="shared" si="498"/>
        <v>0.73101372784445839</v>
      </c>
      <c r="BN119" s="44">
        <f t="shared" si="498"/>
        <v>0.7165674842919284</v>
      </c>
      <c r="BO119" s="44">
        <f t="shared" ref="BO119:CK119" si="499">BO118/BO101</f>
        <v>0.69695133573738688</v>
      </c>
      <c r="BP119" s="44">
        <f t="shared" si="499"/>
        <v>0.74198805521477584</v>
      </c>
      <c r="BQ119" s="44">
        <f t="shared" si="499"/>
        <v>0.75467332463795977</v>
      </c>
      <c r="BR119" s="44">
        <f t="shared" si="499"/>
        <v>0.84467122150811569</v>
      </c>
      <c r="BS119" s="44">
        <f t="shared" si="499"/>
        <v>0.78178606147636032</v>
      </c>
      <c r="BT119" s="44">
        <f t="shared" si="499"/>
        <v>0.86496938906568877</v>
      </c>
      <c r="BU119" s="44">
        <f t="shared" si="499"/>
        <v>0.84307266286330063</v>
      </c>
      <c r="BV119" s="44">
        <f t="shared" si="499"/>
        <v>0.8433673691216359</v>
      </c>
      <c r="BW119" s="44">
        <f t="shared" si="499"/>
        <v>0.86313940621490282</v>
      </c>
      <c r="BX119" s="44">
        <f t="shared" si="499"/>
        <v>0.87102016147425076</v>
      </c>
      <c r="BY119" s="44">
        <f t="shared" si="499"/>
        <v>0.81773104057435986</v>
      </c>
      <c r="BZ119" s="44">
        <f t="shared" si="499"/>
        <v>0.81040183848090863</v>
      </c>
      <c r="CA119" s="44">
        <f t="shared" si="499"/>
        <v>0.82543815308851654</v>
      </c>
      <c r="CB119" s="44">
        <f t="shared" si="499"/>
        <v>0.82612563325905464</v>
      </c>
      <c r="CC119" s="44">
        <f t="shared" si="499"/>
        <v>0.84250221827861582</v>
      </c>
      <c r="CD119" s="44">
        <f t="shared" si="499"/>
        <v>0.8002237706811185</v>
      </c>
      <c r="CE119" s="44">
        <f t="shared" si="499"/>
        <v>0.82633075087806951</v>
      </c>
      <c r="CF119" s="44">
        <f t="shared" si="499"/>
        <v>0.78749839944399391</v>
      </c>
      <c r="CG119" s="44">
        <f t="shared" si="499"/>
        <v>0.82664027039073329</v>
      </c>
      <c r="CH119" s="44">
        <f t="shared" si="499"/>
        <v>0.79307529065482452</v>
      </c>
      <c r="CI119" s="44">
        <f t="shared" si="499"/>
        <v>0.80398911675973539</v>
      </c>
      <c r="CJ119" s="44">
        <f t="shared" si="499"/>
        <v>0.7865513534655395</v>
      </c>
      <c r="CK119" s="44">
        <f t="shared" si="499"/>
        <v>0.72927738717172785</v>
      </c>
      <c r="CL119" s="44">
        <f t="shared" ref="CL119" si="500">CL118/CL101</f>
        <v>0.75323217138025</v>
      </c>
      <c r="CM119" s="52">
        <f>AVERAGE(CI119:CL119)*1.01</f>
        <v>0.77594513226625639</v>
      </c>
      <c r="CN119" s="52">
        <f t="shared" ref="CN119:CP119" si="501">AVERAGE(CJ119:CM119)*1.01</f>
        <v>0.76886402618165295</v>
      </c>
      <c r="CO119" s="52">
        <f t="shared" si="501"/>
        <v>0.76439797604247151</v>
      </c>
      <c r="CP119" s="52">
        <f t="shared" si="501"/>
        <v>0.77326592473233435</v>
      </c>
      <c r="CQ119" s="52">
        <f>AVERAGE(CM119:CP119)</f>
        <v>0.77061826480567874</v>
      </c>
      <c r="CR119" s="52">
        <f t="shared" ref="CR119:CT119" si="502">AVERAGE(CN119:CQ119)</f>
        <v>0.76928654794053442</v>
      </c>
      <c r="CS119" s="52">
        <f t="shared" si="502"/>
        <v>0.76939217838025475</v>
      </c>
      <c r="CT119" s="52">
        <f t="shared" si="502"/>
        <v>0.77064072896470059</v>
      </c>
      <c r="CU119" s="52">
        <f t="shared" ref="CU119:DB119" si="503">AVERAGE(CQ119:CT119)</f>
        <v>0.76998443002279204</v>
      </c>
      <c r="CV119" s="52">
        <f t="shared" si="503"/>
        <v>0.76982597132707042</v>
      </c>
      <c r="CW119" s="52">
        <f t="shared" si="503"/>
        <v>0.7699608271737044</v>
      </c>
      <c r="CX119" s="52">
        <f t="shared" si="503"/>
        <v>0.77010298937206689</v>
      </c>
      <c r="CY119" s="52">
        <f t="shared" si="503"/>
        <v>0.76996855447390844</v>
      </c>
      <c r="CZ119" s="52">
        <f t="shared" si="503"/>
        <v>0.76996458558668757</v>
      </c>
      <c r="DA119" s="52">
        <f t="shared" si="503"/>
        <v>0.76999923915159185</v>
      </c>
      <c r="DB119" s="52">
        <f t="shared" si="503"/>
        <v>0.77000884214606369</v>
      </c>
      <c r="DE119" s="128"/>
      <c r="DF119" s="44">
        <v>0.80156998562334547</v>
      </c>
    </row>
    <row r="120" spans="1:110" s="26" customFormat="1" x14ac:dyDescent="0.2">
      <c r="A120" s="34" t="s">
        <v>13</v>
      </c>
      <c r="B120" s="26">
        <f t="shared" ref="B120:AE120" si="504">B107-B118</f>
        <v>689.63502930000004</v>
      </c>
      <c r="C120" s="26">
        <f t="shared" si="504"/>
        <v>960.34000000000015</v>
      </c>
      <c r="D120" s="26">
        <f t="shared" si="504"/>
        <v>1249.9699999999998</v>
      </c>
      <c r="E120" s="26">
        <f t="shared" si="504"/>
        <v>1324.3900000000003</v>
      </c>
      <c r="F120" s="26">
        <f t="shared" si="504"/>
        <v>1104.7400000000002</v>
      </c>
      <c r="G120" s="26">
        <f t="shared" si="504"/>
        <v>976.88000000000011</v>
      </c>
      <c r="H120" s="26">
        <f t="shared" si="504"/>
        <v>1084.6899999999996</v>
      </c>
      <c r="I120" s="26">
        <f t="shared" si="504"/>
        <v>2122.1200000000008</v>
      </c>
      <c r="J120" s="26">
        <f t="shared" si="504"/>
        <v>3648.4100000000017</v>
      </c>
      <c r="K120" s="26">
        <f t="shared" si="504"/>
        <v>3557.9500000000007</v>
      </c>
      <c r="L120" s="26">
        <f t="shared" si="504"/>
        <v>4098.0500000000029</v>
      </c>
      <c r="M120" s="26">
        <f t="shared" si="504"/>
        <v>4645.7700000000041</v>
      </c>
      <c r="N120" s="26">
        <f t="shared" si="504"/>
        <v>6289.0099999999984</v>
      </c>
      <c r="O120" s="26">
        <f t="shared" si="504"/>
        <v>6887.0200000000041</v>
      </c>
      <c r="P120" s="26">
        <f t="shared" si="504"/>
        <v>6278.5400000000009</v>
      </c>
      <c r="Q120" s="26">
        <f t="shared" si="504"/>
        <v>6484.2400000000016</v>
      </c>
      <c r="R120" s="26">
        <f t="shared" si="504"/>
        <v>5798.8699999999953</v>
      </c>
      <c r="S120" s="26">
        <f t="shared" si="504"/>
        <v>6272.1100000000042</v>
      </c>
      <c r="T120" s="26">
        <f t="shared" si="504"/>
        <v>6712.6100000000079</v>
      </c>
      <c r="U120" s="26">
        <f t="shared" si="504"/>
        <v>9298.5799999999981</v>
      </c>
      <c r="V120" s="26">
        <f t="shared" si="504"/>
        <v>7688.7000000000007</v>
      </c>
      <c r="W120" s="26">
        <f t="shared" si="504"/>
        <v>7470.0799999999945</v>
      </c>
      <c r="X120" s="26">
        <f t="shared" si="504"/>
        <v>8600.3499999999985</v>
      </c>
      <c r="Y120" s="26">
        <f t="shared" si="504"/>
        <v>10877.259999999995</v>
      </c>
      <c r="Z120" s="26">
        <f t="shared" si="504"/>
        <v>12931.14</v>
      </c>
      <c r="AA120" s="26">
        <f t="shared" ref="AA120" si="505">AA107-AA118</f>
        <v>12119.05999999999</v>
      </c>
      <c r="AB120" s="27">
        <f t="shared" si="504"/>
        <v>17890.61599666797</v>
      </c>
      <c r="AC120" s="27">
        <f t="shared" si="504"/>
        <v>19399.567129363757</v>
      </c>
      <c r="AD120" s="27">
        <f t="shared" si="504"/>
        <v>20584.783443481356</v>
      </c>
      <c r="AE120" s="27">
        <f t="shared" si="504"/>
        <v>21910.441678926305</v>
      </c>
      <c r="AI120" s="26">
        <f t="shared" ref="AI120:BN120" si="506">AI107-AI118</f>
        <v>1368.8999999999996</v>
      </c>
      <c r="AJ120" s="26">
        <f t="shared" si="506"/>
        <v>1478.7099999999991</v>
      </c>
      <c r="AK120" s="26">
        <f t="shared" si="506"/>
        <v>1770.2099999999991</v>
      </c>
      <c r="AL120" s="26">
        <f t="shared" si="506"/>
        <v>1832.6099999999988</v>
      </c>
      <c r="AM120" s="26">
        <f t="shared" si="506"/>
        <v>1774.9800000000005</v>
      </c>
      <c r="AN120" s="26">
        <f t="shared" si="506"/>
        <v>1676.17</v>
      </c>
      <c r="AO120" s="26">
        <f t="shared" si="506"/>
        <v>1626.7999999999993</v>
      </c>
      <c r="AP120" s="26">
        <f t="shared" si="506"/>
        <v>1821.529999999997</v>
      </c>
      <c r="AQ120" s="26">
        <f t="shared" si="506"/>
        <v>1527.4800000000014</v>
      </c>
      <c r="AR120" s="26">
        <f t="shared" si="506"/>
        <v>1706.9099999999999</v>
      </c>
      <c r="AS120" s="26">
        <f t="shared" si="506"/>
        <v>1179.5699999999988</v>
      </c>
      <c r="AT120" s="26">
        <f t="shared" si="506"/>
        <v>1530.6200000000008</v>
      </c>
      <c r="AU120" s="26">
        <f t="shared" si="506"/>
        <v>1672.6299999999992</v>
      </c>
      <c r="AV120" s="26">
        <f t="shared" si="506"/>
        <v>1748.2100000000009</v>
      </c>
      <c r="AW120" s="26">
        <f t="shared" si="506"/>
        <v>1181.420000000001</v>
      </c>
      <c r="AX120" s="26">
        <f t="shared" si="506"/>
        <v>1293.2499999999982</v>
      </c>
      <c r="AY120" s="26">
        <f t="shared" si="506"/>
        <v>1635.5</v>
      </c>
      <c r="AZ120" s="26">
        <f t="shared" si="506"/>
        <v>1524.17</v>
      </c>
      <c r="BA120" s="26">
        <f t="shared" si="506"/>
        <v>1509.0900000000011</v>
      </c>
      <c r="BB120" s="26">
        <f t="shared" si="506"/>
        <v>1221.2400000000007</v>
      </c>
      <c r="BC120" s="26">
        <f t="shared" si="506"/>
        <v>1685.1499999999996</v>
      </c>
      <c r="BD120" s="26">
        <f t="shared" si="506"/>
        <v>1542.9399999999996</v>
      </c>
      <c r="BE120" s="26">
        <f t="shared" si="506"/>
        <v>1333.6400000000003</v>
      </c>
      <c r="BF120" s="26">
        <f t="shared" si="506"/>
        <v>1326.8600000000006</v>
      </c>
      <c r="BG120" s="26">
        <f t="shared" si="506"/>
        <v>1655.9400000000005</v>
      </c>
      <c r="BH120" s="26">
        <f t="shared" si="506"/>
        <v>1672.5600000000013</v>
      </c>
      <c r="BI120" s="26">
        <f t="shared" si="506"/>
        <v>1805.54</v>
      </c>
      <c r="BJ120" s="26">
        <f t="shared" si="506"/>
        <v>1714.37</v>
      </c>
      <c r="BK120" s="26">
        <f t="shared" si="506"/>
        <v>2102.0599999999995</v>
      </c>
      <c r="BL120" s="26">
        <f t="shared" si="506"/>
        <v>1907.0499999999984</v>
      </c>
      <c r="BM120" s="26">
        <f t="shared" si="506"/>
        <v>1905.1899999999996</v>
      </c>
      <c r="BN120" s="26">
        <f t="shared" si="506"/>
        <v>1839.8300000000008</v>
      </c>
      <c r="BO120" s="26">
        <f t="shared" ref="BO120:CT120" si="507">BO107-BO118</f>
        <v>1949.7799999999997</v>
      </c>
      <c r="BP120" s="26">
        <f t="shared" si="507"/>
        <v>2124.0099999999984</v>
      </c>
      <c r="BQ120" s="26">
        <f t="shared" si="507"/>
        <v>1891.8499999999995</v>
      </c>
      <c r="BR120" s="26">
        <f t="shared" si="507"/>
        <v>1573.08</v>
      </c>
      <c r="BS120" s="26">
        <f t="shared" si="507"/>
        <v>2187.0200000000004</v>
      </c>
      <c r="BT120" s="26">
        <f t="shared" si="507"/>
        <v>1355.3499999999985</v>
      </c>
      <c r="BU120" s="26">
        <f t="shared" si="507"/>
        <v>1735.5599999999995</v>
      </c>
      <c r="BV120" s="26">
        <f t="shared" si="507"/>
        <v>1993.7700000000004</v>
      </c>
      <c r="BW120" s="26">
        <f t="shared" si="507"/>
        <v>1963.8099999999995</v>
      </c>
      <c r="BX120" s="26">
        <f t="shared" si="507"/>
        <v>1892.4900000000016</v>
      </c>
      <c r="BY120" s="26">
        <f t="shared" si="507"/>
        <v>2544.7900000000009</v>
      </c>
      <c r="BZ120" s="26">
        <f t="shared" si="507"/>
        <v>2229.2799999999988</v>
      </c>
      <c r="CA120" s="26">
        <f t="shared" si="507"/>
        <v>2733.630000000001</v>
      </c>
      <c r="CB120" s="26">
        <f t="shared" si="507"/>
        <v>2795.3700000000008</v>
      </c>
      <c r="CC120" s="26">
        <f t="shared" si="507"/>
        <v>2607.1400000000012</v>
      </c>
      <c r="CD120" s="26">
        <f t="shared" si="507"/>
        <v>2741.1200000000008</v>
      </c>
      <c r="CE120" s="26">
        <f t="shared" si="507"/>
        <v>3102.8299999999981</v>
      </c>
      <c r="CF120" s="26">
        <f t="shared" si="507"/>
        <v>3294.4499999999989</v>
      </c>
      <c r="CG120" s="26">
        <f t="shared" si="507"/>
        <v>3079.0300000000007</v>
      </c>
      <c r="CH120" s="26">
        <f t="shared" si="507"/>
        <v>3477.51</v>
      </c>
      <c r="CI120" s="26">
        <f t="shared" si="507"/>
        <v>3569.0600000000013</v>
      </c>
      <c r="CJ120" s="26">
        <f t="shared" si="507"/>
        <v>3526.1100000000006</v>
      </c>
      <c r="CK120" s="26">
        <f t="shared" si="507"/>
        <v>3591.83</v>
      </c>
      <c r="CL120" s="26">
        <f t="shared" ref="CL120" si="508">CL107-CL118</f>
        <v>3660.91</v>
      </c>
      <c r="CM120" s="27">
        <f t="shared" si="507"/>
        <v>3912.7420343325448</v>
      </c>
      <c r="CN120" s="27">
        <f t="shared" si="507"/>
        <v>4942.2702386214005</v>
      </c>
      <c r="CO120" s="27">
        <f t="shared" si="507"/>
        <v>4469.2547924449991</v>
      </c>
      <c r="CP120" s="27">
        <f t="shared" si="507"/>
        <v>4566.3489312690344</v>
      </c>
      <c r="CQ120" s="27">
        <f t="shared" si="507"/>
        <v>4820.2413268441305</v>
      </c>
      <c r="CR120" s="27">
        <f t="shared" si="507"/>
        <v>5137.1826771199667</v>
      </c>
      <c r="CS120" s="27">
        <f t="shared" si="507"/>
        <v>4610.6508754786755</v>
      </c>
      <c r="CT120" s="27">
        <f t="shared" si="507"/>
        <v>4831.4922499209988</v>
      </c>
      <c r="CU120" s="27">
        <f t="shared" ref="CU120:DB120" si="509">CU107-CU118</f>
        <v>5133.1435591868612</v>
      </c>
      <c r="CV120" s="27">
        <f t="shared" si="509"/>
        <v>5433.1974694741548</v>
      </c>
      <c r="CW120" s="27">
        <f t="shared" si="509"/>
        <v>4883.1456653958958</v>
      </c>
      <c r="CX120" s="27">
        <f t="shared" si="509"/>
        <v>5135.2967494244658</v>
      </c>
      <c r="CY120" s="27">
        <f t="shared" si="509"/>
        <v>5465.025455433406</v>
      </c>
      <c r="CZ120" s="27">
        <f t="shared" si="509"/>
        <v>5781.5696602512544</v>
      </c>
      <c r="DA120" s="27">
        <f t="shared" si="509"/>
        <v>5195.4493811137218</v>
      </c>
      <c r="DB120" s="27">
        <f t="shared" si="509"/>
        <v>5468.3971821279119</v>
      </c>
      <c r="DE120" s="121"/>
      <c r="DF120" s="26">
        <v>3483.3183313376339</v>
      </c>
    </row>
    <row r="121" spans="1:110" s="168" customFormat="1" x14ac:dyDescent="0.2">
      <c r="A121" s="165" t="s">
        <v>14</v>
      </c>
      <c r="B121" s="166">
        <f t="shared" ref="B121:AE121" si="510">B120/B101</f>
        <v>0.20436890748029654</v>
      </c>
      <c r="C121" s="166">
        <f t="shared" si="510"/>
        <v>0.24872444354659087</v>
      </c>
      <c r="D121" s="166">
        <f t="shared" si="510"/>
        <v>0.2601150776722263</v>
      </c>
      <c r="E121" s="166">
        <f t="shared" si="510"/>
        <v>0.26521110514806601</v>
      </c>
      <c r="F121" s="166">
        <f t="shared" si="510"/>
        <v>0.22544380026488234</v>
      </c>
      <c r="G121" s="166">
        <f t="shared" si="510"/>
        <v>0.17378310200915811</v>
      </c>
      <c r="H121" s="166">
        <f t="shared" si="510"/>
        <v>0.16750313482528364</v>
      </c>
      <c r="I121" s="166">
        <f t="shared" si="510"/>
        <v>0.19485329900485368</v>
      </c>
      <c r="J121" s="166">
        <f t="shared" si="510"/>
        <v>0.20200129337169165</v>
      </c>
      <c r="K121" s="166">
        <f t="shared" si="510"/>
        <v>0.187400188772264</v>
      </c>
      <c r="L121" s="166">
        <f t="shared" si="510"/>
        <v>0.21068842554224115</v>
      </c>
      <c r="M121" s="166">
        <f t="shared" si="510"/>
        <v>0.17867384063935032</v>
      </c>
      <c r="N121" s="166">
        <f t="shared" si="510"/>
        <v>0.19042931462209572</v>
      </c>
      <c r="O121" s="166">
        <f t="shared" si="510"/>
        <v>0.19281521149978287</v>
      </c>
      <c r="P121" s="166">
        <f t="shared" si="510"/>
        <v>0.18690141545254207</v>
      </c>
      <c r="Q121" s="166">
        <f t="shared" si="510"/>
        <v>0.21984722471799642</v>
      </c>
      <c r="R121" s="166">
        <f t="shared" si="510"/>
        <v>0.21019849867277263</v>
      </c>
      <c r="S121" s="166">
        <f t="shared" si="510"/>
        <v>0.23368282062736345</v>
      </c>
      <c r="T121" s="166">
        <f t="shared" si="510"/>
        <v>0.22464430646034669</v>
      </c>
      <c r="U121" s="166">
        <f t="shared" si="510"/>
        <v>0.31913996149829227</v>
      </c>
      <c r="V121" s="166">
        <f t="shared" si="510"/>
        <v>0.23510464231296466</v>
      </c>
      <c r="W121" s="166">
        <f t="shared" si="510"/>
        <v>0.17447070196495804</v>
      </c>
      <c r="X121" s="166">
        <f t="shared" si="510"/>
        <v>0.15606048948739479</v>
      </c>
      <c r="Y121" s="166">
        <f t="shared" si="510"/>
        <v>0.17701309543376684</v>
      </c>
      <c r="Z121" s="166">
        <f t="shared" si="510"/>
        <v>0.19748759282473077</v>
      </c>
      <c r="AA121" s="166">
        <f t="shared" ref="AA121" si="511">AA120/AA101</f>
        <v>0.19412676147258798</v>
      </c>
      <c r="AB121" s="167">
        <f t="shared" si="510"/>
        <v>0.22836338294109679</v>
      </c>
      <c r="AC121" s="167">
        <f t="shared" si="510"/>
        <v>0.22854964230841648</v>
      </c>
      <c r="AD121" s="167">
        <f t="shared" si="510"/>
        <v>0.22851030638905284</v>
      </c>
      <c r="AE121" s="167">
        <f t="shared" si="510"/>
        <v>0.22848693532485378</v>
      </c>
      <c r="AI121" s="166">
        <f t="shared" ref="AI121:BN121" si="512">AI120/AI101</f>
        <v>0.18989659659354161</v>
      </c>
      <c r="AJ121" s="166">
        <f t="shared" si="512"/>
        <v>0.19283815892771902</v>
      </c>
      <c r="AK121" s="166">
        <f t="shared" si="512"/>
        <v>0.19771636763286743</v>
      </c>
      <c r="AL121" s="166">
        <f t="shared" si="512"/>
        <v>0.20344904531784427</v>
      </c>
      <c r="AM121" s="166">
        <f t="shared" si="512"/>
        <v>0.1962012793572927</v>
      </c>
      <c r="AN121" s="166">
        <f t="shared" si="512"/>
        <v>0.19930274893373143</v>
      </c>
      <c r="AO121" s="166">
        <f t="shared" si="512"/>
        <v>0.19048444263863332</v>
      </c>
      <c r="AP121" s="166">
        <f t="shared" si="512"/>
        <v>0.2046246774532367</v>
      </c>
      <c r="AQ121" s="166">
        <f t="shared" si="512"/>
        <v>0.17821948527438591</v>
      </c>
      <c r="AR121" s="166">
        <f t="shared" si="512"/>
        <v>0.20168612345212208</v>
      </c>
      <c r="AS121" s="166">
        <f t="shared" si="512"/>
        <v>0.13831082031799621</v>
      </c>
      <c r="AT121" s="166">
        <f t="shared" si="512"/>
        <v>0.19601796487705186</v>
      </c>
      <c r="AU121" s="166">
        <f t="shared" si="512"/>
        <v>0.23851679041957147</v>
      </c>
      <c r="AV121" s="166">
        <f t="shared" si="512"/>
        <v>0.23603726456490934</v>
      </c>
      <c r="AW121" s="166">
        <f t="shared" si="512"/>
        <v>0.16409568335930719</v>
      </c>
      <c r="AX121" s="166">
        <f t="shared" si="512"/>
        <v>0.17913464082344427</v>
      </c>
      <c r="AY121" s="166">
        <f t="shared" si="512"/>
        <v>0.23916762938157143</v>
      </c>
      <c r="AZ121" s="166">
        <f t="shared" si="512"/>
        <v>0.21129000060995559</v>
      </c>
      <c r="BA121" s="166">
        <f t="shared" si="512"/>
        <v>0.22953789430935131</v>
      </c>
      <c r="BB121" s="166">
        <f t="shared" si="512"/>
        <v>0.17433235692139037</v>
      </c>
      <c r="BC121" s="166">
        <f t="shared" si="512"/>
        <v>0.2626890101325019</v>
      </c>
      <c r="BD121" s="166">
        <f t="shared" si="512"/>
        <v>0.22447171444574565</v>
      </c>
      <c r="BE121" s="166">
        <f t="shared" si="512"/>
        <v>0.20968457065950552</v>
      </c>
      <c r="BF121" s="166">
        <f t="shared" si="512"/>
        <v>0.18385430883854734</v>
      </c>
      <c r="BG121" s="166">
        <f t="shared" si="512"/>
        <v>0.22636975065616805</v>
      </c>
      <c r="BH121" s="166">
        <f t="shared" si="512"/>
        <v>0.22745365755479449</v>
      </c>
      <c r="BI121" s="166">
        <f t="shared" si="512"/>
        <v>0.22618416783483097</v>
      </c>
      <c r="BJ121" s="166">
        <f t="shared" si="512"/>
        <v>0.23712419638608875</v>
      </c>
      <c r="BK121" s="166">
        <f t="shared" si="512"/>
        <v>0.27064964360759747</v>
      </c>
      <c r="BL121" s="166">
        <f t="shared" si="512"/>
        <v>0.24838430700381078</v>
      </c>
      <c r="BM121" s="166">
        <f t="shared" si="512"/>
        <v>0.26943599447322381</v>
      </c>
      <c r="BN121" s="166">
        <f t="shared" si="512"/>
        <v>0.27788635814403106</v>
      </c>
      <c r="BO121" s="166">
        <f t="shared" ref="BO121:CT121" si="513">BO120/BO101</f>
        <v>0.30215140578243571</v>
      </c>
      <c r="BP121" s="166">
        <f t="shared" si="513"/>
        <v>0.2562193825913982</v>
      </c>
      <c r="BQ121" s="166">
        <f t="shared" si="513"/>
        <v>0.248996105507962</v>
      </c>
      <c r="BR121" s="166">
        <f t="shared" si="513"/>
        <v>0.15180360141277285</v>
      </c>
      <c r="BS121" s="166">
        <f t="shared" si="513"/>
        <v>0.21584528761837091</v>
      </c>
      <c r="BT121" s="166">
        <f t="shared" si="513"/>
        <v>0.13815694245388979</v>
      </c>
      <c r="BU121" s="166">
        <f t="shared" si="513"/>
        <v>0.15903397189076651</v>
      </c>
      <c r="BV121" s="166">
        <f t="shared" si="513"/>
        <v>0.1667037347950997</v>
      </c>
      <c r="BW121" s="166">
        <f t="shared" si="513"/>
        <v>0.13547740399076122</v>
      </c>
      <c r="BX121" s="166">
        <f t="shared" si="513"/>
        <v>0.13488188774346588</v>
      </c>
      <c r="BY121" s="166">
        <f t="shared" si="513"/>
        <v>0.18010958927378357</v>
      </c>
      <c r="BZ121" s="166">
        <f t="shared" si="513"/>
        <v>0.17900457371910161</v>
      </c>
      <c r="CA121" s="166">
        <f t="shared" si="513"/>
        <v>0.17968697106280107</v>
      </c>
      <c r="CB121" s="166">
        <f t="shared" si="513"/>
        <v>0.17761879981166642</v>
      </c>
      <c r="CC121" s="166">
        <f t="shared" si="513"/>
        <v>0.17794962801173989</v>
      </c>
      <c r="CD121" s="166">
        <f t="shared" si="513"/>
        <v>0.17297864902079824</v>
      </c>
      <c r="CE121" s="166">
        <f t="shared" si="513"/>
        <v>0.17942050305257073</v>
      </c>
      <c r="CF121" s="166">
        <f t="shared" si="513"/>
        <v>0.20986872574082643</v>
      </c>
      <c r="CG121" s="166">
        <f t="shared" si="513"/>
        <v>0.20005314773641328</v>
      </c>
      <c r="CH121" s="166">
        <f t="shared" si="513"/>
        <v>0.20341216714202487</v>
      </c>
      <c r="CI121" s="166">
        <f t="shared" si="513"/>
        <v>0.19789554462500014</v>
      </c>
      <c r="CJ121" s="166">
        <f t="shared" si="513"/>
        <v>0.22683373528698467</v>
      </c>
      <c r="CK121" s="166">
        <f t="shared" si="513"/>
        <v>0.25750820344397679</v>
      </c>
      <c r="CL121" s="166">
        <f t="shared" ref="CL121" si="514">CL120/CL101</f>
        <v>0.24569535979382826</v>
      </c>
      <c r="CM121" s="167">
        <f t="shared" si="513"/>
        <v>0.22430058571550437</v>
      </c>
      <c r="CN121" s="167">
        <f t="shared" si="513"/>
        <v>0.23097195594936409</v>
      </c>
      <c r="CO121" s="167">
        <f t="shared" si="513"/>
        <v>0.23205072943316865</v>
      </c>
      <c r="CP121" s="167">
        <f t="shared" si="513"/>
        <v>0.22559855945828972</v>
      </c>
      <c r="CQ121" s="167">
        <f t="shared" si="513"/>
        <v>0.22823045763908167</v>
      </c>
      <c r="CR121" s="167">
        <f t="shared" si="513"/>
        <v>0.22921292561997586</v>
      </c>
      <c r="CS121" s="167">
        <f t="shared" si="513"/>
        <v>0.22877316803762895</v>
      </c>
      <c r="CT121" s="167">
        <f t="shared" si="513"/>
        <v>0.22795377768874422</v>
      </c>
      <c r="CU121" s="167">
        <f t="shared" ref="CU121:DB121" si="515">CU120/CU101</f>
        <v>0.22854258224635776</v>
      </c>
      <c r="CV121" s="167">
        <f t="shared" si="515"/>
        <v>0.2286206133981768</v>
      </c>
      <c r="CW121" s="167">
        <f t="shared" si="515"/>
        <v>0.22847253534272685</v>
      </c>
      <c r="CX121" s="167">
        <f t="shared" si="515"/>
        <v>0.22839737716900144</v>
      </c>
      <c r="CY121" s="167">
        <f t="shared" si="515"/>
        <v>0.2285082770390657</v>
      </c>
      <c r="CZ121" s="167">
        <f t="shared" si="515"/>
        <v>0.22849970073724274</v>
      </c>
      <c r="DA121" s="167">
        <f t="shared" si="515"/>
        <v>0.22846947257200909</v>
      </c>
      <c r="DB121" s="167">
        <f t="shared" si="515"/>
        <v>0.2284687068793296</v>
      </c>
      <c r="DE121" s="169"/>
      <c r="DF121" s="168">
        <v>0.19806571401410805</v>
      </c>
    </row>
    <row r="122" spans="1:110" s="38" customFormat="1" x14ac:dyDescent="0.2">
      <c r="A122" s="39" t="s">
        <v>449</v>
      </c>
      <c r="B122" s="39"/>
      <c r="C122" s="39">
        <f t="shared" ref="C122:E122" si="516">+IF(B120&lt;0,1-C120/B120,C120/B120-1)</f>
        <v>0.39253367244812609</v>
      </c>
      <c r="D122" s="39">
        <f t="shared" si="516"/>
        <v>0.30159110315096704</v>
      </c>
      <c r="E122" s="39">
        <f t="shared" si="516"/>
        <v>5.9537428898293943E-2</v>
      </c>
      <c r="F122" s="39">
        <f t="shared" ref="F122:Y122" si="517">+IF(E120&lt;0,1-F120/E120,F120/E120-1)</f>
        <v>-0.1658499384622355</v>
      </c>
      <c r="G122" s="39">
        <f t="shared" si="517"/>
        <v>-0.11573763962561334</v>
      </c>
      <c r="H122" s="39">
        <f t="shared" si="517"/>
        <v>0.11036155924985613</v>
      </c>
      <c r="I122" s="39">
        <f t="shared" si="517"/>
        <v>0.95642994772700174</v>
      </c>
      <c r="J122" s="39">
        <f t="shared" si="517"/>
        <v>0.71922888432322418</v>
      </c>
      <c r="K122" s="39">
        <f t="shared" si="517"/>
        <v>-2.4794362475708875E-2</v>
      </c>
      <c r="L122" s="39">
        <f t="shared" si="517"/>
        <v>0.15180089658370743</v>
      </c>
      <c r="M122" s="39">
        <f t="shared" si="517"/>
        <v>0.13365381095887097</v>
      </c>
      <c r="N122" s="39">
        <f t="shared" si="517"/>
        <v>0.3537067052393883</v>
      </c>
      <c r="O122" s="39">
        <f t="shared" si="517"/>
        <v>9.5088098126733023E-2</v>
      </c>
      <c r="P122" s="39">
        <f t="shared" si="517"/>
        <v>-8.8351710899634783E-2</v>
      </c>
      <c r="Q122" s="39">
        <f t="shared" si="517"/>
        <v>3.2762393804929291E-2</v>
      </c>
      <c r="R122" s="39">
        <f t="shared" si="517"/>
        <v>-0.10569781500993269</v>
      </c>
      <c r="S122" s="39">
        <f t="shared" si="517"/>
        <v>8.1609003133370717E-2</v>
      </c>
      <c r="T122" s="39">
        <f t="shared" si="517"/>
        <v>7.0231548872708549E-2</v>
      </c>
      <c r="U122" s="39">
        <f t="shared" si="517"/>
        <v>0.3852406143065048</v>
      </c>
      <c r="V122" s="39">
        <f t="shared" si="517"/>
        <v>-0.17313181152390988</v>
      </c>
      <c r="W122" s="39">
        <f t="shared" si="517"/>
        <v>-2.843393551575768E-2</v>
      </c>
      <c r="X122" s="39">
        <f t="shared" si="517"/>
        <v>0.15130627784441475</v>
      </c>
      <c r="Y122" s="39">
        <f t="shared" si="517"/>
        <v>0.26474620218944533</v>
      </c>
      <c r="Z122" s="39">
        <f t="shared" ref="Z122:AE122" si="518">+IF(Y120&lt;0,1-Z120/Y120,Z120/Y120-1)</f>
        <v>0.18882328821780536</v>
      </c>
      <c r="AA122" s="39">
        <f t="shared" si="518"/>
        <v>-6.2800340882552486E-2</v>
      </c>
      <c r="AB122" s="40">
        <f t="shared" si="518"/>
        <v>0.47623792576882895</v>
      </c>
      <c r="AC122" s="40">
        <f t="shared" si="518"/>
        <v>8.434316252591989E-2</v>
      </c>
      <c r="AD122" s="40">
        <f t="shared" si="518"/>
        <v>6.1094987646586274E-2</v>
      </c>
      <c r="AE122" s="40">
        <f t="shared" si="518"/>
        <v>6.4399911667020637E-2</v>
      </c>
      <c r="AI122" s="39"/>
      <c r="AJ122" s="39"/>
      <c r="AK122" s="39"/>
      <c r="AL122" s="39"/>
      <c r="AM122" s="39">
        <f>+IF(AI120&lt;0,1-AM120/AI120,AM120/AI120-1)</f>
        <v>0.29664694280078963</v>
      </c>
      <c r="AN122" s="39">
        <f t="shared" ref="AN122" si="519">+IF(AJ120&lt;0,1-AN120/AJ120,AN120/AJ120-1)</f>
        <v>0.13353531118339701</v>
      </c>
      <c r="AO122" s="39">
        <f t="shared" ref="AO122" si="520">+IF(AK120&lt;0,1-AO120/AK120,AO120/AK120-1)</f>
        <v>-8.1012987159715499E-2</v>
      </c>
      <c r="AP122" s="39">
        <f t="shared" ref="AP122" si="521">+IF(AL120&lt;0,1-AP120/AL120,AP120/AL120-1)</f>
        <v>-6.0460217940542238E-3</v>
      </c>
      <c r="AQ122" s="39">
        <f t="shared" ref="AQ122" si="522">+IF(AM120&lt;0,1-AQ120/AM120,AQ120/AM120-1)</f>
        <v>-0.13943819085285414</v>
      </c>
      <c r="AR122" s="39">
        <f t="shared" ref="AR122" si="523">+IF(AN120&lt;0,1-AR120/AN120,AR120/AN120-1)</f>
        <v>1.8339428578246775E-2</v>
      </c>
      <c r="AS122" s="39">
        <f t="shared" ref="AS122" si="524">+IF(AO120&lt;0,1-AS120/AO120,AS120/AO120-1)</f>
        <v>-0.27491394148020698</v>
      </c>
      <c r="AT122" s="39">
        <f t="shared" ref="AT122" si="525">+IF(AP120&lt;0,1-AT120/AP120,AT120/AP120-1)</f>
        <v>-0.15970640066317698</v>
      </c>
      <c r="AU122" s="39">
        <f t="shared" ref="AU122" si="526">+IF(AQ120&lt;0,1-AU120/AQ120,AU120/AQ120-1)</f>
        <v>9.5025794118415829E-2</v>
      </c>
      <c r="AV122" s="39">
        <f t="shared" ref="AV122" si="527">+IF(AR120&lt;0,1-AV120/AR120,AV120/AR120-1)</f>
        <v>2.4195768962629094E-2</v>
      </c>
      <c r="AW122" s="39">
        <f t="shared" ref="AW122" si="528">+IF(AS120&lt;0,1-AW120/AS120,AW120/AS120-1)</f>
        <v>1.5683681341525091E-3</v>
      </c>
      <c r="AX122" s="39">
        <f t="shared" ref="AX122" si="529">+IF(AT120&lt;0,1-AX120/AT120,AX120/AT120-1)</f>
        <v>-0.15508094758986712</v>
      </c>
      <c r="AY122" s="39">
        <f t="shared" ref="AY122" si="530">+IF(AU120&lt;0,1-AY120/AU120,AY120/AU120-1)</f>
        <v>-2.2198573504002228E-2</v>
      </c>
      <c r="AZ122" s="39">
        <f t="shared" ref="AZ122" si="531">+IF(AV120&lt;0,1-AZ120/AV120,AZ120/AV120-1)</f>
        <v>-0.12815394031609517</v>
      </c>
      <c r="BA122" s="39">
        <f t="shared" ref="BA122" si="532">+IF(AW120&lt;0,1-BA120/AW120,BA120/AW120-1)</f>
        <v>0.2773526772866548</v>
      </c>
      <c r="BB122" s="39">
        <f t="shared" ref="BB122" si="533">+IF(AX120&lt;0,1-BB120/AX120,BB120/AX120-1)</f>
        <v>-5.5681422772083988E-2</v>
      </c>
      <c r="BC122" s="39">
        <f t="shared" ref="BC122" si="534">+IF(AY120&lt;0,1-BC120/AY120,BC120/AY120-1)</f>
        <v>3.0357688780189296E-2</v>
      </c>
      <c r="BD122" s="39">
        <f t="shared" ref="BD122" si="535">+IF(AZ120&lt;0,1-BD120/AZ120,BD120/AZ120-1)</f>
        <v>1.2314899256644196E-2</v>
      </c>
      <c r="BE122" s="39">
        <f t="shared" ref="BE122" si="536">+IF(BA120&lt;0,1-BE120/BA120,BE120/BA120-1)</f>
        <v>-0.11626211823019206</v>
      </c>
      <c r="BF122" s="39">
        <f t="shared" ref="BF122" si="537">+IF(BB120&lt;0,1-BF120/BB120,BF120/BB120-1)</f>
        <v>8.6485866823883706E-2</v>
      </c>
      <c r="BG122" s="39">
        <f t="shared" ref="BG122" si="538">+IF(BC120&lt;0,1-BG120/BC120,BG120/BC120-1)</f>
        <v>-1.7333768507253988E-2</v>
      </c>
      <c r="BH122" s="39">
        <f t="shared" ref="BH122" si="539">+IF(BD120&lt;0,1-BH120/BD120,BH120/BD120-1)</f>
        <v>8.4008451397981521E-2</v>
      </c>
      <c r="BI122" s="39">
        <f t="shared" ref="BI122" si="540">+IF(BE120&lt;0,1-BI120/BE120,BI120/BE120-1)</f>
        <v>0.35384361596832692</v>
      </c>
      <c r="BJ122" s="39">
        <f t="shared" ref="BJ122" si="541">+IF(BF120&lt;0,1-BJ120/BF120,BJ120/BF120-1)</f>
        <v>0.29205040471489019</v>
      </c>
      <c r="BK122" s="39">
        <f t="shared" ref="BK122" si="542">+IF(BG120&lt;0,1-BK120/BG120,BK120/BG120-1)</f>
        <v>0.26940589634890078</v>
      </c>
      <c r="BL122" s="39">
        <f t="shared" ref="BL122" si="543">+IF(BH120&lt;0,1-BL120/BH120,BL120/BH120-1)</f>
        <v>0.14019825895632865</v>
      </c>
      <c r="BM122" s="39">
        <f t="shared" ref="BM122" si="544">+IF(BI120&lt;0,1-BM120/BI120,BM120/BI120-1)</f>
        <v>5.519124472456971E-2</v>
      </c>
      <c r="BN122" s="39">
        <f t="shared" ref="BN122" si="545">+IF(BJ120&lt;0,1-BN120/BJ120,BN120/BJ120-1)</f>
        <v>7.3181401914406363E-2</v>
      </c>
      <c r="BO122" s="39">
        <f t="shared" ref="BO122" si="546">+IF(BK120&lt;0,1-BO120/BK120,BO120/BK120-1)</f>
        <v>-7.2443222362824966E-2</v>
      </c>
      <c r="BP122" s="39">
        <f t="shared" ref="BP122" si="547">+IF(BL120&lt;0,1-BP120/BL120,BP120/BL120-1)</f>
        <v>0.11376733698644514</v>
      </c>
      <c r="BQ122" s="39">
        <f t="shared" ref="BQ122" si="548">+IF(BM120&lt;0,1-BQ120/BM120,BQ120/BM120-1)</f>
        <v>-7.0019263170603141E-3</v>
      </c>
      <c r="BR122" s="39">
        <f t="shared" ref="BR122" si="549">+IF(BN120&lt;0,1-BR120/BN120,BR120/BN120-1)</f>
        <v>-0.14498622155307872</v>
      </c>
      <c r="BS122" s="39">
        <f t="shared" ref="BS122" si="550">+IF(BO120&lt;0,1-BS120/BO120,BS120/BO120-1)</f>
        <v>0.12167526592743827</v>
      </c>
      <c r="BT122" s="39">
        <f t="shared" ref="BT122" si="551">+IF(BP120&lt;0,1-BT120/BP120,BT120/BP120-1)</f>
        <v>-0.36189095154919249</v>
      </c>
      <c r="BU122" s="39">
        <f t="shared" ref="BU122" si="552">+IF(BQ120&lt;0,1-BU120/BQ120,BU120/BQ120-1)</f>
        <v>-8.2612257842852199E-2</v>
      </c>
      <c r="BV122" s="39">
        <f t="shared" ref="BV122" si="553">+IF(BR120&lt;0,1-BV120/BR120,BV120/BR120-1)</f>
        <v>0.26743077275154503</v>
      </c>
      <c r="BW122" s="39">
        <f t="shared" ref="BW122" si="554">+IF(BS120&lt;0,1-BW120/BS120,BW120/BS120-1)</f>
        <v>-0.1020612522976474</v>
      </c>
      <c r="BX122" s="39">
        <f t="shared" ref="BX122" si="555">+IF(BT120&lt;0,1-BX120/BT120,BX120/BT120-1)</f>
        <v>0.39631091599955992</v>
      </c>
      <c r="BY122" s="39">
        <f t="shared" ref="BY122" si="556">+IF(BU120&lt;0,1-BY120/BU120,BY120/BU120-1)</f>
        <v>0.46626449100002398</v>
      </c>
      <c r="BZ122" s="39">
        <f t="shared" ref="BZ122" si="557">+IF(BV120&lt;0,1-BZ120/BV120,BZ120/BV120-1)</f>
        <v>0.11812295299858988</v>
      </c>
      <c r="CA122" s="39">
        <f t="shared" ref="CA122" si="558">+IF(BW120&lt;0,1-CA120/BW120,CA120/BW120-1)</f>
        <v>0.39200329970822123</v>
      </c>
      <c r="CB122" s="39">
        <f t="shared" ref="CB122" si="559">+IF(BX120&lt;0,1-CB120/BX120,CB120/BX120-1)</f>
        <v>0.47708574417830385</v>
      </c>
      <c r="CC122" s="39">
        <f t="shared" ref="CC122" si="560">+IF(BY120&lt;0,1-CC120/BY120,CC120/BY120-1)</f>
        <v>2.4501039378495015E-2</v>
      </c>
      <c r="CD122" s="39">
        <f t="shared" ref="CD122" si="561">+IF(BZ120&lt;0,1-CD120/BZ120,CD120/BZ120-1)</f>
        <v>0.22959879422952811</v>
      </c>
      <c r="CE122" s="39">
        <f t="shared" ref="CE122" si="562">+IF(CA120&lt;0,1-CE120/CA120,CE120/CA120-1)</f>
        <v>0.13505851194199536</v>
      </c>
      <c r="CF122" s="39">
        <f t="shared" ref="CF122" si="563">+IF(CB120&lt;0,1-CF120/CB120,CF120/CB120-1)</f>
        <v>0.17853808261518078</v>
      </c>
      <c r="CG122" s="39">
        <f t="shared" ref="CG122" si="564">+IF(CC120&lt;0,1-CG120/CC120,CG120/CC120-1)</f>
        <v>0.18099910246476947</v>
      </c>
      <c r="CH122" s="39">
        <f t="shared" ref="CH122:CL122" si="565">+IF(CD120&lt;0,1-CH120/CD120,CH120/CD120-1)</f>
        <v>0.26864566308662119</v>
      </c>
      <c r="CI122" s="39">
        <f t="shared" si="565"/>
        <v>0.15025960171843233</v>
      </c>
      <c r="CJ122" s="39">
        <f t="shared" si="565"/>
        <v>7.0318262532441445E-2</v>
      </c>
      <c r="CK122" s="39">
        <f t="shared" si="565"/>
        <v>0.16654595765549507</v>
      </c>
      <c r="CL122" s="39">
        <f t="shared" si="565"/>
        <v>5.2738885006800684E-2</v>
      </c>
      <c r="CM122" s="40">
        <f t="shared" ref="CM122" si="566">+CM120/CI120-1</f>
        <v>9.6294832345924064E-2</v>
      </c>
      <c r="CN122" s="40">
        <f t="shared" ref="CN122" si="567">+CN120/CJ120-1</f>
        <v>0.40162111749814944</v>
      </c>
      <c r="CO122" s="40">
        <f t="shared" ref="CO122" si="568">+CO120/CK120-1</f>
        <v>0.24428349683726647</v>
      </c>
      <c r="CP122" s="40">
        <f t="shared" ref="CP122" si="569">+CP120/CL120-1</f>
        <v>0.24732619246827547</v>
      </c>
      <c r="CQ122" s="40">
        <f t="shared" ref="CQ122" si="570">+CQ120/CM120-1</f>
        <v>0.23193435308249022</v>
      </c>
      <c r="CR122" s="40">
        <f t="shared" ref="CR122" si="571">+CR120/CN120-1</f>
        <v>3.9437835061187476E-2</v>
      </c>
      <c r="CS122" s="40">
        <f t="shared" ref="CS122" si="572">+CS120/CO120-1</f>
        <v>3.1637507727842573E-2</v>
      </c>
      <c r="CT122" s="40">
        <f t="shared" ref="CT122" si="573">+CT120/CP120-1</f>
        <v>5.8064620694301183E-2</v>
      </c>
      <c r="CU122" s="40">
        <f t="shared" ref="CU122" si="574">+CU120/CQ120-1</f>
        <v>6.4914225476671694E-2</v>
      </c>
      <c r="CV122" s="40">
        <f t="shared" ref="CV122" si="575">+CV120/CR120-1</f>
        <v>5.7622010148204783E-2</v>
      </c>
      <c r="CW122" s="40">
        <f t="shared" ref="CW122" si="576">+CW120/CS120-1</f>
        <v>5.9101154539038969E-2</v>
      </c>
      <c r="CX122" s="40">
        <f t="shared" ref="CX122" si="577">+CX120/CT120-1</f>
        <v>6.2880055226919751E-2</v>
      </c>
      <c r="CY122" s="40">
        <f t="shared" ref="CY122" si="578">+CY120/CU120-1</f>
        <v>6.4654707669839162E-2</v>
      </c>
      <c r="CZ122" s="40">
        <f t="shared" ref="CZ122" si="579">+CZ120/CV120-1</f>
        <v>6.411918446446907E-2</v>
      </c>
      <c r="DA122" s="40">
        <f t="shared" ref="DA122" si="580">+DA120/CW120-1</f>
        <v>6.3955437154157968E-2</v>
      </c>
      <c r="DB122" s="40">
        <f t="shared" ref="DB122" si="581">+DB120/CX120-1</f>
        <v>6.4864884924279886E-2</v>
      </c>
      <c r="DE122" s="122"/>
      <c r="DF122" s="38">
        <v>1.6702558260461853E-3</v>
      </c>
    </row>
    <row r="123" spans="1:110" s="38" customFormat="1" x14ac:dyDescent="0.2">
      <c r="A123" s="39" t="s">
        <v>450</v>
      </c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40"/>
      <c r="AC123" s="40"/>
      <c r="AD123" s="40"/>
      <c r="AE123" s="40"/>
      <c r="AI123" s="39"/>
      <c r="AJ123" s="39">
        <f>+IF(AI120&lt;0,1-AJ120/AI120,AJ120/AI120-1)</f>
        <v>8.0217693038205473E-2</v>
      </c>
      <c r="AK123" s="39">
        <f t="shared" ref="AK123:AM123" si="582">+IF(AJ120&lt;0,1-AK120/AJ120,AK120/AJ120-1)</f>
        <v>0.19713128334832408</v>
      </c>
      <c r="AL123" s="39">
        <f t="shared" si="582"/>
        <v>3.5250055078210885E-2</v>
      </c>
      <c r="AM123" s="39">
        <f t="shared" si="582"/>
        <v>-3.1446952706794318E-2</v>
      </c>
      <c r="AN123" s="39">
        <f t="shared" ref="AN123" si="583">+IF(AM120&lt;0,1-AN120/AM120,AN120/AM120-1)</f>
        <v>-5.566823288149747E-2</v>
      </c>
      <c r="AO123" s="39">
        <f t="shared" ref="AO123" si="584">+IF(AN120&lt;0,1-AO120/AN120,AO120/AN120-1)</f>
        <v>-2.9454052989852375E-2</v>
      </c>
      <c r="AP123" s="39">
        <f t="shared" ref="AP123" si="585">+IF(AO120&lt;0,1-AP120/AO120,AP120/AO120-1)</f>
        <v>0.11970125399557285</v>
      </c>
      <c r="AQ123" s="39">
        <f t="shared" ref="AQ123" si="586">+IF(AP120&lt;0,1-AQ120/AP120,AQ120/AP120-1)</f>
        <v>-0.16143022623837988</v>
      </c>
      <c r="AR123" s="39">
        <f t="shared" ref="AR123" si="587">+IF(AQ120&lt;0,1-AR120/AQ120,AR120/AQ120-1)</f>
        <v>0.11746798648754697</v>
      </c>
      <c r="AS123" s="39">
        <f t="shared" ref="AS123" si="588">+IF(AR120&lt;0,1-AS120/AR120,AS120/AR120-1)</f>
        <v>-0.30894423256059256</v>
      </c>
      <c r="AT123" s="39">
        <f t="shared" ref="AT123" si="589">+IF(AS120&lt;0,1-AT120/AS120,AT120/AS120-1)</f>
        <v>0.2976084505370622</v>
      </c>
      <c r="AU123" s="39">
        <f t="shared" ref="AU123" si="590">+IF(AT120&lt;0,1-AU120/AT120,AU120/AT120-1)</f>
        <v>9.2779396584389495E-2</v>
      </c>
      <c r="AV123" s="39">
        <f t="shared" ref="AV123" si="591">+IF(AU120&lt;0,1-AV120/AU120,AV120/AU120-1)</f>
        <v>4.518632333510797E-2</v>
      </c>
      <c r="AW123" s="39">
        <f t="shared" ref="AW123" si="592">+IF(AV120&lt;0,1-AW120/AV120,AW120/AV120-1)</f>
        <v>-0.32421162217353727</v>
      </c>
      <c r="AX123" s="39">
        <f t="shared" ref="AX123" si="593">+IF(AW120&lt;0,1-AX120/AW120,AX120/AW120-1)</f>
        <v>9.4657276836346949E-2</v>
      </c>
      <c r="AY123" s="39">
        <f t="shared" ref="AY123" si="594">+IF(AX120&lt;0,1-AY120/AX120,AY120/AX120-1)</f>
        <v>0.26464334042142079</v>
      </c>
      <c r="AZ123" s="39">
        <f t="shared" ref="AZ123" si="595">+IF(AY120&lt;0,1-AZ120/AY120,AZ120/AY120-1)</f>
        <v>-6.8070926322225556E-2</v>
      </c>
      <c r="BA123" s="39">
        <f t="shared" ref="BA123" si="596">+IF(AZ120&lt;0,1-BA120/AZ120,BA120/AZ120-1)</f>
        <v>-9.8939094720398302E-3</v>
      </c>
      <c r="BB123" s="39">
        <f t="shared" ref="BB123" si="597">+IF(BA120&lt;0,1-BB120/BA120,BB120/BA120-1)</f>
        <v>-0.19074409080969335</v>
      </c>
      <c r="BC123" s="39">
        <f t="shared" ref="BC123" si="598">+IF(BB120&lt;0,1-BC120/BB120,BC120/BB120-1)</f>
        <v>0.37986800301332968</v>
      </c>
      <c r="BD123" s="39">
        <f t="shared" ref="BD123" si="599">+IF(BC120&lt;0,1-BD120/BC120,BD120/BC120-1)</f>
        <v>-8.4390113639735365E-2</v>
      </c>
      <c r="BE123" s="39">
        <f t="shared" ref="BE123" si="600">+IF(BD120&lt;0,1-BE120/BD120,BE120/BD120-1)</f>
        <v>-0.13565012249342123</v>
      </c>
      <c r="BF123" s="39">
        <f t="shared" ref="BF123" si="601">+IF(BE120&lt;0,1-BF120/BE120,BF120/BE120-1)</f>
        <v>-5.0838307189344789E-3</v>
      </c>
      <c r="BG123" s="39">
        <f t="shared" ref="BG123" si="602">+IF(BF120&lt;0,1-BG120/BF120,BG120/BF120-1)</f>
        <v>0.24801410849675154</v>
      </c>
      <c r="BH123" s="39">
        <f t="shared" ref="BH123" si="603">+IF(BG120&lt;0,1-BH120/BG120,BH120/BG120-1)</f>
        <v>1.0036595528823966E-2</v>
      </c>
      <c r="BI123" s="39">
        <f t="shared" ref="BI123" si="604">+IF(BH120&lt;0,1-BI120/BH120,BI120/BH120-1)</f>
        <v>7.9506863729850386E-2</v>
      </c>
      <c r="BJ123" s="39">
        <f t="shared" ref="BJ123" si="605">+IF(BI120&lt;0,1-BJ120/BI120,BJ120/BI120-1)</f>
        <v>-5.049458887645808E-2</v>
      </c>
      <c r="BK123" s="39">
        <f t="shared" ref="BK123" si="606">+IF(BJ120&lt;0,1-BK120/BJ120,BK120/BJ120-1)</f>
        <v>0.22614138138208184</v>
      </c>
      <c r="BL123" s="39">
        <f t="shared" ref="BL123" si="607">+IF(BK120&lt;0,1-BL120/BK120,BL120/BK120-1)</f>
        <v>-9.2770900925759125E-2</v>
      </c>
      <c r="BM123" s="39">
        <f t="shared" ref="BM123" si="608">+IF(BL120&lt;0,1-BM120/BL120,BM120/BL120-1)</f>
        <v>-9.7532838677472089E-4</v>
      </c>
      <c r="BN123" s="39">
        <f t="shared" ref="BN123" si="609">+IF(BM120&lt;0,1-BN120/BM120,BN120/BM120-1)</f>
        <v>-3.4306289661397926E-2</v>
      </c>
      <c r="BO123" s="39">
        <f t="shared" ref="BO123" si="610">+IF(BN120&lt;0,1-BO120/BN120,BO120/BN120-1)</f>
        <v>5.9760956175298086E-2</v>
      </c>
      <c r="BP123" s="39">
        <f t="shared" ref="BP123" si="611">+IF(BO120&lt;0,1-BP120/BO120,BP120/BO120-1)</f>
        <v>8.9358799454296811E-2</v>
      </c>
      <c r="BQ123" s="39">
        <f t="shared" ref="BQ123" si="612">+IF(BP120&lt;0,1-BQ120/BP120,BQ120/BP120-1)</f>
        <v>-0.10930268689883715</v>
      </c>
      <c r="BR123" s="39">
        <f t="shared" ref="BR123" si="613">+IF(BQ120&lt;0,1-BR120/BQ120,BR120/BQ120-1)</f>
        <v>-0.168496445278431</v>
      </c>
      <c r="BS123" s="39">
        <f t="shared" ref="BS123" si="614">+IF(BR120&lt;0,1-BS120/BR120,BS120/BR120-1)</f>
        <v>0.39027894321967138</v>
      </c>
      <c r="BT123" s="39">
        <f t="shared" ref="BT123" si="615">+IF(BS120&lt;0,1-BT120/BS120,BT120/BS120-1)</f>
        <v>-0.38027544329727292</v>
      </c>
      <c r="BU123" s="39">
        <f t="shared" ref="BU123" si="616">+IF(BT120&lt;0,1-BU120/BT120,BU120/BT120-1)</f>
        <v>0.28052532556166399</v>
      </c>
      <c r="BV123" s="39">
        <f t="shared" ref="BV123" si="617">+IF(BU120&lt;0,1-BV120/BU120,BV120/BU120-1)</f>
        <v>0.14877618751296473</v>
      </c>
      <c r="BW123" s="39">
        <f t="shared" ref="BW123" si="618">+IF(BV120&lt;0,1-BW120/BV120,BW120/BV120-1)</f>
        <v>-1.5026808508504463E-2</v>
      </c>
      <c r="BX123" s="39">
        <f t="shared" ref="BX123" si="619">+IF(BW120&lt;0,1-BX120/BW120,BX120/BW120-1)</f>
        <v>-3.631715899195842E-2</v>
      </c>
      <c r="BY123" s="39">
        <f t="shared" ref="BY123" si="620">+IF(BX120&lt;0,1-BY120/BX120,BY120/BX120-1)</f>
        <v>0.34467817531400358</v>
      </c>
      <c r="BZ123" s="39">
        <f t="shared" ref="BZ123" si="621">+IF(BY120&lt;0,1-BZ120/BY120,BZ120/BY120-1)</f>
        <v>-0.12398272549011979</v>
      </c>
      <c r="CA123" s="39">
        <f t="shared" ref="CA123" si="622">+IF(BZ120&lt;0,1-CA120/BZ120,CA120/BZ120-1)</f>
        <v>0.2262389650470118</v>
      </c>
      <c r="CB123" s="39">
        <f t="shared" ref="CB123" si="623">+IF(CA120&lt;0,1-CB120/CA120,CB120/CA120-1)</f>
        <v>2.2585353540896191E-2</v>
      </c>
      <c r="CC123" s="39">
        <f t="shared" ref="CC123" si="624">+IF(CB120&lt;0,1-CC120/CB120,CC120/CB120-1)</f>
        <v>-6.7336345456951885E-2</v>
      </c>
      <c r="CD123" s="39">
        <f t="shared" ref="CD123" si="625">+IF(CC120&lt;0,1-CD120/CC120,CD120/CC120-1)</f>
        <v>5.1389645358515201E-2</v>
      </c>
      <c r="CE123" s="39">
        <f t="shared" ref="CE123" si="626">+IF(CD120&lt;0,1-CE120/CD120,CE120/CD120-1)</f>
        <v>0.13195701027317197</v>
      </c>
      <c r="CF123" s="39">
        <f t="shared" ref="CF123" si="627">+IF(CE120&lt;0,1-CF120/CE120,CF120/CE120-1)</f>
        <v>6.1756525494468306E-2</v>
      </c>
      <c r="CG123" s="39">
        <f t="shared" ref="CG123" si="628">+IF(CF120&lt;0,1-CG120/CF120,CG120/CF120-1)</f>
        <v>-6.538875988404691E-2</v>
      </c>
      <c r="CH123" s="39">
        <f t="shared" ref="CH123:CI123" si="629">+IF(CG120&lt;0,1-CH120/CG120,CH120/CG120-1)</f>
        <v>0.12941738144805326</v>
      </c>
      <c r="CI123" s="39">
        <f t="shared" si="629"/>
        <v>2.6326308191781278E-2</v>
      </c>
      <c r="CJ123" s="39">
        <f>+IF(CI120&gt;1,CJ120/CI120-1,1-CJ120/CI120)</f>
        <v>-1.203398093615704E-2</v>
      </c>
      <c r="CK123" s="39">
        <f>+IF(CJ120&gt;1,CK120/CJ120-1,1-CK120/CJ120)</f>
        <v>1.8638102611659768E-2</v>
      </c>
      <c r="CL123" s="39">
        <f>+IF(CK120&gt;1,CL120/CK120-1,1-CL120/CK120)</f>
        <v>1.9232536061005057E-2</v>
      </c>
      <c r="CM123" s="40">
        <f t="shared" ref="CM123" si="630">+CM120/CL120-1</f>
        <v>6.8789463366361048E-2</v>
      </c>
      <c r="CN123" s="40">
        <f t="shared" ref="CN123" si="631">+CN120/CM120-1</f>
        <v>0.26312192198085405</v>
      </c>
      <c r="CO123" s="40">
        <f t="shared" ref="CO123" si="632">+CO120/CN120-1</f>
        <v>-9.5708130745263409E-2</v>
      </c>
      <c r="CP123" s="40">
        <f t="shared" ref="CP123" si="633">+CP120/CO120-1</f>
        <v>2.1724905679615159E-2</v>
      </c>
      <c r="CQ123" s="40">
        <f t="shared" ref="CQ123" si="634">+CQ120/CP120-1</f>
        <v>5.5600743481628134E-2</v>
      </c>
      <c r="CR123" s="40">
        <f t="shared" ref="CR123" si="635">+CR120/CQ120-1</f>
        <v>6.5752174794812879E-2</v>
      </c>
      <c r="CS123" s="40">
        <f t="shared" ref="CS123" si="636">+CS120/CR120-1</f>
        <v>-0.10249427258765076</v>
      </c>
      <c r="CT123" s="40">
        <f t="shared" ref="CT123" si="637">+CT120/CS120-1</f>
        <v>4.789809083503771E-2</v>
      </c>
      <c r="CU123" s="40">
        <f t="shared" ref="CU123" si="638">+CU120/CT120-1</f>
        <v>6.2434397834498112E-2</v>
      </c>
      <c r="CV123" s="40">
        <f t="shared" ref="CV123" si="639">+CV120/CU120-1</f>
        <v>5.8454221439079523E-2</v>
      </c>
      <c r="CW123" s="40">
        <f t="shared" ref="CW123" si="640">+CW120/CV120-1</f>
        <v>-0.10123905990324611</v>
      </c>
      <c r="CX123" s="40">
        <f t="shared" ref="CX123" si="641">+CX120/CW120-1</f>
        <v>5.163701869789028E-2</v>
      </c>
      <c r="CY123" s="40">
        <f t="shared" ref="CY123" si="642">+CY120/CX120-1</f>
        <v>6.4208306179364349E-2</v>
      </c>
      <c r="CZ123" s="40">
        <f t="shared" ref="CZ123" si="643">+CZ120/CY120-1</f>
        <v>5.7921817089275462E-2</v>
      </c>
      <c r="DA123" s="40">
        <f t="shared" ref="DA123" si="644">+DA120/CZ120-1</f>
        <v>-0.10137736178587553</v>
      </c>
      <c r="DB123" s="40">
        <f t="shared" ref="DB123" si="645">+DB120/DA120-1</f>
        <v>5.2535936930960814E-2</v>
      </c>
      <c r="DE123" s="122"/>
      <c r="DF123" s="38">
        <v>-3.021069167036472E-2</v>
      </c>
    </row>
    <row r="124" spans="1:110" s="23" customFormat="1" x14ac:dyDescent="0.2">
      <c r="A124" s="23" t="s">
        <v>15</v>
      </c>
      <c r="B124" s="23">
        <f>'Annual Raw'!C27</f>
        <v>204.5452325</v>
      </c>
      <c r="C124" s="23">
        <f>'Annual Raw'!D27</f>
        <v>316.44</v>
      </c>
      <c r="D124" s="23">
        <f>'Annual Raw'!E27</f>
        <v>387.16</v>
      </c>
      <c r="E124" s="23">
        <f>'Annual Raw'!F27</f>
        <v>429.49</v>
      </c>
      <c r="F124" s="23">
        <f>'Annual Raw'!G27</f>
        <v>475.12</v>
      </c>
      <c r="G124" s="23">
        <f>'Annual Raw'!H27</f>
        <v>345.73</v>
      </c>
      <c r="H124" s="23">
        <f>'Annual Raw'!I27</f>
        <v>414.78</v>
      </c>
      <c r="I124" s="23">
        <f>'Annual Raw'!J27</f>
        <v>559.28</v>
      </c>
      <c r="J124" s="23">
        <f>'Annual Raw'!K27</f>
        <v>936.86</v>
      </c>
      <c r="K124" s="23">
        <f>'Annual Raw'!L27</f>
        <v>877.68</v>
      </c>
      <c r="L124" s="23">
        <f>'Annual Raw'!M27</f>
        <v>980.24</v>
      </c>
      <c r="M124" s="23">
        <f>'Annual Raw'!N27</f>
        <v>1334.64</v>
      </c>
      <c r="N124" s="23">
        <f>'Annual Raw'!O27</f>
        <v>2051.69</v>
      </c>
      <c r="O124" s="23">
        <f>'Annual Raw'!P27</f>
        <v>2729.62</v>
      </c>
      <c r="P124" s="23">
        <f>'Annual Raw'!Q27</f>
        <v>2174.15</v>
      </c>
      <c r="Q124" s="23">
        <f>'Annual Raw'!R27</f>
        <v>1648.73</v>
      </c>
      <c r="R124" s="23">
        <f>'Annual Raw'!S27</f>
        <v>1955.59</v>
      </c>
      <c r="S124" s="23">
        <f>'Annual Raw'!T27</f>
        <v>2346.17</v>
      </c>
      <c r="T124" s="23">
        <f>'Annual Raw'!U27</f>
        <v>2393.13</v>
      </c>
      <c r="U124" s="23">
        <f>'Annual Raw'!V27</f>
        <v>2633.56</v>
      </c>
      <c r="V124" s="23">
        <f>'Annual Raw'!W27</f>
        <v>2744.94</v>
      </c>
      <c r="W124" s="23">
        <f>'Annual Raw'!X27</f>
        <v>3122.2</v>
      </c>
      <c r="X124" s="23">
        <f>'Annual Raw'!Y27</f>
        <v>3439.2</v>
      </c>
      <c r="Y124" s="23">
        <f>'Annual Raw'!Z27</f>
        <v>3786.37</v>
      </c>
      <c r="Z124" s="23">
        <f>'Annual Raw'!AA27</f>
        <v>4116.8599999999997</v>
      </c>
      <c r="AA124" s="23">
        <f>'Annual Raw'!AB27</f>
        <v>4811.09</v>
      </c>
      <c r="AB124" s="76">
        <f>+SUM(CM124:CP124)</f>
        <v>5512.2185102941839</v>
      </c>
      <c r="AC124" s="76">
        <f>+SUM(CQ124:CT124)</f>
        <v>5677.1225205908668</v>
      </c>
      <c r="AD124" s="76">
        <f>+SUM(CU124:CX124)</f>
        <v>5831.0957748205674</v>
      </c>
      <c r="AE124" s="76">
        <f>+SUM(CY124:DB124)</f>
        <v>5974.8628243630919</v>
      </c>
      <c r="AF124" s="23">
        <f>+X124-SUM(BW124:BZ124)</f>
        <v>0</v>
      </c>
      <c r="AI124" s="23">
        <f>'QTR Raw'!C28</f>
        <v>505.97</v>
      </c>
      <c r="AJ124" s="23">
        <f>'QTR Raw'!D28</f>
        <v>542.04</v>
      </c>
      <c r="AK124" s="23">
        <f>'QTR Raw'!E28</f>
        <v>587.30999999999995</v>
      </c>
      <c r="AL124" s="23">
        <f>'QTR Raw'!F28</f>
        <v>416.37</v>
      </c>
      <c r="AM124" s="23">
        <f>'QTR Raw'!G28</f>
        <v>650.79999999999995</v>
      </c>
      <c r="AN124" s="23">
        <f>'QTR Raw'!H28</f>
        <v>689.05</v>
      </c>
      <c r="AO124" s="23">
        <f>'QTR Raw'!I28</f>
        <v>665.54</v>
      </c>
      <c r="AP124" s="23">
        <f>'QTR Raw'!J28</f>
        <v>724.23</v>
      </c>
      <c r="AQ124" s="23">
        <f>'QTR Raw'!K28</f>
        <v>542.53</v>
      </c>
      <c r="AR124" s="23">
        <f>'QTR Raw'!L28</f>
        <v>535.88</v>
      </c>
      <c r="AS124" s="23">
        <f>'QTR Raw'!M28</f>
        <v>542.05999999999995</v>
      </c>
      <c r="AT124" s="23">
        <f>'QTR Raw'!N28</f>
        <v>553.67999999999995</v>
      </c>
      <c r="AU124" s="23">
        <f>'QTR Raw'!O28</f>
        <v>397.75</v>
      </c>
      <c r="AV124" s="23">
        <f>'QTR Raw'!P28</f>
        <v>398.26</v>
      </c>
      <c r="AW124" s="23">
        <f>'QTR Raw'!Q28</f>
        <v>411.73</v>
      </c>
      <c r="AX124" s="23">
        <f>'QTR Raw'!R28</f>
        <v>440.99</v>
      </c>
      <c r="AY124" s="23">
        <f>'QTR Raw'!S28</f>
        <v>439.31</v>
      </c>
      <c r="AZ124" s="23">
        <f>'QTR Raw'!T28</f>
        <v>447.64</v>
      </c>
      <c r="BA124" s="23">
        <f>'QTR Raw'!U28</f>
        <v>524.09</v>
      </c>
      <c r="BB124" s="23">
        <f>'QTR Raw'!V28</f>
        <v>559.44000000000005</v>
      </c>
      <c r="BC124" s="23">
        <f>'QTR Raw'!W28</f>
        <v>576.22</v>
      </c>
      <c r="BD124" s="23">
        <f>'QTR Raw'!X28</f>
        <v>579.29999999999995</v>
      </c>
      <c r="BE124" s="23">
        <f>'QTR Raw'!Y28</f>
        <v>584</v>
      </c>
      <c r="BF124" s="23">
        <f>'QTR Raw'!Z28</f>
        <v>632.16</v>
      </c>
      <c r="BG124" s="23">
        <f>'QTR Raw'!AA28</f>
        <v>589.97</v>
      </c>
      <c r="BH124" s="23">
        <f>'QTR Raw'!AB28</f>
        <v>596.97</v>
      </c>
      <c r="BI124" s="23">
        <f>'QTR Raw'!AC28</f>
        <v>602.74</v>
      </c>
      <c r="BJ124" s="23">
        <f>'QTR Raw'!AD28</f>
        <v>603.45000000000005</v>
      </c>
      <c r="BK124" s="23">
        <f>'QTR Raw'!AE28</f>
        <v>619.95000000000005</v>
      </c>
      <c r="BL124" s="23">
        <f>'QTR Raw'!AF28</f>
        <v>654.44000000000005</v>
      </c>
      <c r="BM124" s="23">
        <f>'QTR Raw'!AG28</f>
        <v>671.87</v>
      </c>
      <c r="BN124" s="23">
        <f>'QTR Raw'!AH28</f>
        <v>687.3</v>
      </c>
      <c r="BO124" s="23">
        <f>'QTR Raw'!AI28</f>
        <v>644.49</v>
      </c>
      <c r="BP124" s="23">
        <f>'QTR Raw'!AJ28</f>
        <v>698.88</v>
      </c>
      <c r="BQ124" s="23">
        <f>'QTR Raw'!AK28</f>
        <v>738.29</v>
      </c>
      <c r="BR124" s="23">
        <f>'QTR Raw'!AL28</f>
        <v>663.28</v>
      </c>
      <c r="BS124" s="23">
        <f>'QTR Raw'!AM28</f>
        <v>747.2</v>
      </c>
      <c r="BT124" s="23">
        <f>'QTR Raw'!AN28</f>
        <v>771.17</v>
      </c>
      <c r="BU124" s="23">
        <f>'QTR Raw'!AO28</f>
        <v>758.12</v>
      </c>
      <c r="BV124" s="23">
        <f>'QTR Raw'!AP28</f>
        <v>845.71</v>
      </c>
      <c r="BW124" s="23">
        <f>'QTR Raw'!AQ28</f>
        <v>822.01</v>
      </c>
      <c r="BX124" s="23">
        <f>'QTR Raw'!AR28</f>
        <v>837.63</v>
      </c>
      <c r="BY124" s="23">
        <f>'QTR Raw'!AS28</f>
        <v>853.26</v>
      </c>
      <c r="BZ124" s="23">
        <f>'QTR Raw'!AT28</f>
        <v>926.3</v>
      </c>
      <c r="CA124" s="23">
        <f>'QTR Raw'!AU28</f>
        <v>893.44</v>
      </c>
      <c r="CB124" s="23">
        <f>'QTR Raw'!AV28</f>
        <v>925.89</v>
      </c>
      <c r="CC124" s="23">
        <f>'QTR Raw'!AW28</f>
        <v>926.27</v>
      </c>
      <c r="CD124" s="23">
        <f>'QTR Raw'!AX28</f>
        <v>1040.77</v>
      </c>
      <c r="CE124" s="23">
        <f>'QTR Raw'!AY28</f>
        <v>972.89</v>
      </c>
      <c r="CF124" s="23">
        <f>'QTR Raw'!AZ28</f>
        <v>986.69</v>
      </c>
      <c r="CG124" s="23">
        <f>'QTR Raw'!BA28</f>
        <v>1040.99</v>
      </c>
      <c r="CH124" s="23">
        <f>'QTR Raw'!BB28</f>
        <v>1116.28</v>
      </c>
      <c r="CI124" s="23">
        <f>'QTR Raw'!BC28</f>
        <v>1160.9100000000001</v>
      </c>
      <c r="CJ124" s="23">
        <f>'QTR Raw'!BD28</f>
        <v>1162.05</v>
      </c>
      <c r="CK124" s="23">
        <f>'QTR Raw'!BE28</f>
        <v>1207.9000000000001</v>
      </c>
      <c r="CL124" s="23">
        <f>'QTR Raw'!BF28</f>
        <v>1280.23</v>
      </c>
      <c r="CM124" s="24">
        <f t="shared" ref="CM124:DB124" si="646">CM125*CL226</f>
        <v>1361.9684299999999</v>
      </c>
      <c r="CN124" s="24">
        <f t="shared" si="646"/>
        <v>1372.8149666900001</v>
      </c>
      <c r="CO124" s="24">
        <f t="shared" si="646"/>
        <v>1383.4771122562702</v>
      </c>
      <c r="CP124" s="24">
        <f t="shared" si="646"/>
        <v>1393.9580013479133</v>
      </c>
      <c r="CQ124" s="24">
        <f t="shared" si="646"/>
        <v>1404.260715324999</v>
      </c>
      <c r="CR124" s="24">
        <f t="shared" si="646"/>
        <v>1414.3882831644737</v>
      </c>
      <c r="CS124" s="24">
        <f t="shared" si="646"/>
        <v>1424.3436823506777</v>
      </c>
      <c r="CT124" s="24">
        <f t="shared" si="646"/>
        <v>1434.1298397507162</v>
      </c>
      <c r="CU124" s="24">
        <f t="shared" si="646"/>
        <v>1443.7496324749543</v>
      </c>
      <c r="CV124" s="24">
        <f t="shared" si="646"/>
        <v>1453.20588872288</v>
      </c>
      <c r="CW124" s="24">
        <f t="shared" si="646"/>
        <v>1462.5013886145912</v>
      </c>
      <c r="CX124" s="24">
        <f t="shared" si="646"/>
        <v>1471.6388650081431</v>
      </c>
      <c r="CY124" s="24">
        <f t="shared" si="646"/>
        <v>1480.6210043030046</v>
      </c>
      <c r="CZ124" s="24">
        <f t="shared" si="646"/>
        <v>1489.4504472298536</v>
      </c>
      <c r="DA124" s="24">
        <f t="shared" si="646"/>
        <v>1498.1297896269459</v>
      </c>
      <c r="DB124" s="24">
        <f t="shared" si="646"/>
        <v>1506.661583203288</v>
      </c>
      <c r="DE124" s="123"/>
      <c r="DF124" s="23">
        <v>1109.2012499999998</v>
      </c>
    </row>
    <row r="125" spans="1:110" s="46" customFormat="1" x14ac:dyDescent="0.2">
      <c r="A125" s="46" t="s">
        <v>483</v>
      </c>
      <c r="B125" s="46">
        <f t="shared" ref="B125:D125" si="647">+B124/B226</f>
        <v>6.9324661393111095E-2</v>
      </c>
      <c r="C125" s="46">
        <f t="shared" si="647"/>
        <v>9.3928932925290837E-2</v>
      </c>
      <c r="D125" s="46">
        <f t="shared" si="647"/>
        <v>9.8520763513014892E-2</v>
      </c>
      <c r="E125" s="46">
        <f t="shared" ref="E125:AE125" si="648">+E124/E226</f>
        <v>0.11577486050084911</v>
      </c>
      <c r="F125" s="46">
        <f t="shared" si="648"/>
        <v>0.13745696513814554</v>
      </c>
      <c r="G125" s="46">
        <f t="shared" si="648"/>
        <v>9.4906721129668067E-2</v>
      </c>
      <c r="H125" s="46">
        <f t="shared" si="648"/>
        <v>7.9685698916468137E-2</v>
      </c>
      <c r="I125" s="46">
        <f t="shared" si="648"/>
        <v>8.57863776852342E-2</v>
      </c>
      <c r="J125" s="46">
        <f t="shared" si="648"/>
        <v>9.9662034579489966E-2</v>
      </c>
      <c r="K125" s="46">
        <f t="shared" si="648"/>
        <v>8.1469737530956807E-2</v>
      </c>
      <c r="L125" s="46">
        <f t="shared" si="648"/>
        <v>8.3005766641545242E-2</v>
      </c>
      <c r="M125" s="46">
        <f t="shared" si="648"/>
        <v>5.85135906521356E-2</v>
      </c>
      <c r="N125" s="46">
        <f t="shared" si="648"/>
        <v>5.7584654794913488E-2</v>
      </c>
      <c r="O125" s="46">
        <f t="shared" si="648"/>
        <v>7.3650974216951479E-2</v>
      </c>
      <c r="P125" s="46">
        <f t="shared" si="648"/>
        <v>5.7064394327130175E-2</v>
      </c>
      <c r="Q125" s="46">
        <f t="shared" si="648"/>
        <v>4.5284603624789817E-2</v>
      </c>
      <c r="R125" s="46">
        <f t="shared" si="648"/>
        <v>4.3516806104667398E-2</v>
      </c>
      <c r="S125" s="46">
        <f t="shared" si="648"/>
        <v>5.4543459455362805E-2</v>
      </c>
      <c r="T125" s="46">
        <f t="shared" si="648"/>
        <v>5.6093384199823175E-2</v>
      </c>
      <c r="U125" s="46">
        <f t="shared" si="648"/>
        <v>5.7220467491540979E-2</v>
      </c>
      <c r="V125" s="46">
        <f t="shared" si="648"/>
        <v>5.4479763451436944E-2</v>
      </c>
      <c r="W125" s="46">
        <f t="shared" si="648"/>
        <v>5.6224319584348453E-2</v>
      </c>
      <c r="X125" s="46">
        <f t="shared" si="648"/>
        <v>5.7426861818700957E-2</v>
      </c>
      <c r="Y125" s="46">
        <f t="shared" si="648"/>
        <v>5.7849480765323043E-2</v>
      </c>
      <c r="Z125" s="46">
        <f t="shared" si="648"/>
        <v>5.3658767380876937E-2</v>
      </c>
      <c r="AA125" s="46">
        <f t="shared" ref="AA125" si="649">+AA124/AA226</f>
        <v>5.6177264151857711E-2</v>
      </c>
      <c r="AB125" s="110">
        <f t="shared" si="648"/>
        <v>6.6730994930178353E-2</v>
      </c>
      <c r="AC125" s="110">
        <f t="shared" si="648"/>
        <v>6.6847520289650353E-2</v>
      </c>
      <c r="AD125" s="110">
        <f t="shared" si="648"/>
        <v>6.6950710468013375E-2</v>
      </c>
      <c r="AE125" s="110">
        <f t="shared" si="648"/>
        <v>6.704252635462353E-2</v>
      </c>
      <c r="AI125" s="46" t="e">
        <f t="shared" ref="AI125:BN125" si="650">+AI124/AH226</f>
        <v>#DIV/0!</v>
      </c>
      <c r="AJ125" s="46" t="e">
        <f t="shared" si="650"/>
        <v>#DIV/0!</v>
      </c>
      <c r="AK125" s="46">
        <f t="shared" si="650"/>
        <v>7.5451215767789431E-2</v>
      </c>
      <c r="AL125" s="46">
        <f t="shared" si="650"/>
        <v>5.3490699475974339E-2</v>
      </c>
      <c r="AM125" s="46">
        <f t="shared" si="650"/>
        <v>1.7132303078549554E-2</v>
      </c>
      <c r="AN125" s="46">
        <f t="shared" si="650"/>
        <v>1.8139233921749494E-2</v>
      </c>
      <c r="AO125" s="46">
        <f t="shared" si="650"/>
        <v>1.661694366982432E-2</v>
      </c>
      <c r="AP125" s="46">
        <f t="shared" si="650"/>
        <v>1.8082292745735595E-2</v>
      </c>
      <c r="AQ125" s="46">
        <f t="shared" si="650"/>
        <v>1.3412284676749674E-2</v>
      </c>
      <c r="AR125" s="46">
        <f t="shared" si="650"/>
        <v>1.3247885117093277E-2</v>
      </c>
      <c r="AS125" s="46">
        <f t="shared" si="650"/>
        <v>1.3195511490995911E-2</v>
      </c>
      <c r="AT125" s="46">
        <f t="shared" si="650"/>
        <v>1.3478380257415445E-2</v>
      </c>
      <c r="AU125" s="46">
        <f t="shared" si="650"/>
        <v>9.6021232581893264E-3</v>
      </c>
      <c r="AV125" s="46">
        <f t="shared" si="650"/>
        <v>9.6144352201294313E-3</v>
      </c>
      <c r="AW125" s="46">
        <f t="shared" si="650"/>
        <v>9.596554535550814E-3</v>
      </c>
      <c r="AX125" s="46">
        <f t="shared" si="650"/>
        <v>1.0278543182747318E-2</v>
      </c>
      <c r="AY125" s="46">
        <f t="shared" si="650"/>
        <v>1.1996800561895173E-2</v>
      </c>
      <c r="AZ125" s="46">
        <f t="shared" si="650"/>
        <v>1.2224278535719094E-2</v>
      </c>
      <c r="BA125" s="46">
        <f t="shared" si="650"/>
        <v>1.258303617817977E-2</v>
      </c>
      <c r="BB125" s="46">
        <f t="shared" si="650"/>
        <v>1.3431765077602876E-2</v>
      </c>
      <c r="BC125" s="46">
        <f t="shared" si="650"/>
        <v>1.2750089006339642E-2</v>
      </c>
      <c r="BD125" s="46">
        <f t="shared" si="650"/>
        <v>1.2818240535511703E-2</v>
      </c>
      <c r="BE125" s="46">
        <f t="shared" si="650"/>
        <v>1.3044446494427854E-2</v>
      </c>
      <c r="BF125" s="46">
        <f t="shared" si="650"/>
        <v>1.412016660259848E-2</v>
      </c>
      <c r="BG125" s="46">
        <f t="shared" si="650"/>
        <v>1.3715546944543829E-2</v>
      </c>
      <c r="BH125" s="46">
        <f t="shared" si="650"/>
        <v>1.387828204736568E-2</v>
      </c>
      <c r="BI125" s="46">
        <f t="shared" si="650"/>
        <v>1.3457412249071753E-2</v>
      </c>
      <c r="BJ125" s="46">
        <f t="shared" si="650"/>
        <v>1.3473264461795052E-2</v>
      </c>
      <c r="BK125" s="46">
        <f t="shared" si="650"/>
        <v>1.4531217917405397E-2</v>
      </c>
      <c r="BL125" s="46">
        <f t="shared" si="650"/>
        <v>1.5339640703067649E-2</v>
      </c>
      <c r="BM125" s="46">
        <f t="shared" si="650"/>
        <v>1.4276295086070631E-2</v>
      </c>
      <c r="BN125" s="46">
        <f t="shared" si="650"/>
        <v>1.460416094282576E-2</v>
      </c>
      <c r="BO125" s="46">
        <f t="shared" ref="BO125:CL125" si="651">+BO124/BN226</f>
        <v>1.4003105717592628E-2</v>
      </c>
      <c r="BP125" s="46">
        <f t="shared" si="651"/>
        <v>1.518486015905776E-2</v>
      </c>
      <c r="BQ125" s="46">
        <f t="shared" si="651"/>
        <v>1.5681905558942291E-2</v>
      </c>
      <c r="BR125" s="46">
        <f t="shared" si="651"/>
        <v>1.4088629561737585E-2</v>
      </c>
      <c r="BS125" s="46">
        <f t="shared" si="651"/>
        <v>1.5999208604456611E-2</v>
      </c>
      <c r="BT125" s="46">
        <f t="shared" si="651"/>
        <v>1.6512459447937371E-2</v>
      </c>
      <c r="BU125" s="46">
        <f t="shared" si="651"/>
        <v>1.4462863128760727E-2</v>
      </c>
      <c r="BV125" s="46">
        <f t="shared" si="651"/>
        <v>1.613384157735482E-2</v>
      </c>
      <c r="BW125" s="46">
        <f t="shared" si="651"/>
        <v>1.5847766128376139E-2</v>
      </c>
      <c r="BX125" s="46">
        <f t="shared" si="651"/>
        <v>1.6148908580323484E-2</v>
      </c>
      <c r="BY125" s="46">
        <f t="shared" si="651"/>
        <v>1.5890761490520128E-2</v>
      </c>
      <c r="BZ125" s="46">
        <f t="shared" si="651"/>
        <v>1.7251028254774387E-2</v>
      </c>
      <c r="CA125" s="46">
        <f t="shared" si="651"/>
        <v>1.5981025394275778E-2</v>
      </c>
      <c r="CB125" s="46">
        <f t="shared" si="651"/>
        <v>1.6561460872924875E-2</v>
      </c>
      <c r="CC125" s="46">
        <f t="shared" si="651"/>
        <v>1.6357631109432263E-2</v>
      </c>
      <c r="CD125" s="46">
        <f t="shared" si="651"/>
        <v>1.8379664384859509E-2</v>
      </c>
      <c r="CE125" s="46">
        <f t="shared" si="651"/>
        <v>1.5927253498703001E-2</v>
      </c>
      <c r="CF125" s="46">
        <f t="shared" si="651"/>
        <v>1.6153174310184364E-2</v>
      </c>
      <c r="CG125" s="46">
        <f t="shared" si="651"/>
        <v>1.6291275148039189E-2</v>
      </c>
      <c r="CH125" s="46">
        <f t="shared" si="651"/>
        <v>1.7469547855650091E-2</v>
      </c>
      <c r="CI125" s="46">
        <f t="shared" si="651"/>
        <v>1.5131192131900005E-2</v>
      </c>
      <c r="CJ125" s="46">
        <f t="shared" si="651"/>
        <v>1.537874959999767E-2</v>
      </c>
      <c r="CK125" s="46">
        <f t="shared" si="651"/>
        <v>1.673788014103663E-2</v>
      </c>
      <c r="CL125" s="46">
        <f t="shared" si="651"/>
        <v>1.7312863648503821E-2</v>
      </c>
      <c r="CM125" s="47">
        <v>1.7000000000000001E-2</v>
      </c>
      <c r="CN125" s="47">
        <f t="shared" ref="CN125" si="652">CM125</f>
        <v>1.7000000000000001E-2</v>
      </c>
      <c r="CO125" s="47">
        <f t="shared" ref="CO125" si="653">CN125</f>
        <v>1.7000000000000001E-2</v>
      </c>
      <c r="CP125" s="47">
        <f t="shared" ref="CP125" si="654">CO125</f>
        <v>1.7000000000000001E-2</v>
      </c>
      <c r="CQ125" s="47">
        <f t="shared" ref="CQ125" si="655">CP125</f>
        <v>1.7000000000000001E-2</v>
      </c>
      <c r="CR125" s="47">
        <f t="shared" ref="CR125" si="656">CQ125</f>
        <v>1.7000000000000001E-2</v>
      </c>
      <c r="CS125" s="47">
        <f t="shared" ref="CS125" si="657">CR125</f>
        <v>1.7000000000000001E-2</v>
      </c>
      <c r="CT125" s="47">
        <f t="shared" ref="CT125" si="658">CS125</f>
        <v>1.7000000000000001E-2</v>
      </c>
      <c r="CU125" s="47">
        <f t="shared" ref="CU125" si="659">CT125</f>
        <v>1.7000000000000001E-2</v>
      </c>
      <c r="CV125" s="47">
        <f t="shared" ref="CV125" si="660">CU125</f>
        <v>1.7000000000000001E-2</v>
      </c>
      <c r="CW125" s="47">
        <f t="shared" ref="CW125" si="661">CV125</f>
        <v>1.7000000000000001E-2</v>
      </c>
      <c r="CX125" s="47">
        <f t="shared" ref="CX125" si="662">CW125</f>
        <v>1.7000000000000001E-2</v>
      </c>
      <c r="CY125" s="47">
        <f t="shared" ref="CY125" si="663">CX125</f>
        <v>1.7000000000000001E-2</v>
      </c>
      <c r="CZ125" s="47">
        <f t="shared" ref="CZ125" si="664">CY125</f>
        <v>1.7000000000000001E-2</v>
      </c>
      <c r="DA125" s="47">
        <f t="shared" ref="DA125" si="665">CZ125</f>
        <v>1.7000000000000001E-2</v>
      </c>
      <c r="DB125" s="47">
        <f t="shared" ref="DB125" si="666">DA125</f>
        <v>1.7000000000000001E-2</v>
      </c>
      <c r="DE125" s="130"/>
      <c r="DF125" s="46">
        <v>1.4999999999999999E-2</v>
      </c>
    </row>
    <row r="126" spans="1:110" s="26" customFormat="1" x14ac:dyDescent="0.2">
      <c r="A126" s="34" t="s">
        <v>16</v>
      </c>
      <c r="B126" s="26">
        <f>B120-B124</f>
        <v>485.08979680000004</v>
      </c>
      <c r="C126" s="26">
        <f t="shared" ref="C126:T126" si="667">C120-C124</f>
        <v>643.90000000000009</v>
      </c>
      <c r="D126" s="26">
        <f>D120-D124</f>
        <v>862.80999999999972</v>
      </c>
      <c r="E126" s="26">
        <f t="shared" si="667"/>
        <v>894.90000000000032</v>
      </c>
      <c r="F126" s="26">
        <f t="shared" si="667"/>
        <v>629.62000000000023</v>
      </c>
      <c r="G126" s="26">
        <f t="shared" si="667"/>
        <v>631.15000000000009</v>
      </c>
      <c r="H126" s="26">
        <f t="shared" si="667"/>
        <v>669.90999999999963</v>
      </c>
      <c r="I126" s="26">
        <f t="shared" si="667"/>
        <v>1562.8400000000008</v>
      </c>
      <c r="J126" s="26">
        <f t="shared" si="667"/>
        <v>2711.5500000000015</v>
      </c>
      <c r="K126" s="26">
        <f t="shared" si="667"/>
        <v>2680.2700000000009</v>
      </c>
      <c r="L126" s="26">
        <f t="shared" si="667"/>
        <v>3117.8100000000031</v>
      </c>
      <c r="M126" s="26">
        <f t="shared" si="667"/>
        <v>3311.1300000000037</v>
      </c>
      <c r="N126" s="26">
        <f t="shared" si="667"/>
        <v>4237.3199999999979</v>
      </c>
      <c r="O126" s="26">
        <f t="shared" si="667"/>
        <v>4157.4000000000042</v>
      </c>
      <c r="P126" s="26">
        <f t="shared" si="667"/>
        <v>4104.3900000000012</v>
      </c>
      <c r="Q126" s="26">
        <f t="shared" si="667"/>
        <v>4835.510000000002</v>
      </c>
      <c r="R126" s="26">
        <f t="shared" si="667"/>
        <v>3843.2799999999952</v>
      </c>
      <c r="S126" s="26">
        <f t="shared" si="667"/>
        <v>3925.9400000000041</v>
      </c>
      <c r="T126" s="26">
        <f t="shared" si="667"/>
        <v>4319.4800000000077</v>
      </c>
      <c r="U126" s="26">
        <f t="shared" ref="U126:Z126" si="668">U120-U124</f>
        <v>6665.0199999999986</v>
      </c>
      <c r="V126" s="26">
        <f t="shared" si="668"/>
        <v>4943.76</v>
      </c>
      <c r="W126" s="26">
        <f t="shared" si="668"/>
        <v>4347.8799999999947</v>
      </c>
      <c r="X126" s="26">
        <f t="shared" si="668"/>
        <v>5161.1499999999987</v>
      </c>
      <c r="Y126" s="26">
        <f t="shared" si="668"/>
        <v>7090.8899999999949</v>
      </c>
      <c r="Z126" s="26">
        <f t="shared" si="668"/>
        <v>8814.2799999999988</v>
      </c>
      <c r="AA126" s="26">
        <f t="shared" ref="AA126" si="669">AA120-AA124</f>
        <v>7307.9699999999903</v>
      </c>
      <c r="AB126" s="27">
        <f t="shared" ref="AA126:AD126" si="670">AB120-AB124</f>
        <v>12378.397486373786</v>
      </c>
      <c r="AC126" s="27">
        <f t="shared" si="670"/>
        <v>13722.44460877289</v>
      </c>
      <c r="AD126" s="27">
        <f t="shared" si="670"/>
        <v>14753.687668660788</v>
      </c>
      <c r="AE126" s="27">
        <f t="shared" ref="AE126" si="671">AE120-AE124</f>
        <v>15935.578854563213</v>
      </c>
      <c r="AI126" s="26">
        <f t="shared" ref="AI126" si="672">AI120-AI124</f>
        <v>862.92999999999961</v>
      </c>
      <c r="AJ126" s="26">
        <f t="shared" ref="AJ126" si="673">AJ120-AJ124</f>
        <v>936.66999999999916</v>
      </c>
      <c r="AK126" s="26">
        <f t="shared" ref="AK126:AM126" si="674">AK120-AK124</f>
        <v>1182.8999999999992</v>
      </c>
      <c r="AL126" s="26">
        <f t="shared" si="674"/>
        <v>1416.2399999999989</v>
      </c>
      <c r="AM126" s="26">
        <f t="shared" si="674"/>
        <v>1124.1800000000005</v>
      </c>
      <c r="AN126" s="26">
        <f t="shared" ref="AN126:AO126" si="675">AN120-AN124</f>
        <v>987.12000000000012</v>
      </c>
      <c r="AO126" s="26">
        <f t="shared" si="675"/>
        <v>961.25999999999931</v>
      </c>
      <c r="AP126" s="26">
        <f t="shared" ref="AP126:CD126" si="676">AP120-AP124</f>
        <v>1097.299999999997</v>
      </c>
      <c r="AQ126" s="26">
        <f t="shared" si="676"/>
        <v>984.95000000000141</v>
      </c>
      <c r="AR126" s="26">
        <f t="shared" si="676"/>
        <v>1171.0299999999997</v>
      </c>
      <c r="AS126" s="26">
        <f t="shared" si="676"/>
        <v>637.50999999999885</v>
      </c>
      <c r="AT126" s="26">
        <f t="shared" si="676"/>
        <v>976.94000000000085</v>
      </c>
      <c r="AU126" s="26">
        <f t="shared" si="676"/>
        <v>1274.8799999999992</v>
      </c>
      <c r="AV126" s="26">
        <f t="shared" si="676"/>
        <v>1349.950000000001</v>
      </c>
      <c r="AW126" s="26">
        <f t="shared" si="676"/>
        <v>769.69000000000096</v>
      </c>
      <c r="AX126" s="26">
        <f t="shared" si="676"/>
        <v>852.25999999999817</v>
      </c>
      <c r="AY126" s="26">
        <f t="shared" si="676"/>
        <v>1196.19</v>
      </c>
      <c r="AZ126" s="26">
        <f t="shared" si="676"/>
        <v>1076.5300000000002</v>
      </c>
      <c r="BA126" s="26">
        <f t="shared" si="676"/>
        <v>985.00000000000102</v>
      </c>
      <c r="BB126" s="26">
        <f t="shared" si="676"/>
        <v>661.80000000000064</v>
      </c>
      <c r="BC126" s="26">
        <f t="shared" si="676"/>
        <v>1108.9299999999996</v>
      </c>
      <c r="BD126" s="26">
        <f t="shared" si="676"/>
        <v>963.63999999999965</v>
      </c>
      <c r="BE126" s="26">
        <f t="shared" si="676"/>
        <v>749.64000000000033</v>
      </c>
      <c r="BF126" s="26">
        <f t="shared" si="676"/>
        <v>694.70000000000061</v>
      </c>
      <c r="BG126" s="26">
        <f t="shared" si="676"/>
        <v>1065.9700000000005</v>
      </c>
      <c r="BH126" s="26">
        <f t="shared" si="676"/>
        <v>1075.5900000000013</v>
      </c>
      <c r="BI126" s="26">
        <f t="shared" si="676"/>
        <v>1202.8</v>
      </c>
      <c r="BJ126" s="26">
        <f t="shared" si="676"/>
        <v>1110.9199999999998</v>
      </c>
      <c r="BK126" s="26">
        <f t="shared" si="676"/>
        <v>1482.1099999999994</v>
      </c>
      <c r="BL126" s="26">
        <f t="shared" si="676"/>
        <v>1252.6099999999983</v>
      </c>
      <c r="BM126" s="26">
        <f t="shared" si="676"/>
        <v>1233.3199999999997</v>
      </c>
      <c r="BN126" s="26">
        <f t="shared" si="676"/>
        <v>1152.5300000000009</v>
      </c>
      <c r="BO126" s="26">
        <f t="shared" si="676"/>
        <v>1305.2899999999997</v>
      </c>
      <c r="BP126" s="26">
        <f t="shared" si="676"/>
        <v>1425.1299999999983</v>
      </c>
      <c r="BQ126" s="26">
        <f t="shared" si="676"/>
        <v>1153.5599999999995</v>
      </c>
      <c r="BR126" s="26">
        <f t="shared" si="676"/>
        <v>909.8</v>
      </c>
      <c r="BS126" s="26">
        <f t="shared" si="676"/>
        <v>1439.8200000000004</v>
      </c>
      <c r="BT126" s="26">
        <f t="shared" si="676"/>
        <v>584.17999999999859</v>
      </c>
      <c r="BU126" s="26">
        <f t="shared" si="676"/>
        <v>977.43999999999949</v>
      </c>
      <c r="BV126" s="26">
        <f t="shared" si="676"/>
        <v>1148.0600000000004</v>
      </c>
      <c r="BW126" s="26">
        <f t="shared" si="676"/>
        <v>1141.7999999999995</v>
      </c>
      <c r="BX126" s="26">
        <f t="shared" si="676"/>
        <v>1054.8600000000015</v>
      </c>
      <c r="BY126" s="26">
        <f t="shared" si="676"/>
        <v>1691.5300000000009</v>
      </c>
      <c r="BZ126" s="26">
        <f t="shared" si="676"/>
        <v>1302.9799999999989</v>
      </c>
      <c r="CA126" s="26">
        <f t="shared" si="676"/>
        <v>1840.190000000001</v>
      </c>
      <c r="CB126" s="26">
        <f t="shared" si="676"/>
        <v>1869.4800000000009</v>
      </c>
      <c r="CC126" s="26">
        <f t="shared" si="676"/>
        <v>1680.8700000000013</v>
      </c>
      <c r="CD126" s="26">
        <f t="shared" si="676"/>
        <v>1700.3500000000008</v>
      </c>
      <c r="CE126" s="26">
        <f t="shared" ref="CE126:CF126" si="677">CE120-CE124</f>
        <v>2129.9399999999982</v>
      </c>
      <c r="CF126" s="26">
        <f t="shared" si="677"/>
        <v>2307.7599999999989</v>
      </c>
      <c r="CG126" s="26">
        <f t="shared" ref="CG126:CH126" si="678">CG120-CG124</f>
        <v>2038.0400000000006</v>
      </c>
      <c r="CH126" s="26">
        <f t="shared" si="678"/>
        <v>2361.2300000000005</v>
      </c>
      <c r="CI126" s="26">
        <f t="shared" ref="CI126:CJ126" si="679">CI120-CI124</f>
        <v>2408.1500000000015</v>
      </c>
      <c r="CJ126" s="26">
        <f t="shared" si="679"/>
        <v>2364.0600000000004</v>
      </c>
      <c r="CK126" s="26">
        <f t="shared" ref="CK126:CL126" si="680">CK120-CK124</f>
        <v>2383.9299999999998</v>
      </c>
      <c r="CL126" s="26">
        <f t="shared" si="680"/>
        <v>2380.6799999999998</v>
      </c>
      <c r="CM126" s="27">
        <f t="shared" ref="CM126:DB126" si="681">CM120-CM124</f>
        <v>2550.7736043325449</v>
      </c>
      <c r="CN126" s="27">
        <f t="shared" si="681"/>
        <v>3569.4552719314006</v>
      </c>
      <c r="CO126" s="27">
        <f t="shared" si="681"/>
        <v>3085.7776801887289</v>
      </c>
      <c r="CP126" s="27">
        <f t="shared" si="681"/>
        <v>3172.3909299211209</v>
      </c>
      <c r="CQ126" s="27">
        <f t="shared" si="681"/>
        <v>3415.9806115191313</v>
      </c>
      <c r="CR126" s="27">
        <f t="shared" si="681"/>
        <v>3722.794393955493</v>
      </c>
      <c r="CS126" s="27">
        <f t="shared" si="681"/>
        <v>3186.3071931279978</v>
      </c>
      <c r="CT126" s="27">
        <f t="shared" si="681"/>
        <v>3397.3624101702826</v>
      </c>
      <c r="CU126" s="27">
        <f t="shared" si="681"/>
        <v>3689.3939267119067</v>
      </c>
      <c r="CV126" s="27">
        <f t="shared" si="681"/>
        <v>3979.9915807512748</v>
      </c>
      <c r="CW126" s="27">
        <f t="shared" si="681"/>
        <v>3420.6442767813046</v>
      </c>
      <c r="CX126" s="27">
        <f t="shared" si="681"/>
        <v>3663.6578844163228</v>
      </c>
      <c r="CY126" s="27">
        <f t="shared" si="681"/>
        <v>3984.4044511304014</v>
      </c>
      <c r="CZ126" s="27">
        <f t="shared" si="681"/>
        <v>4292.1192130214004</v>
      </c>
      <c r="DA126" s="27">
        <f t="shared" si="681"/>
        <v>3697.3195914867756</v>
      </c>
      <c r="DB126" s="27">
        <f t="shared" si="681"/>
        <v>3961.7355989246239</v>
      </c>
      <c r="DE126" s="121"/>
      <c r="DF126" s="26">
        <v>2374.1170813376339</v>
      </c>
    </row>
    <row r="127" spans="1:110" s="23" customFormat="1" x14ac:dyDescent="0.2">
      <c r="A127" s="23" t="s">
        <v>17</v>
      </c>
      <c r="B127" s="23">
        <f>'Annual Raw'!C23</f>
        <v>275.84054329999998</v>
      </c>
      <c r="C127" s="23">
        <f>'Annual Raw'!D23</f>
        <v>361.88</v>
      </c>
      <c r="D127" s="23">
        <f>'Annual Raw'!E23</f>
        <v>161.37</v>
      </c>
      <c r="E127" s="23">
        <f>'Annual Raw'!F23</f>
        <v>191.05</v>
      </c>
      <c r="F127" s="23">
        <f>'Annual Raw'!G23</f>
        <v>406.45</v>
      </c>
      <c r="G127" s="23">
        <f>'Annual Raw'!H23</f>
        <v>347.22</v>
      </c>
      <c r="H127" s="23">
        <f>'Annual Raw'!I23</f>
        <v>275.56</v>
      </c>
      <c r="I127" s="23">
        <f>'Annual Raw'!J23</f>
        <v>522.91</v>
      </c>
      <c r="J127" s="23">
        <f>'Annual Raw'!K23</f>
        <v>565.16</v>
      </c>
      <c r="K127" s="23">
        <f>'Annual Raw'!L23</f>
        <v>868.85</v>
      </c>
      <c r="L127" s="23">
        <f>'Annual Raw'!M23</f>
        <v>905.22</v>
      </c>
      <c r="M127" s="23">
        <f>'Annual Raw'!N23</f>
        <v>523.21</v>
      </c>
      <c r="N127" s="23">
        <f>'Annual Raw'!O23</f>
        <v>531.04999999999995</v>
      </c>
      <c r="O127" s="23">
        <f>'Annual Raw'!P23</f>
        <v>257.57</v>
      </c>
      <c r="P127" s="23">
        <f>'Annual Raw'!Q23</f>
        <v>439.4</v>
      </c>
      <c r="Q127" s="23">
        <f>'Annual Raw'!R23</f>
        <v>754.09</v>
      </c>
      <c r="R127" s="23">
        <f>'Annual Raw'!S23</f>
        <v>695.83</v>
      </c>
      <c r="S127" s="23">
        <f>'Annual Raw'!T23</f>
        <v>433.51</v>
      </c>
      <c r="T127" s="23">
        <f>'Annual Raw'!U23</f>
        <v>418.68</v>
      </c>
      <c r="U127" s="23">
        <f>'Annual Raw'!V23</f>
        <v>585.73</v>
      </c>
      <c r="V127" s="23">
        <f>'Annual Raw'!W23</f>
        <v>439.24</v>
      </c>
      <c r="W127" s="23">
        <f>'Annual Raw'!X23</f>
        <v>966.27</v>
      </c>
      <c r="X127" s="23">
        <f>'Annual Raw'!Y23</f>
        <v>1468.24</v>
      </c>
      <c r="Y127" s="23">
        <f>'Annual Raw'!Z23</f>
        <v>1823.62</v>
      </c>
      <c r="Z127" s="23">
        <f>'Annual Raw'!AA23</f>
        <v>1536.66</v>
      </c>
      <c r="AA127" s="23">
        <f>'Annual Raw'!AB23</f>
        <v>1743.47</v>
      </c>
      <c r="AB127" s="76">
        <f t="shared" ref="AB127:AB128" si="682">+SUM(CM127:CP127)</f>
        <v>0</v>
      </c>
      <c r="AC127" s="76">
        <f t="shared" ref="AC127:AC128" si="683">+SUM(CQ127:CT127)</f>
        <v>0</v>
      </c>
      <c r="AD127" s="76">
        <f t="shared" ref="AD127:AD128" si="684">+SUM(CU127:CX127)</f>
        <v>0</v>
      </c>
      <c r="AE127" s="76">
        <f t="shared" ref="AE127:AE128" si="685">+SUM(CY127:DB127)</f>
        <v>0</v>
      </c>
      <c r="AI127" s="23">
        <f>'QTR Raw'!C23</f>
        <v>107.81</v>
      </c>
      <c r="AJ127" s="23">
        <f>'QTR Raw'!D23</f>
        <v>100.08</v>
      </c>
      <c r="AK127" s="23">
        <f>'QTR Raw'!E23</f>
        <v>97.05</v>
      </c>
      <c r="AL127" s="23">
        <f>'QTR Raw'!F23</f>
        <v>64.260000000000005</v>
      </c>
      <c r="AM127" s="23">
        <f>'QTR Raw'!G23</f>
        <v>64.84</v>
      </c>
      <c r="AN127" s="23">
        <f>'QTR Raw'!H23</f>
        <v>61.61</v>
      </c>
      <c r="AO127" s="23">
        <f>'QTR Raw'!I23</f>
        <v>65.599999999999994</v>
      </c>
      <c r="AP127" s="23">
        <f>'QTR Raw'!J23</f>
        <v>53.06</v>
      </c>
      <c r="AQ127" s="23">
        <f>'QTR Raw'!K23</f>
        <v>86.04</v>
      </c>
      <c r="AR127" s="23">
        <f>'QTR Raw'!L23</f>
        <v>85.95</v>
      </c>
      <c r="AS127" s="23">
        <f>'QTR Raw'!M23</f>
        <v>514.79</v>
      </c>
      <c r="AT127" s="23">
        <f>'QTR Raw'!N23</f>
        <v>86.58</v>
      </c>
      <c r="AU127" s="23">
        <f>'QTR Raw'!O23</f>
        <v>243.76</v>
      </c>
      <c r="AV127" s="23">
        <f>'QTR Raw'!P23</f>
        <v>170.99</v>
      </c>
      <c r="AW127" s="23">
        <f>'QTR Raw'!Q23</f>
        <v>124.67</v>
      </c>
      <c r="AX127" s="23">
        <f>'QTR Raw'!R23</f>
        <v>214.67</v>
      </c>
      <c r="AY127" s="23">
        <f>'QTR Raw'!S23</f>
        <v>-47.72</v>
      </c>
      <c r="AZ127" s="23">
        <f>'QTR Raw'!T23</f>
        <v>171.42</v>
      </c>
      <c r="BA127" s="23">
        <f>'QTR Raw'!U23</f>
        <v>140.09</v>
      </c>
      <c r="BB127" s="23">
        <f>'QTR Raw'!V23</f>
        <v>162.44999999999999</v>
      </c>
      <c r="BC127" s="23">
        <f>'QTR Raw'!W23</f>
        <v>144.4</v>
      </c>
      <c r="BD127" s="23">
        <f>'QTR Raw'!X23</f>
        <v>133.09</v>
      </c>
      <c r="BE127" s="23">
        <f>'QTR Raw'!Y23</f>
        <v>91.09</v>
      </c>
      <c r="BF127" s="23">
        <f>'QTR Raw'!Z23</f>
        <v>64.11</v>
      </c>
      <c r="BG127" s="23">
        <f>'QTR Raw'!AA23</f>
        <v>89.77</v>
      </c>
      <c r="BH127" s="23">
        <f>'QTR Raw'!AB23</f>
        <v>104.6</v>
      </c>
      <c r="BI127" s="23">
        <f>'QTR Raw'!AC23</f>
        <v>14.81</v>
      </c>
      <c r="BJ127" s="23">
        <f>'QTR Raw'!AD23</f>
        <v>186.65</v>
      </c>
      <c r="BK127" s="23">
        <f>'QTR Raw'!AE23</f>
        <v>107.92</v>
      </c>
      <c r="BL127" s="23">
        <f>'QTR Raw'!AF23</f>
        <v>216.53</v>
      </c>
      <c r="BM127" s="23">
        <f>'QTR Raw'!AG23</f>
        <v>65.010000000000005</v>
      </c>
      <c r="BN127" s="23">
        <f>'QTR Raw'!AH23</f>
        <v>173.15</v>
      </c>
      <c r="BO127" s="23">
        <f>'QTR Raw'!AI23</f>
        <v>87.43</v>
      </c>
      <c r="BP127" s="23">
        <f>'QTR Raw'!AJ23</f>
        <v>151.79</v>
      </c>
      <c r="BQ127" s="23">
        <f>'QTR Raw'!AK23</f>
        <v>104.93</v>
      </c>
      <c r="BR127" s="23">
        <f>'QTR Raw'!AL23</f>
        <v>95.09</v>
      </c>
      <c r="BS127" s="23">
        <f>'QTR Raw'!AM23</f>
        <v>177.86</v>
      </c>
      <c r="BT127" s="23">
        <f>'QTR Raw'!AN23</f>
        <v>377.11</v>
      </c>
      <c r="BU127" s="23">
        <f>'QTR Raw'!AO23</f>
        <v>105.59</v>
      </c>
      <c r="BV127" s="23">
        <f>'QTR Raw'!AP23</f>
        <v>259.39999999999998</v>
      </c>
      <c r="BW127" s="23">
        <f>'QTR Raw'!AQ23</f>
        <v>143.30000000000001</v>
      </c>
      <c r="BX127" s="23">
        <f>'QTR Raw'!AR23</f>
        <v>150.35</v>
      </c>
      <c r="BY127" s="23">
        <f>'QTR Raw'!AS23</f>
        <v>272.83</v>
      </c>
      <c r="BZ127" s="23">
        <f>'QTR Raw'!AT23</f>
        <v>871.54</v>
      </c>
      <c r="CA127" s="23">
        <f>'QTR Raw'!AU23</f>
        <v>271.42</v>
      </c>
      <c r="CB127" s="23">
        <f>'QTR Raw'!AV23</f>
        <v>291.51</v>
      </c>
      <c r="CC127" s="23">
        <f>'QTR Raw'!AW23</f>
        <v>643.13</v>
      </c>
      <c r="CD127" s="23">
        <f>'QTR Raw'!AX23</f>
        <v>617.36</v>
      </c>
      <c r="CE127" s="23">
        <f>'QTR Raw'!AY23</f>
        <v>247.36</v>
      </c>
      <c r="CF127" s="23">
        <f>'QTR Raw'!AZ23</f>
        <v>513.13</v>
      </c>
      <c r="CG127" s="23">
        <f>'QTR Raw'!BA23</f>
        <v>402.37</v>
      </c>
      <c r="CH127" s="23">
        <f>'QTR Raw'!BB23</f>
        <v>351.07</v>
      </c>
      <c r="CI127" s="23">
        <f>'QTR Raw'!BC23</f>
        <v>361.71</v>
      </c>
      <c r="CJ127" s="23">
        <f>'QTR Raw'!BD23</f>
        <v>505.41</v>
      </c>
      <c r="CK127" s="23">
        <f>'QTR Raw'!BE23</f>
        <v>320.67</v>
      </c>
      <c r="CL127" s="23">
        <f>'QTR Raw'!BF23</f>
        <v>555.28</v>
      </c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E127" s="123"/>
      <c r="DF127" s="23">
        <v>1743.07</v>
      </c>
    </row>
    <row r="128" spans="1:110" s="23" customFormat="1" x14ac:dyDescent="0.2">
      <c r="A128" s="23" t="s">
        <v>18</v>
      </c>
      <c r="B128" s="23">
        <f>'Annual Raw'!C25</f>
        <v>230.91093670000001</v>
      </c>
      <c r="C128" s="23">
        <f>'Annual Raw'!D25</f>
        <v>352.19</v>
      </c>
      <c r="D128" s="23">
        <f>'Annual Raw'!E25</f>
        <v>343.8</v>
      </c>
      <c r="E128" s="23">
        <f>'Annual Raw'!F25</f>
        <v>290.52</v>
      </c>
      <c r="F128" s="23">
        <f>'Annual Raw'!G25</f>
        <v>206.77</v>
      </c>
      <c r="G128" s="23">
        <f>'Annual Raw'!H25</f>
        <v>172.67</v>
      </c>
      <c r="H128" s="23">
        <f>'Annual Raw'!I25</f>
        <v>285.36</v>
      </c>
      <c r="I128" s="23">
        <f>'Annual Raw'!J25</f>
        <v>532.30999999999995</v>
      </c>
      <c r="J128" s="23">
        <f>'Annual Raw'!K25</f>
        <v>812.88</v>
      </c>
      <c r="K128" s="23">
        <f>'Annual Raw'!L25</f>
        <v>781.82</v>
      </c>
      <c r="L128" s="23">
        <f>'Annual Raw'!M25</f>
        <v>866.15</v>
      </c>
      <c r="M128" s="23">
        <f>'Annual Raw'!N25</f>
        <v>1527.09</v>
      </c>
      <c r="N128" s="23">
        <f>'Annual Raw'!O25</f>
        <v>2641.69</v>
      </c>
      <c r="O128" s="23">
        <f>'Annual Raw'!P25</f>
        <v>3439.9</v>
      </c>
      <c r="P128" s="23">
        <f>'Annual Raw'!Q25</f>
        <v>3698.72</v>
      </c>
      <c r="Q128" s="23">
        <f>'Annual Raw'!R25</f>
        <v>3235.81</v>
      </c>
      <c r="R128" s="23">
        <f>'Annual Raw'!S25</f>
        <v>3364.96</v>
      </c>
      <c r="S128" s="23">
        <f>'Annual Raw'!T25</f>
        <v>3761.48</v>
      </c>
      <c r="T128" s="23">
        <f>'Annual Raw'!U25</f>
        <v>4170</v>
      </c>
      <c r="U128" s="23">
        <f>'Annual Raw'!V25</f>
        <v>4494.6099999999997</v>
      </c>
      <c r="V128" s="23">
        <f>'Annual Raw'!W25</f>
        <v>4010.39</v>
      </c>
      <c r="W128" s="23">
        <f>'Annual Raw'!X25</f>
        <v>3864.24</v>
      </c>
      <c r="X128" s="23">
        <f>'Annual Raw'!Y25</f>
        <v>4371.8999999999996</v>
      </c>
      <c r="Y128" s="23">
        <f>'Annual Raw'!Z25</f>
        <v>4633.42</v>
      </c>
      <c r="Z128" s="23">
        <f>'Annual Raw'!AA25</f>
        <v>4702.4399999999996</v>
      </c>
      <c r="AA128" s="23">
        <f>'Annual Raw'!AB25</f>
        <v>5257.19</v>
      </c>
      <c r="AB128" s="76">
        <f t="shared" si="682"/>
        <v>3485.2996749352524</v>
      </c>
      <c r="AC128" s="76">
        <f t="shared" si="683"/>
        <v>4805.5653939413241</v>
      </c>
      <c r="AD128" s="76">
        <f t="shared" si="684"/>
        <v>4837.7701832776911</v>
      </c>
      <c r="AE128" s="76">
        <f t="shared" si="685"/>
        <v>4535.6747869847422</v>
      </c>
      <c r="AI128" s="23">
        <f>'QTR Raw'!C25</f>
        <v>549.32000000000005</v>
      </c>
      <c r="AJ128" s="23">
        <f>'QTR Raw'!D25</f>
        <v>623.91999999999996</v>
      </c>
      <c r="AK128" s="23">
        <f>'QTR Raw'!E25</f>
        <v>741.8</v>
      </c>
      <c r="AL128" s="23">
        <f>'QTR Raw'!F25</f>
        <v>726.22</v>
      </c>
      <c r="AM128" s="23">
        <f>'QTR Raw'!G25</f>
        <v>903.36</v>
      </c>
      <c r="AN128" s="23">
        <f>'QTR Raw'!H25</f>
        <v>802.9</v>
      </c>
      <c r="AO128" s="23">
        <f>'QTR Raw'!I25</f>
        <v>875.03</v>
      </c>
      <c r="AP128" s="23">
        <f>'QTR Raw'!J25</f>
        <v>858.61</v>
      </c>
      <c r="AQ128" s="23">
        <f>'QTR Raw'!K25</f>
        <v>934.49</v>
      </c>
      <c r="AR128" s="23">
        <f>'QTR Raw'!L25</f>
        <v>979.82</v>
      </c>
      <c r="AS128" s="23">
        <f>'QTR Raw'!M25</f>
        <v>883.08</v>
      </c>
      <c r="AT128" s="23">
        <f>'QTR Raw'!N25</f>
        <v>901.33</v>
      </c>
      <c r="AU128" s="23">
        <f>'QTR Raw'!O25</f>
        <v>777.3</v>
      </c>
      <c r="AV128" s="23">
        <f>'QTR Raw'!P25</f>
        <v>949.03</v>
      </c>
      <c r="AW128" s="23">
        <f>'QTR Raw'!Q25</f>
        <v>650.54999999999995</v>
      </c>
      <c r="AX128" s="23">
        <f>'QTR Raw'!R25</f>
        <v>858.93</v>
      </c>
      <c r="AY128" s="23">
        <f>'QTR Raw'!S25</f>
        <v>791.45</v>
      </c>
      <c r="AZ128" s="23">
        <f>'QTR Raw'!T25</f>
        <v>773.42</v>
      </c>
      <c r="BA128" s="23">
        <f>'QTR Raw'!U25</f>
        <v>878.81</v>
      </c>
      <c r="BB128" s="23">
        <f>'QTR Raw'!V25</f>
        <v>792.62</v>
      </c>
      <c r="BC128" s="23">
        <f>'QTR Raw'!W25</f>
        <v>1009.89</v>
      </c>
      <c r="BD128" s="23">
        <f>'QTR Raw'!X25</f>
        <v>988.5</v>
      </c>
      <c r="BE128" s="23">
        <f>'QTR Raw'!Y25</f>
        <v>855.28</v>
      </c>
      <c r="BF128" s="23">
        <f>'QTR Raw'!Z25</f>
        <v>907.81</v>
      </c>
      <c r="BG128" s="23">
        <f>'QTR Raw'!AA25</f>
        <v>1012.96</v>
      </c>
      <c r="BH128" s="23">
        <f>'QTR Raw'!AB25</f>
        <v>1034.42</v>
      </c>
      <c r="BI128" s="23">
        <f>'QTR Raw'!AC25</f>
        <v>1013.96</v>
      </c>
      <c r="BJ128" s="23">
        <f>'QTR Raw'!AD25</f>
        <v>1108.6600000000001</v>
      </c>
      <c r="BK128" s="23">
        <f>'QTR Raw'!AE25</f>
        <v>1143.8800000000001</v>
      </c>
      <c r="BL128" s="23">
        <f>'QTR Raw'!AF25</f>
        <v>1129.95</v>
      </c>
      <c r="BM128" s="23">
        <f>'QTR Raw'!AG25</f>
        <v>1129.24</v>
      </c>
      <c r="BN128" s="23">
        <f>'QTR Raw'!AH25</f>
        <v>1090.6600000000001</v>
      </c>
      <c r="BO128" s="23">
        <f>'QTR Raw'!AI25</f>
        <v>1089.3599999999999</v>
      </c>
      <c r="BP128" s="23">
        <f>'QTR Raw'!AJ25</f>
        <v>1064.98</v>
      </c>
      <c r="BQ128" s="23">
        <f>'QTR Raw'!AK25</f>
        <v>965.56</v>
      </c>
      <c r="BR128" s="23">
        <f>'QTR Raw'!AL25</f>
        <v>890.49</v>
      </c>
      <c r="BS128" s="23">
        <f>'QTR Raw'!AM25</f>
        <v>945.43</v>
      </c>
      <c r="BT128" s="23">
        <f>'QTR Raw'!AN25</f>
        <v>946.39</v>
      </c>
      <c r="BU128" s="23">
        <f>'QTR Raw'!AO25</f>
        <v>952.6</v>
      </c>
      <c r="BV128" s="23">
        <f>'QTR Raw'!AP25</f>
        <v>1014.6</v>
      </c>
      <c r="BW128" s="23">
        <f>'QTR Raw'!AQ25</f>
        <v>1026.04</v>
      </c>
      <c r="BX128" s="23">
        <f>'QTR Raw'!AR25</f>
        <v>1051.76</v>
      </c>
      <c r="BY128" s="23">
        <f>'QTR Raw'!AS25</f>
        <v>1098.29</v>
      </c>
      <c r="BZ128" s="23">
        <f>'QTR Raw'!AT25</f>
        <v>1195.56</v>
      </c>
      <c r="CA128" s="23">
        <f>'QTR Raw'!AU25</f>
        <v>1221.4100000000001</v>
      </c>
      <c r="CB128" s="23">
        <f>'QTR Raw'!AV25</f>
        <v>1181.83</v>
      </c>
      <c r="CC128" s="23">
        <f>'QTR Raw'!AW25</f>
        <v>1094.26</v>
      </c>
      <c r="CD128" s="23">
        <f>'QTR Raw'!AX25</f>
        <v>1135.72</v>
      </c>
      <c r="CE128" s="23">
        <f>'QTR Raw'!AY25</f>
        <v>1176.24</v>
      </c>
      <c r="CF128" s="23">
        <f>'QTR Raw'!AZ25</f>
        <v>1143.0999999999999</v>
      </c>
      <c r="CG128" s="23">
        <f>'QTR Raw'!BA25</f>
        <v>1169.9000000000001</v>
      </c>
      <c r="CH128" s="23">
        <f>'QTR Raw'!BB25</f>
        <v>1213.21</v>
      </c>
      <c r="CI128" s="23">
        <f>'QTR Raw'!BC25</f>
        <v>1279.22</v>
      </c>
      <c r="CJ128" s="23">
        <f>'QTR Raw'!BD25</f>
        <v>1318.65</v>
      </c>
      <c r="CK128" s="23">
        <f>'QTR Raw'!BE25</f>
        <v>1363.66</v>
      </c>
      <c r="CL128" s="23">
        <f>'QTR Raw'!BF25</f>
        <v>1295.26</v>
      </c>
      <c r="CM128" s="24">
        <f t="shared" ref="CM128:DB128" si="686">CM129*CL260</f>
        <v>841.83405000000005</v>
      </c>
      <c r="CN128" s="24">
        <f t="shared" si="686"/>
        <v>860.46337001271104</v>
      </c>
      <c r="CO128" s="24">
        <f t="shared" si="686"/>
        <v>878.71257323267605</v>
      </c>
      <c r="CP128" s="24">
        <f t="shared" si="686"/>
        <v>904.28968168986535</v>
      </c>
      <c r="CQ128" s="24">
        <f t="shared" si="686"/>
        <v>1182.9000732504246</v>
      </c>
      <c r="CR128" s="24">
        <f t="shared" si="686"/>
        <v>1198.1687841935393</v>
      </c>
      <c r="CS128" s="24">
        <f t="shared" si="686"/>
        <v>1214.8539755512334</v>
      </c>
      <c r="CT128" s="24">
        <f t="shared" si="686"/>
        <v>1209.6425609461269</v>
      </c>
      <c r="CU128" s="24">
        <f t="shared" si="686"/>
        <v>1230.1679118942166</v>
      </c>
      <c r="CV128" s="24">
        <f t="shared" si="686"/>
        <v>1223.4672052274479</v>
      </c>
      <c r="CW128" s="24">
        <f t="shared" si="686"/>
        <v>1212.9676213474029</v>
      </c>
      <c r="CX128" s="24">
        <f t="shared" si="686"/>
        <v>1171.167444808623</v>
      </c>
      <c r="CY128" s="24">
        <f t="shared" si="686"/>
        <v>1161.9308457741408</v>
      </c>
      <c r="CZ128" s="24">
        <f t="shared" si="686"/>
        <v>1151.3388634745354</v>
      </c>
      <c r="DA128" s="24">
        <f t="shared" si="686"/>
        <v>1135.7539032525156</v>
      </c>
      <c r="DB128" s="24">
        <f t="shared" si="686"/>
        <v>1086.6511744835502</v>
      </c>
      <c r="DE128" s="123"/>
      <c r="DF128" s="23">
        <v>552.40286897415297</v>
      </c>
    </row>
    <row r="129" spans="1:110" s="46" customFormat="1" x14ac:dyDescent="0.2">
      <c r="A129" s="46" t="s">
        <v>482</v>
      </c>
      <c r="B129" s="46">
        <f t="shared" ref="B129:D129" si="687">+B128/B220</f>
        <v>8.8884182941309273E-2</v>
      </c>
      <c r="C129" s="46">
        <f t="shared" si="687"/>
        <v>0.12547964727888128</v>
      </c>
      <c r="D129" s="46">
        <f t="shared" si="687"/>
        <v>0.12498682148842655</v>
      </c>
      <c r="E129" s="46">
        <f t="shared" ref="E129:AE129" si="688">+E128/E220</f>
        <v>0.13872004354697773</v>
      </c>
      <c r="F129" s="46">
        <f t="shared" si="688"/>
        <v>5.505395697819622E-2</v>
      </c>
      <c r="G129" s="46">
        <f t="shared" si="688"/>
        <v>4.0835101112222626E-2</v>
      </c>
      <c r="H129" s="46">
        <f t="shared" si="688"/>
        <v>5.5105398537011144E-2</v>
      </c>
      <c r="I129" s="46">
        <f t="shared" si="688"/>
        <v>5.8111430368028502E-2</v>
      </c>
      <c r="J129" s="46">
        <f t="shared" si="688"/>
        <v>5.7079539757239214E-2</v>
      </c>
      <c r="K129" s="46">
        <f t="shared" si="688"/>
        <v>4.2156471025312114E-2</v>
      </c>
      <c r="L129" s="46">
        <f t="shared" si="688"/>
        <v>3.5007076994956775E-2</v>
      </c>
      <c r="M129" s="46">
        <f t="shared" si="688"/>
        <v>4.3187154233251188E-2</v>
      </c>
      <c r="N129" s="46">
        <f t="shared" si="688"/>
        <v>6.7078120647631218E-2</v>
      </c>
      <c r="O129" s="46">
        <f t="shared" si="688"/>
        <v>8.2545964320869331E-2</v>
      </c>
      <c r="P129" s="46">
        <f t="shared" si="688"/>
        <v>8.7841602405317909E-2</v>
      </c>
      <c r="Q129" s="46">
        <f t="shared" si="688"/>
        <v>8.0196358782301941E-2</v>
      </c>
      <c r="R129" s="46">
        <f t="shared" si="688"/>
        <v>6.6877324461829896E-2</v>
      </c>
      <c r="S129" s="46">
        <f t="shared" si="688"/>
        <v>7.5095569427685471E-2</v>
      </c>
      <c r="T129" s="46">
        <f t="shared" si="688"/>
        <v>8.3389926496879194E-2</v>
      </c>
      <c r="U129" s="46">
        <f t="shared" si="688"/>
        <v>9.011581337931944E-2</v>
      </c>
      <c r="V129" s="46">
        <f t="shared" si="688"/>
        <v>8.9776864625176617E-2</v>
      </c>
      <c r="W129" s="46">
        <f t="shared" si="688"/>
        <v>8.1198571128388311E-2</v>
      </c>
      <c r="X129" s="46">
        <f t="shared" si="688"/>
        <v>8.9269032840198437E-2</v>
      </c>
      <c r="Y129" s="46">
        <f t="shared" si="688"/>
        <v>9.3642639290652085E-2</v>
      </c>
      <c r="Z129" s="46">
        <f t="shared" si="688"/>
        <v>8.08735869084415E-2</v>
      </c>
      <c r="AA129" s="46">
        <f t="shared" ref="AA129" si="689">+AA128/AA220</f>
        <v>7.3917499971879463E-2</v>
      </c>
      <c r="AB129" s="110">
        <f t="shared" si="688"/>
        <v>4.9004254144654764E-2</v>
      </c>
      <c r="AC129" s="110">
        <f t="shared" si="688"/>
        <v>6.7567546505978279E-2</v>
      </c>
      <c r="AD129" s="110">
        <f t="shared" si="688"/>
        <v>6.8020354536422231E-2</v>
      </c>
      <c r="AE129" s="110">
        <f t="shared" si="688"/>
        <v>6.3772811726163059E-2</v>
      </c>
      <c r="AI129" s="46" t="e">
        <f t="shared" ref="AI129:BN129" si="690">(AI128-AI127)/AH260</f>
        <v>#DIV/0!</v>
      </c>
      <c r="AJ129" s="46" t="e">
        <f t="shared" si="690"/>
        <v>#DIV/0!</v>
      </c>
      <c r="AK129" s="46">
        <f t="shared" si="690"/>
        <v>6.2650553239123496E-2</v>
      </c>
      <c r="AL129" s="46">
        <f t="shared" si="690"/>
        <v>6.0105627255684267E-2</v>
      </c>
      <c r="AM129" s="46">
        <f t="shared" si="690"/>
        <v>2.453302780665334E-2</v>
      </c>
      <c r="AN129" s="46">
        <f t="shared" si="690"/>
        <v>2.1613995652606102E-2</v>
      </c>
      <c r="AO129" s="46">
        <f t="shared" si="690"/>
        <v>2.1662125121834901E-2</v>
      </c>
      <c r="AP129" s="46">
        <f t="shared" si="690"/>
        <v>2.1557624531047762E-2</v>
      </c>
      <c r="AQ129" s="46">
        <f t="shared" si="690"/>
        <v>2.4393946494611886E-2</v>
      </c>
      <c r="AR129" s="46">
        <f t="shared" si="690"/>
        <v>2.5673717901154414E-2</v>
      </c>
      <c r="AS129" s="46">
        <f t="shared" si="690"/>
        <v>1.006636106882894E-2</v>
      </c>
      <c r="AT129" s="46">
        <f t="shared" si="690"/>
        <v>2.2400463802400971E-2</v>
      </c>
      <c r="AU129" s="46">
        <f t="shared" si="690"/>
        <v>1.466145031130232E-2</v>
      </c>
      <c r="AV129" s="46">
        <f t="shared" si="690"/>
        <v>2.1707725716806986E-2</v>
      </c>
      <c r="AW129" s="46">
        <f t="shared" si="690"/>
        <v>1.5066960128768818E-2</v>
      </c>
      <c r="AX129" s="46">
        <f t="shared" si="690"/>
        <v>1.8747726656623363E-2</v>
      </c>
      <c r="AY129" s="46">
        <f t="shared" si="690"/>
        <v>2.3307895192935836E-2</v>
      </c>
      <c r="AZ129" s="46">
        <f t="shared" si="690"/>
        <v>1.6795555005187014E-2</v>
      </c>
      <c r="BA129" s="46">
        <f t="shared" si="690"/>
        <v>1.8238815602838628E-2</v>
      </c>
      <c r="BB129" s="46">
        <f t="shared" si="690"/>
        <v>1.5875111247355647E-2</v>
      </c>
      <c r="BC129" s="46">
        <f t="shared" si="690"/>
        <v>2.1983115857566054E-2</v>
      </c>
      <c r="BD129" s="46">
        <f t="shared" si="690"/>
        <v>2.1969844985828081E-2</v>
      </c>
      <c r="BE129" s="46">
        <f t="shared" si="690"/>
        <v>2.0061255622121011E-2</v>
      </c>
      <c r="BF129" s="46">
        <f t="shared" si="690"/>
        <v>2.2587218190960032E-2</v>
      </c>
      <c r="BG129" s="46">
        <f t="shared" si="690"/>
        <v>2.3335477665870866E-2</v>
      </c>
      <c r="BH129" s="46">
        <f t="shared" si="690"/>
        <v>2.4542925244418187E-2</v>
      </c>
      <c r="BI129" s="46">
        <f t="shared" si="690"/>
        <v>2.2811289687740009E-2</v>
      </c>
      <c r="BJ129" s="46">
        <f t="shared" si="690"/>
        <v>2.103547907062189E-2</v>
      </c>
      <c r="BK129" s="46">
        <f t="shared" si="690"/>
        <v>2.3512386921705722E-2</v>
      </c>
      <c r="BL129" s="46">
        <f t="shared" si="690"/>
        <v>2.075415418035333E-2</v>
      </c>
      <c r="BM129" s="46">
        <f t="shared" si="690"/>
        <v>2.4797769428721354E-2</v>
      </c>
      <c r="BN129" s="46">
        <f t="shared" si="690"/>
        <v>2.1581978089399254E-2</v>
      </c>
      <c r="BO129" s="46">
        <f t="shared" ref="BO129:CL129" si="691">(BO128-BO127)/BN260</f>
        <v>2.4000732049515864E-2</v>
      </c>
      <c r="BP129" s="46">
        <f t="shared" si="691"/>
        <v>2.2009541469236005E-2</v>
      </c>
      <c r="BQ129" s="46">
        <f t="shared" si="691"/>
        <v>2.5006712002222223E-2</v>
      </c>
      <c r="BR129" s="46">
        <f t="shared" si="691"/>
        <v>2.3389583373276908E-2</v>
      </c>
      <c r="BS129" s="46">
        <f t="shared" si="691"/>
        <v>2.0857636717831828E-2</v>
      </c>
      <c r="BT129" s="46">
        <f t="shared" si="691"/>
        <v>1.5635338922002008E-2</v>
      </c>
      <c r="BU129" s="46">
        <f t="shared" si="691"/>
        <v>2.0813679955237602E-2</v>
      </c>
      <c r="BV129" s="46">
        <f t="shared" si="691"/>
        <v>1.8598124660216011E-2</v>
      </c>
      <c r="BW129" s="46">
        <f t="shared" si="691"/>
        <v>2.1775198957640067E-2</v>
      </c>
      <c r="BX129" s="46">
        <f t="shared" si="691"/>
        <v>2.2436487831354199E-2</v>
      </c>
      <c r="BY129" s="46">
        <f t="shared" si="691"/>
        <v>1.999472917758699E-2</v>
      </c>
      <c r="BZ129" s="46">
        <f t="shared" si="691"/>
        <v>8.0247259371102799E-3</v>
      </c>
      <c r="CA129" s="46">
        <f t="shared" si="691"/>
        <v>2.5943039409257119E-2</v>
      </c>
      <c r="CB129" s="46">
        <f t="shared" si="691"/>
        <v>2.4086780684196608E-2</v>
      </c>
      <c r="CC129" s="46">
        <f t="shared" si="691"/>
        <v>1.2003044861689472E-2</v>
      </c>
      <c r="CD129" s="46">
        <f t="shared" si="691"/>
        <v>1.427092302888339E-2</v>
      </c>
      <c r="CE129" s="46">
        <f t="shared" si="691"/>
        <v>2.3909388955112239E-2</v>
      </c>
      <c r="CF129" s="46">
        <f t="shared" si="691"/>
        <v>1.6409702127840344E-2</v>
      </c>
      <c r="CG129" s="46">
        <f t="shared" si="691"/>
        <v>1.731175917588872E-2</v>
      </c>
      <c r="CH129" s="46">
        <f t="shared" si="691"/>
        <v>1.9928036460505234E-2</v>
      </c>
      <c r="CI129" s="46">
        <f t="shared" si="691"/>
        <v>2.0347439554902671E-2</v>
      </c>
      <c r="CJ129" s="46">
        <f t="shared" si="691"/>
        <v>1.9335945592746547E-2</v>
      </c>
      <c r="CK129" s="46">
        <f t="shared" si="691"/>
        <v>1.9314332761181632E-2</v>
      </c>
      <c r="CL129" s="46">
        <f t="shared" si="691"/>
        <v>1.3395658161120517E-2</v>
      </c>
      <c r="CM129" s="47">
        <v>1.4999999999999999E-2</v>
      </c>
      <c r="CN129" s="47">
        <f t="shared" ref="CN129:DB129" si="692">+CM129</f>
        <v>1.4999999999999999E-2</v>
      </c>
      <c r="CO129" s="47">
        <f t="shared" si="692"/>
        <v>1.4999999999999999E-2</v>
      </c>
      <c r="CP129" s="47">
        <f t="shared" si="692"/>
        <v>1.4999999999999999E-2</v>
      </c>
      <c r="CQ129" s="47">
        <v>1.9E-2</v>
      </c>
      <c r="CR129" s="47">
        <f t="shared" si="692"/>
        <v>1.9E-2</v>
      </c>
      <c r="CS129" s="47">
        <f t="shared" si="692"/>
        <v>1.9E-2</v>
      </c>
      <c r="CT129" s="47">
        <f t="shared" si="692"/>
        <v>1.9E-2</v>
      </c>
      <c r="CU129" s="47">
        <f t="shared" si="692"/>
        <v>1.9E-2</v>
      </c>
      <c r="CV129" s="47">
        <f t="shared" si="692"/>
        <v>1.9E-2</v>
      </c>
      <c r="CW129" s="47">
        <f t="shared" si="692"/>
        <v>1.9E-2</v>
      </c>
      <c r="CX129" s="47">
        <f t="shared" si="692"/>
        <v>1.9E-2</v>
      </c>
      <c r="CY129" s="47">
        <f t="shared" si="692"/>
        <v>1.9E-2</v>
      </c>
      <c r="CZ129" s="47">
        <f t="shared" si="692"/>
        <v>1.9E-2</v>
      </c>
      <c r="DA129" s="47">
        <f t="shared" si="692"/>
        <v>1.9E-2</v>
      </c>
      <c r="DB129" s="47">
        <f t="shared" si="692"/>
        <v>1.9E-2</v>
      </c>
      <c r="DE129" s="130"/>
      <c r="DF129" s="46">
        <v>0.01</v>
      </c>
    </row>
    <row r="130" spans="1:110" s="26" customFormat="1" x14ac:dyDescent="0.2">
      <c r="A130" s="26" t="s">
        <v>20</v>
      </c>
      <c r="B130" s="26">
        <f>B126+B127-B128</f>
        <v>530.01940339999999</v>
      </c>
      <c r="C130" s="26">
        <f t="shared" ref="C130:T130" si="693">C126+C127-C128</f>
        <v>653.59000000000015</v>
      </c>
      <c r="D130" s="26">
        <f>D126+D127-D128</f>
        <v>680.37999999999988</v>
      </c>
      <c r="E130" s="26">
        <f t="shared" si="693"/>
        <v>795.43000000000029</v>
      </c>
      <c r="F130" s="26">
        <f t="shared" si="693"/>
        <v>829.30000000000018</v>
      </c>
      <c r="G130" s="26">
        <f t="shared" si="693"/>
        <v>805.70000000000016</v>
      </c>
      <c r="H130" s="26">
        <f t="shared" si="693"/>
        <v>660.10999999999956</v>
      </c>
      <c r="I130" s="26">
        <f t="shared" si="693"/>
        <v>1553.440000000001</v>
      </c>
      <c r="J130" s="26">
        <f t="shared" si="693"/>
        <v>2463.8300000000013</v>
      </c>
      <c r="K130" s="26">
        <f t="shared" si="693"/>
        <v>2767.3000000000006</v>
      </c>
      <c r="L130" s="26">
        <f t="shared" si="693"/>
        <v>3156.8800000000033</v>
      </c>
      <c r="M130" s="26">
        <f t="shared" si="693"/>
        <v>2307.2500000000036</v>
      </c>
      <c r="N130" s="26">
        <f t="shared" si="693"/>
        <v>2126.679999999998</v>
      </c>
      <c r="O130" s="26">
        <f t="shared" si="693"/>
        <v>975.0700000000038</v>
      </c>
      <c r="P130" s="26">
        <f t="shared" si="693"/>
        <v>845.07000000000107</v>
      </c>
      <c r="Q130" s="26">
        <f t="shared" si="693"/>
        <v>2353.7900000000022</v>
      </c>
      <c r="R130" s="26">
        <f t="shared" si="693"/>
        <v>1174.1499999999951</v>
      </c>
      <c r="S130" s="26">
        <f t="shared" si="693"/>
        <v>597.97000000000435</v>
      </c>
      <c r="T130" s="26">
        <f t="shared" si="693"/>
        <v>568.16000000000804</v>
      </c>
      <c r="U130" s="26">
        <f t="shared" ref="U130:Z130" si="694">U126+U127-U128</f>
        <v>2756.1399999999985</v>
      </c>
      <c r="V130" s="26">
        <f t="shared" si="694"/>
        <v>1372.6100000000001</v>
      </c>
      <c r="W130" s="26">
        <f t="shared" si="694"/>
        <v>1449.9099999999944</v>
      </c>
      <c r="X130" s="26">
        <f t="shared" si="694"/>
        <v>2257.4899999999989</v>
      </c>
      <c r="Y130" s="26">
        <f t="shared" si="694"/>
        <v>4281.0899999999947</v>
      </c>
      <c r="Z130" s="26">
        <f t="shared" si="694"/>
        <v>5648.4999999999991</v>
      </c>
      <c r="AA130" s="26">
        <f t="shared" ref="AA130" si="695">AA126+AA127-AA128</f>
        <v>3794.24999999999</v>
      </c>
      <c r="AB130" s="27">
        <f t="shared" ref="AB130:AD130" si="696">AB126+AB127-AB128</f>
        <v>8893.0978114385325</v>
      </c>
      <c r="AC130" s="27">
        <f t="shared" si="696"/>
        <v>8916.8792148315661</v>
      </c>
      <c r="AD130" s="27">
        <f t="shared" si="696"/>
        <v>9915.9174853830973</v>
      </c>
      <c r="AE130" s="27">
        <f t="shared" ref="AE130" si="697">AE126+AE127-AE128</f>
        <v>11399.904067578471</v>
      </c>
      <c r="AI130" s="26">
        <f>AI126+AI127-AI128</f>
        <v>421.4199999999995</v>
      </c>
      <c r="AJ130" s="26">
        <f t="shared" ref="AJ130" si="698">AJ126+AJ127-AJ128</f>
        <v>412.82999999999913</v>
      </c>
      <c r="AK130" s="26">
        <f t="shared" ref="AK130:AM130" si="699">AK126+AK127-AK128</f>
        <v>538.14999999999918</v>
      </c>
      <c r="AL130" s="26">
        <f t="shared" si="699"/>
        <v>754.27999999999884</v>
      </c>
      <c r="AM130" s="26">
        <f t="shared" si="699"/>
        <v>285.66000000000042</v>
      </c>
      <c r="AN130" s="26">
        <f t="shared" ref="AN130:AO130" si="700">AN126+AN127-AN128</f>
        <v>245.83000000000004</v>
      </c>
      <c r="AO130" s="26">
        <f t="shared" si="700"/>
        <v>151.82999999999925</v>
      </c>
      <c r="AP130" s="26">
        <f t="shared" ref="AP130:CD130" si="701">AP126+AP127-AP128</f>
        <v>291.74999999999693</v>
      </c>
      <c r="AQ130" s="26">
        <f t="shared" si="701"/>
        <v>136.50000000000136</v>
      </c>
      <c r="AR130" s="26">
        <f t="shared" si="701"/>
        <v>277.15999999999974</v>
      </c>
      <c r="AS130" s="26">
        <f t="shared" si="701"/>
        <v>269.21999999999878</v>
      </c>
      <c r="AT130" s="26">
        <f t="shared" si="701"/>
        <v>162.19000000000085</v>
      </c>
      <c r="AU130" s="26">
        <f t="shared" si="701"/>
        <v>741.33999999999924</v>
      </c>
      <c r="AV130" s="26">
        <f t="shared" si="701"/>
        <v>571.91000000000099</v>
      </c>
      <c r="AW130" s="26">
        <f t="shared" si="701"/>
        <v>243.81000000000097</v>
      </c>
      <c r="AX130" s="26">
        <f t="shared" si="701"/>
        <v>207.99999999999829</v>
      </c>
      <c r="AY130" s="26">
        <f t="shared" si="701"/>
        <v>357.02</v>
      </c>
      <c r="AZ130" s="26">
        <f t="shared" si="701"/>
        <v>474.53000000000031</v>
      </c>
      <c r="BA130" s="26">
        <f t="shared" si="701"/>
        <v>246.28000000000111</v>
      </c>
      <c r="BB130" s="26">
        <f t="shared" si="701"/>
        <v>31.630000000000678</v>
      </c>
      <c r="BC130" s="26">
        <f t="shared" si="701"/>
        <v>243.43999999999971</v>
      </c>
      <c r="BD130" s="26">
        <f t="shared" si="701"/>
        <v>108.22999999999956</v>
      </c>
      <c r="BE130" s="26">
        <f t="shared" si="701"/>
        <v>-14.549999999999613</v>
      </c>
      <c r="BF130" s="26">
        <f t="shared" si="701"/>
        <v>-148.99999999999932</v>
      </c>
      <c r="BG130" s="26">
        <f t="shared" si="701"/>
        <v>142.78000000000043</v>
      </c>
      <c r="BH130" s="26">
        <f t="shared" si="701"/>
        <v>145.77000000000112</v>
      </c>
      <c r="BI130" s="26">
        <f t="shared" si="701"/>
        <v>203.64999999999986</v>
      </c>
      <c r="BJ130" s="26">
        <f t="shared" si="701"/>
        <v>188.90999999999985</v>
      </c>
      <c r="BK130" s="26">
        <f t="shared" si="701"/>
        <v>446.14999999999941</v>
      </c>
      <c r="BL130" s="26">
        <f t="shared" si="701"/>
        <v>339.18999999999824</v>
      </c>
      <c r="BM130" s="26">
        <f t="shared" si="701"/>
        <v>169.08999999999969</v>
      </c>
      <c r="BN130" s="26">
        <f t="shared" si="701"/>
        <v>235.02000000000089</v>
      </c>
      <c r="BO130" s="26">
        <f t="shared" si="701"/>
        <v>303.3599999999999</v>
      </c>
      <c r="BP130" s="26">
        <f t="shared" si="701"/>
        <v>511.93999999999824</v>
      </c>
      <c r="BQ130" s="26">
        <f t="shared" si="701"/>
        <v>292.92999999999961</v>
      </c>
      <c r="BR130" s="26">
        <f t="shared" si="701"/>
        <v>114.39999999999998</v>
      </c>
      <c r="BS130" s="26">
        <f t="shared" si="701"/>
        <v>672.25000000000034</v>
      </c>
      <c r="BT130" s="26">
        <f t="shared" si="701"/>
        <v>14.899999999998613</v>
      </c>
      <c r="BU130" s="26">
        <f t="shared" si="701"/>
        <v>130.4299999999995</v>
      </c>
      <c r="BV130" s="26">
        <f t="shared" si="701"/>
        <v>392.86000000000047</v>
      </c>
      <c r="BW130" s="26">
        <f t="shared" si="701"/>
        <v>259.05999999999949</v>
      </c>
      <c r="BX130" s="26">
        <f t="shared" si="701"/>
        <v>153.45000000000141</v>
      </c>
      <c r="BY130" s="26">
        <f t="shared" si="701"/>
        <v>866.07000000000085</v>
      </c>
      <c r="BZ130" s="26">
        <f t="shared" si="701"/>
        <v>978.95999999999867</v>
      </c>
      <c r="CA130" s="26">
        <f t="shared" si="701"/>
        <v>890.20000000000095</v>
      </c>
      <c r="CB130" s="26">
        <f t="shared" si="701"/>
        <v>979.16000000000076</v>
      </c>
      <c r="CC130" s="26">
        <f t="shared" si="701"/>
        <v>1229.7400000000014</v>
      </c>
      <c r="CD130" s="26">
        <f t="shared" si="701"/>
        <v>1181.9900000000009</v>
      </c>
      <c r="CE130" s="26">
        <f t="shared" ref="CE130:CF130" si="702">CE126+CE127-CE128</f>
        <v>1201.0599999999984</v>
      </c>
      <c r="CF130" s="26">
        <f t="shared" si="702"/>
        <v>1677.7899999999991</v>
      </c>
      <c r="CG130" s="26">
        <f t="shared" ref="CG130:CH130" si="703">CG126+CG127-CG128</f>
        <v>1270.5100000000007</v>
      </c>
      <c r="CH130" s="26">
        <f t="shared" si="703"/>
        <v>1499.0900000000006</v>
      </c>
      <c r="CI130" s="26">
        <f t="shared" ref="CI130:CJ130" si="704">CI126+CI127-CI128</f>
        <v>1490.6400000000015</v>
      </c>
      <c r="CJ130" s="26">
        <f t="shared" si="704"/>
        <v>1550.8200000000002</v>
      </c>
      <c r="CK130" s="26">
        <f t="shared" ref="CK130:CL130" si="705">CK126+CK127-CK128</f>
        <v>1340.9399999999998</v>
      </c>
      <c r="CL130" s="26">
        <f t="shared" si="705"/>
        <v>1640.7</v>
      </c>
      <c r="CM130" s="27">
        <f t="shared" ref="CM130:DB130" si="706">CM126+CM127-CM128</f>
        <v>1708.939554332545</v>
      </c>
      <c r="CN130" s="27">
        <f t="shared" si="706"/>
        <v>2708.9919019186896</v>
      </c>
      <c r="CO130" s="27">
        <f t="shared" si="706"/>
        <v>2207.0651069560527</v>
      </c>
      <c r="CP130" s="27">
        <f t="shared" si="706"/>
        <v>2268.1012482312553</v>
      </c>
      <c r="CQ130" s="27">
        <f t="shared" si="706"/>
        <v>2233.0805382687067</v>
      </c>
      <c r="CR130" s="27">
        <f t="shared" si="706"/>
        <v>2524.6256097619535</v>
      </c>
      <c r="CS130" s="27">
        <f t="shared" si="706"/>
        <v>1971.4532175767645</v>
      </c>
      <c r="CT130" s="27">
        <f t="shared" si="706"/>
        <v>2187.719849224156</v>
      </c>
      <c r="CU130" s="27">
        <f t="shared" si="706"/>
        <v>2459.2260148176902</v>
      </c>
      <c r="CV130" s="27">
        <f t="shared" si="706"/>
        <v>2756.5243755238271</v>
      </c>
      <c r="CW130" s="27">
        <f t="shared" si="706"/>
        <v>2207.6766554339019</v>
      </c>
      <c r="CX130" s="27">
        <f t="shared" si="706"/>
        <v>2492.4904396077</v>
      </c>
      <c r="CY130" s="27">
        <f t="shared" si="706"/>
        <v>2822.4736053562606</v>
      </c>
      <c r="CZ130" s="27">
        <f t="shared" si="706"/>
        <v>3140.7803495468652</v>
      </c>
      <c r="DA130" s="27">
        <f t="shared" si="706"/>
        <v>2561.5656882342601</v>
      </c>
      <c r="DB130" s="27">
        <f t="shared" si="706"/>
        <v>2875.0844244410737</v>
      </c>
      <c r="DE130" s="121"/>
      <c r="DF130" s="26">
        <v>1821.7142123634808</v>
      </c>
    </row>
    <row r="131" spans="1:110" s="23" customFormat="1" x14ac:dyDescent="0.2">
      <c r="A131" s="23" t="s">
        <v>21</v>
      </c>
      <c r="B131" s="23">
        <f>'Annual Raw'!C30</f>
        <v>140.4215193</v>
      </c>
      <c r="C131" s="23">
        <f>'Annual Raw'!D30</f>
        <v>165.13</v>
      </c>
      <c r="D131" s="23">
        <f>'Annual Raw'!E30</f>
        <v>164.4</v>
      </c>
      <c r="E131" s="23">
        <f>'Annual Raw'!F30</f>
        <v>252.55</v>
      </c>
      <c r="F131" s="23">
        <f>'Annual Raw'!G30</f>
        <v>241.01</v>
      </c>
      <c r="G131" s="23">
        <f>'Annual Raw'!H30</f>
        <v>168.69</v>
      </c>
      <c r="H131" s="23">
        <f>'Annual Raw'!I30</f>
        <v>-99.05</v>
      </c>
      <c r="I131" s="23">
        <f>'Annual Raw'!J30</f>
        <v>376.46</v>
      </c>
      <c r="J131" s="23">
        <f>'Annual Raw'!K30</f>
        <v>1165.0999999999999</v>
      </c>
      <c r="K131" s="23">
        <f>'Annual Raw'!L30</f>
        <v>628.66</v>
      </c>
      <c r="L131" s="23">
        <f>'Annual Raw'!M30</f>
        <v>974.97</v>
      </c>
      <c r="M131" s="23">
        <f>'Annual Raw'!N30</f>
        <v>1475.54</v>
      </c>
      <c r="N131" s="23">
        <f>'Annual Raw'!O30</f>
        <v>1177.96</v>
      </c>
      <c r="O131" s="23">
        <f>'Annual Raw'!P30</f>
        <v>1008.38</v>
      </c>
      <c r="P131" s="23">
        <f>'Annual Raw'!Q30</f>
        <v>1074.92</v>
      </c>
      <c r="Q131" s="23">
        <f>'Annual Raw'!R30</f>
        <v>680.31</v>
      </c>
      <c r="R131" s="23">
        <f>'Annual Raw'!S30</f>
        <v>350.46</v>
      </c>
      <c r="S131" s="23">
        <f>'Annual Raw'!T30</f>
        <v>161.97</v>
      </c>
      <c r="T131" s="23">
        <f>'Annual Raw'!U30</f>
        <v>1087.5899999999999</v>
      </c>
      <c r="U131" s="23">
        <f>'Annual Raw'!V30</f>
        <v>641.49</v>
      </c>
      <c r="V131" s="23">
        <f>'Annual Raw'!W30</f>
        <v>501.88</v>
      </c>
      <c r="W131" s="23">
        <f>'Annual Raw'!X30</f>
        <v>379.56</v>
      </c>
      <c r="X131" s="23">
        <f>'Annual Raw'!Y30</f>
        <v>1647.33</v>
      </c>
      <c r="Y131" s="23">
        <f>'Annual Raw'!Z30</f>
        <v>1451.92</v>
      </c>
      <c r="Z131" s="23">
        <f>'Annual Raw'!AA30</f>
        <v>1544.25</v>
      </c>
      <c r="AA131" s="23">
        <f>'Annual Raw'!AB30</f>
        <v>1518.43</v>
      </c>
      <c r="AB131" s="24">
        <f>+SUM(CM131:CP131)</f>
        <v>2402.6071395375156</v>
      </c>
      <c r="AC131" s="24">
        <f>+SUM(CQ131:CT131)</f>
        <v>2482.5889368211451</v>
      </c>
      <c r="AD131" s="24">
        <f>+SUM(CU131:CX131)</f>
        <v>2769.656657432929</v>
      </c>
      <c r="AE131" s="24">
        <f>+SUM(CY131:DB131)</f>
        <v>3186.2917988361714</v>
      </c>
      <c r="AI131" s="23">
        <f>'QTR Raw'!C29</f>
        <v>226.29</v>
      </c>
      <c r="AJ131" s="23">
        <f>'QTR Raw'!D29</f>
        <v>222.51</v>
      </c>
      <c r="AK131" s="23">
        <f>'QTR Raw'!E29</f>
        <v>229.93</v>
      </c>
      <c r="AL131" s="23">
        <f>'QTR Raw'!F29</f>
        <v>499.23</v>
      </c>
      <c r="AM131" s="23">
        <f>'QTR Raw'!G29</f>
        <v>334.64</v>
      </c>
      <c r="AN131" s="23">
        <f>'QTR Raw'!H29</f>
        <v>125.39</v>
      </c>
      <c r="AO131" s="23">
        <f>'QTR Raw'!I29</f>
        <v>165.55</v>
      </c>
      <c r="AP131" s="23">
        <f>'QTR Raw'!J29</f>
        <v>382.8</v>
      </c>
      <c r="AQ131" s="23">
        <f>'QTR Raw'!K29</f>
        <v>313.77999999999997</v>
      </c>
      <c r="AR131" s="23">
        <f>'QTR Raw'!L29</f>
        <v>173.79</v>
      </c>
      <c r="AS131" s="23">
        <f>'QTR Raw'!M29</f>
        <v>302.05</v>
      </c>
      <c r="AT131" s="23">
        <f>'QTR Raw'!N29</f>
        <v>285.3</v>
      </c>
      <c r="AU131" s="23">
        <f>'QTR Raw'!O29</f>
        <v>226.73</v>
      </c>
      <c r="AV131" s="23">
        <f>'QTR Raw'!P29</f>
        <v>186.48</v>
      </c>
      <c r="AW131" s="23">
        <f>'QTR Raw'!Q29</f>
        <v>147.25</v>
      </c>
      <c r="AX131" s="23">
        <f>'QTR Raw'!R29</f>
        <v>119.85</v>
      </c>
      <c r="AY131" s="23">
        <f>'QTR Raw'!S29</f>
        <v>144.85</v>
      </c>
      <c r="AZ131" s="23">
        <f>'QTR Raw'!T29</f>
        <v>193.99</v>
      </c>
      <c r="BA131" s="23">
        <f>'QTR Raw'!U29</f>
        <v>50.8</v>
      </c>
      <c r="BB131" s="23">
        <f>'QTR Raw'!V29</f>
        <v>-48.96</v>
      </c>
      <c r="BC131" s="23">
        <f>'QTR Raw'!W29</f>
        <v>242.31</v>
      </c>
      <c r="BD131" s="23">
        <f>'QTR Raw'!X29</f>
        <v>182.11</v>
      </c>
      <c r="BE131" s="23">
        <f>'QTR Raw'!Y29</f>
        <v>-163.66</v>
      </c>
      <c r="BF131" s="23">
        <f>'QTR Raw'!Z29</f>
        <v>-98.79</v>
      </c>
      <c r="BG131" s="23">
        <f>'QTR Raw'!AA29</f>
        <v>640.14</v>
      </c>
      <c r="BH131" s="23">
        <f>'QTR Raw'!AB29</f>
        <v>152.30000000000001</v>
      </c>
      <c r="BI131" s="23">
        <f>'QTR Raw'!AC29</f>
        <v>202.49</v>
      </c>
      <c r="BJ131" s="23">
        <f>'QTR Raw'!AD29</f>
        <v>122.29</v>
      </c>
      <c r="BK131" s="23">
        <f>'QTR Raw'!AE29</f>
        <v>342.94</v>
      </c>
      <c r="BL131" s="23">
        <f>'QTR Raw'!AF29</f>
        <v>185.66</v>
      </c>
      <c r="BM131" s="23">
        <f>'QTR Raw'!AG29</f>
        <v>89.64</v>
      </c>
      <c r="BN131" s="23">
        <f>'QTR Raw'!AH29</f>
        <v>23.25</v>
      </c>
      <c r="BO131" s="23">
        <f>'QTR Raw'!AI29</f>
        <v>189.35</v>
      </c>
      <c r="BP131" s="23">
        <f>'QTR Raw'!AJ29</f>
        <v>317.64</v>
      </c>
      <c r="BQ131" s="23">
        <f>'QTR Raw'!AK29</f>
        <v>102.68</v>
      </c>
      <c r="BR131" s="23">
        <f>'QTR Raw'!AL29</f>
        <v>-107.79</v>
      </c>
      <c r="BS131" s="23">
        <f>'QTR Raw'!AM29</f>
        <v>572.52</v>
      </c>
      <c r="BT131" s="23">
        <f>'QTR Raw'!AN29</f>
        <v>132.08000000000001</v>
      </c>
      <c r="BU131" s="23">
        <f>'QTR Raw'!AO29</f>
        <v>236.6</v>
      </c>
      <c r="BV131" s="23">
        <f>'QTR Raw'!AP29</f>
        <v>-561.64</v>
      </c>
      <c r="BW131" s="23">
        <f>'QTR Raw'!AQ29</f>
        <v>178.52</v>
      </c>
      <c r="BX131" s="23">
        <f>'QTR Raw'!AR29</f>
        <v>437.67</v>
      </c>
      <c r="BY131" s="23">
        <f>'QTR Raw'!AS29</f>
        <v>811.88</v>
      </c>
      <c r="BZ131" s="23">
        <f>'QTR Raw'!AT29</f>
        <v>219.26</v>
      </c>
      <c r="CA131" s="23">
        <f>'QTR Raw'!AU29</f>
        <v>334.58</v>
      </c>
      <c r="CB131" s="23">
        <f>'QTR Raw'!AV29</f>
        <v>213.27</v>
      </c>
      <c r="CC131" s="23">
        <f>'QTR Raw'!AW29</f>
        <v>412.64</v>
      </c>
      <c r="CD131" s="23">
        <f>'QTR Raw'!AX29</f>
        <v>491.44</v>
      </c>
      <c r="CE131" s="23">
        <f>'QTR Raw'!AY29</f>
        <v>301.70999999999998</v>
      </c>
      <c r="CF131" s="23">
        <f>'QTR Raw'!AZ29</f>
        <v>679.79</v>
      </c>
      <c r="CG131" s="23">
        <f>'QTR Raw'!BA29</f>
        <v>269.14999999999998</v>
      </c>
      <c r="CH131" s="23">
        <f>'QTR Raw'!BB29</f>
        <v>293.60000000000002</v>
      </c>
      <c r="CI131" s="23">
        <f>'QTR Raw'!BC29</f>
        <v>357.14</v>
      </c>
      <c r="CJ131" s="23">
        <f>'QTR Raw'!BD29</f>
        <v>434.51</v>
      </c>
      <c r="CK131" s="23">
        <f>'QTR Raw'!BE29</f>
        <v>345.3</v>
      </c>
      <c r="CL131" s="23">
        <f>'QTR Raw'!BF29</f>
        <v>381.48</v>
      </c>
      <c r="CM131" s="24">
        <f t="shared" ref="CM131:DB131" si="707">+CM130*CM132</f>
        <v>452.98642685634763</v>
      </c>
      <c r="CN131" s="24">
        <f t="shared" si="707"/>
        <v>736.18837417738303</v>
      </c>
      <c r="CO131" s="24">
        <f t="shared" si="707"/>
        <v>594.90590720558885</v>
      </c>
      <c r="CP131" s="24">
        <f t="shared" si="707"/>
        <v>618.52643129819626</v>
      </c>
      <c r="CQ131" s="24">
        <f t="shared" si="707"/>
        <v>614.46587606065043</v>
      </c>
      <c r="CR131" s="24">
        <f t="shared" si="707"/>
        <v>701.18876454158249</v>
      </c>
      <c r="CS131" s="24">
        <f t="shared" si="707"/>
        <v>550.55829659879885</v>
      </c>
      <c r="CT131" s="24">
        <f t="shared" si="707"/>
        <v>616.37599962011336</v>
      </c>
      <c r="CU131" s="24">
        <f t="shared" si="707"/>
        <v>684.84132726189489</v>
      </c>
      <c r="CV131" s="24">
        <f t="shared" si="707"/>
        <v>769.91578336433201</v>
      </c>
      <c r="CW131" s="24">
        <f t="shared" si="707"/>
        <v>617.48379414704277</v>
      </c>
      <c r="CX131" s="24">
        <f t="shared" si="707"/>
        <v>697.41575265965912</v>
      </c>
      <c r="CY131" s="24">
        <f t="shared" si="707"/>
        <v>788.38065720731811</v>
      </c>
      <c r="CZ131" s="24">
        <f t="shared" si="707"/>
        <v>877.95378244193398</v>
      </c>
      <c r="DA131" s="24">
        <f t="shared" si="707"/>
        <v>716.18911747956474</v>
      </c>
      <c r="DB131" s="24">
        <f t="shared" si="707"/>
        <v>803.7682417073546</v>
      </c>
      <c r="DE131" s="123"/>
      <c r="DF131" s="23">
        <v>406.75565177803765</v>
      </c>
    </row>
    <row r="132" spans="1:110" s="90" customFormat="1" x14ac:dyDescent="0.2">
      <c r="A132" s="90" t="s">
        <v>106</v>
      </c>
      <c r="B132" s="90">
        <f t="shared" ref="B132:E132" si="708">B131/B130</f>
        <v>0.26493656345261263</v>
      </c>
      <c r="C132" s="90">
        <f t="shared" si="708"/>
        <v>0.25265074435043372</v>
      </c>
      <c r="D132" s="90">
        <f t="shared" si="708"/>
        <v>0.24162967753314329</v>
      </c>
      <c r="E132" s="90">
        <f t="shared" si="708"/>
        <v>0.31750122575210882</v>
      </c>
      <c r="F132" s="90">
        <f t="shared" ref="F132:T132" si="709">F131/F130</f>
        <v>0.29061859399493539</v>
      </c>
      <c r="G132" s="90">
        <f t="shared" si="709"/>
        <v>0.20937073352364399</v>
      </c>
      <c r="H132" s="90">
        <f t="shared" si="709"/>
        <v>-0.15005074911757141</v>
      </c>
      <c r="I132" s="90">
        <f t="shared" si="709"/>
        <v>0.2423395818312904</v>
      </c>
      <c r="J132" s="90">
        <f t="shared" si="709"/>
        <v>0.47288165173733548</v>
      </c>
      <c r="K132" s="90">
        <f t="shared" si="709"/>
        <v>0.22717450222238275</v>
      </c>
      <c r="L132" s="90">
        <f t="shared" si="709"/>
        <v>0.30883974050328139</v>
      </c>
      <c r="M132" s="90">
        <f t="shared" si="709"/>
        <v>0.639523241954707</v>
      </c>
      <c r="N132" s="90">
        <f t="shared" si="709"/>
        <v>0.55389621381684184</v>
      </c>
      <c r="O132" s="90">
        <f t="shared" si="709"/>
        <v>1.0341616499328212</v>
      </c>
      <c r="P132" s="90">
        <f t="shared" si="709"/>
        <v>1.2719893026613165</v>
      </c>
      <c r="Q132" s="90">
        <f t="shared" si="709"/>
        <v>0.28902748333538647</v>
      </c>
      <c r="R132" s="90">
        <f t="shared" si="709"/>
        <v>0.29847975130945914</v>
      </c>
      <c r="S132" s="90">
        <f t="shared" si="709"/>
        <v>0.27086643142632377</v>
      </c>
      <c r="T132" s="90">
        <f t="shared" si="709"/>
        <v>1.9142319065051825</v>
      </c>
      <c r="U132" s="90">
        <f t="shared" ref="U132:Z132" si="710">U131/U130</f>
        <v>0.23274942492035977</v>
      </c>
      <c r="V132" s="90">
        <f t="shared" si="710"/>
        <v>0.36563918374483645</v>
      </c>
      <c r="W132" s="90">
        <f t="shared" si="710"/>
        <v>0.26178176576477263</v>
      </c>
      <c r="X132" s="90">
        <f t="shared" si="710"/>
        <v>0.72971751812854135</v>
      </c>
      <c r="Y132" s="90">
        <f t="shared" si="710"/>
        <v>0.33914727324116101</v>
      </c>
      <c r="Z132" s="90">
        <f t="shared" si="710"/>
        <v>0.27339116579622913</v>
      </c>
      <c r="AA132" s="90">
        <f t="shared" ref="AA132" si="711">AA131/AA130</f>
        <v>0.40019239638927434</v>
      </c>
      <c r="AB132" s="91">
        <f t="shared" ref="AA132:AD132" si="712">AB131/AB130</f>
        <v>0.27016537886800485</v>
      </c>
      <c r="AC132" s="91">
        <f t="shared" si="712"/>
        <v>0.27841455255913095</v>
      </c>
      <c r="AD132" s="91">
        <f t="shared" si="712"/>
        <v>0.27931420985659045</v>
      </c>
      <c r="AE132" s="91">
        <f t="shared" ref="AE132" si="713">AE131/AE130</f>
        <v>0.27950163264075545</v>
      </c>
      <c r="AI132" s="90">
        <f t="shared" ref="AI132" si="714">AI131/AI130</f>
        <v>0.53697024346257949</v>
      </c>
      <c r="AJ132" s="90">
        <f t="shared" ref="AJ132" si="715">AJ131/AJ130</f>
        <v>0.53898699222440338</v>
      </c>
      <c r="AK132" s="90">
        <f t="shared" ref="AK132:AM132" si="716">AK131/AK130</f>
        <v>0.42726005760475771</v>
      </c>
      <c r="AL132" s="90">
        <f t="shared" si="716"/>
        <v>0.66186296865885452</v>
      </c>
      <c r="AM132" s="90">
        <f t="shared" si="716"/>
        <v>1.1714625778897974</v>
      </c>
      <c r="AN132" s="90">
        <f t="shared" ref="AN132:AO132" si="717">AN131/AN130</f>
        <v>0.51006793312451681</v>
      </c>
      <c r="AO132" s="90">
        <f t="shared" si="717"/>
        <v>1.0903642231443116</v>
      </c>
      <c r="AP132" s="90">
        <f t="shared" ref="AP132:CD132" si="718">AP131/AP130</f>
        <v>1.3120822622108108</v>
      </c>
      <c r="AQ132" s="90">
        <f t="shared" si="718"/>
        <v>2.2987545787545556</v>
      </c>
      <c r="AR132" s="90">
        <f t="shared" si="718"/>
        <v>0.62703853369894702</v>
      </c>
      <c r="AS132" s="90">
        <f t="shared" si="718"/>
        <v>1.1219448777951169</v>
      </c>
      <c r="AT132" s="90">
        <f t="shared" si="718"/>
        <v>1.759048030088159</v>
      </c>
      <c r="AU132" s="90">
        <f t="shared" si="718"/>
        <v>0.30583807699571075</v>
      </c>
      <c r="AV132" s="90">
        <f t="shared" si="718"/>
        <v>0.32606528999318019</v>
      </c>
      <c r="AW132" s="90">
        <f t="shared" si="718"/>
        <v>0.60395389852753956</v>
      </c>
      <c r="AX132" s="90">
        <f t="shared" si="718"/>
        <v>0.57620192307692775</v>
      </c>
      <c r="AY132" s="90">
        <f t="shared" si="718"/>
        <v>0.40571956753123073</v>
      </c>
      <c r="AZ132" s="90">
        <f t="shared" si="718"/>
        <v>0.40880450129601897</v>
      </c>
      <c r="BA132" s="90">
        <f t="shared" si="718"/>
        <v>0.20626928699041647</v>
      </c>
      <c r="BB132" s="90">
        <f t="shared" si="718"/>
        <v>-1.5478975656022431</v>
      </c>
      <c r="BC132" s="90">
        <f t="shared" si="718"/>
        <v>0.99535819914558121</v>
      </c>
      <c r="BD132" s="90">
        <f t="shared" si="718"/>
        <v>1.6826203455603876</v>
      </c>
      <c r="BE132" s="90">
        <f t="shared" si="718"/>
        <v>11.248109965636038</v>
      </c>
      <c r="BF132" s="90">
        <f t="shared" si="718"/>
        <v>0.66302013422819095</v>
      </c>
      <c r="BG132" s="90">
        <f t="shared" si="718"/>
        <v>4.4834010365597283</v>
      </c>
      <c r="BH132" s="90">
        <f t="shared" si="718"/>
        <v>1.0447965973794253</v>
      </c>
      <c r="BI132" s="90">
        <f t="shared" si="718"/>
        <v>0.99430395286030027</v>
      </c>
      <c r="BJ132" s="90">
        <f t="shared" si="718"/>
        <v>0.64734529670213381</v>
      </c>
      <c r="BK132" s="90">
        <f t="shared" si="718"/>
        <v>0.76866524711420026</v>
      </c>
      <c r="BL132" s="90">
        <f t="shared" si="718"/>
        <v>0.54736283498924188</v>
      </c>
      <c r="BM132" s="90">
        <f t="shared" si="718"/>
        <v>0.5301318824294764</v>
      </c>
      <c r="BN132" s="90">
        <f t="shared" si="718"/>
        <v>9.8927750829716249E-2</v>
      </c>
      <c r="BO132" s="90">
        <f t="shared" si="718"/>
        <v>0.62417589662447281</v>
      </c>
      <c r="BP132" s="90">
        <f t="shared" si="718"/>
        <v>0.62046333554713651</v>
      </c>
      <c r="BQ132" s="90">
        <f t="shared" si="718"/>
        <v>0.35052742976137691</v>
      </c>
      <c r="BR132" s="90">
        <f t="shared" si="718"/>
        <v>-0.94222027972028</v>
      </c>
      <c r="BS132" s="90">
        <f t="shared" si="718"/>
        <v>0.8516474525846035</v>
      </c>
      <c r="BT132" s="90">
        <f t="shared" si="718"/>
        <v>8.8644295302021678</v>
      </c>
      <c r="BU132" s="90">
        <f t="shared" si="718"/>
        <v>1.8139998466610512</v>
      </c>
      <c r="BV132" s="90">
        <f t="shared" si="718"/>
        <v>-1.4296186936822259</v>
      </c>
      <c r="BW132" s="90">
        <f t="shared" si="718"/>
        <v>0.68910677063228731</v>
      </c>
      <c r="BX132" s="90">
        <f t="shared" si="718"/>
        <v>2.8521994134897102</v>
      </c>
      <c r="BY132" s="90">
        <f t="shared" si="718"/>
        <v>0.93742999988453501</v>
      </c>
      <c r="BZ132" s="90">
        <f t="shared" si="718"/>
        <v>0.22397237885102586</v>
      </c>
      <c r="CA132" s="90">
        <f t="shared" si="718"/>
        <v>0.3758481240170744</v>
      </c>
      <c r="CB132" s="90">
        <f t="shared" si="718"/>
        <v>0.21780914253033196</v>
      </c>
      <c r="CC132" s="90">
        <f t="shared" si="718"/>
        <v>0.33555060419275579</v>
      </c>
      <c r="CD132" s="90">
        <f t="shared" si="718"/>
        <v>0.41577339909813077</v>
      </c>
      <c r="CE132" s="90">
        <f t="shared" ref="CE132:CF132" si="719">CE131/CE130</f>
        <v>0.25120310392486672</v>
      </c>
      <c r="CF132" s="90">
        <f t="shared" si="719"/>
        <v>0.40516989611333976</v>
      </c>
      <c r="CG132" s="90">
        <f t="shared" ref="CG132:CH132" si="720">CG131/CG130</f>
        <v>0.21184406262052233</v>
      </c>
      <c r="CH132" s="90">
        <f t="shared" si="720"/>
        <v>0.19585215030451802</v>
      </c>
      <c r="CI132" s="90">
        <f t="shared" ref="CI132:CJ132" si="721">CI131/CI130</f>
        <v>0.23958836472924358</v>
      </c>
      <c r="CJ132" s="90">
        <f t="shared" si="721"/>
        <v>0.28018080757276792</v>
      </c>
      <c r="CK132" s="90">
        <f t="shared" ref="CK132:CL132" si="722">CK131/CK130</f>
        <v>0.25750592867689831</v>
      </c>
      <c r="CL132" s="90">
        <f t="shared" si="722"/>
        <v>0.2325105138050832</v>
      </c>
      <c r="CM132" s="91">
        <f>AVERAGE(CI132:CL132)*1.05</f>
        <v>0.26506872388079816</v>
      </c>
      <c r="CN132" s="91">
        <f t="shared" ref="CN132:CP132" si="723">AVERAGE(CJ132:CM132)*1.05</f>
        <v>0.2717573181580813</v>
      </c>
      <c r="CO132" s="91">
        <f t="shared" si="723"/>
        <v>0.26954615218672601</v>
      </c>
      <c r="CP132" s="91">
        <f t="shared" si="723"/>
        <v>0.27270671085805576</v>
      </c>
      <c r="CQ132" s="91">
        <f>AVERAGE(CM132:CP132)*1.02</f>
        <v>0.27516512079633365</v>
      </c>
      <c r="CR132" s="91">
        <f t="shared" ref="CR132:CT132" si="724">AVERAGE(CN132:CQ132)*1.02</f>
        <v>0.2777397020097952</v>
      </c>
      <c r="CS132" s="91">
        <f t="shared" si="724"/>
        <v>0.27926520989198222</v>
      </c>
      <c r="CT132" s="91">
        <f t="shared" si="724"/>
        <v>0.28174356960682256</v>
      </c>
      <c r="CU132" s="91">
        <f t="shared" ref="CU132:DB132" si="725">AVERAGE(CQ132:CT132)</f>
        <v>0.27847840057623341</v>
      </c>
      <c r="CV132" s="91">
        <f t="shared" si="725"/>
        <v>0.27930672052120836</v>
      </c>
      <c r="CW132" s="91">
        <f t="shared" si="725"/>
        <v>0.27969847514906165</v>
      </c>
      <c r="CX132" s="91">
        <f t="shared" si="725"/>
        <v>0.27980679146333148</v>
      </c>
      <c r="CY132" s="91">
        <f t="shared" si="725"/>
        <v>0.27932259692745876</v>
      </c>
      <c r="CZ132" s="91">
        <f t="shared" si="725"/>
        <v>0.27953364601526509</v>
      </c>
      <c r="DA132" s="91">
        <f t="shared" si="725"/>
        <v>0.27959037738877923</v>
      </c>
      <c r="DB132" s="91">
        <f t="shared" si="725"/>
        <v>0.2795633529487086</v>
      </c>
      <c r="DE132" s="127"/>
      <c r="DF132" s="90">
        <v>0.22328181282085699</v>
      </c>
    </row>
    <row r="133" spans="1:110" s="26" customFormat="1" x14ac:dyDescent="0.2">
      <c r="A133" s="26" t="s">
        <v>22</v>
      </c>
      <c r="B133" s="26">
        <f t="shared" ref="B133:E133" si="726">B130-B131</f>
        <v>389.59788409999999</v>
      </c>
      <c r="C133" s="26">
        <f t="shared" si="726"/>
        <v>488.46000000000015</v>
      </c>
      <c r="D133" s="26">
        <f t="shared" si="726"/>
        <v>515.9799999999999</v>
      </c>
      <c r="E133" s="26">
        <f t="shared" si="726"/>
        <v>542.88000000000034</v>
      </c>
      <c r="F133" s="26">
        <f t="shared" ref="F133:T133" si="727">F130-F131</f>
        <v>588.29000000000019</v>
      </c>
      <c r="G133" s="26">
        <f t="shared" si="727"/>
        <v>637.01000000000022</v>
      </c>
      <c r="H133" s="26">
        <f t="shared" si="727"/>
        <v>759.15999999999951</v>
      </c>
      <c r="I133" s="26">
        <f t="shared" si="727"/>
        <v>1176.9800000000009</v>
      </c>
      <c r="J133" s="26">
        <f t="shared" si="727"/>
        <v>1298.7300000000014</v>
      </c>
      <c r="K133" s="26">
        <f t="shared" si="727"/>
        <v>2138.6400000000008</v>
      </c>
      <c r="L133" s="26">
        <f t="shared" si="727"/>
        <v>2181.9100000000035</v>
      </c>
      <c r="M133" s="26">
        <f t="shared" si="727"/>
        <v>831.71000000000367</v>
      </c>
      <c r="N133" s="26">
        <f t="shared" si="727"/>
        <v>948.71999999999798</v>
      </c>
      <c r="O133" s="26">
        <f t="shared" si="727"/>
        <v>-33.309999999996194</v>
      </c>
      <c r="P133" s="26">
        <f t="shared" si="727"/>
        <v>-229.849999999999</v>
      </c>
      <c r="Q133" s="26">
        <f t="shared" si="727"/>
        <v>1673.4800000000023</v>
      </c>
      <c r="R133" s="26">
        <f t="shared" si="727"/>
        <v>823.68999999999505</v>
      </c>
      <c r="S133" s="26">
        <f t="shared" si="727"/>
        <v>436.00000000000432</v>
      </c>
      <c r="T133" s="26">
        <f t="shared" si="727"/>
        <v>-519.42999999999188</v>
      </c>
      <c r="U133" s="26">
        <f t="shared" ref="U133:Z133" si="728">U130-U131</f>
        <v>2114.6499999999987</v>
      </c>
      <c r="V133" s="26">
        <f t="shared" si="728"/>
        <v>870.73000000000013</v>
      </c>
      <c r="W133" s="26">
        <f t="shared" si="728"/>
        <v>1070.3499999999945</v>
      </c>
      <c r="X133" s="26">
        <f t="shared" si="728"/>
        <v>610.15999999999894</v>
      </c>
      <c r="Y133" s="26">
        <f t="shared" si="728"/>
        <v>2829.1699999999946</v>
      </c>
      <c r="Z133" s="26">
        <f t="shared" si="728"/>
        <v>4104.2499999999991</v>
      </c>
      <c r="AA133" s="26">
        <f t="shared" ref="AA133" si="729">AA130-AA131</f>
        <v>2275.8199999999897</v>
      </c>
      <c r="AB133" s="27">
        <f t="shared" ref="AA133:AD133" si="730">AB130-AB131</f>
        <v>6490.4906719010169</v>
      </c>
      <c r="AC133" s="27">
        <f t="shared" si="730"/>
        <v>6434.2902780104214</v>
      </c>
      <c r="AD133" s="27">
        <f t="shared" si="730"/>
        <v>7146.2608279501683</v>
      </c>
      <c r="AE133" s="27">
        <f t="shared" ref="AE133" si="731">AE130-AE131</f>
        <v>8213.6122687422994</v>
      </c>
      <c r="AI133" s="26">
        <f>AI130-AI131</f>
        <v>195.12999999999951</v>
      </c>
      <c r="AJ133" s="26">
        <f t="shared" ref="AJ133" si="732">AJ130-AJ131</f>
        <v>190.31999999999914</v>
      </c>
      <c r="AK133" s="26">
        <f t="shared" ref="AK133:AM133" si="733">AK130-AK131</f>
        <v>308.21999999999917</v>
      </c>
      <c r="AL133" s="26">
        <f t="shared" si="733"/>
        <v>255.04999999999882</v>
      </c>
      <c r="AM133" s="26">
        <f t="shared" si="733"/>
        <v>-48.979999999999563</v>
      </c>
      <c r="AN133" s="26">
        <f t="shared" ref="AN133:AO133" si="734">AN130-AN131</f>
        <v>120.44000000000004</v>
      </c>
      <c r="AO133" s="26">
        <f t="shared" si="734"/>
        <v>-13.720000000000766</v>
      </c>
      <c r="AP133" s="26">
        <f t="shared" ref="AP133:CD133" si="735">AP130-AP131</f>
        <v>-91.050000000003081</v>
      </c>
      <c r="AQ133" s="26">
        <f t="shared" si="735"/>
        <v>-177.27999999999861</v>
      </c>
      <c r="AR133" s="26">
        <f t="shared" si="735"/>
        <v>103.36999999999975</v>
      </c>
      <c r="AS133" s="26">
        <f t="shared" si="735"/>
        <v>-32.830000000001235</v>
      </c>
      <c r="AT133" s="26">
        <f t="shared" si="735"/>
        <v>-123.10999999999916</v>
      </c>
      <c r="AU133" s="26">
        <f t="shared" si="735"/>
        <v>514.60999999999922</v>
      </c>
      <c r="AV133" s="26">
        <f t="shared" si="735"/>
        <v>385.43000000000097</v>
      </c>
      <c r="AW133" s="26">
        <f t="shared" si="735"/>
        <v>96.560000000000969</v>
      </c>
      <c r="AX133" s="26">
        <f t="shared" si="735"/>
        <v>88.1499999999983</v>
      </c>
      <c r="AY133" s="26">
        <f t="shared" si="735"/>
        <v>212.17</v>
      </c>
      <c r="AZ133" s="26">
        <f t="shared" si="735"/>
        <v>280.5400000000003</v>
      </c>
      <c r="BA133" s="26">
        <f t="shared" si="735"/>
        <v>195.4800000000011</v>
      </c>
      <c r="BB133" s="26">
        <f t="shared" si="735"/>
        <v>80.590000000000686</v>
      </c>
      <c r="BC133" s="26">
        <f t="shared" si="735"/>
        <v>1.1299999999997112</v>
      </c>
      <c r="BD133" s="26">
        <f t="shared" si="735"/>
        <v>-73.88000000000045</v>
      </c>
      <c r="BE133" s="26">
        <f t="shared" si="735"/>
        <v>149.11000000000038</v>
      </c>
      <c r="BF133" s="26">
        <f t="shared" si="735"/>
        <v>-50.209999999999312</v>
      </c>
      <c r="BG133" s="26">
        <f t="shared" si="735"/>
        <v>-497.35999999999956</v>
      </c>
      <c r="BH133" s="26">
        <f t="shared" si="735"/>
        <v>-6.5299999999988927</v>
      </c>
      <c r="BI133" s="26">
        <f t="shared" si="735"/>
        <v>1.1599999999998545</v>
      </c>
      <c r="BJ133" s="26">
        <f t="shared" si="735"/>
        <v>66.619999999999848</v>
      </c>
      <c r="BK133" s="26">
        <f t="shared" si="735"/>
        <v>103.20999999999941</v>
      </c>
      <c r="BL133" s="26">
        <f t="shared" si="735"/>
        <v>153.52999999999824</v>
      </c>
      <c r="BM133" s="26">
        <f t="shared" si="735"/>
        <v>79.44999999999969</v>
      </c>
      <c r="BN133" s="26">
        <f t="shared" si="735"/>
        <v>211.77000000000089</v>
      </c>
      <c r="BO133" s="26">
        <f t="shared" si="735"/>
        <v>114.00999999999991</v>
      </c>
      <c r="BP133" s="26">
        <f t="shared" si="735"/>
        <v>194.29999999999825</v>
      </c>
      <c r="BQ133" s="26">
        <f t="shared" si="735"/>
        <v>190.2499999999996</v>
      </c>
      <c r="BR133" s="26">
        <f t="shared" si="735"/>
        <v>222.19</v>
      </c>
      <c r="BS133" s="26">
        <f t="shared" si="735"/>
        <v>99.730000000000359</v>
      </c>
      <c r="BT133" s="26">
        <f t="shared" si="735"/>
        <v>-117.1800000000014</v>
      </c>
      <c r="BU133" s="26">
        <f t="shared" si="735"/>
        <v>-106.1700000000005</v>
      </c>
      <c r="BV133" s="26">
        <f t="shared" si="735"/>
        <v>954.50000000000045</v>
      </c>
      <c r="BW133" s="26">
        <f t="shared" si="735"/>
        <v>80.53999999999948</v>
      </c>
      <c r="BX133" s="26">
        <f t="shared" si="735"/>
        <v>-284.21999999999861</v>
      </c>
      <c r="BY133" s="26">
        <f t="shared" si="735"/>
        <v>54.19000000000085</v>
      </c>
      <c r="BZ133" s="26">
        <f t="shared" si="735"/>
        <v>759.69999999999868</v>
      </c>
      <c r="CA133" s="26">
        <f t="shared" si="735"/>
        <v>555.62000000000103</v>
      </c>
      <c r="CB133" s="26">
        <f t="shared" si="735"/>
        <v>765.89000000000078</v>
      </c>
      <c r="CC133" s="26">
        <f t="shared" si="735"/>
        <v>817.10000000000139</v>
      </c>
      <c r="CD133" s="26">
        <f t="shared" si="735"/>
        <v>690.55000000000086</v>
      </c>
      <c r="CE133" s="26">
        <f t="shared" ref="CE133:CF133" si="736">CE130-CE131</f>
        <v>899.34999999999832</v>
      </c>
      <c r="CF133" s="26">
        <f t="shared" si="736"/>
        <v>997.99999999999909</v>
      </c>
      <c r="CG133" s="26">
        <f t="shared" ref="CG133:CH133" si="737">CG130-CG131</f>
        <v>1001.3600000000007</v>
      </c>
      <c r="CH133" s="26">
        <f t="shared" si="737"/>
        <v>1205.4900000000007</v>
      </c>
      <c r="CI133" s="26">
        <f t="shared" ref="CI133:CJ133" si="738">CI130-CI131</f>
        <v>1133.5000000000014</v>
      </c>
      <c r="CJ133" s="26">
        <f t="shared" si="738"/>
        <v>1116.3100000000002</v>
      </c>
      <c r="CK133" s="26">
        <f t="shared" ref="CK133:CL133" si="739">CK130-CK131</f>
        <v>995.63999999999987</v>
      </c>
      <c r="CL133" s="26">
        <f t="shared" si="739"/>
        <v>1259.22</v>
      </c>
      <c r="CM133" s="27">
        <f t="shared" ref="CM133:DB133" si="740">CM130-CM131</f>
        <v>1255.9531274761973</v>
      </c>
      <c r="CN133" s="27">
        <f t="shared" si="740"/>
        <v>1972.8035277413064</v>
      </c>
      <c r="CO133" s="27">
        <f t="shared" si="740"/>
        <v>1612.1591997504638</v>
      </c>
      <c r="CP133" s="27">
        <f t="shared" si="740"/>
        <v>1649.5748169330591</v>
      </c>
      <c r="CQ133" s="27">
        <f t="shared" si="740"/>
        <v>1618.6146622080564</v>
      </c>
      <c r="CR133" s="27">
        <f t="shared" si="740"/>
        <v>1823.436845220371</v>
      </c>
      <c r="CS133" s="27">
        <f t="shared" si="740"/>
        <v>1420.8949209779657</v>
      </c>
      <c r="CT133" s="27">
        <f t="shared" si="740"/>
        <v>1571.3438496040426</v>
      </c>
      <c r="CU133" s="27">
        <f t="shared" si="740"/>
        <v>1774.3846875557952</v>
      </c>
      <c r="CV133" s="27">
        <f t="shared" si="740"/>
        <v>1986.6085921594949</v>
      </c>
      <c r="CW133" s="27">
        <f t="shared" si="740"/>
        <v>1590.1928612868592</v>
      </c>
      <c r="CX133" s="27">
        <f t="shared" si="740"/>
        <v>1795.0746869480408</v>
      </c>
      <c r="CY133" s="27">
        <f t="shared" si="740"/>
        <v>2034.0929481489425</v>
      </c>
      <c r="CZ133" s="27">
        <f t="shared" si="740"/>
        <v>2262.8265671049312</v>
      </c>
      <c r="DA133" s="27">
        <f t="shared" si="740"/>
        <v>1845.3765707546954</v>
      </c>
      <c r="DB133" s="27">
        <f t="shared" si="740"/>
        <v>2071.316182733719</v>
      </c>
      <c r="DE133" s="121"/>
      <c r="DF133" s="26">
        <v>1414.9585605854431</v>
      </c>
    </row>
    <row r="134" spans="1:110" s="45" customFormat="1" x14ac:dyDescent="0.2">
      <c r="A134" s="45" t="s">
        <v>107</v>
      </c>
      <c r="B134" s="45">
        <f t="shared" ref="B134:AE134" si="741">+B133/B101</f>
        <v>0.11545482834735145</v>
      </c>
      <c r="C134" s="45">
        <f t="shared" si="741"/>
        <v>0.12650930055476997</v>
      </c>
      <c r="D134" s="45">
        <f t="shared" si="741"/>
        <v>0.10737391919591296</v>
      </c>
      <c r="E134" s="45">
        <f t="shared" si="741"/>
        <v>0.10871254295395022</v>
      </c>
      <c r="F134" s="45">
        <f t="shared" si="741"/>
        <v>0.12005207855045318</v>
      </c>
      <c r="G134" s="45">
        <f t="shared" si="741"/>
        <v>0.11332156847397207</v>
      </c>
      <c r="H134" s="45">
        <f t="shared" si="741"/>
        <v>0.11723320011612745</v>
      </c>
      <c r="I134" s="45">
        <f t="shared" si="741"/>
        <v>0.10807043704537574</v>
      </c>
      <c r="J134" s="45">
        <f t="shared" si="741"/>
        <v>7.1906704493359369E-2</v>
      </c>
      <c r="K134" s="45">
        <f t="shared" si="741"/>
        <v>0.11264394938543676</v>
      </c>
      <c r="L134" s="45">
        <f t="shared" si="741"/>
        <v>0.11217607949509445</v>
      </c>
      <c r="M134" s="45">
        <f t="shared" si="741"/>
        <v>3.1987123770258662E-2</v>
      </c>
      <c r="N134" s="45">
        <f t="shared" si="741"/>
        <v>2.8726953744432637E-2</v>
      </c>
      <c r="O134" s="45">
        <f t="shared" si="741"/>
        <v>-9.325767451026757E-4</v>
      </c>
      <c r="P134" s="45">
        <f t="shared" si="741"/>
        <v>-6.8422420406283307E-3</v>
      </c>
      <c r="Q134" s="45">
        <f t="shared" si="741"/>
        <v>5.673909874111277E-2</v>
      </c>
      <c r="R134" s="45">
        <f t="shared" si="741"/>
        <v>2.9857265531349243E-2</v>
      </c>
      <c r="S134" s="45">
        <f t="shared" si="741"/>
        <v>1.6244247915539013E-2</v>
      </c>
      <c r="T134" s="45">
        <f t="shared" si="741"/>
        <v>-1.7383252133625508E-2</v>
      </c>
      <c r="U134" s="45">
        <f t="shared" si="741"/>
        <v>7.2577675256045929E-2</v>
      </c>
      <c r="V134" s="45">
        <f t="shared" si="741"/>
        <v>2.6625133663840145E-2</v>
      </c>
      <c r="W134" s="45">
        <f t="shared" si="741"/>
        <v>2.4999024889718988E-2</v>
      </c>
      <c r="X134" s="45">
        <f t="shared" si="741"/>
        <v>1.1071859664505359E-2</v>
      </c>
      <c r="Y134" s="45">
        <f t="shared" si="741"/>
        <v>4.6041019448680033E-2</v>
      </c>
      <c r="Z134" s="45">
        <f t="shared" si="741"/>
        <v>6.26811288757914E-2</v>
      </c>
      <c r="AA134" s="45">
        <f t="shared" ref="AA134" si="742">+AA133/AA101</f>
        <v>3.645477176402654E-2</v>
      </c>
      <c r="AB134" s="48">
        <f t="shared" si="741"/>
        <v>8.2847365739614473E-2</v>
      </c>
      <c r="AC134" s="48">
        <f t="shared" si="741"/>
        <v>7.5803482198421243E-2</v>
      </c>
      <c r="AD134" s="48">
        <f t="shared" si="741"/>
        <v>7.9330164235859604E-2</v>
      </c>
      <c r="AE134" s="48">
        <f t="shared" si="741"/>
        <v>8.5653366679348156E-2</v>
      </c>
      <c r="AI134" s="45">
        <f t="shared" ref="AI134:BN134" si="743">+AI133/AI101</f>
        <v>2.7068831100370876E-2</v>
      </c>
      <c r="AJ134" s="45">
        <f t="shared" si="743"/>
        <v>2.4819578150633549E-2</v>
      </c>
      <c r="AK134" s="45">
        <f t="shared" si="743"/>
        <v>3.4425372600879141E-2</v>
      </c>
      <c r="AL134" s="45">
        <f t="shared" si="743"/>
        <v>2.8314632686886995E-2</v>
      </c>
      <c r="AM134" s="45">
        <f t="shared" si="743"/>
        <v>-5.4141109550080047E-3</v>
      </c>
      <c r="AN134" s="45">
        <f t="shared" si="743"/>
        <v>1.4320756893142474E-2</v>
      </c>
      <c r="AO134" s="45">
        <f t="shared" si="743"/>
        <v>-1.6064952993620582E-3</v>
      </c>
      <c r="AP134" s="45">
        <f t="shared" si="743"/>
        <v>-1.0228256949991415E-2</v>
      </c>
      <c r="AQ134" s="45">
        <f t="shared" si="743"/>
        <v>-2.0684231773537367E-2</v>
      </c>
      <c r="AR134" s="45">
        <f t="shared" si="743"/>
        <v>1.2214056148974353E-2</v>
      </c>
      <c r="AS134" s="45">
        <f t="shared" si="743"/>
        <v>-3.8494911120492982E-3</v>
      </c>
      <c r="AT134" s="45">
        <f t="shared" si="743"/>
        <v>-1.5766010934140203E-2</v>
      </c>
      <c r="AU134" s="45">
        <f t="shared" si="743"/>
        <v>7.3383309828124299E-2</v>
      </c>
      <c r="AV134" s="45">
        <f t="shared" si="743"/>
        <v>5.2039424829541749E-2</v>
      </c>
      <c r="AW134" s="45">
        <f t="shared" si="743"/>
        <v>1.3411893471563753E-2</v>
      </c>
      <c r="AX134" s="45">
        <f t="shared" si="743"/>
        <v>1.2210105229914038E-2</v>
      </c>
      <c r="AY134" s="45">
        <f t="shared" si="743"/>
        <v>3.102671716654724E-2</v>
      </c>
      <c r="AZ134" s="45">
        <f t="shared" si="743"/>
        <v>3.8890213539904996E-2</v>
      </c>
      <c r="BA134" s="45">
        <f t="shared" si="743"/>
        <v>2.9733195223341363E-2</v>
      </c>
      <c r="BB134" s="45">
        <f t="shared" si="743"/>
        <v>1.1504245393448432E-2</v>
      </c>
      <c r="BC134" s="45">
        <f t="shared" si="743"/>
        <v>1.7614964925950291E-4</v>
      </c>
      <c r="BD134" s="45">
        <f t="shared" si="743"/>
        <v>-1.074829239196067E-2</v>
      </c>
      <c r="BE134" s="45">
        <f t="shared" si="743"/>
        <v>2.3444157592033041E-2</v>
      </c>
      <c r="BF134" s="45">
        <f t="shared" si="743"/>
        <v>-6.9572711866989212E-3</v>
      </c>
      <c r="BG134" s="45">
        <f t="shared" si="743"/>
        <v>-6.798993875765523E-2</v>
      </c>
      <c r="BH134" s="45">
        <f t="shared" si="743"/>
        <v>-8.880233796291643E-4</v>
      </c>
      <c r="BI134" s="45">
        <f t="shared" si="743"/>
        <v>1.4531588039499042E-4</v>
      </c>
      <c r="BJ134" s="45">
        <f t="shared" si="743"/>
        <v>9.2145884279596565E-3</v>
      </c>
      <c r="BK134" s="45">
        <f t="shared" si="743"/>
        <v>1.3288749948498131E-2</v>
      </c>
      <c r="BL134" s="45">
        <f t="shared" si="743"/>
        <v>1.9996561523974023E-2</v>
      </c>
      <c r="BM134" s="45">
        <f t="shared" si="743"/>
        <v>1.1235986836429727E-2</v>
      </c>
      <c r="BN134" s="45">
        <f t="shared" si="743"/>
        <v>3.1985560657322512E-2</v>
      </c>
      <c r="BO134" s="45">
        <f t="shared" ref="BO134:CT134" si="744">+BO133/BO101</f>
        <v>1.7667778812612434E-2</v>
      </c>
      <c r="BP134" s="45">
        <f t="shared" si="744"/>
        <v>2.3438414149419377E-2</v>
      </c>
      <c r="BQ134" s="45">
        <f t="shared" si="744"/>
        <v>2.5039780676528098E-2</v>
      </c>
      <c r="BR134" s="45">
        <f t="shared" si="744"/>
        <v>2.1441530117924074E-2</v>
      </c>
      <c r="BS134" s="45">
        <f t="shared" si="744"/>
        <v>9.842731449268961E-3</v>
      </c>
      <c r="BT134" s="45">
        <f t="shared" si="744"/>
        <v>-1.1944686255761991E-2</v>
      </c>
      <c r="BU134" s="45">
        <f t="shared" si="744"/>
        <v>-9.728639053471367E-3</v>
      </c>
      <c r="BV134" s="45">
        <f t="shared" si="744"/>
        <v>7.9807959223943931E-2</v>
      </c>
      <c r="BW134" s="45">
        <f t="shared" si="744"/>
        <v>5.5562147648783953E-3</v>
      </c>
      <c r="BX134" s="45">
        <f t="shared" si="744"/>
        <v>-2.0256978971855945E-2</v>
      </c>
      <c r="BY134" s="45">
        <f t="shared" si="744"/>
        <v>3.8353414791579975E-3</v>
      </c>
      <c r="BZ134" s="45">
        <f t="shared" si="744"/>
        <v>6.100165733079798E-2</v>
      </c>
      <c r="CA134" s="45">
        <f t="shared" si="744"/>
        <v>3.6522014633258222E-2</v>
      </c>
      <c r="CB134" s="45">
        <f t="shared" si="744"/>
        <v>4.8664921848541445E-2</v>
      </c>
      <c r="CC134" s="45">
        <f t="shared" si="744"/>
        <v>5.5770937137396857E-2</v>
      </c>
      <c r="CD134" s="45">
        <f t="shared" si="744"/>
        <v>4.3577226127025567E-2</v>
      </c>
      <c r="CE134" s="45">
        <f t="shared" si="744"/>
        <v>5.2004727755091087E-2</v>
      </c>
      <c r="CF134" s="45">
        <f t="shared" si="744"/>
        <v>6.3576314191851349E-2</v>
      </c>
      <c r="CG134" s="45">
        <f t="shared" si="744"/>
        <v>6.5061145885988408E-2</v>
      </c>
      <c r="CH134" s="45">
        <f t="shared" si="744"/>
        <v>7.0513480440901583E-2</v>
      </c>
      <c r="CI134" s="45">
        <f t="shared" si="744"/>
        <v>6.2849769920493875E-2</v>
      </c>
      <c r="CJ134" s="45">
        <f t="shared" si="744"/>
        <v>7.1811930722017706E-2</v>
      </c>
      <c r="CK134" s="45">
        <f t="shared" si="744"/>
        <v>7.1380178816080109E-2</v>
      </c>
      <c r="CL134" s="45">
        <f t="shared" ref="CL134" si="745">+CL133/CL101</f>
        <v>8.451027502986537E-2</v>
      </c>
      <c r="CM134" s="48">
        <f t="shared" si="744"/>
        <v>7.1998363207245342E-2</v>
      </c>
      <c r="CN134" s="48">
        <f t="shared" si="744"/>
        <v>9.219695959671316E-2</v>
      </c>
      <c r="CO134" s="48">
        <f t="shared" si="744"/>
        <v>8.3705838140373259E-2</v>
      </c>
      <c r="CP134" s="48">
        <f t="shared" si="744"/>
        <v>8.149655403476759E-2</v>
      </c>
      <c r="CQ134" s="48">
        <f t="shared" si="744"/>
        <v>7.6638728239553547E-2</v>
      </c>
      <c r="CR134" s="48">
        <f t="shared" si="744"/>
        <v>8.1358853723017016E-2</v>
      </c>
      <c r="CS134" s="48">
        <f t="shared" si="744"/>
        <v>7.0502547536080318E-2</v>
      </c>
      <c r="CT134" s="48">
        <f t="shared" si="744"/>
        <v>7.413729507091156E-2</v>
      </c>
      <c r="CU134" s="48">
        <f t="shared" ref="CU134:DB134" si="746">+CU133/CU101</f>
        <v>7.9000802084841115E-2</v>
      </c>
      <c r="CV134" s="48">
        <f t="shared" si="746"/>
        <v>8.35934415182501E-2</v>
      </c>
      <c r="CW134" s="48">
        <f t="shared" si="746"/>
        <v>7.4401916223127543E-2</v>
      </c>
      <c r="CX134" s="48">
        <f t="shared" si="746"/>
        <v>7.983771344223646E-2</v>
      </c>
      <c r="CY134" s="48">
        <f t="shared" si="746"/>
        <v>8.5051218646513466E-2</v>
      </c>
      <c r="CZ134" s="48">
        <f t="shared" si="746"/>
        <v>8.9431629088300046E-2</v>
      </c>
      <c r="DA134" s="48">
        <f t="shared" si="746"/>
        <v>8.1150287663218315E-2</v>
      </c>
      <c r="DB134" s="48">
        <f t="shared" si="746"/>
        <v>8.6539238838400187E-2</v>
      </c>
      <c r="DE134" s="129"/>
      <c r="DF134" s="45">
        <v>8.0456263523612362E-2</v>
      </c>
    </row>
    <row r="135" spans="1:110" s="39" customFormat="1" x14ac:dyDescent="0.2">
      <c r="A135" s="39" t="s">
        <v>451</v>
      </c>
      <c r="C135" s="39">
        <f t="shared" ref="C135:E135" si="747">+IF(B133&lt;0,1-C133/B133,C133/B133-1)</f>
        <v>0.25375424234753985</v>
      </c>
      <c r="D135" s="39">
        <f t="shared" si="747"/>
        <v>5.6340334930188307E-2</v>
      </c>
      <c r="E135" s="39">
        <f t="shared" si="747"/>
        <v>5.2133803635800779E-2</v>
      </c>
      <c r="F135" s="39">
        <f t="shared" ref="F135:AE135" si="748">+IF(E133&lt;0,1-F133/E133,F133/E133-1)</f>
        <v>8.3646478043029493E-2</v>
      </c>
      <c r="G135" s="39">
        <f t="shared" si="748"/>
        <v>8.281629808427815E-2</v>
      </c>
      <c r="H135" s="39">
        <f t="shared" si="748"/>
        <v>0.19175523147203233</v>
      </c>
      <c r="I135" s="39">
        <f t="shared" si="748"/>
        <v>0.55037146319616648</v>
      </c>
      <c r="J135" s="39">
        <f t="shared" si="748"/>
        <v>0.10344270930687038</v>
      </c>
      <c r="K135" s="39">
        <f t="shared" si="748"/>
        <v>0.64671640756739168</v>
      </c>
      <c r="L135" s="39">
        <f t="shared" si="748"/>
        <v>2.0232484195564782E-2</v>
      </c>
      <c r="M135" s="39">
        <f t="shared" si="748"/>
        <v>-0.61881562484245345</v>
      </c>
      <c r="N135" s="39">
        <f t="shared" si="748"/>
        <v>0.14068605643793375</v>
      </c>
      <c r="O135" s="39">
        <f t="shared" si="748"/>
        <v>-1.0351104646260185</v>
      </c>
      <c r="P135" s="39">
        <f t="shared" si="748"/>
        <v>-5.900330231162572</v>
      </c>
      <c r="Q135" s="39">
        <f t="shared" si="748"/>
        <v>8.280748314117945</v>
      </c>
      <c r="R135" s="39">
        <f t="shared" si="748"/>
        <v>-0.50779812128021007</v>
      </c>
      <c r="S135" s="39">
        <f t="shared" si="748"/>
        <v>-0.47067464701525219</v>
      </c>
      <c r="T135" s="39">
        <f t="shared" si="748"/>
        <v>-2.1913532110091438</v>
      </c>
      <c r="U135" s="39">
        <f t="shared" si="748"/>
        <v>5.0710971641992799</v>
      </c>
      <c r="V135" s="39">
        <f t="shared" si="748"/>
        <v>-0.58823918851819412</v>
      </c>
      <c r="W135" s="39">
        <f t="shared" si="748"/>
        <v>0.22925591170626292</v>
      </c>
      <c r="X135" s="39">
        <f t="shared" si="748"/>
        <v>-0.42994347643294051</v>
      </c>
      <c r="Y135" s="39">
        <f t="shared" si="748"/>
        <v>3.6367674052707475</v>
      </c>
      <c r="Z135" s="39">
        <f t="shared" ref="Z135:AA135" si="749">+IF(Y133&lt;0,1-Z133/Y133,Z133/Y133-1)</f>
        <v>0.45069048519530708</v>
      </c>
      <c r="AA135" s="39">
        <f t="shared" si="749"/>
        <v>-0.44549674118292248</v>
      </c>
      <c r="AB135" s="40">
        <f t="shared" si="748"/>
        <v>1.8519349825122577</v>
      </c>
      <c r="AC135" s="40">
        <f t="shared" si="748"/>
        <v>-8.6588821603120758E-3</v>
      </c>
      <c r="AD135" s="40">
        <f t="shared" si="748"/>
        <v>0.11065253806980846</v>
      </c>
      <c r="AE135" s="40">
        <f t="shared" si="748"/>
        <v>0.14935803023275462</v>
      </c>
      <c r="AM135" s="39">
        <f>+IF(AI133&lt;0,1-AM133/AI133,AM133/AI133-1)</f>
        <v>-1.2510121457489862</v>
      </c>
      <c r="AN135" s="39">
        <f t="shared" ref="AN135" si="750">+IF(AJ133&lt;0,1-AN133/AJ133,AN133/AJ133-1)</f>
        <v>-0.36717108028583134</v>
      </c>
      <c r="AO135" s="39">
        <f t="shared" ref="AO135" si="751">+IF(AK133&lt;0,1-AO133/AK133,AO133/AK133-1)</f>
        <v>-1.0445136590746895</v>
      </c>
      <c r="AP135" s="39">
        <f t="shared" ref="AP135" si="752">+IF(AL133&lt;0,1-AP133/AL133,AP133/AL133-1)</f>
        <v>-1.3569888257204608</v>
      </c>
      <c r="AQ135" s="39">
        <f t="shared" ref="AQ135" si="753">+IF(AM133&lt;0,1-AQ133/AM133,AQ133/AM133-1)</f>
        <v>-2.6194365046957979</v>
      </c>
      <c r="AR135" s="39">
        <f t="shared" ref="AR135" si="754">+IF(AN133&lt;0,1-AR133/AN133,AR133/AN133-1)</f>
        <v>-0.14173032215211134</v>
      </c>
      <c r="AS135" s="39">
        <f t="shared" ref="AS135" si="755">+IF(AO133&lt;0,1-AS133/AO133,AS133/AO133-1)</f>
        <v>-1.3928571428570993</v>
      </c>
      <c r="AT135" s="39">
        <f t="shared" ref="AT135" si="756">+IF(AP133&lt;0,1-AT133/AP133,AT133/AP133-1)</f>
        <v>-0.35211422295436567</v>
      </c>
      <c r="AU135" s="39">
        <f t="shared" ref="AU135" si="757">+IF(AQ133&lt;0,1-AU133/AQ133,AU133/AQ133-1)</f>
        <v>3.9028091155234841</v>
      </c>
      <c r="AV135" s="39">
        <f t="shared" ref="AV135" si="758">+IF(AR133&lt;0,1-AV133/AR133,AV133/AR133-1)</f>
        <v>2.7286446744703676</v>
      </c>
      <c r="AW135" s="39">
        <f t="shared" ref="AW135" si="759">+IF(AS133&lt;0,1-AW133/AS133,AW133/AS133-1)</f>
        <v>3.9412123058177686</v>
      </c>
      <c r="AX135" s="39">
        <f t="shared" ref="AX135" si="760">+IF(AT133&lt;0,1-AX133/AT133,AX133/AT133-1)</f>
        <v>1.7160263179270481</v>
      </c>
      <c r="AY135" s="39">
        <f t="shared" ref="AY135" si="761">+IF(AU133&lt;0,1-AY133/AU133,AY133/AU133-1)</f>
        <v>-0.58770719574046304</v>
      </c>
      <c r="AZ135" s="39">
        <f t="shared" ref="AZ135" si="762">+IF(AV133&lt;0,1-AZ133/AV133,AZ133/AV133-1)</f>
        <v>-0.27213761253664848</v>
      </c>
      <c r="BA135" s="39">
        <f t="shared" ref="BA135" si="763">+IF(AW133&lt;0,1-BA133/AW133,BA133/AW133-1)</f>
        <v>1.0244407622203724</v>
      </c>
      <c r="BB135" s="39">
        <f t="shared" ref="BB135" si="764">+IF(AX133&lt;0,1-BB133/AX133,BB133/AX133-1)</f>
        <v>-8.5762904140643914E-2</v>
      </c>
      <c r="BC135" s="39">
        <f t="shared" ref="BC135" si="765">+IF(AY133&lt;0,1-BC133/AY133,BC133/AY133-1)</f>
        <v>-0.99467408210397457</v>
      </c>
      <c r="BD135" s="39">
        <f t="shared" ref="BD135" si="766">+IF(AZ133&lt;0,1-BD133/AZ133,BD133/AZ133-1)</f>
        <v>-1.2633492550081997</v>
      </c>
      <c r="BE135" s="39">
        <f t="shared" ref="BE135" si="767">+IF(BA133&lt;0,1-BE133/BA133,BE133/BA133-1)</f>
        <v>-0.23721096787395357</v>
      </c>
      <c r="BF135" s="39">
        <f t="shared" ref="BF135" si="768">+IF(BB133&lt;0,1-BF133/BB133,BF133/BB133-1)</f>
        <v>-1.6230301526243811</v>
      </c>
      <c r="BG135" s="39">
        <f t="shared" ref="BG135" si="769">+IF(BC133&lt;0,1-BG133/BC133,BG133/BC133-1)</f>
        <v>-441.14159292046605</v>
      </c>
      <c r="BH135" s="39">
        <f t="shared" ref="BH135" si="770">+IF(BD133&lt;0,1-BH133/BD133,BH133/BD133-1)</f>
        <v>0.91161342717922511</v>
      </c>
      <c r="BI135" s="39">
        <f t="shared" ref="BI135" si="771">+IF(BE133&lt;0,1-BI133/BE133,BI133/BE133-1)</f>
        <v>-0.99222050834954156</v>
      </c>
      <c r="BJ135" s="39">
        <f t="shared" ref="BJ135" si="772">+IF(BF133&lt;0,1-BJ133/BF133,BJ133/BF133-1)</f>
        <v>2.3268273252340324</v>
      </c>
      <c r="BK135" s="39">
        <f t="shared" ref="BK135" si="773">+IF(BG133&lt;0,1-BK133/BG133,BK133/BG133-1)</f>
        <v>1.2075156828052105</v>
      </c>
      <c r="BL135" s="39">
        <f t="shared" ref="BL135" si="774">+IF(BH133&lt;0,1-BL133/BH133,BL133/BH133-1)</f>
        <v>24.51148545176482</v>
      </c>
      <c r="BM135" s="39">
        <f t="shared" ref="BM135" si="775">+IF(BI133&lt;0,1-BM133/BI133,BM133/BI133-1)</f>
        <v>67.491379310353153</v>
      </c>
      <c r="BN135" s="39">
        <f t="shared" ref="BN135" si="776">+IF(BJ133&lt;0,1-BN133/BJ133,BN133/BJ133-1)</f>
        <v>2.1787751425998403</v>
      </c>
      <c r="BO135" s="39">
        <f t="shared" ref="BO135" si="777">+IF(BK133&lt;0,1-BO133/BK133,BO133/BK133-1)</f>
        <v>0.10464102315667634</v>
      </c>
      <c r="BP135" s="39">
        <f t="shared" ref="BP135" si="778">+IF(BL133&lt;0,1-BP133/BL133,BP133/BL133-1)</f>
        <v>0.26555070670227621</v>
      </c>
      <c r="BQ135" s="39">
        <f t="shared" ref="BQ135" si="779">+IF(BM133&lt;0,1-BQ133/BM133,BQ133/BM133-1)</f>
        <v>1.3945877910635662</v>
      </c>
      <c r="BR135" s="39">
        <f t="shared" ref="BR135" si="780">+IF(BN133&lt;0,1-BR133/BN133,BR133/BN133-1)</f>
        <v>4.9204325447415043E-2</v>
      </c>
      <c r="BS135" s="39">
        <f t="shared" ref="BS135" si="781">+IF(BO133&lt;0,1-BS133/BO133,BS133/BO133-1)</f>
        <v>-0.1252521708622012</v>
      </c>
      <c r="BT135" s="39">
        <f t="shared" ref="BT135" si="782">+IF(BP133&lt;0,1-BT133/BP133,BT133/BP133-1)</f>
        <v>-1.6030880082347012</v>
      </c>
      <c r="BU135" s="39">
        <f t="shared" ref="BU135" si="783">+IF(BQ133&lt;0,1-BU133/BQ133,BU133/BQ133-1)</f>
        <v>-1.5580551905387687</v>
      </c>
      <c r="BV135" s="39">
        <f t="shared" ref="BV135" si="784">+IF(BR133&lt;0,1-BV133/BR133,BV133/BR133-1)</f>
        <v>3.2958729015707302</v>
      </c>
      <c r="BW135" s="39">
        <f t="shared" ref="BW135" si="785">+IF(BS133&lt;0,1-BW133/BS133,BW133/BS133-1)</f>
        <v>-0.19241953273840173</v>
      </c>
      <c r="BX135" s="39">
        <f t="shared" ref="BX135" si="786">+IF(BT133&lt;0,1-BX133/BT133,BX133/BT133-1)</f>
        <v>-1.4254992319508042</v>
      </c>
      <c r="BY135" s="39">
        <f t="shared" ref="BY135" si="787">+IF(BU133&lt;0,1-BY133/BU133,BY133/BU133-1)</f>
        <v>1.510407836488656</v>
      </c>
      <c r="BZ135" s="39">
        <f t="shared" ref="BZ135" si="788">+IF(BV133&lt;0,1-BZ133/BV133,BZ133/BV133-1)</f>
        <v>-0.20408590885280431</v>
      </c>
      <c r="CA135" s="39">
        <f t="shared" ref="CA135" si="789">+IF(BW133&lt;0,1-CA133/BW133,CA133/BW133-1)</f>
        <v>5.8986838837845124</v>
      </c>
      <c r="CB135" s="39">
        <f t="shared" ref="CB135" si="790">+IF(BX133&lt;0,1-CB133/BX133,CB133/BX133-1)</f>
        <v>3.6947083245373462</v>
      </c>
      <c r="CC135" s="39">
        <f t="shared" ref="CC135" si="791">+IF(BY133&lt;0,1-CC133/BY133,CC133/BY133-1)</f>
        <v>14.07842775419798</v>
      </c>
      <c r="CD135" s="39">
        <f t="shared" ref="CD135" si="792">+IF(BZ133&lt;0,1-CD133/BZ133,CD133/BZ133-1)</f>
        <v>-9.1022772146897357E-2</v>
      </c>
      <c r="CE135" s="39">
        <f t="shared" ref="CE135" si="793">+IF(CA133&lt;0,1-CE133/CA133,CE133/CA133-1)</f>
        <v>0.61864223750044389</v>
      </c>
      <c r="CF135" s="39">
        <f t="shared" ref="CF135" si="794">+IF(CB133&lt;0,1-CF133/CB133,CF133/CB133-1)</f>
        <v>0.30305918604499094</v>
      </c>
      <c r="CG135" s="39">
        <f t="shared" ref="CG135" si="795">+IF(CC133&lt;0,1-CG133/CC133,CG133/CC133-1)</f>
        <v>0.22550483416962308</v>
      </c>
      <c r="CH135" s="39">
        <f t="shared" ref="CH135:CL135" si="796">+IF(CD133&lt;0,1-CH133/CD133,CH133/CD133-1)</f>
        <v>0.74569546014046661</v>
      </c>
      <c r="CI135" s="39">
        <f t="shared" si="796"/>
        <v>0.2603547006171163</v>
      </c>
      <c r="CJ135" s="39">
        <f t="shared" si="796"/>
        <v>0.11854709418837794</v>
      </c>
      <c r="CK135" s="39">
        <f t="shared" si="796"/>
        <v>-5.7122313653439338E-3</v>
      </c>
      <c r="CL135" s="39">
        <f t="shared" si="796"/>
        <v>4.4571087275713017E-2</v>
      </c>
      <c r="CM135" s="40">
        <f t="shared" ref="CM135" si="797">+CM133/CI133-1</f>
        <v>0.10803099027454421</v>
      </c>
      <c r="CN135" s="40">
        <f t="shared" ref="CN135" si="798">+CN133/CJ133-1</f>
        <v>0.76725419260000005</v>
      </c>
      <c r="CO135" s="40">
        <f t="shared" ref="CO135" si="799">+CO133/CK133-1</f>
        <v>0.6192189945667752</v>
      </c>
      <c r="CP135" s="40">
        <f t="shared" ref="CP135" si="800">+CP133/CL133-1</f>
        <v>0.30999731336308112</v>
      </c>
      <c r="CQ135" s="40">
        <f t="shared" ref="CQ135" si="801">+CQ133/CM133-1</f>
        <v>0.2887540361164731</v>
      </c>
      <c r="CR135" s="40">
        <f t="shared" ref="CR135" si="802">+CR133/CN133-1</f>
        <v>-7.5712903196167636E-2</v>
      </c>
      <c r="CS135" s="40">
        <f t="shared" ref="CS135" si="803">+CS133/CO133-1</f>
        <v>-0.11863858035986941</v>
      </c>
      <c r="CT135" s="40">
        <f t="shared" ref="CT135" si="804">+CT133/CP133-1</f>
        <v>-4.7424928245731746E-2</v>
      </c>
      <c r="CU135" s="40">
        <f t="shared" ref="CU135" si="805">+CU133/CQ133-1</f>
        <v>9.6236633081800305E-2</v>
      </c>
      <c r="CV135" s="40">
        <f t="shared" ref="CV135" si="806">+CV133/CR133-1</f>
        <v>8.9485823085583061E-2</v>
      </c>
      <c r="CW135" s="40">
        <f t="shared" ref="CW135" si="807">+CW133/CS133-1</f>
        <v>0.11914881094259244</v>
      </c>
      <c r="CX135" s="40">
        <f t="shared" ref="CX135" si="808">+CX133/CT133-1</f>
        <v>0.14238184557783162</v>
      </c>
      <c r="CY135" s="40">
        <f t="shared" ref="CY135" si="809">+CY133/CU133-1</f>
        <v>0.14636525124148481</v>
      </c>
      <c r="CZ135" s="40">
        <f t="shared" ref="CZ135" si="810">+CZ133/CV133-1</f>
        <v>0.13903995786365764</v>
      </c>
      <c r="DA135" s="40">
        <f t="shared" ref="DA135" si="811">+DA133/CW133-1</f>
        <v>0.1604734341854166</v>
      </c>
      <c r="DB135" s="40">
        <f t="shared" ref="DB135" si="812">+DB133/CX133-1</f>
        <v>0.15388858067813316</v>
      </c>
      <c r="DE135" s="122"/>
      <c r="DF135" s="39">
        <v>0.17376217188482879</v>
      </c>
    </row>
    <row r="136" spans="1:110" s="39" customFormat="1" x14ac:dyDescent="0.2">
      <c r="A136" s="39" t="s">
        <v>452</v>
      </c>
      <c r="AB136" s="40"/>
      <c r="AC136" s="40"/>
      <c r="AD136" s="40"/>
      <c r="AE136" s="40"/>
      <c r="AJ136" s="39">
        <f>+IF(AI133&lt;0,1-AJ133/AI133,AJ133/AI133-1)</f>
        <v>-2.4650233177883396E-2</v>
      </c>
      <c r="AK136" s="39">
        <f t="shared" ref="AK136:AM136" si="813">+IF(AJ133&lt;0,1-AK133/AJ133,AK133/AJ133-1)</f>
        <v>0.61948297604035596</v>
      </c>
      <c r="AL136" s="39">
        <f t="shared" si="813"/>
        <v>-0.17250665109337648</v>
      </c>
      <c r="AM136" s="39">
        <f t="shared" si="813"/>
        <v>-1.1920407763183682</v>
      </c>
      <c r="AN136" s="39">
        <f t="shared" ref="AN136" si="814">+IF(AM133&lt;0,1-AN133/AM133,AN133/AM133-1)</f>
        <v>3.4589628419763394</v>
      </c>
      <c r="AO136" s="39">
        <f t="shared" ref="AO136" si="815">+IF(AN133&lt;0,1-AO133/AN133,AO133/AN133-1)</f>
        <v>-1.1139156426436463</v>
      </c>
      <c r="AP136" s="39">
        <f t="shared" ref="AP136" si="816">+IF(AO133&lt;0,1-AP133/AO133,AP133/AO133-1)</f>
        <v>-5.6362973760931485</v>
      </c>
      <c r="AQ136" s="39">
        <f t="shared" ref="AQ136" si="817">+IF(AP133&lt;0,1-AQ133/AP133,AQ133/AP133-1)</f>
        <v>-0.9470620538165031</v>
      </c>
      <c r="AR136" s="39">
        <f t="shared" ref="AR136" si="818">+IF(AQ133&lt;0,1-AR133/AQ133,AR133/AQ133-1)</f>
        <v>1.5830888989169707</v>
      </c>
      <c r="AS136" s="39">
        <f t="shared" ref="AS136" si="819">+IF(AR133&lt;0,1-AS133/AR133,AS133/AR133-1)</f>
        <v>-1.3175969817161779</v>
      </c>
      <c r="AT136" s="39">
        <f t="shared" ref="AT136" si="820">+IF(AS133&lt;0,1-AT133/AS133,AT133/AS133-1)</f>
        <v>-2.749923850136903</v>
      </c>
      <c r="AU136" s="39">
        <f t="shared" ref="AU136" si="821">+IF(AT133&lt;0,1-AU133/AT133,AU133/AT133-1)</f>
        <v>5.1800828527333502</v>
      </c>
      <c r="AV136" s="39">
        <f t="shared" ref="AV136" si="822">+IF(AU133&lt;0,1-AV133/AU133,AV133/AU133-1)</f>
        <v>-0.25102504809467063</v>
      </c>
      <c r="AW136" s="39">
        <f t="shared" ref="AW136" si="823">+IF(AV133&lt;0,1-AW133/AV133,AW133/AV133-1)</f>
        <v>-0.74947461277015093</v>
      </c>
      <c r="AX136" s="39">
        <f t="shared" ref="AX136" si="824">+IF(AW133&lt;0,1-AX133/AW133,AX133/AW133-1)</f>
        <v>-8.7096106048079824E-2</v>
      </c>
      <c r="AY136" s="39">
        <f t="shared" ref="AY136" si="825">+IF(AX133&lt;0,1-AY133/AX133,AY133/AX133-1)</f>
        <v>1.4069200226886451</v>
      </c>
      <c r="AZ136" s="39">
        <f t="shared" ref="AZ136" si="826">+IF(AY133&lt;0,1-AZ133/AY133,AZ133/AY133-1)</f>
        <v>0.32224159871801072</v>
      </c>
      <c r="BA136" s="39">
        <f t="shared" ref="BA136" si="827">+IF(AZ133&lt;0,1-BA133/AZ133,BA133/AZ133-1)</f>
        <v>-0.30320096955870501</v>
      </c>
      <c r="BB136" s="39">
        <f t="shared" ref="BB136" si="828">+IF(BA133&lt;0,1-BB133/BA133,BB133/BA133-1)</f>
        <v>-0.58773276038469291</v>
      </c>
      <c r="BC136" s="39">
        <f t="shared" ref="BC136" si="829">+IF(BB133&lt;0,1-BC133/BB133,BC133/BB133-1)</f>
        <v>-0.98597840923191837</v>
      </c>
      <c r="BD136" s="39">
        <f t="shared" ref="BD136" si="830">+IF(BC133&lt;0,1-BD133/BC133,BD133/BC133-1)</f>
        <v>-66.380530973468439</v>
      </c>
      <c r="BE136" s="39">
        <f t="shared" ref="BE136" si="831">+IF(BD133&lt;0,1-BE133/BD133,BE133/BD133-1)</f>
        <v>3.0182728749323156</v>
      </c>
      <c r="BF136" s="39">
        <f t="shared" ref="BF136" si="832">+IF(BE133&lt;0,1-BF133/BE133,BF133/BE133-1)</f>
        <v>-1.3367312722151377</v>
      </c>
      <c r="BG136" s="39">
        <f t="shared" ref="BG136" si="833">+IF(BF133&lt;0,1-BG133/BF133,BG133/BF133-1)</f>
        <v>-8.9055964947222943</v>
      </c>
      <c r="BH136" s="39">
        <f t="shared" ref="BH136" si="834">+IF(BG133&lt;0,1-BH133/BG133,BH133/BG133-1)</f>
        <v>0.98687067717548882</v>
      </c>
      <c r="BI136" s="39">
        <f t="shared" ref="BI136" si="835">+IF(BH133&lt;0,1-BI133/BH133,BI133/BH133-1)</f>
        <v>1.1776416539050614</v>
      </c>
      <c r="BJ136" s="39">
        <f t="shared" ref="BJ136" si="836">+IF(BI133&lt;0,1-BJ133/BI133,BJ133/BI133-1)</f>
        <v>56.431034482765696</v>
      </c>
      <c r="BK136" s="39">
        <f t="shared" ref="BK136" si="837">+IF(BJ133&lt;0,1-BK133/BJ133,BK133/BJ133-1)</f>
        <v>0.54923446412488208</v>
      </c>
      <c r="BL136" s="39">
        <f t="shared" ref="BL136" si="838">+IF(BK133&lt;0,1-BL133/BK133,BL133/BK133-1)</f>
        <v>0.48754965604107281</v>
      </c>
      <c r="BM136" s="39">
        <f t="shared" ref="BM136" si="839">+IF(BL133&lt;0,1-BM133/BL133,BM133/BL133-1)</f>
        <v>-0.48251156125838202</v>
      </c>
      <c r="BN136" s="39">
        <f t="shared" ref="BN136" si="840">+IF(BM133&lt;0,1-BN133/BM133,BN133/BM133-1)</f>
        <v>1.6654499685336908</v>
      </c>
      <c r="BO136" s="39">
        <f t="shared" ref="BO136" si="841">+IF(BN133&lt;0,1-BO133/BN133,BO133/BN133-1)</f>
        <v>-0.46163290362185661</v>
      </c>
      <c r="BP136" s="39">
        <f t="shared" ref="BP136" si="842">+IF(BO133&lt;0,1-BP133/BO133,BP133/BO133-1)</f>
        <v>0.70423647048503124</v>
      </c>
      <c r="BQ136" s="39">
        <f t="shared" ref="BQ136" si="843">+IF(BP133&lt;0,1-BQ133/BP133,BQ133/BP133-1)</f>
        <v>-2.0844055584141485E-2</v>
      </c>
      <c r="BR136" s="39">
        <f t="shared" ref="BR136" si="844">+IF(BQ133&lt;0,1-BR133/BQ133,BR133/BQ133-1)</f>
        <v>0.16788436268068585</v>
      </c>
      <c r="BS136" s="39">
        <f t="shared" ref="BS136" si="845">+IF(BR133&lt;0,1-BS133/BR133,BS133/BR133-1)</f>
        <v>-0.55114991673792546</v>
      </c>
      <c r="BT136" s="39">
        <f t="shared" ref="BT136" si="846">+IF(BS133&lt;0,1-BT133/BS133,BT133/BS133-1)</f>
        <v>-2.1749724255489919</v>
      </c>
      <c r="BU136" s="39">
        <f t="shared" ref="BU136" si="847">+IF(BT133&lt;0,1-BU133/BT133,BU133/BT133-1)</f>
        <v>9.3958013312858579E-2</v>
      </c>
      <c r="BV136" s="39">
        <f t="shared" ref="BV136" si="848">+IF(BU133&lt;0,1-BV133/BU133,BV133/BU133-1)</f>
        <v>9.9902985777526236</v>
      </c>
      <c r="BW136" s="39">
        <f t="shared" ref="BW136" si="849">+IF(BV133&lt;0,1-BW133/BV133,BW133/BV133-1)</f>
        <v>-0.91562074384494563</v>
      </c>
      <c r="BX136" s="39">
        <f t="shared" ref="BX136" si="850">+IF(BW133&lt;0,1-BX133/BW133,BX133/BW133-1)</f>
        <v>-4.5289297243605713</v>
      </c>
      <c r="BY136" s="39">
        <f t="shared" ref="BY136" si="851">+IF(BX133&lt;0,1-BY133/BX133,BY133/BX133-1)</f>
        <v>1.1906621631130854</v>
      </c>
      <c r="BZ136" s="39">
        <f t="shared" ref="BZ136" si="852">+IF(BY133&lt;0,1-BZ133/BY133,BZ133/BY133-1)</f>
        <v>13.019191732791784</v>
      </c>
      <c r="CA136" s="39">
        <f t="shared" ref="CA136" si="853">+IF(BZ133&lt;0,1-CA133/BZ133,CA133/BZ133-1)</f>
        <v>-0.2686323548769225</v>
      </c>
      <c r="CB136" s="39">
        <f t="shared" ref="CB136" si="854">+IF(CA133&lt;0,1-CB133/CA133,CB133/CA133-1)</f>
        <v>0.37844210071631568</v>
      </c>
      <c r="CC136" s="39">
        <f t="shared" ref="CC136" si="855">+IF(CB133&lt;0,1-CC133/CB133,CC133/CB133-1)</f>
        <v>6.6863387692750242E-2</v>
      </c>
      <c r="CD136" s="39">
        <f t="shared" ref="CD136" si="856">+IF(CC133&lt;0,1-CD133/CC133,CD133/CC133-1)</f>
        <v>-0.15487700403867377</v>
      </c>
      <c r="CE136" s="39">
        <f t="shared" ref="CE136" si="857">+IF(CD133&lt;0,1-CE133/CD133,CE133/CD133-1)</f>
        <v>0.30236767793787145</v>
      </c>
      <c r="CF136" s="39">
        <f t="shared" ref="CF136" si="858">+IF(CE133&lt;0,1-CF133/CE133,CF133/CE133-1)</f>
        <v>0.109690331906378</v>
      </c>
      <c r="CG136" s="39">
        <f t="shared" ref="CG136" si="859">+IF(CF133&lt;0,1-CG133/CF133,CG133/CF133-1)</f>
        <v>3.3667334669353899E-3</v>
      </c>
      <c r="CH136" s="39">
        <f t="shared" ref="CH136:CL136" si="860">+IF(CG133&lt;0,1-CH133/CG133,CH133/CG133-1)</f>
        <v>0.20385276024606513</v>
      </c>
      <c r="CI136" s="39">
        <f t="shared" si="860"/>
        <v>-5.9718454736247706E-2</v>
      </c>
      <c r="CJ136" s="39">
        <f t="shared" si="860"/>
        <v>-1.5165416850464242E-2</v>
      </c>
      <c r="CK136" s="39">
        <f t="shared" si="860"/>
        <v>-0.10809721313971954</v>
      </c>
      <c r="CL136" s="39">
        <f t="shared" si="860"/>
        <v>0.26473424129203349</v>
      </c>
      <c r="CM136" s="40">
        <f t="shared" ref="CM136" si="861">+CM133/CL133-1</f>
        <v>-2.5943620048940463E-3</v>
      </c>
      <c r="CN136" s="40">
        <f t="shared" ref="CN136" si="862">+CN133/CM133-1</f>
        <v>0.5707620647480689</v>
      </c>
      <c r="CO136" s="40">
        <f t="shared" ref="CO136" si="863">+CO133/CN133-1</f>
        <v>-0.18280803076409236</v>
      </c>
      <c r="CP136" s="40">
        <f t="shared" ref="CP136" si="864">+CP133/CO133-1</f>
        <v>2.3208388593624285E-2</v>
      </c>
      <c r="CQ136" s="40">
        <f t="shared" ref="CQ136" si="865">+CQ133/CP133-1</f>
        <v>-1.8768566546478183E-2</v>
      </c>
      <c r="CR136" s="40">
        <f t="shared" ref="CR136" si="866">+CR133/CQ133-1</f>
        <v>0.12654165799592065</v>
      </c>
      <c r="CS136" s="40">
        <f t="shared" ref="CS136" si="867">+CS133/CR133-1</f>
        <v>-0.22076000345038338</v>
      </c>
      <c r="CT136" s="40">
        <f t="shared" ref="CT136" si="868">+CT133/CS133-1</f>
        <v>0.10588321937453804</v>
      </c>
      <c r="CU136" s="40">
        <f t="shared" ref="CU136" si="869">+CU133/CT133-1</f>
        <v>0.12921477244010982</v>
      </c>
      <c r="CV136" s="40">
        <f t="shared" ref="CV136" si="870">+CV133/CU133-1</f>
        <v>0.11960422454729192</v>
      </c>
      <c r="CW136" s="40">
        <f t="shared" ref="CW136" si="871">+CW133/CV133-1</f>
        <v>-0.19954395266242231</v>
      </c>
      <c r="CX136" s="40">
        <f t="shared" ref="CX136" si="872">+CX133/CW133-1</f>
        <v>0.12884086619240742</v>
      </c>
      <c r="CY136" s="40">
        <f t="shared" ref="CY136" si="873">+CY133/CX133-1</f>
        <v>0.13315226543987246</v>
      </c>
      <c r="CZ136" s="40">
        <f t="shared" ref="CZ136" si="874">+CZ133/CY133-1</f>
        <v>0.11244993458344177</v>
      </c>
      <c r="DA136" s="40">
        <f t="shared" ref="DA136" si="875">+DA133/CZ133-1</f>
        <v>-0.18448165777208581</v>
      </c>
      <c r="DB136" s="40">
        <f t="shared" ref="DB136" si="876">+DB133/DA133-1</f>
        <v>0.12243550479597887</v>
      </c>
      <c r="DE136" s="122"/>
      <c r="DF136" s="39">
        <v>0.4211547954937962</v>
      </c>
    </row>
    <row r="137" spans="1:110" s="75" customFormat="1" x14ac:dyDescent="0.2">
      <c r="A137" s="23" t="s">
        <v>23</v>
      </c>
      <c r="B137" s="75">
        <f>'Annual Raw'!C32</f>
        <v>0</v>
      </c>
      <c r="C137" s="75">
        <f>'Annual Raw'!D32</f>
        <v>-1.04</v>
      </c>
      <c r="D137" s="75">
        <f>'Annual Raw'!E32</f>
        <v>-0.85</v>
      </c>
      <c r="E137" s="75">
        <f>'Annual Raw'!F32</f>
        <v>-0.51</v>
      </c>
      <c r="F137" s="75">
        <f>'Annual Raw'!G32</f>
        <v>-0.34</v>
      </c>
      <c r="G137" s="75">
        <f>'Annual Raw'!H32</f>
        <v>0.19</v>
      </c>
      <c r="H137" s="75">
        <f>'Annual Raw'!I32</f>
        <v>-18.93</v>
      </c>
      <c r="I137" s="75">
        <f>'Annual Raw'!J32</f>
        <v>-116.99</v>
      </c>
      <c r="J137" s="75">
        <f>'Annual Raw'!K32</f>
        <v>-107.56</v>
      </c>
      <c r="K137" s="75">
        <f>'Annual Raw'!L32</f>
        <v>-233.46</v>
      </c>
      <c r="L137" s="75">
        <f>'Annual Raw'!M32</f>
        <v>-196.5</v>
      </c>
      <c r="M137" s="75">
        <f>'Annual Raw'!N32</f>
        <v>-190.16</v>
      </c>
      <c r="N137" s="75">
        <f>'Annual Raw'!O32</f>
        <v>-208.07</v>
      </c>
      <c r="O137" s="75">
        <f>'Annual Raw'!P32</f>
        <v>-272.02999999999997</v>
      </c>
      <c r="P137" s="75">
        <f>'Annual Raw'!Q32</f>
        <v>-289.37</v>
      </c>
      <c r="Q137" s="75">
        <f>'Annual Raw'!R32</f>
        <v>-124.19</v>
      </c>
      <c r="R137" s="75">
        <f>'Annual Raw'!S32</f>
        <v>-203.08</v>
      </c>
      <c r="S137" s="75">
        <f>'Annual Raw'!T32</f>
        <v>-202.55</v>
      </c>
      <c r="T137" s="75">
        <f>'Annual Raw'!U32</f>
        <v>-249.47</v>
      </c>
      <c r="U137" s="75">
        <f>'Annual Raw'!V32</f>
        <v>-299.06</v>
      </c>
      <c r="V137" s="75">
        <f>'Annual Raw'!W32</f>
        <v>-311.27</v>
      </c>
      <c r="W137" s="75">
        <f>'Annual Raw'!X32</f>
        <v>-414.15</v>
      </c>
      <c r="X137" s="75">
        <f>'Annual Raw'!Y32</f>
        <v>-473.23</v>
      </c>
      <c r="Y137" s="75">
        <f>'Annual Raw'!Z32</f>
        <v>-583.85</v>
      </c>
      <c r="Z137" s="75">
        <f>'Annual Raw'!AA32</f>
        <v>-804.37</v>
      </c>
      <c r="AA137" s="75">
        <f>'Annual Raw'!AB32</f>
        <v>-1370.37</v>
      </c>
      <c r="AB137" s="76">
        <f t="shared" ref="AB137:AB138" si="877">+SUM(CM137:CP137)</f>
        <v>-1678.44</v>
      </c>
      <c r="AC137" s="76">
        <f t="shared" ref="AC137:AC138" si="878">+SUM(CQ137:CT137)</f>
        <v>-1678.44</v>
      </c>
      <c r="AD137" s="76">
        <f t="shared" ref="AD137:AD138" si="879">+SUM(CU137:CX137)</f>
        <v>-1678.44</v>
      </c>
      <c r="AE137" s="76">
        <f t="shared" ref="AE137:AE138" si="880">+SUM(CY137:DB137)</f>
        <v>-1678.44</v>
      </c>
      <c r="AF137" s="23"/>
      <c r="AI137" s="75">
        <f>'QTR Raw'!C34</f>
        <v>-50.46</v>
      </c>
      <c r="AJ137" s="75">
        <f>'QTR Raw'!D34</f>
        <v>-29.46</v>
      </c>
      <c r="AK137" s="75">
        <f>'QTR Raw'!E34</f>
        <v>-49.33</v>
      </c>
      <c r="AL137" s="75">
        <f>'QTR Raw'!F34</f>
        <v>-78.819999999999993</v>
      </c>
      <c r="AM137" s="75">
        <f>'QTR Raw'!G34</f>
        <v>-69.08</v>
      </c>
      <c r="AN137" s="75">
        <f>'QTR Raw'!H34</f>
        <v>-58.44</v>
      </c>
      <c r="AO137" s="75">
        <f>'QTR Raw'!I34</f>
        <v>-70.62</v>
      </c>
      <c r="AP137" s="75">
        <f>'QTR Raw'!J34</f>
        <v>-73.89</v>
      </c>
      <c r="AQ137" s="75">
        <f>'QTR Raw'!K34</f>
        <v>-58.32</v>
      </c>
      <c r="AR137" s="75">
        <f>'QTR Raw'!L34</f>
        <v>-62.17</v>
      </c>
      <c r="AS137" s="75">
        <f>'QTR Raw'!M34</f>
        <v>-102.2</v>
      </c>
      <c r="AT137" s="75">
        <f>'QTR Raw'!N34</f>
        <v>-66.680000000000007</v>
      </c>
      <c r="AU137" s="75">
        <f>'QTR Raw'!O34</f>
        <v>-51.29</v>
      </c>
      <c r="AV137" s="75">
        <f>'QTR Raw'!P34</f>
        <v>-36.450000000000003</v>
      </c>
      <c r="AW137" s="75">
        <f>'QTR Raw'!Q34</f>
        <v>24.82</v>
      </c>
      <c r="AX137" s="75">
        <f>'QTR Raw'!R34</f>
        <v>-61.27</v>
      </c>
      <c r="AY137" s="75">
        <f>'QTR Raw'!S34</f>
        <v>-58.74</v>
      </c>
      <c r="AZ137" s="75">
        <f>'QTR Raw'!T34</f>
        <v>-48.98</v>
      </c>
      <c r="BA137" s="75">
        <f>'QTR Raw'!U34</f>
        <v>-79.81</v>
      </c>
      <c r="BB137" s="75">
        <f>'QTR Raw'!V34</f>
        <v>-15.55</v>
      </c>
      <c r="BC137" s="75">
        <f>'QTR Raw'!W34</f>
        <v>-57.09</v>
      </c>
      <c r="BD137" s="75">
        <f>'QTR Raw'!X34</f>
        <v>-34.340000000000003</v>
      </c>
      <c r="BE137" s="75">
        <f>'QTR Raw'!Y34</f>
        <v>-37.35</v>
      </c>
      <c r="BF137" s="75">
        <f>'QTR Raw'!Z34</f>
        <v>-73.77</v>
      </c>
      <c r="BG137" s="75">
        <f>'QTR Raw'!AA34</f>
        <v>-64.209999999999994</v>
      </c>
      <c r="BH137" s="75">
        <f>'QTR Raw'!AB34</f>
        <v>-57.59</v>
      </c>
      <c r="BI137" s="75">
        <f>'QTR Raw'!AC34</f>
        <v>-77.930000000000007</v>
      </c>
      <c r="BJ137" s="75">
        <f>'QTR Raw'!AD34</f>
        <v>-49.74</v>
      </c>
      <c r="BK137" s="75">
        <f>'QTR Raw'!AE34</f>
        <v>-79.53</v>
      </c>
      <c r="BL137" s="75">
        <f>'QTR Raw'!AF34</f>
        <v>-80.64</v>
      </c>
      <c r="BM137" s="75">
        <f>'QTR Raw'!AG34</f>
        <v>-66.78</v>
      </c>
      <c r="BN137" s="75">
        <f>'QTR Raw'!AH34</f>
        <v>-72.11</v>
      </c>
      <c r="BO137" s="75">
        <f>'QTR Raw'!AI34</f>
        <v>-61.48</v>
      </c>
      <c r="BP137" s="75">
        <f>'QTR Raw'!AJ34</f>
        <v>-91.32</v>
      </c>
      <c r="BQ137" s="75">
        <f>'QTR Raw'!AK34</f>
        <v>-70.2</v>
      </c>
      <c r="BR137" s="75">
        <f>'QTR Raw'!AL34</f>
        <v>-88.27</v>
      </c>
      <c r="BS137" s="75">
        <f>'QTR Raw'!AM34</f>
        <v>-74.66</v>
      </c>
      <c r="BT137" s="75">
        <f>'QTR Raw'!AN34</f>
        <v>-84.15</v>
      </c>
      <c r="BU137" s="75">
        <f>'QTR Raw'!AO34</f>
        <v>-126.08</v>
      </c>
      <c r="BV137" s="75">
        <f>'QTR Raw'!AP34</f>
        <v>-129.26</v>
      </c>
      <c r="BW137" s="75">
        <f>'QTR Raw'!AQ34</f>
        <v>-88.94</v>
      </c>
      <c r="BX137" s="75">
        <f>'QTR Raw'!AR34</f>
        <v>-116.09</v>
      </c>
      <c r="BY137" s="75">
        <f>'QTR Raw'!AS34</f>
        <v>-107.12</v>
      </c>
      <c r="BZ137" s="75">
        <f>'QTR Raw'!AT34</f>
        <v>-161.08000000000001</v>
      </c>
      <c r="CA137" s="75">
        <f>'QTR Raw'!AU34</f>
        <v>-168.48</v>
      </c>
      <c r="CB137" s="75">
        <f>'QTR Raw'!AV34</f>
        <v>-141.88</v>
      </c>
      <c r="CC137" s="75">
        <f>'QTR Raw'!AW34</f>
        <v>-123.11</v>
      </c>
      <c r="CD137" s="75">
        <f>'QTR Raw'!AX34</f>
        <v>-150.38</v>
      </c>
      <c r="CE137" s="75">
        <f>'QTR Raw'!AY34</f>
        <v>-217.72</v>
      </c>
      <c r="CF137" s="75">
        <f>'QTR Raw'!AZ34</f>
        <v>-166.55</v>
      </c>
      <c r="CG137" s="75">
        <f>'QTR Raw'!BA34</f>
        <v>-156.84</v>
      </c>
      <c r="CH137" s="75">
        <f>'QTR Raw'!BB34</f>
        <v>-263.26</v>
      </c>
      <c r="CI137" s="75">
        <f>'QTR Raw'!BC34</f>
        <v>-202.46</v>
      </c>
      <c r="CJ137" s="75">
        <f>'QTR Raw'!BD34</f>
        <v>-325.95</v>
      </c>
      <c r="CK137" s="75">
        <f>'QTR Raw'!BE34</f>
        <v>-422.35</v>
      </c>
      <c r="CL137" s="75">
        <f>'QTR Raw'!BF34</f>
        <v>-419.61</v>
      </c>
      <c r="CM137" s="76">
        <f t="shared" ref="CM137:CM138" si="881">+CL137</f>
        <v>-419.61</v>
      </c>
      <c r="CN137" s="76">
        <f t="shared" ref="CN137:CN138" si="882">+CM137</f>
        <v>-419.61</v>
      </c>
      <c r="CO137" s="76">
        <f t="shared" ref="CO137:CO138" si="883">+CN137</f>
        <v>-419.61</v>
      </c>
      <c r="CP137" s="76">
        <f t="shared" ref="CP137:CP138" si="884">+CO137</f>
        <v>-419.61</v>
      </c>
      <c r="CQ137" s="76">
        <f t="shared" ref="CQ137:CQ138" si="885">+CP137</f>
        <v>-419.61</v>
      </c>
      <c r="CR137" s="76">
        <f t="shared" ref="CR137:CR138" si="886">+CQ137</f>
        <v>-419.61</v>
      </c>
      <c r="CS137" s="76">
        <f t="shared" ref="CS137:CS138" si="887">+CR137</f>
        <v>-419.61</v>
      </c>
      <c r="CT137" s="76">
        <f t="shared" ref="CT137:CT138" si="888">+CS137</f>
        <v>-419.61</v>
      </c>
      <c r="CU137" s="76">
        <f t="shared" ref="CU137:CU138" si="889">+CT137</f>
        <v>-419.61</v>
      </c>
      <c r="CV137" s="76">
        <f t="shared" ref="CV137:CV138" si="890">+CU137</f>
        <v>-419.61</v>
      </c>
      <c r="CW137" s="76">
        <f t="shared" ref="CW137:CW138" si="891">+CV137</f>
        <v>-419.61</v>
      </c>
      <c r="CX137" s="76">
        <f t="shared" ref="CX137:CX138" si="892">+CW137</f>
        <v>-419.61</v>
      </c>
      <c r="CY137" s="76">
        <f t="shared" ref="CY137:CY138" si="893">+CX137</f>
        <v>-419.61</v>
      </c>
      <c r="CZ137" s="76">
        <f t="shared" ref="CZ137:CZ138" si="894">+CY137</f>
        <v>-419.61</v>
      </c>
      <c r="DA137" s="76">
        <f t="shared" ref="DA137:DA138" si="895">+CZ137</f>
        <v>-419.61</v>
      </c>
      <c r="DB137" s="76">
        <f t="shared" ref="DB137:DB138" si="896">+DA137</f>
        <v>-419.61</v>
      </c>
      <c r="DE137" s="131"/>
      <c r="DF137" s="75">
        <v>-422.35</v>
      </c>
    </row>
    <row r="138" spans="1:110" s="75" customFormat="1" x14ac:dyDescent="0.2">
      <c r="A138" s="23" t="s">
        <v>24</v>
      </c>
      <c r="B138" s="75">
        <f>'Annual Raw'!C33+'Annual Raw'!C28</f>
        <v>0</v>
      </c>
      <c r="C138" s="75">
        <f>'Annual Raw'!D33+'Annual Raw'!D28</f>
        <v>0</v>
      </c>
      <c r="D138" s="75">
        <f>'Annual Raw'!E33+'Annual Raw'!E28</f>
        <v>-125.32</v>
      </c>
      <c r="E138" s="75">
        <f>'Annual Raw'!F33+'Annual Raw'!F28</f>
        <v>-39.96</v>
      </c>
      <c r="F138" s="75">
        <f>'Annual Raw'!G33+'Annual Raw'!G28</f>
        <v>3.02</v>
      </c>
      <c r="G138" s="75">
        <f>'Annual Raw'!H33+'Annual Raw'!H28</f>
        <v>110.2</v>
      </c>
      <c r="H138" s="75">
        <f>'Annual Raw'!I33+'Annual Raw'!I28</f>
        <v>19.54</v>
      </c>
      <c r="I138" s="75">
        <f>'Annual Raw'!J33+'Annual Raw'!J28</f>
        <v>-4.92</v>
      </c>
      <c r="J138" s="75">
        <f>'Annual Raw'!K33+'Annual Raw'!K28</f>
        <v>27.57</v>
      </c>
      <c r="K138" s="75">
        <f>'Annual Raw'!L33+'Annual Raw'!L28</f>
        <v>61.66</v>
      </c>
      <c r="L138" s="75">
        <f>'Annual Raw'!M33+'Annual Raw'!M28</f>
        <v>74.19</v>
      </c>
      <c r="M138" s="75">
        <f>'Annual Raw'!N33+'Annual Raw'!N28</f>
        <v>70.77</v>
      </c>
      <c r="N138" s="75">
        <f>'Annual Raw'!O33+'Annual Raw'!O28</f>
        <v>23.92</v>
      </c>
      <c r="O138" s="75">
        <f>'Annual Raw'!P33+'Annual Raw'!P28</f>
        <v>45.37</v>
      </c>
      <c r="P138" s="75">
        <f>'Annual Raw'!Q33+'Annual Raw'!Q28</f>
        <v>47.77</v>
      </c>
      <c r="Q138" s="75">
        <f>'Annual Raw'!R33+'Annual Raw'!R28</f>
        <v>185.99</v>
      </c>
      <c r="R138" s="75">
        <f>'Annual Raw'!S33+'Annual Raw'!S28</f>
        <v>1225.79</v>
      </c>
      <c r="S138" s="75">
        <f>'Annual Raw'!T33+'Annual Raw'!T28</f>
        <v>1553.91</v>
      </c>
      <c r="T138" s="75">
        <f>'Annual Raw'!U33+'Annual Raw'!U28</f>
        <v>1401.83</v>
      </c>
      <c r="U138" s="75">
        <f>'Annual Raw'!V33+'Annual Raw'!V28</f>
        <v>952.55</v>
      </c>
      <c r="V138" s="75">
        <f>'Annual Raw'!W33+'Annual Raw'!W28</f>
        <v>873.39</v>
      </c>
      <c r="W138" s="75">
        <f>'Annual Raw'!X33+'Annual Raw'!X28</f>
        <v>1942.83</v>
      </c>
      <c r="X138" s="75">
        <f>'Annual Raw'!Y33+'Annual Raw'!Y28</f>
        <v>3199.46</v>
      </c>
      <c r="Y138" s="75">
        <f>'Annual Raw'!Z33+'Annual Raw'!Z28</f>
        <v>1177.57</v>
      </c>
      <c r="Z138" s="75">
        <f>'Annual Raw'!AA33+'Annual Raw'!AA28</f>
        <v>793.33</v>
      </c>
      <c r="AA138" s="75">
        <f>'Annual Raw'!AB33+'Annual Raw'!AB28</f>
        <v>707.87</v>
      </c>
      <c r="AB138" s="76">
        <f t="shared" si="877"/>
        <v>1001.88</v>
      </c>
      <c r="AC138" s="76">
        <f t="shared" si="878"/>
        <v>1001.88</v>
      </c>
      <c r="AD138" s="76">
        <f t="shared" si="879"/>
        <v>1001.88</v>
      </c>
      <c r="AE138" s="76">
        <f t="shared" si="880"/>
        <v>1001.88</v>
      </c>
      <c r="AF138" s="23"/>
      <c r="AI138" s="75">
        <f>'QTR Raw'!C35</f>
        <v>1.26</v>
      </c>
      <c r="AJ138" s="75">
        <f>'QTR Raw'!D35</f>
        <v>5.34</v>
      </c>
      <c r="AK138" s="75">
        <f>'QTR Raw'!E35</f>
        <v>12.19</v>
      </c>
      <c r="AL138" s="75">
        <f>'QTR Raw'!F35</f>
        <v>5.13</v>
      </c>
      <c r="AM138" s="75">
        <f>'QTR Raw'!G35</f>
        <v>3.36</v>
      </c>
      <c r="AN138" s="75">
        <f>'QTR Raw'!H35</f>
        <v>12.97</v>
      </c>
      <c r="AO138" s="75">
        <f>'QTR Raw'!I35</f>
        <v>9.43</v>
      </c>
      <c r="AP138" s="75">
        <f>'QTR Raw'!J35</f>
        <v>19.61</v>
      </c>
      <c r="AQ138" s="75">
        <f>'QTR Raw'!K35</f>
        <v>13.75</v>
      </c>
      <c r="AR138" s="75">
        <f>'QTR Raw'!L35</f>
        <v>16.760000000000002</v>
      </c>
      <c r="AS138" s="75">
        <f>'QTR Raw'!M35</f>
        <v>0.32</v>
      </c>
      <c r="AT138" s="75">
        <f>'QTR Raw'!N35</f>
        <v>16.940000000000001</v>
      </c>
      <c r="AU138" s="75">
        <f>'QTR Raw'!O35</f>
        <v>7.25</v>
      </c>
      <c r="AV138" s="75">
        <f>'QTR Raw'!P35</f>
        <v>50.4</v>
      </c>
      <c r="AW138" s="75">
        <f>'QTR Raw'!Q35</f>
        <v>383.51</v>
      </c>
      <c r="AX138" s="75">
        <f>'QTR Raw'!R35</f>
        <v>-255.17</v>
      </c>
      <c r="AY138" s="75">
        <f>'QTR Raw'!S35</f>
        <v>191.18</v>
      </c>
      <c r="AZ138" s="75">
        <f>'QTR Raw'!T35</f>
        <v>195.76</v>
      </c>
      <c r="BA138" s="75">
        <f>'QTR Raw'!U35</f>
        <v>506.41</v>
      </c>
      <c r="BB138" s="75">
        <f>'QTR Raw'!V35</f>
        <v>332.44</v>
      </c>
      <c r="BC138" s="75">
        <f>'QTR Raw'!W35</f>
        <v>389.44</v>
      </c>
      <c r="BD138" s="75">
        <f>'QTR Raw'!X35</f>
        <v>425.2</v>
      </c>
      <c r="BE138" s="75">
        <f>'QTR Raw'!Y35</f>
        <v>457.05</v>
      </c>
      <c r="BF138" s="75">
        <f>'QTR Raw'!Z35</f>
        <v>282.22000000000003</v>
      </c>
      <c r="BG138" s="75">
        <f>'QTR Raw'!AA35</f>
        <v>368.9</v>
      </c>
      <c r="BH138" s="75">
        <f>'QTR Raw'!AB35</f>
        <v>432.81</v>
      </c>
      <c r="BI138" s="75">
        <f>'QTR Raw'!AC35</f>
        <v>252.62</v>
      </c>
      <c r="BJ138" s="75">
        <f>'QTR Raw'!AD35</f>
        <v>281.63</v>
      </c>
      <c r="BK138" s="75">
        <f>'QTR Raw'!AE35</f>
        <v>252.98</v>
      </c>
      <c r="BL138" s="75">
        <f>'QTR Raw'!AF35</f>
        <v>190.54</v>
      </c>
      <c r="BM138" s="75">
        <f>'QTR Raw'!AG35</f>
        <v>194.45</v>
      </c>
      <c r="BN138" s="75">
        <f>'QTR Raw'!AH35</f>
        <v>314.58</v>
      </c>
      <c r="BO138" s="75">
        <f>'QTR Raw'!AI35</f>
        <v>176.87</v>
      </c>
      <c r="BP138" s="75">
        <f>'QTR Raw'!AJ35</f>
        <v>195.86</v>
      </c>
      <c r="BQ138" s="75">
        <f>'QTR Raw'!AK35</f>
        <v>152.41</v>
      </c>
      <c r="BR138" s="75">
        <f>'QTR Raw'!AL35</f>
        <v>348.25</v>
      </c>
      <c r="BS138" s="75">
        <f>'QTR Raw'!AM35</f>
        <v>365.96</v>
      </c>
      <c r="BT138" s="75">
        <f>'QTR Raw'!AN35</f>
        <v>622.84</v>
      </c>
      <c r="BU138" s="75">
        <f>'QTR Raw'!AO35</f>
        <v>658.06</v>
      </c>
      <c r="BV138" s="75">
        <f>'QTR Raw'!AP35</f>
        <v>295.97000000000003</v>
      </c>
      <c r="BW138" s="75">
        <f>'QTR Raw'!AQ35</f>
        <v>803</v>
      </c>
      <c r="BX138" s="75">
        <f>'QTR Raw'!AR35</f>
        <v>1219.4000000000001</v>
      </c>
      <c r="BY138" s="75">
        <f>'QTR Raw'!AS35</f>
        <v>997.95</v>
      </c>
      <c r="BZ138" s="75">
        <f>'QTR Raw'!AT35</f>
        <v>179.11</v>
      </c>
      <c r="CA138" s="75">
        <f>'QTR Raw'!AU35</f>
        <v>350.67</v>
      </c>
      <c r="CB138" s="75">
        <f>'QTR Raw'!AV35</f>
        <v>251.52</v>
      </c>
      <c r="CC138" s="75">
        <f>'QTR Raw'!AW35</f>
        <v>259.02</v>
      </c>
      <c r="CD138" s="75">
        <f>'QTR Raw'!AX35</f>
        <v>316.36</v>
      </c>
      <c r="CE138" s="75">
        <f>'QTR Raw'!AY35</f>
        <v>289.41000000000003</v>
      </c>
      <c r="CF138" s="75">
        <f>'QTR Raw'!AZ35</f>
        <v>235.08</v>
      </c>
      <c r="CG138" s="75">
        <f>'QTR Raw'!BA35</f>
        <v>186.18</v>
      </c>
      <c r="CH138" s="75">
        <f>'QTR Raw'!BB35</f>
        <v>82.65</v>
      </c>
      <c r="CI138" s="75">
        <f>'QTR Raw'!BC35</f>
        <v>129.63</v>
      </c>
      <c r="CJ138" s="75">
        <f>'QTR Raw'!BD35</f>
        <v>129.08000000000001</v>
      </c>
      <c r="CK138" s="75">
        <f>'QTR Raw'!BE35</f>
        <v>198.69</v>
      </c>
      <c r="CL138" s="75">
        <f>'QTR Raw'!BF35</f>
        <v>250.47</v>
      </c>
      <c r="CM138" s="76">
        <f t="shared" si="881"/>
        <v>250.47</v>
      </c>
      <c r="CN138" s="76">
        <f t="shared" si="882"/>
        <v>250.47</v>
      </c>
      <c r="CO138" s="76">
        <f t="shared" si="883"/>
        <v>250.47</v>
      </c>
      <c r="CP138" s="76">
        <f t="shared" si="884"/>
        <v>250.47</v>
      </c>
      <c r="CQ138" s="76">
        <f t="shared" si="885"/>
        <v>250.47</v>
      </c>
      <c r="CR138" s="76">
        <f t="shared" si="886"/>
        <v>250.47</v>
      </c>
      <c r="CS138" s="76">
        <f t="shared" si="887"/>
        <v>250.47</v>
      </c>
      <c r="CT138" s="76">
        <f t="shared" si="888"/>
        <v>250.47</v>
      </c>
      <c r="CU138" s="76">
        <f t="shared" si="889"/>
        <v>250.47</v>
      </c>
      <c r="CV138" s="76">
        <f t="shared" si="890"/>
        <v>250.47</v>
      </c>
      <c r="CW138" s="76">
        <f t="shared" si="891"/>
        <v>250.47</v>
      </c>
      <c r="CX138" s="76">
        <f t="shared" si="892"/>
        <v>250.47</v>
      </c>
      <c r="CY138" s="76">
        <f t="shared" si="893"/>
        <v>250.47</v>
      </c>
      <c r="CZ138" s="76">
        <f t="shared" si="894"/>
        <v>250.47</v>
      </c>
      <c r="DA138" s="76">
        <f t="shared" si="895"/>
        <v>250.47</v>
      </c>
      <c r="DB138" s="76">
        <f t="shared" si="896"/>
        <v>250.47</v>
      </c>
      <c r="DE138" s="131"/>
      <c r="DF138" s="75">
        <v>198.69</v>
      </c>
    </row>
    <row r="139" spans="1:110" s="23" customFormat="1" x14ac:dyDescent="0.2">
      <c r="A139" s="23" t="s">
        <v>19</v>
      </c>
      <c r="B139" s="75">
        <f>'Annual Raw'!C29+'Annual Raw'!C31+'Annual Raw'!C34+'Annual Raw'!C36+B117</f>
        <v>0</v>
      </c>
      <c r="C139" s="75">
        <f>'Annual Raw'!D29+'Annual Raw'!D31+'Annual Raw'!D34+'Annual Raw'!D36+C117</f>
        <v>0</v>
      </c>
      <c r="D139" s="75">
        <f>'Annual Raw'!E29+'Annual Raw'!E31+'Annual Raw'!E34+'Annual Raw'!E36+D117</f>
        <v>0</v>
      </c>
      <c r="E139" s="75">
        <f>'Annual Raw'!F29+'Annual Raw'!F31+'Annual Raw'!F34+'Annual Raw'!F36+E117</f>
        <v>0</v>
      </c>
      <c r="F139" s="75">
        <f>'Annual Raw'!G29+'Annual Raw'!G31+'Annual Raw'!G34+'Annual Raw'!G36+F117</f>
        <v>0</v>
      </c>
      <c r="G139" s="75">
        <f>'Annual Raw'!H29+'Annual Raw'!H31+'Annual Raw'!H34+'Annual Raw'!H36+G117</f>
        <v>0</v>
      </c>
      <c r="H139" s="75">
        <f>'Annual Raw'!I29+'Annual Raw'!I31+'Annual Raw'!I34+'Annual Raw'!I36+H117</f>
        <v>0</v>
      </c>
      <c r="I139" s="75">
        <f>'Annual Raw'!J29+'Annual Raw'!J31+'Annual Raw'!J34+'Annual Raw'!J36+I117</f>
        <v>0</v>
      </c>
      <c r="J139" s="75">
        <f>'Annual Raw'!K29+'Annual Raw'!K31+'Annual Raw'!K34+'Annual Raw'!K36+J117</f>
        <v>0</v>
      </c>
      <c r="K139" s="75">
        <f>'Annual Raw'!L29+'Annual Raw'!L31+'Annual Raw'!L34+'Annual Raw'!L36+K117</f>
        <v>0</v>
      </c>
      <c r="L139" s="75">
        <f>'Annual Raw'!M29+'Annual Raw'!M31+'Annual Raw'!M34+'Annual Raw'!M36+L117</f>
        <v>0</v>
      </c>
      <c r="M139" s="75">
        <f>'Annual Raw'!N29+'Annual Raw'!N31+'Annual Raw'!N34+'Annual Raw'!N36+M117</f>
        <v>-1800</v>
      </c>
      <c r="N139" s="75">
        <f>'Annual Raw'!O29+'Annual Raw'!O31+'Annual Raw'!O34+'Annual Raw'!O36+N117</f>
        <v>-850</v>
      </c>
      <c r="O139" s="75">
        <f>'Annual Raw'!P29+'Annual Raw'!P31+'Annual Raw'!P34+'Annual Raw'!P36+O117</f>
        <v>0</v>
      </c>
      <c r="P139" s="75">
        <f>'Annual Raw'!Q29+'Annual Raw'!Q31+'Annual Raw'!Q34+'Annual Raw'!Q36+P117</f>
        <v>639.28</v>
      </c>
      <c r="Q139" s="75">
        <f>'Annual Raw'!R29+'Annual Raw'!R31+'Annual Raw'!R34+'Annual Raw'!R36+Q117</f>
        <v>-1073.08</v>
      </c>
      <c r="R139" s="75">
        <f>'Annual Raw'!S29+'Annual Raw'!S31+'Annual Raw'!S34+'Annual Raw'!S36+R117</f>
        <v>-949.85</v>
      </c>
      <c r="S139" s="75">
        <f>'Annual Raw'!T29+'Annual Raw'!T31+'Annual Raw'!T34+'Annual Raw'!T36+S117</f>
        <v>620.93999999999994</v>
      </c>
      <c r="T139" s="75">
        <f>'Annual Raw'!U29+'Annual Raw'!U31+'Annual Raw'!U34+'Annual Raw'!U36+T117</f>
        <v>1723.26</v>
      </c>
      <c r="U139" s="75">
        <f>'Annual Raw'!V29+'Annual Raw'!V31+'Annual Raw'!V34+'Annual Raw'!V36+U117</f>
        <v>-1750.76</v>
      </c>
      <c r="V139" s="75">
        <f>'Annual Raw'!W29+'Annual Raw'!W31+'Annual Raw'!W34+'Annual Raw'!W36+V117</f>
        <v>-305.46999999999997</v>
      </c>
      <c r="W139" s="75">
        <f>'Annual Raw'!X29+'Annual Raw'!X31+'Annual Raw'!X34+'Annual Raw'!X36+W117</f>
        <v>-857.56999999999994</v>
      </c>
      <c r="X139" s="75">
        <f>'Annual Raw'!Y29+'Annual Raw'!Y31+'Annual Raw'!Y34+'Annual Raw'!Y36</f>
        <v>924.05</v>
      </c>
      <c r="Y139" s="75">
        <f>'Annual Raw'!Z29+'Annual Raw'!Z31+'Annual Raw'!Z34+'Annual Raw'!Z36+Y117</f>
        <v>273.36</v>
      </c>
      <c r="Z139" s="75">
        <f>'Annual Raw'!AA29+'Annual Raw'!AA31+'Annual Raw'!AA34+'Annual Raw'!AA36+Z117</f>
        <v>-122.21000000000004</v>
      </c>
      <c r="AA139" s="75">
        <f>'Annual Raw'!AB29+'Annual Raw'!AB31+'Annual Raw'!AB34+'Annual Raw'!AB36+AA117</f>
        <v>2133.87</v>
      </c>
      <c r="AB139" s="76">
        <f>+SUM(CM139:CP139)</f>
        <v>0</v>
      </c>
      <c r="AC139" s="76">
        <f>+SUM(CQ139:CT139)</f>
        <v>0</v>
      </c>
      <c r="AD139" s="76">
        <f>+SUM(CU139:CX139)</f>
        <v>0</v>
      </c>
      <c r="AE139" s="76">
        <f>+SUM(CY139:DB139)</f>
        <v>0</v>
      </c>
      <c r="AI139" s="75">
        <f>'QTR Raw'!C26+'QTR Raw'!C31+'QTR Raw'!C32+'QTR Raw'!C33+'QTR Raw'!C36+'QTR Raw'!C37+'QTR Raw'!C39</f>
        <v>0</v>
      </c>
      <c r="AJ139" s="75">
        <f>'QTR Raw'!D26+'QTR Raw'!D31+'QTR Raw'!D32+'QTR Raw'!D33+'QTR Raw'!D36+'QTR Raw'!D37+'QTR Raw'!D39</f>
        <v>-250</v>
      </c>
      <c r="AK139" s="75">
        <f>'QTR Raw'!E26+'QTR Raw'!E31+'QTR Raw'!E32+'QTR Raw'!E33+'QTR Raw'!E36+'QTR Raw'!E37+'QTR Raw'!E39</f>
        <v>-600</v>
      </c>
      <c r="AL139" s="75">
        <f>'QTR Raw'!F26+'QTR Raw'!F31+'QTR Raw'!F32+'QTR Raw'!F33+'QTR Raw'!F36+'QTR Raw'!F37+'QTR Raw'!F39</f>
        <v>0</v>
      </c>
      <c r="AM139" s="75">
        <f>'QTR Raw'!G26+'QTR Raw'!G31+'QTR Raw'!G32+'QTR Raw'!G33+'QTR Raw'!G36+'QTR Raw'!G37+'QTR Raw'!G39</f>
        <v>0</v>
      </c>
      <c r="AN139" s="75">
        <f>'QTR Raw'!H26+'QTR Raw'!H31+'QTR Raw'!H32+'QTR Raw'!H33+'QTR Raw'!H36+'QTR Raw'!H37+'QTR Raw'!H39</f>
        <v>0</v>
      </c>
      <c r="AO139" s="75">
        <f>'QTR Raw'!I26+'QTR Raw'!I31+'QTR Raw'!I32+'QTR Raw'!I33+'QTR Raw'!I36+'QTR Raw'!I37+'QTR Raw'!I39</f>
        <v>0</v>
      </c>
      <c r="AP139" s="75">
        <f>'QTR Raw'!J26+'QTR Raw'!J31+'QTR Raw'!J32+'QTR Raw'!J33+'QTR Raw'!J36+'QTR Raw'!J37+'QTR Raw'!J39</f>
        <v>0</v>
      </c>
      <c r="AQ139" s="75">
        <f>'QTR Raw'!K26+'QTR Raw'!K31+'QTR Raw'!K32+'QTR Raw'!K33+'QTR Raw'!K36+'QTR Raw'!K37+'QTR Raw'!K39</f>
        <v>110.55</v>
      </c>
      <c r="AR139" s="75">
        <f>'QTR Raw'!L26+'QTR Raw'!L31+'QTR Raw'!L32+'QTR Raw'!L33+'QTR Raw'!L36+'QTR Raw'!L37+'QTR Raw'!L39</f>
        <v>-135.71</v>
      </c>
      <c r="AS139" s="75">
        <f>'QTR Raw'!M26+'QTR Raw'!M31+'QTR Raw'!M32+'QTR Raw'!M33+'QTR Raw'!M36+'QTR Raw'!M37+'QTR Raw'!M39</f>
        <v>332.45</v>
      </c>
      <c r="AT139" s="75">
        <f>'QTR Raw'!N26+'QTR Raw'!N31+'QTR Raw'!N32+'QTR Raw'!N33+'QTR Raw'!N36+'QTR Raw'!N37+'QTR Raw'!N39</f>
        <v>331.99</v>
      </c>
      <c r="AU139" s="75">
        <f>'QTR Raw'!O26+'QTR Raw'!O31+'QTR Raw'!O32+'QTR Raw'!O33+'QTR Raw'!O36+'QTR Raw'!O37+'QTR Raw'!O39</f>
        <v>-167.43</v>
      </c>
      <c r="AV139" s="75">
        <f>'QTR Raw'!P26+'QTR Raw'!P31+'QTR Raw'!P32+'QTR Raw'!P33+'QTR Raw'!P36+'QTR Raw'!P37+'QTR Raw'!P39</f>
        <v>-495.25</v>
      </c>
      <c r="AW139" s="75">
        <f>'QTR Raw'!Q26+'QTR Raw'!Q31+'QTR Raw'!Q32+'QTR Raw'!Q33+'QTR Raw'!Q36+'QTR Raw'!Q37+'QTR Raw'!Q39</f>
        <v>-71.64</v>
      </c>
      <c r="AX139" s="75">
        <f>'QTR Raw'!R26+'QTR Raw'!R31+'QTR Raw'!R32+'QTR Raw'!R33+'QTR Raw'!R36+'QTR Raw'!R37+'QTR Raw'!R39</f>
        <v>249.97</v>
      </c>
      <c r="AY139" s="75">
        <f>'QTR Raw'!S26+'QTR Raw'!S31+'QTR Raw'!S32+'QTR Raw'!S33+'QTR Raw'!S36+'QTR Raw'!S37+'QTR Raw'!S39</f>
        <v>-272.12</v>
      </c>
      <c r="AZ139" s="75">
        <f>'QTR Raw'!T26+'QTR Raw'!T31+'QTR Raw'!T32+'QTR Raw'!T33+'QTR Raw'!T36+'QTR Raw'!T37+'QTR Raw'!T39</f>
        <v>0</v>
      </c>
      <c r="BA139" s="75">
        <f>'QTR Raw'!U26+'QTR Raw'!U31+'QTR Raw'!U32+'QTR Raw'!U33+'QTR Raw'!U36+'QTR Raw'!U37+'QTR Raw'!U39</f>
        <v>-2.85</v>
      </c>
      <c r="BB139" s="75">
        <f>'QTR Raw'!V26+'QTR Raw'!V31+'QTR Raw'!V32+'QTR Raw'!V33+'QTR Raw'!V36+'QTR Raw'!V37+'QTR Raw'!V39</f>
        <v>-639.96</v>
      </c>
      <c r="BC139" s="75">
        <f>'QTR Raw'!W26+'QTR Raw'!W31+'QTR Raw'!W32+'QTR Raw'!W33+'QTR Raw'!W36+'QTR Raw'!W37+'QTR Raw'!W39</f>
        <v>15.29</v>
      </c>
      <c r="BD139" s="75">
        <f>'QTR Raw'!X26+'QTR Raw'!X31+'QTR Raw'!X32+'QTR Raw'!X33+'QTR Raw'!X36+'QTR Raw'!X37+'QTR Raw'!X39</f>
        <v>-138.82000000000002</v>
      </c>
      <c r="BE139" s="75">
        <f>'QTR Raw'!Y26+'QTR Raw'!Y31+'QTR Raw'!Y32+'QTR Raw'!Y33+'QTR Raw'!Y36+'QTR Raw'!Y37+'QTR Raw'!Y39</f>
        <v>22</v>
      </c>
      <c r="BF139" s="75">
        <f>'QTR Raw'!Z26+'QTR Raw'!Z31+'QTR Raw'!Z32+'QTR Raw'!Z33+'QTR Raw'!Z36+'QTR Raw'!Z37+'QTR Raw'!Z39</f>
        <v>1132.32</v>
      </c>
      <c r="BG139" s="75">
        <f>'QTR Raw'!AA26+'QTR Raw'!AA31+'QTR Raw'!AA32+'QTR Raw'!AA33+'QTR Raw'!AA36+'QTR Raw'!AA37+'QTR Raw'!AA39</f>
        <v>1863.58</v>
      </c>
      <c r="BH139" s="75">
        <f>'QTR Raw'!AB26+'QTR Raw'!AB31+'QTR Raw'!AB32+'QTR Raw'!AB33+'QTR Raw'!AB36+'QTR Raw'!AB37+'QTR Raw'!AB39</f>
        <v>-32.92</v>
      </c>
      <c r="BI139" s="75">
        <f>'QTR Raw'!AC26+'QTR Raw'!AC31+'QTR Raw'!AC32+'QTR Raw'!AC33+'QTR Raw'!AC36+'QTR Raw'!AC37+'QTR Raw'!AC39</f>
        <v>-33.99</v>
      </c>
      <c r="BJ139" s="75">
        <f>'QTR Raw'!AD26+'QTR Raw'!AD31+'QTR Raw'!AD32+'QTR Raw'!AD33+'QTR Raw'!AD36+'QTR Raw'!AD37+'QTR Raw'!AD39</f>
        <v>-176.68</v>
      </c>
      <c r="BK139" s="75">
        <f>'QTR Raw'!AE26+'QTR Raw'!AE31+'QTR Raw'!AE32+'QTR Raw'!AE33+'QTR Raw'!AE36+'QTR Raw'!AE37+'QTR Raw'!AE39</f>
        <v>-113.11</v>
      </c>
      <c r="BL139" s="75">
        <f>'QTR Raw'!AF26+'QTR Raw'!AF31+'QTR Raw'!AF32+'QTR Raw'!AF33+'QTR Raw'!AF36+'QTR Raw'!AF37+'QTR Raw'!AF39</f>
        <v>-5.51</v>
      </c>
      <c r="BM139" s="75">
        <f>'QTR Raw'!AG26+'QTR Raw'!AG31+'QTR Raw'!AG32+'QTR Raw'!AG33+'QTR Raw'!AG36+'QTR Raw'!AG37+'QTR Raw'!AG39</f>
        <v>-13.8</v>
      </c>
      <c r="BN139" s="75">
        <f>'QTR Raw'!AH26+'QTR Raw'!AH31+'QTR Raw'!AH32+'QTR Raw'!AH33+'QTR Raw'!AH36+'QTR Raw'!AH37+'QTR Raw'!AH39</f>
        <v>-51.649999999999977</v>
      </c>
      <c r="BO139" s="75">
        <f>'QTR Raw'!AI26+'QTR Raw'!AI31+'QTR Raw'!AI32+'QTR Raw'!AI33+'QTR Raw'!AI36+'QTR Raw'!AI37+'QTR Raw'!AI39</f>
        <v>-22.78</v>
      </c>
      <c r="BP139" s="75">
        <f>'QTR Raw'!AJ26+'QTR Raw'!AJ31+'QTR Raw'!AJ32+'QTR Raw'!AJ33+'QTR Raw'!AJ36+'QTR Raw'!AJ37+'QTR Raw'!AJ39</f>
        <v>-19.23</v>
      </c>
      <c r="BQ139" s="75">
        <f>'QTR Raw'!AK26+'QTR Raw'!AK31+'QTR Raw'!AK32+'QTR Raw'!AK33+'QTR Raw'!AK36+'QTR Raw'!AK37+'QTR Raw'!AK39</f>
        <v>-24.25</v>
      </c>
      <c r="BR139" s="75">
        <f>'QTR Raw'!AL26+'QTR Raw'!AL31+'QTR Raw'!AL32+'QTR Raw'!AL33+'QTR Raw'!AL36+'QTR Raw'!AL37+'QTR Raw'!AL39</f>
        <v>-89.23</v>
      </c>
      <c r="BS139" s="75">
        <f>'QTR Raw'!AM26+'QTR Raw'!AM31+'QTR Raw'!AM32+'QTR Raw'!AM33+'QTR Raw'!AM36+'QTR Raw'!AM37+'QTR Raw'!AM39</f>
        <v>0</v>
      </c>
      <c r="BT139" s="75">
        <f>'QTR Raw'!AN26+'QTR Raw'!AN31+'QTR Raw'!AN32+'QTR Raw'!AN33+'QTR Raw'!AN36+'QTR Raw'!AN37+'QTR Raw'!AN39</f>
        <v>0</v>
      </c>
      <c r="BU139" s="75">
        <f>'QTR Raw'!AO26+'QTR Raw'!AO31+'QTR Raw'!AO32+'QTR Raw'!AO33+'QTR Raw'!AO36+'QTR Raw'!AO37+'QTR Raw'!AO39</f>
        <v>0</v>
      </c>
      <c r="BV139" s="75">
        <f>'QTR Raw'!AP26+'QTR Raw'!AP31+'QTR Raw'!AP32+'QTR Raw'!AP33+'QTR Raw'!AP36+'QTR Raw'!AP37+'QTR Raw'!AP39</f>
        <v>-618.1</v>
      </c>
      <c r="BW139" s="75">
        <f>'QTR Raw'!AQ26+'QTR Raw'!AQ31+'QTR Raw'!AQ32+'QTR Raw'!AQ33+'QTR Raw'!AQ36+'QTR Raw'!AQ37+'QTR Raw'!AQ39</f>
        <v>0</v>
      </c>
      <c r="BX139" s="75">
        <f>'QTR Raw'!AR26+'QTR Raw'!AR31+'QTR Raw'!AR32+'QTR Raw'!AR33+'QTR Raw'!AR36+'QTR Raw'!AR37+'QTR Raw'!AR39</f>
        <v>0</v>
      </c>
      <c r="BY139" s="75">
        <f>'QTR Raw'!AS26+'QTR Raw'!AS31+'QTR Raw'!AS32+'QTR Raw'!AS33+'QTR Raw'!AS36+'QTR Raw'!AS37+'QTR Raw'!AS39</f>
        <v>0</v>
      </c>
      <c r="BZ139" s="75">
        <f>'QTR Raw'!AT26+'QTR Raw'!AT31+'QTR Raw'!AT32+'QTR Raw'!AT33+'QTR Raw'!AT36+'QTR Raw'!AT37+'QTR Raw'!AT39</f>
        <v>0</v>
      </c>
      <c r="CA139" s="75">
        <f>'QTR Raw'!AU26+'QTR Raw'!AU31+'QTR Raw'!AU32+'QTR Raw'!AU33+'QTR Raw'!AU36+'QTR Raw'!AU37+'QTR Raw'!AU39</f>
        <v>234.68</v>
      </c>
      <c r="CB139" s="75">
        <f>'QTR Raw'!AV26+'QTR Raw'!AV31+'QTR Raw'!AV32+'QTR Raw'!AV33+'QTR Raw'!AV36+'QTR Raw'!AV37+'QTR Raw'!AV39</f>
        <v>0</v>
      </c>
      <c r="CC139" s="75">
        <f>'QTR Raw'!AW26+'QTR Raw'!AW31+'QTR Raw'!AW32+'QTR Raw'!AW33+'QTR Raw'!AW36+'QTR Raw'!AW37+'QTR Raw'!AW39</f>
        <v>0</v>
      </c>
      <c r="CD139" s="75">
        <f>'QTR Raw'!AX26+'QTR Raw'!AX31+'QTR Raw'!AX32+'QTR Raw'!AX33+'QTR Raw'!AX36+'QTR Raw'!AX37+'QTR Raw'!AX39</f>
        <v>38.68</v>
      </c>
      <c r="CE139" s="75">
        <f>'QTR Raw'!AY26+'QTR Raw'!AY31+'QTR Raw'!AY32+'QTR Raw'!AY33+'QTR Raw'!AY36+'QTR Raw'!AY37+'QTR Raw'!AY39</f>
        <v>0</v>
      </c>
      <c r="CF139" s="75">
        <f>'QTR Raw'!AZ26+'QTR Raw'!AZ31+'QTR Raw'!AZ32+'QTR Raw'!AZ33+'QTR Raw'!AZ36+'QTR Raw'!AZ37+'QTR Raw'!AZ39</f>
        <v>-140</v>
      </c>
      <c r="CG139" s="75">
        <f>'QTR Raw'!BA26+'QTR Raw'!BA31+'QTR Raw'!BA32+'QTR Raw'!BA33+'QTR Raw'!BA36+'QTR Raw'!BA37+'QTR Raw'!BA39</f>
        <v>0</v>
      </c>
      <c r="CH139" s="75">
        <f>'QTR Raw'!BB26+'QTR Raw'!BB31+'QTR Raw'!BB32+'QTR Raw'!BB33+'QTR Raw'!BB36+'QTR Raw'!BB37+'QTR Raw'!BB39</f>
        <v>17.95</v>
      </c>
      <c r="CI139" s="75">
        <f>'QTR Raw'!BC26+'QTR Raw'!BC31+'QTR Raw'!BC32+'QTR Raw'!BC33+'QTR Raw'!BC36+'QTR Raw'!BC37+'QTR Raw'!BC39</f>
        <v>0</v>
      </c>
      <c r="CJ139" s="75">
        <f>'QTR Raw'!BD26+'QTR Raw'!BD31+'QTR Raw'!BD32+'QTR Raw'!BD33+'QTR Raw'!BD36+'QTR Raw'!BD37+'QTR Raw'!BD39</f>
        <v>0</v>
      </c>
      <c r="CK139" s="75">
        <f>'QTR Raw'!BE26+'QTR Raw'!BE31+'QTR Raw'!BE32+'QTR Raw'!BE33+'QTR Raw'!BE36+'QTR Raw'!BE37+'QTR Raw'!BE39</f>
        <v>0</v>
      </c>
      <c r="CL139" s="75">
        <f>'QTR Raw'!BF26+'QTR Raw'!BF31+'QTR Raw'!BF32+'QTR Raw'!BF33+'QTR Raw'!BF36+'QTR Raw'!BF37+'QTR Raw'!BF39</f>
        <v>-94.17</v>
      </c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  <c r="DF139" s="23">
        <v>-94.17</v>
      </c>
    </row>
    <row r="140" spans="1:110" s="26" customFormat="1" x14ac:dyDescent="0.2">
      <c r="A140" s="35" t="s">
        <v>25</v>
      </c>
      <c r="B140" s="26">
        <f>B133+B137+B138+B139</f>
        <v>389.59788409999999</v>
      </c>
      <c r="C140" s="26">
        <f>C133+C137+C138+C139</f>
        <v>487.42000000000013</v>
      </c>
      <c r="D140" s="26">
        <f>D133+D137+D138+D139</f>
        <v>389.80999999999989</v>
      </c>
      <c r="E140" s="26">
        <f t="shared" ref="E140:U140" si="897">E133+E137+E138+E139</f>
        <v>502.41000000000037</v>
      </c>
      <c r="F140" s="26">
        <f t="shared" si="897"/>
        <v>590.97000000000014</v>
      </c>
      <c r="G140" s="26">
        <f t="shared" si="897"/>
        <v>747.40000000000032</v>
      </c>
      <c r="H140" s="26">
        <f t="shared" si="897"/>
        <v>759.76999999999953</v>
      </c>
      <c r="I140" s="26">
        <f t="shared" si="897"/>
        <v>1055.0700000000008</v>
      </c>
      <c r="J140" s="26">
        <f t="shared" si="897"/>
        <v>1218.7400000000014</v>
      </c>
      <c r="K140" s="26">
        <f t="shared" si="897"/>
        <v>1966.8400000000008</v>
      </c>
      <c r="L140" s="26">
        <f t="shared" si="897"/>
        <v>2059.6000000000035</v>
      </c>
      <c r="M140" s="26">
        <f t="shared" si="897"/>
        <v>-1087.6799999999962</v>
      </c>
      <c r="N140" s="26">
        <f t="shared" si="897"/>
        <v>-85.430000000001996</v>
      </c>
      <c r="O140" s="26">
        <f t="shared" si="897"/>
        <v>-259.96999999999616</v>
      </c>
      <c r="P140" s="26">
        <f t="shared" si="897"/>
        <v>167.83000000000095</v>
      </c>
      <c r="Q140" s="26">
        <f t="shared" si="897"/>
        <v>662.20000000000232</v>
      </c>
      <c r="R140" s="26">
        <f t="shared" si="897"/>
        <v>896.54999999999507</v>
      </c>
      <c r="S140" s="26">
        <f t="shared" si="897"/>
        <v>2408.3000000000043</v>
      </c>
      <c r="T140" s="26">
        <f t="shared" si="897"/>
        <v>2356.1900000000078</v>
      </c>
      <c r="U140" s="26">
        <f t="shared" si="897"/>
        <v>1017.3799999999985</v>
      </c>
      <c r="V140" s="26">
        <f>V133+V137+V138+V139</f>
        <v>1127.3800000000001</v>
      </c>
      <c r="W140" s="26">
        <f>W133+W137+W138+W139</f>
        <v>1741.4599999999944</v>
      </c>
      <c r="X140" s="26">
        <f>X133+X137+X138+X139</f>
        <v>4260.4399999999987</v>
      </c>
      <c r="Y140" s="26">
        <f>Y133+Y137+Y138+Y139</f>
        <v>3696.249999999995</v>
      </c>
      <c r="Z140" s="26">
        <f>Z133+Z137+Z138+Z139</f>
        <v>3970.9999999999991</v>
      </c>
      <c r="AA140" s="26">
        <f>AA133+AA137+AA138+AA139</f>
        <v>3747.1899999999896</v>
      </c>
      <c r="AB140" s="27">
        <f t="shared" ref="AA140:AD140" si="898">AB133+AB137+AB138+AB139</f>
        <v>5813.9306719010174</v>
      </c>
      <c r="AC140" s="27">
        <f t="shared" si="898"/>
        <v>5757.730278010421</v>
      </c>
      <c r="AD140" s="27">
        <f t="shared" si="898"/>
        <v>6469.7008279501688</v>
      </c>
      <c r="AE140" s="27">
        <f t="shared" ref="AE140" si="899">AE133+AE137+AE138+AE139</f>
        <v>7537.052268742299</v>
      </c>
      <c r="AI140" s="26">
        <f t="shared" ref="AI140" si="900">AI133+AI137+AI138+AI139</f>
        <v>145.9299999999995</v>
      </c>
      <c r="AJ140" s="26">
        <f t="shared" ref="AJ140" si="901">AJ133+AJ137+AJ138+AJ139</f>
        <v>-83.800000000000864</v>
      </c>
      <c r="AK140" s="26">
        <f t="shared" ref="AK140:AM140" si="902">AK133+AK137+AK138+AK139</f>
        <v>-328.92000000000081</v>
      </c>
      <c r="AL140" s="26">
        <f t="shared" si="902"/>
        <v>181.35999999999882</v>
      </c>
      <c r="AM140" s="26">
        <f t="shared" si="902"/>
        <v>-114.69999999999956</v>
      </c>
      <c r="AN140" s="26">
        <f t="shared" ref="AN140:AO140" si="903">AN133+AN137+AN138+AN139</f>
        <v>74.970000000000041</v>
      </c>
      <c r="AO140" s="26">
        <f t="shared" si="903"/>
        <v>-74.910000000000764</v>
      </c>
      <c r="AP140" s="26">
        <f t="shared" ref="AP140:CD140" si="904">AP133+AP137+AP138+AP139</f>
        <v>-145.33000000000305</v>
      </c>
      <c r="AQ140" s="26">
        <f t="shared" si="904"/>
        <v>-111.2999999999986</v>
      </c>
      <c r="AR140" s="26">
        <f t="shared" si="904"/>
        <v>-77.750000000000256</v>
      </c>
      <c r="AS140" s="26">
        <f t="shared" si="904"/>
        <v>197.73999999999876</v>
      </c>
      <c r="AT140" s="26">
        <f t="shared" si="904"/>
        <v>159.14000000000084</v>
      </c>
      <c r="AU140" s="26">
        <f t="shared" si="904"/>
        <v>303.13999999999919</v>
      </c>
      <c r="AV140" s="26">
        <f t="shared" si="904"/>
        <v>-95.869999999999038</v>
      </c>
      <c r="AW140" s="26">
        <f t="shared" si="904"/>
        <v>433.25000000000097</v>
      </c>
      <c r="AX140" s="26">
        <f t="shared" si="904"/>
        <v>21.679999999998302</v>
      </c>
      <c r="AY140" s="26">
        <f t="shared" si="904"/>
        <v>72.490000000000009</v>
      </c>
      <c r="AZ140" s="26">
        <f t="shared" si="904"/>
        <v>427.32000000000028</v>
      </c>
      <c r="BA140" s="26">
        <f t="shared" si="904"/>
        <v>619.23000000000104</v>
      </c>
      <c r="BB140" s="26">
        <f t="shared" si="904"/>
        <v>-242.47999999999934</v>
      </c>
      <c r="BC140" s="26">
        <f t="shared" si="904"/>
        <v>348.7699999999997</v>
      </c>
      <c r="BD140" s="26">
        <f t="shared" si="904"/>
        <v>178.15999999999954</v>
      </c>
      <c r="BE140" s="26">
        <f t="shared" si="904"/>
        <v>590.8100000000004</v>
      </c>
      <c r="BF140" s="26">
        <f t="shared" si="904"/>
        <v>1290.5600000000006</v>
      </c>
      <c r="BG140" s="26">
        <f t="shared" si="904"/>
        <v>1670.9100000000003</v>
      </c>
      <c r="BH140" s="26">
        <f t="shared" si="904"/>
        <v>335.77000000000106</v>
      </c>
      <c r="BI140" s="26">
        <f t="shared" si="904"/>
        <v>141.85999999999984</v>
      </c>
      <c r="BJ140" s="26">
        <f t="shared" si="904"/>
        <v>121.82999999999981</v>
      </c>
      <c r="BK140" s="26">
        <f t="shared" si="904"/>
        <v>163.54999999999939</v>
      </c>
      <c r="BL140" s="26">
        <f t="shared" si="904"/>
        <v>257.91999999999825</v>
      </c>
      <c r="BM140" s="26">
        <f t="shared" si="904"/>
        <v>193.31999999999965</v>
      </c>
      <c r="BN140" s="26">
        <f t="shared" si="904"/>
        <v>402.59000000000088</v>
      </c>
      <c r="BO140" s="26">
        <f t="shared" si="904"/>
        <v>206.61999999999992</v>
      </c>
      <c r="BP140" s="26">
        <f t="shared" si="904"/>
        <v>279.60999999999825</v>
      </c>
      <c r="BQ140" s="26">
        <f t="shared" si="904"/>
        <v>248.20999999999958</v>
      </c>
      <c r="BR140" s="26">
        <f t="shared" si="904"/>
        <v>392.94</v>
      </c>
      <c r="BS140" s="26">
        <f t="shared" si="904"/>
        <v>391.03000000000031</v>
      </c>
      <c r="BT140" s="26">
        <f t="shared" si="904"/>
        <v>421.50999999999863</v>
      </c>
      <c r="BU140" s="26">
        <f t="shared" si="904"/>
        <v>425.80999999999943</v>
      </c>
      <c r="BV140" s="26">
        <f t="shared" si="904"/>
        <v>503.11000000000047</v>
      </c>
      <c r="BW140" s="26">
        <f t="shared" si="904"/>
        <v>794.59999999999945</v>
      </c>
      <c r="BX140" s="26">
        <f t="shared" si="904"/>
        <v>819.09000000000151</v>
      </c>
      <c r="BY140" s="26">
        <f t="shared" si="904"/>
        <v>945.02000000000089</v>
      </c>
      <c r="BZ140" s="26">
        <f t="shared" si="904"/>
        <v>777.72999999999865</v>
      </c>
      <c r="CA140" s="26">
        <f t="shared" si="904"/>
        <v>972.49000000000115</v>
      </c>
      <c r="CB140" s="26">
        <f t="shared" si="904"/>
        <v>875.53000000000077</v>
      </c>
      <c r="CC140" s="26">
        <f t="shared" si="904"/>
        <v>953.01000000000136</v>
      </c>
      <c r="CD140" s="26">
        <f t="shared" si="904"/>
        <v>895.21000000000083</v>
      </c>
      <c r="CE140" s="26">
        <f t="shared" ref="CE140:CF140" si="905">CE133+CE137+CE138+CE139</f>
        <v>971.03999999999837</v>
      </c>
      <c r="CF140" s="26">
        <f t="shared" si="905"/>
        <v>926.52999999999906</v>
      </c>
      <c r="CG140" s="26">
        <f t="shared" ref="CG140:CH140" si="906">CG133+CG137+CG138+CG139</f>
        <v>1030.7000000000007</v>
      </c>
      <c r="CH140" s="26">
        <f t="shared" si="906"/>
        <v>1042.8300000000008</v>
      </c>
      <c r="CI140" s="26">
        <f t="shared" ref="CI140:CJ140" si="907">CI133+CI137+CI138+CI139</f>
        <v>1060.6700000000014</v>
      </c>
      <c r="CJ140" s="26">
        <f t="shared" si="907"/>
        <v>919.44000000000017</v>
      </c>
      <c r="CK140" s="26">
        <f t="shared" ref="CK140:CL140" si="908">CK133+CK137+CK138+CK139</f>
        <v>771.97999999999979</v>
      </c>
      <c r="CL140" s="26">
        <f t="shared" si="908"/>
        <v>995.91</v>
      </c>
      <c r="CM140" s="27">
        <f t="shared" ref="CM140:DB140" si="909">CM133+CM137+CM138+CM139</f>
        <v>1086.8131274761972</v>
      </c>
      <c r="CN140" s="27">
        <f t="shared" si="909"/>
        <v>1803.6635277413063</v>
      </c>
      <c r="CO140" s="27">
        <f t="shared" si="909"/>
        <v>1443.0191997504637</v>
      </c>
      <c r="CP140" s="27">
        <f t="shared" si="909"/>
        <v>1480.434816933059</v>
      </c>
      <c r="CQ140" s="27">
        <f t="shared" si="909"/>
        <v>1449.4746622080563</v>
      </c>
      <c r="CR140" s="27">
        <f t="shared" si="909"/>
        <v>1654.2968452203711</v>
      </c>
      <c r="CS140" s="27">
        <f t="shared" si="909"/>
        <v>1251.7549209779656</v>
      </c>
      <c r="CT140" s="27">
        <f t="shared" si="909"/>
        <v>1402.2038496040425</v>
      </c>
      <c r="CU140" s="27">
        <f t="shared" si="909"/>
        <v>1605.2446875557951</v>
      </c>
      <c r="CV140" s="27">
        <f t="shared" si="909"/>
        <v>1817.4685921594948</v>
      </c>
      <c r="CW140" s="27">
        <f t="shared" si="909"/>
        <v>1421.0528612868591</v>
      </c>
      <c r="CX140" s="27">
        <f t="shared" si="909"/>
        <v>1625.9346869480407</v>
      </c>
      <c r="CY140" s="27">
        <f t="shared" si="909"/>
        <v>1864.9529481489424</v>
      </c>
      <c r="CZ140" s="27">
        <f t="shared" si="909"/>
        <v>2093.6865671049309</v>
      </c>
      <c r="DA140" s="27">
        <f t="shared" si="909"/>
        <v>1676.2365707546953</v>
      </c>
      <c r="DB140" s="27">
        <f t="shared" si="909"/>
        <v>1902.1761827337189</v>
      </c>
      <c r="DE140" s="121"/>
      <c r="DF140" s="26">
        <v>1191.2985605854431</v>
      </c>
    </row>
    <row r="141" spans="1:110" s="25" customFormat="1" x14ac:dyDescent="0.2">
      <c r="A141" s="151" t="s">
        <v>486</v>
      </c>
      <c r="AB141" s="17"/>
      <c r="AC141" s="17"/>
      <c r="AD141" s="17"/>
      <c r="AE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E141" s="119"/>
    </row>
    <row r="142" spans="1:110" s="1" customFormat="1" x14ac:dyDescent="0.2">
      <c r="AB142" s="20"/>
      <c r="AC142" s="20"/>
      <c r="AD142" s="20"/>
      <c r="AE142" s="20"/>
      <c r="BV142" s="183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E142" s="119"/>
    </row>
    <row r="143" spans="1:110" s="22" customFormat="1" x14ac:dyDescent="0.2">
      <c r="A143" s="22" t="s">
        <v>434</v>
      </c>
      <c r="B143" s="22">
        <f>'Annual Raw'!C35</f>
        <v>389.59788409999999</v>
      </c>
      <c r="C143" s="22">
        <f>'Annual Raw'!D35</f>
        <v>487.42</v>
      </c>
      <c r="D143" s="22">
        <f>'Annual Raw'!E35</f>
        <v>389.81</v>
      </c>
      <c r="E143" s="22">
        <f>'Annual Raw'!F35</f>
        <v>502.41</v>
      </c>
      <c r="F143" s="22">
        <f>'Annual Raw'!G35</f>
        <v>590.97</v>
      </c>
      <c r="G143" s="22">
        <f>'Annual Raw'!H35</f>
        <v>747.4</v>
      </c>
      <c r="H143" s="22">
        <f>'Annual Raw'!I35</f>
        <v>759.77</v>
      </c>
      <c r="I143" s="22">
        <f>'Annual Raw'!J35</f>
        <v>1055.07</v>
      </c>
      <c r="J143" s="22">
        <f>'Annual Raw'!K35</f>
        <v>1218.74</v>
      </c>
      <c r="K143" s="22">
        <f>'Annual Raw'!L35</f>
        <v>1966.84</v>
      </c>
      <c r="L143" s="22">
        <f>'Annual Raw'!M35</f>
        <v>2059.6</v>
      </c>
      <c r="M143" s="22">
        <f>'Annual Raw'!N35</f>
        <v>-1087.68</v>
      </c>
      <c r="N143" s="22">
        <f>'Annual Raw'!O35</f>
        <v>-85.43</v>
      </c>
      <c r="O143" s="22">
        <f>'Annual Raw'!P35</f>
        <v>-259.97000000000003</v>
      </c>
      <c r="P143" s="22">
        <f>'Annual Raw'!Q35</f>
        <v>167.83</v>
      </c>
      <c r="Q143" s="22">
        <f>'Annual Raw'!R35</f>
        <v>662.2</v>
      </c>
      <c r="R143" s="22">
        <f>'Annual Raw'!S35</f>
        <v>896.55</v>
      </c>
      <c r="S143" s="22">
        <f>'Annual Raw'!T35</f>
        <v>2408.3000000000002</v>
      </c>
      <c r="T143" s="22">
        <f>'Annual Raw'!U35</f>
        <v>2356.19</v>
      </c>
      <c r="U143" s="22">
        <f>'Annual Raw'!V35</f>
        <v>1017.38</v>
      </c>
      <c r="V143" s="22">
        <f>'Annual Raw'!W35</f>
        <v>1127.3800000000001</v>
      </c>
      <c r="W143" s="22">
        <f>'Annual Raw'!X35</f>
        <v>1741.46</v>
      </c>
      <c r="X143" s="22">
        <f>'Annual Raw'!Y35</f>
        <v>3336.44</v>
      </c>
      <c r="Y143" s="22">
        <f>'Annual Raw'!Z35</f>
        <v>3696.25</v>
      </c>
      <c r="Z143" s="22">
        <f>'Annual Raw'!AA35</f>
        <v>3971</v>
      </c>
      <c r="AA143" s="22">
        <f>'Annual Raw'!AB35</f>
        <v>3747.19</v>
      </c>
      <c r="AB143" s="21">
        <f t="shared" ref="AA143:AD143" si="910">+AB140</f>
        <v>5813.9306719010174</v>
      </c>
      <c r="AC143" s="21">
        <f t="shared" si="910"/>
        <v>5757.730278010421</v>
      </c>
      <c r="AD143" s="21">
        <f t="shared" si="910"/>
        <v>6469.7008279501688</v>
      </c>
      <c r="AE143" s="21">
        <f t="shared" ref="AE143" si="911">+AE140</f>
        <v>7537.052268742299</v>
      </c>
      <c r="AI143" s="22">
        <f>'QTR Raw'!C42</f>
        <v>145.93</v>
      </c>
      <c r="AJ143" s="22">
        <f>'QTR Raw'!D42</f>
        <v>-83.8</v>
      </c>
      <c r="AK143" s="22">
        <f>'QTR Raw'!E42</f>
        <v>-328.92</v>
      </c>
      <c r="AL143" s="22">
        <f>'QTR Raw'!F42</f>
        <v>181.36</v>
      </c>
      <c r="AM143" s="22">
        <f>'QTR Raw'!G42</f>
        <v>-114.7</v>
      </c>
      <c r="AN143" s="22">
        <f>'QTR Raw'!H42</f>
        <v>74.97</v>
      </c>
      <c r="AO143" s="22">
        <f>'QTR Raw'!I42</f>
        <v>-74.91</v>
      </c>
      <c r="AP143" s="22">
        <f>'QTR Raw'!J42</f>
        <v>-145.33000000000001</v>
      </c>
      <c r="AQ143" s="22">
        <f>'QTR Raw'!K42</f>
        <v>-111.3</v>
      </c>
      <c r="AR143" s="22">
        <f>'QTR Raw'!L42</f>
        <v>-77.760000000000005</v>
      </c>
      <c r="AS143" s="22">
        <f>'QTR Raw'!M42</f>
        <v>197.74</v>
      </c>
      <c r="AT143" s="22">
        <f>'QTR Raw'!N42</f>
        <v>159.13999999999999</v>
      </c>
      <c r="AU143" s="22">
        <f>'QTR Raw'!O42</f>
        <v>303.14</v>
      </c>
      <c r="AV143" s="22">
        <f>'QTR Raw'!P42</f>
        <v>-95.87</v>
      </c>
      <c r="AW143" s="22">
        <f>'QTR Raw'!Q42</f>
        <v>433.25</v>
      </c>
      <c r="AX143" s="22">
        <f>'QTR Raw'!R42</f>
        <v>21.68</v>
      </c>
      <c r="AY143" s="22">
        <f>'QTR Raw'!S42</f>
        <v>72.489999999999995</v>
      </c>
      <c r="AZ143" s="22">
        <f>'QTR Raw'!T42</f>
        <v>427.32</v>
      </c>
      <c r="BA143" s="22">
        <f>'QTR Raw'!U42</f>
        <v>619.23</v>
      </c>
      <c r="BB143" s="22">
        <f>'QTR Raw'!V42</f>
        <v>-242.48</v>
      </c>
      <c r="BC143" s="22">
        <f>'QTR Raw'!W42</f>
        <v>348.77</v>
      </c>
      <c r="BD143" s="22">
        <f>'QTR Raw'!X42</f>
        <v>178.16</v>
      </c>
      <c r="BE143" s="22">
        <f>'QTR Raw'!Y42</f>
        <v>590.80999999999995</v>
      </c>
      <c r="BF143" s="22">
        <f>'QTR Raw'!Z42</f>
        <v>1290.56</v>
      </c>
      <c r="BG143" s="22">
        <f>'QTR Raw'!AA42</f>
        <v>1670.91</v>
      </c>
      <c r="BH143" s="22">
        <f>'QTR Raw'!AB42</f>
        <v>335.77</v>
      </c>
      <c r="BI143" s="22">
        <f>'QTR Raw'!AC42</f>
        <v>141.86000000000001</v>
      </c>
      <c r="BJ143" s="22">
        <f>'QTR Raw'!AD42</f>
        <v>121.83</v>
      </c>
      <c r="BK143" s="22">
        <f>'QTR Raw'!AE42</f>
        <v>163.55000000000001</v>
      </c>
      <c r="BL143" s="22">
        <f>'QTR Raw'!AF42</f>
        <v>257.92</v>
      </c>
      <c r="BM143" s="22">
        <f>'QTR Raw'!AG42</f>
        <v>193.32</v>
      </c>
      <c r="BN143" s="22">
        <f>'QTR Raw'!AH42</f>
        <v>402.59</v>
      </c>
      <c r="BO143" s="22">
        <f>'QTR Raw'!AI42</f>
        <v>206.62</v>
      </c>
      <c r="BP143" s="22">
        <f>'QTR Raw'!AJ42</f>
        <v>279.61</v>
      </c>
      <c r="BQ143" s="22">
        <f>'QTR Raw'!AK42</f>
        <v>248.21</v>
      </c>
      <c r="BR143" s="22">
        <f>'QTR Raw'!AL42</f>
        <v>392.94</v>
      </c>
      <c r="BS143" s="22">
        <f>'QTR Raw'!AM42</f>
        <v>391.03</v>
      </c>
      <c r="BT143" s="22">
        <f>'QTR Raw'!AN42</f>
        <v>421.51</v>
      </c>
      <c r="BU143" s="22">
        <f>'QTR Raw'!AO42</f>
        <v>425.81</v>
      </c>
      <c r="BV143" s="22">
        <f>'QTR Raw'!AP42</f>
        <v>503.11</v>
      </c>
      <c r="BW143" s="22">
        <f>'QTR Raw'!AQ42</f>
        <v>794.6</v>
      </c>
      <c r="BX143" s="22">
        <f>'QTR Raw'!AR42</f>
        <v>819.09</v>
      </c>
      <c r="BY143" s="22">
        <f>'QTR Raw'!AS42</f>
        <v>945.02</v>
      </c>
      <c r="BZ143" s="22">
        <f>'QTR Raw'!AT42</f>
        <v>777.73</v>
      </c>
      <c r="CA143" s="22">
        <f>'QTR Raw'!AU42</f>
        <v>972.49</v>
      </c>
      <c r="CB143" s="22">
        <f>'QTR Raw'!AV42</f>
        <v>875.53</v>
      </c>
      <c r="CC143" s="22">
        <f>'QTR Raw'!AW42</f>
        <v>953.01</v>
      </c>
      <c r="CD143" s="22">
        <f>'QTR Raw'!AX42</f>
        <v>895.21</v>
      </c>
      <c r="CE143" s="22">
        <f>'QTR Raw'!AY42</f>
        <v>970.91</v>
      </c>
      <c r="CF143" s="22">
        <f>'QTR Raw'!AZ42</f>
        <v>926.53</v>
      </c>
      <c r="CG143" s="22">
        <f>'QTR Raw'!BA42</f>
        <v>1030.7</v>
      </c>
      <c r="CH143" s="22">
        <f>'QTR Raw'!BB42</f>
        <v>1042.83</v>
      </c>
      <c r="CI143" s="22">
        <f>'QTR Raw'!BC42</f>
        <v>1059.8599999999999</v>
      </c>
      <c r="CJ143" s="22">
        <f>'QTR Raw'!BD42</f>
        <v>919.44</v>
      </c>
      <c r="CK143" s="22">
        <f>'QTR Raw'!BE42</f>
        <v>771.98</v>
      </c>
      <c r="CL143" s="22">
        <f>'QTR Raw'!BF42</f>
        <v>995.91</v>
      </c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E143" s="119"/>
      <c r="DF143" s="22">
        <v>3748.00000000001</v>
      </c>
    </row>
    <row r="144" spans="1:110" s="25" customFormat="1" x14ac:dyDescent="0.2">
      <c r="A144" s="36" t="s">
        <v>435</v>
      </c>
      <c r="B144" s="25">
        <f t="shared" ref="B144:V144" si="912">B143-B140</f>
        <v>0</v>
      </c>
      <c r="C144" s="25">
        <f>C143-C140</f>
        <v>0</v>
      </c>
      <c r="D144" s="25">
        <f t="shared" si="912"/>
        <v>0</v>
      </c>
      <c r="E144" s="25">
        <f t="shared" si="912"/>
        <v>0</v>
      </c>
      <c r="F144" s="25">
        <f t="shared" si="912"/>
        <v>0</v>
      </c>
      <c r="G144" s="25">
        <f t="shared" si="912"/>
        <v>0</v>
      </c>
      <c r="H144" s="25">
        <f t="shared" si="912"/>
        <v>0</v>
      </c>
      <c r="I144" s="25">
        <f t="shared" si="912"/>
        <v>0</v>
      </c>
      <c r="J144" s="25">
        <f t="shared" si="912"/>
        <v>0</v>
      </c>
      <c r="K144" s="25">
        <f t="shared" si="912"/>
        <v>0</v>
      </c>
      <c r="L144" s="25">
        <f t="shared" si="912"/>
        <v>-3.637978807091713E-12</v>
      </c>
      <c r="M144" s="25">
        <f t="shared" si="912"/>
        <v>-3.865352482534945E-12</v>
      </c>
      <c r="N144" s="25">
        <f t="shared" si="912"/>
        <v>1.9895196601282805E-12</v>
      </c>
      <c r="O144" s="25">
        <f t="shared" si="912"/>
        <v>-3.865352482534945E-12</v>
      </c>
      <c r="P144" s="25">
        <f t="shared" si="912"/>
        <v>-9.3791641120333225E-13</v>
      </c>
      <c r="Q144" s="25">
        <f t="shared" si="912"/>
        <v>-2.2737367544323206E-12</v>
      </c>
      <c r="R144" s="25">
        <f t="shared" si="912"/>
        <v>4.8885340220294893E-12</v>
      </c>
      <c r="S144" s="25">
        <f t="shared" si="912"/>
        <v>-4.0927261579781771E-12</v>
      </c>
      <c r="T144" s="25">
        <f t="shared" si="912"/>
        <v>-7.73070496506989E-12</v>
      </c>
      <c r="U144" s="25">
        <f t="shared" si="912"/>
        <v>1.4779288903810084E-12</v>
      </c>
      <c r="V144" s="25">
        <f t="shared" si="912"/>
        <v>0</v>
      </c>
      <c r="W144" s="25">
        <f t="shared" ref="W144" si="913">W143-W140</f>
        <v>5.6843418860808015E-12</v>
      </c>
      <c r="X144" s="25">
        <f t="shared" ref="X144:Y144" si="914">X143-X140</f>
        <v>-923.99999999999864</v>
      </c>
      <c r="Y144" s="25">
        <f t="shared" si="914"/>
        <v>5.0022208597511053E-12</v>
      </c>
      <c r="Z144" s="25">
        <f t="shared" ref="Z144:AA144" si="915">Z143-Z140</f>
        <v>0</v>
      </c>
      <c r="AA144" s="25">
        <f t="shared" si="915"/>
        <v>1.0459189070388675E-11</v>
      </c>
      <c r="AB144" s="17">
        <f t="shared" ref="AA144:AD144" si="916">AB143-AB140</f>
        <v>0</v>
      </c>
      <c r="AC144" s="17">
        <f t="shared" si="916"/>
        <v>0</v>
      </c>
      <c r="AD144" s="17">
        <f t="shared" si="916"/>
        <v>0</v>
      </c>
      <c r="AE144" s="17">
        <f t="shared" ref="AE144" si="917">AE143-AE140</f>
        <v>0</v>
      </c>
      <c r="AI144" s="25">
        <f t="shared" ref="AI144" si="918">AI143-AI140</f>
        <v>5.1159076974727213E-13</v>
      </c>
      <c r="AJ144" s="25">
        <f t="shared" ref="AJ144" si="919">AJ143-AJ140</f>
        <v>8.6686213762732223E-13</v>
      </c>
      <c r="AK144" s="25">
        <f t="shared" ref="AK144:AM144" si="920">AK143-AK140</f>
        <v>7.9580786405131221E-13</v>
      </c>
      <c r="AL144" s="25">
        <f t="shared" si="920"/>
        <v>1.1937117960769683E-12</v>
      </c>
      <c r="AM144" s="25">
        <f t="shared" si="920"/>
        <v>-4.4053649617126212E-13</v>
      </c>
      <c r="AN144" s="25">
        <f t="shared" ref="AN144:AO144" si="921">AN143-AN140</f>
        <v>0</v>
      </c>
      <c r="AO144" s="25">
        <f t="shared" si="921"/>
        <v>7.673861546209082E-13</v>
      </c>
      <c r="AP144" s="25">
        <f t="shared" ref="AP144:CD144" si="922">AP143-AP140</f>
        <v>3.0411229090532288E-12</v>
      </c>
      <c r="AQ144" s="25">
        <f t="shared" si="922"/>
        <v>-1.3926637620897964E-12</v>
      </c>
      <c r="AR144" s="25">
        <f t="shared" si="922"/>
        <v>-9.9999999997493205E-3</v>
      </c>
      <c r="AS144" s="25">
        <f t="shared" si="922"/>
        <v>1.2505552149377763E-12</v>
      </c>
      <c r="AT144" s="25">
        <f t="shared" si="922"/>
        <v>-8.5265128291212022E-13</v>
      </c>
      <c r="AU144" s="25">
        <f t="shared" si="922"/>
        <v>7.9580786405131221E-13</v>
      </c>
      <c r="AV144" s="25">
        <f t="shared" si="922"/>
        <v>-9.6633812063373625E-13</v>
      </c>
      <c r="AW144" s="25">
        <f t="shared" si="922"/>
        <v>-9.6633812063373625E-13</v>
      </c>
      <c r="AX144" s="25">
        <f t="shared" si="922"/>
        <v>1.6981971384666394E-12</v>
      </c>
      <c r="AY144" s="25">
        <f t="shared" si="922"/>
        <v>0</v>
      </c>
      <c r="AZ144" s="25">
        <f t="shared" si="922"/>
        <v>0</v>
      </c>
      <c r="BA144" s="25">
        <f t="shared" si="922"/>
        <v>-1.0231815394945443E-12</v>
      </c>
      <c r="BB144" s="25">
        <f t="shared" si="922"/>
        <v>-6.5369931689929217E-13</v>
      </c>
      <c r="BC144" s="25">
        <f t="shared" si="922"/>
        <v>0</v>
      </c>
      <c r="BD144" s="25">
        <f t="shared" si="922"/>
        <v>4.5474735088646412E-13</v>
      </c>
      <c r="BE144" s="25">
        <f t="shared" si="922"/>
        <v>0</v>
      </c>
      <c r="BF144" s="25">
        <f t="shared" si="922"/>
        <v>0</v>
      </c>
      <c r="BG144" s="25">
        <f t="shared" si="922"/>
        <v>0</v>
      </c>
      <c r="BH144" s="25">
        <f t="shared" si="922"/>
        <v>-1.0800249583553523E-12</v>
      </c>
      <c r="BI144" s="25">
        <f t="shared" si="922"/>
        <v>0</v>
      </c>
      <c r="BJ144" s="25">
        <f t="shared" si="922"/>
        <v>1.8474111129762605E-13</v>
      </c>
      <c r="BK144" s="25">
        <f t="shared" si="922"/>
        <v>6.2527760746888816E-13</v>
      </c>
      <c r="BL144" s="25">
        <f t="shared" si="922"/>
        <v>1.7621459846850485E-12</v>
      </c>
      <c r="BM144" s="25">
        <f t="shared" si="922"/>
        <v>3.4106051316484809E-13</v>
      </c>
      <c r="BN144" s="25">
        <f t="shared" si="922"/>
        <v>-9.0949470177292824E-13</v>
      </c>
      <c r="BO144" s="25">
        <f t="shared" si="922"/>
        <v>0</v>
      </c>
      <c r="BP144" s="25">
        <f t="shared" si="922"/>
        <v>1.7621459846850485E-12</v>
      </c>
      <c r="BQ144" s="25">
        <f t="shared" si="922"/>
        <v>4.2632564145606011E-13</v>
      </c>
      <c r="BR144" s="25">
        <f t="shared" si="922"/>
        <v>0</v>
      </c>
      <c r="BS144" s="25">
        <f t="shared" si="922"/>
        <v>0</v>
      </c>
      <c r="BT144" s="25">
        <f t="shared" si="922"/>
        <v>1.3642420526593924E-12</v>
      </c>
      <c r="BU144" s="25">
        <f t="shared" si="922"/>
        <v>5.6843418860808015E-13</v>
      </c>
      <c r="BV144" s="25">
        <f t="shared" si="922"/>
        <v>-4.5474735088646412E-13</v>
      </c>
      <c r="BW144" s="25">
        <f t="shared" si="922"/>
        <v>0</v>
      </c>
      <c r="BX144" s="25">
        <f t="shared" si="922"/>
        <v>-1.4779288903810084E-12</v>
      </c>
      <c r="BY144" s="25">
        <f t="shared" si="922"/>
        <v>-9.0949470177292824E-13</v>
      </c>
      <c r="BZ144" s="25">
        <f t="shared" si="922"/>
        <v>1.3642420526593924E-12</v>
      </c>
      <c r="CA144" s="25">
        <f t="shared" si="922"/>
        <v>-1.1368683772161603E-12</v>
      </c>
      <c r="CB144" s="25">
        <f t="shared" si="922"/>
        <v>0</v>
      </c>
      <c r="CC144" s="25">
        <f t="shared" si="922"/>
        <v>-1.3642420526593924E-12</v>
      </c>
      <c r="CD144" s="25">
        <f t="shared" si="922"/>
        <v>0</v>
      </c>
      <c r="CE144" s="25">
        <f t="shared" ref="CE144:CF144" si="923">CE143-CE140</f>
        <v>-0.12999999999840384</v>
      </c>
      <c r="CF144" s="25">
        <f t="shared" si="923"/>
        <v>9.0949470177292824E-13</v>
      </c>
      <c r="CG144" s="25">
        <f t="shared" ref="CG144:CH144" si="924">CG143-CG140</f>
        <v>0</v>
      </c>
      <c r="CH144" s="25">
        <f t="shared" si="924"/>
        <v>0</v>
      </c>
      <c r="CI144" s="25">
        <f t="shared" ref="CI144:CJ144" si="925">CI143-CI140</f>
        <v>-0.81000000000153705</v>
      </c>
      <c r="CJ144" s="25">
        <f t="shared" si="925"/>
        <v>0</v>
      </c>
      <c r="CK144" s="25">
        <f t="shared" ref="CK144:CL144" si="926">CK143-CK140</f>
        <v>0</v>
      </c>
      <c r="CL144" s="25">
        <f t="shared" si="926"/>
        <v>0</v>
      </c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E144" s="119"/>
      <c r="DF144" s="25">
        <v>0</v>
      </c>
    </row>
    <row r="145" spans="1:110" s="1" customFormat="1" x14ac:dyDescent="0.2">
      <c r="A145" s="150" t="s">
        <v>487</v>
      </c>
      <c r="AB145" s="20"/>
      <c r="AC145" s="20"/>
      <c r="AD145" s="20"/>
      <c r="AE145" s="20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E145" s="119"/>
    </row>
    <row r="146" spans="1:110" s="38" customFormat="1" x14ac:dyDescent="0.2">
      <c r="A146" s="38" t="s">
        <v>350</v>
      </c>
      <c r="B146" s="39">
        <f t="shared" ref="B146:AE146" si="927">(B140-B139)/B212</f>
        <v>0.10072165613189446</v>
      </c>
      <c r="C146" s="39">
        <f t="shared" si="927"/>
        <v>0.11534302137094965</v>
      </c>
      <c r="D146" s="39">
        <f t="shared" si="927"/>
        <v>8.7240166150430579E-2</v>
      </c>
      <c r="E146" s="39">
        <f t="shared" si="927"/>
        <v>0.10488376171150868</v>
      </c>
      <c r="F146" s="39">
        <f t="shared" si="927"/>
        <v>0.12008607621687307</v>
      </c>
      <c r="G146" s="39">
        <f t="shared" si="927"/>
        <v>0.13633934157985089</v>
      </c>
      <c r="H146" s="39">
        <f t="shared" si="927"/>
        <v>0.12613137571302394</v>
      </c>
      <c r="I146" s="39">
        <f t="shared" si="927"/>
        <v>0.12643412320457492</v>
      </c>
      <c r="J146" s="39">
        <f t="shared" si="927"/>
        <v>0.13016721350695529</v>
      </c>
      <c r="K146" s="39">
        <f t="shared" si="927"/>
        <v>0.15980305332347522</v>
      </c>
      <c r="L146" s="39">
        <f t="shared" si="927"/>
        <v>0.14683351904964603</v>
      </c>
      <c r="M146" s="39">
        <f t="shared" si="927"/>
        <v>5.6201565678163645E-2</v>
      </c>
      <c r="N146" s="39">
        <f t="shared" si="927"/>
        <v>6.197981645277667E-2</v>
      </c>
      <c r="O146" s="39">
        <f t="shared" si="927"/>
        <v>-2.0963513632291094E-2</v>
      </c>
      <c r="P146" s="39">
        <f t="shared" si="927"/>
        <v>-3.2925038183825632E-2</v>
      </c>
      <c r="Q146" s="39">
        <f t="shared" si="927"/>
        <v>0.14916387154893954</v>
      </c>
      <c r="R146" s="39">
        <f t="shared" si="927"/>
        <v>0.13972477307210576</v>
      </c>
      <c r="S146" s="39">
        <f t="shared" si="927"/>
        <v>0.11995801308466943</v>
      </c>
      <c r="T146" s="39">
        <f t="shared" si="927"/>
        <v>3.7662052505398995E-2</v>
      </c>
      <c r="U146" s="39">
        <f t="shared" si="927"/>
        <v>0.15322356556673791</v>
      </c>
      <c r="V146" s="39">
        <f t="shared" si="927"/>
        <v>6.8813375685444322E-2</v>
      </c>
      <c r="W146" s="39">
        <f t="shared" si="927"/>
        <v>0.11581325005926478</v>
      </c>
      <c r="X146" s="39">
        <f t="shared" si="927"/>
        <v>0.11589745941197246</v>
      </c>
      <c r="Y146" s="39">
        <f t="shared" si="927"/>
        <v>0.10579073777425561</v>
      </c>
      <c r="Z146" s="39">
        <f t="shared" si="927"/>
        <v>0.11420573331915945</v>
      </c>
      <c r="AA146" s="39">
        <f t="shared" ref="AA146" si="928">(AA140-AA139)/AA212</f>
        <v>4.0877477784722803E-2</v>
      </c>
      <c r="AB146" s="40">
        <f t="shared" si="927"/>
        <v>0.12839629447561202</v>
      </c>
      <c r="AC146" s="40">
        <f t="shared" si="927"/>
        <v>0.11281069057465912</v>
      </c>
      <c r="AD146" s="40">
        <f t="shared" si="927"/>
        <v>0.11249976530352171</v>
      </c>
      <c r="AE146" s="40">
        <f t="shared" si="927"/>
        <v>0.11587331783214418</v>
      </c>
      <c r="AF146" s="39"/>
      <c r="AG146" s="39"/>
      <c r="AH146" s="39"/>
      <c r="AI146" s="39"/>
      <c r="AJ146" s="39"/>
      <c r="AK146" s="39"/>
      <c r="AL146" s="39">
        <f t="shared" ref="AL146:BQ146" si="929">(SUM(AI140:AL140)-SUM(AI139:AL139))/AL212</f>
        <v>6.1979816452776559E-2</v>
      </c>
      <c r="AM146" s="39">
        <f t="shared" si="929"/>
        <v>4.1235274431331202E-2</v>
      </c>
      <c r="AN146" s="39">
        <f t="shared" si="929"/>
        <v>3.1627541273056115E-2</v>
      </c>
      <c r="AO146" s="39">
        <f t="shared" si="929"/>
        <v>5.1425294585544304E-3</v>
      </c>
      <c r="AP146" s="39">
        <f t="shared" si="929"/>
        <v>-2.0963513632291673E-2</v>
      </c>
      <c r="AQ146" s="39">
        <f t="shared" si="929"/>
        <v>-2.9871999231881663E-2</v>
      </c>
      <c r="AR146" s="39">
        <f t="shared" si="929"/>
        <v>-3.0375324605491853E-2</v>
      </c>
      <c r="AS146" s="39">
        <f t="shared" si="929"/>
        <v>-3.4563596924912225E-2</v>
      </c>
      <c r="AT146" s="39">
        <f t="shared" si="929"/>
        <v>-3.2925038183825653E-2</v>
      </c>
      <c r="AU146" s="39">
        <f t="shared" si="929"/>
        <v>1.5112128753668165E-2</v>
      </c>
      <c r="AV146" s="39">
        <f t="shared" si="929"/>
        <v>3.7628430042259131E-2</v>
      </c>
      <c r="AW146" s="39">
        <f t="shared" si="929"/>
        <v>7.8157216955705669E-2</v>
      </c>
      <c r="AX146" s="39">
        <f t="shared" si="929"/>
        <v>8.7300451216670752E-2</v>
      </c>
      <c r="AY146" s="39">
        <f t="shared" si="929"/>
        <v>7.7283056701300271E-2</v>
      </c>
      <c r="AZ146" s="39">
        <f t="shared" si="929"/>
        <v>6.373538869268687E-2</v>
      </c>
      <c r="BA146" s="39">
        <f t="shared" si="929"/>
        <v>6.8288447986090642E-2</v>
      </c>
      <c r="BB146" s="39">
        <f t="shared" si="929"/>
        <v>0.1217495608088594</v>
      </c>
      <c r="BC146" s="39">
        <f t="shared" si="929"/>
        <v>0.11819173993515387</v>
      </c>
      <c r="BD146" s="39">
        <f t="shared" si="929"/>
        <v>0.11556088221027268</v>
      </c>
      <c r="BE146" s="39">
        <f t="shared" si="929"/>
        <v>0.10748066777288491</v>
      </c>
      <c r="BF146" s="39">
        <f t="shared" si="929"/>
        <v>8.3995126793610708E-2</v>
      </c>
      <c r="BG146" s="39">
        <f t="shared" si="929"/>
        <v>4.7112494805152456E-2</v>
      </c>
      <c r="BH146" s="39">
        <f t="shared" si="929"/>
        <v>4.8745902395921151E-2</v>
      </c>
      <c r="BI146" s="39">
        <f t="shared" si="929"/>
        <v>2.7325472079657569E-2</v>
      </c>
      <c r="BJ146" s="39">
        <f t="shared" si="929"/>
        <v>3.5529193122726517E-2</v>
      </c>
      <c r="BK146" s="39">
        <f t="shared" si="929"/>
        <v>6.0626258185311012E-2</v>
      </c>
      <c r="BL146" s="39">
        <f t="shared" si="929"/>
        <v>5.5467615868511344E-2</v>
      </c>
      <c r="BM146" s="39">
        <f t="shared" si="929"/>
        <v>5.657932397197963E-2</v>
      </c>
      <c r="BN146" s="39">
        <f t="shared" si="929"/>
        <v>6.1404925477945849E-2</v>
      </c>
      <c r="BO146" s="39">
        <f t="shared" si="929"/>
        <v>5.8373085232927863E-2</v>
      </c>
      <c r="BP146" s="39">
        <f t="shared" si="929"/>
        <v>5.4664294326971091E-2</v>
      </c>
      <c r="BQ146" s="39">
        <f t="shared" si="929"/>
        <v>5.7016473778210244E-2</v>
      </c>
      <c r="BR146" s="39">
        <f t="shared" ref="BR146:CW146" si="930">(SUM(BO140:BR140)-SUM(BO139:BR139))/BR212</f>
        <v>5.7470435341224306E-2</v>
      </c>
      <c r="BS146" s="39">
        <f t="shared" si="930"/>
        <v>6.3597127496721001E-2</v>
      </c>
      <c r="BT146" s="39">
        <f t="shared" si="930"/>
        <v>7.3654898200891022E-2</v>
      </c>
      <c r="BU146" s="39">
        <f t="shared" si="930"/>
        <v>7.9275639646297844E-2</v>
      </c>
      <c r="BV146" s="39">
        <f t="shared" si="930"/>
        <v>0.10514242325399832</v>
      </c>
      <c r="BW146" s="39">
        <f t="shared" si="930"/>
        <v>0.11891508751876377</v>
      </c>
      <c r="BX146" s="39">
        <f t="shared" si="930"/>
        <v>0.12307001617072674</v>
      </c>
      <c r="BY146" s="39">
        <f t="shared" si="930"/>
        <v>0.13820138256964776</v>
      </c>
      <c r="BZ146" s="39">
        <f t="shared" si="930"/>
        <v>0.11589919628115468</v>
      </c>
      <c r="CA146" s="39">
        <f t="shared" si="930"/>
        <v>0.11020358925696044</v>
      </c>
      <c r="CB146" s="39">
        <f t="shared" si="930"/>
        <v>0.1107000160271779</v>
      </c>
      <c r="CC146" s="39">
        <f t="shared" si="930"/>
        <v>0.10756362635142878</v>
      </c>
      <c r="CD146" s="39">
        <f t="shared" si="930"/>
        <v>0.10579042870578517</v>
      </c>
      <c r="CE146" s="39">
        <f t="shared" si="930"/>
        <v>0.10970634930398884</v>
      </c>
      <c r="CF146" s="39">
        <f t="shared" si="930"/>
        <v>0.11422840871638493</v>
      </c>
      <c r="CG146" s="39">
        <f t="shared" si="930"/>
        <v>0.11307469360238315</v>
      </c>
      <c r="CH146" s="39">
        <f t="shared" si="930"/>
        <v>0.11420405924331209</v>
      </c>
      <c r="CI146" s="39">
        <f t="shared" si="930"/>
        <v>0.1133503552987507</v>
      </c>
      <c r="CJ146" s="39">
        <f t="shared" si="930"/>
        <v>0.10707721746596477</v>
      </c>
      <c r="CK146" s="39">
        <f t="shared" si="930"/>
        <v>9.8201292668956622E-2</v>
      </c>
      <c r="CL146" s="39">
        <f t="shared" si="930"/>
        <v>9.7350940185536319E-2</v>
      </c>
      <c r="CM146" s="40">
        <f t="shared" si="930"/>
        <v>9.5386667688102542E-2</v>
      </c>
      <c r="CN146" s="40">
        <f t="shared" si="930"/>
        <v>0.11220009945071208</v>
      </c>
      <c r="CO146" s="40">
        <f t="shared" si="930"/>
        <v>0.12382393728828033</v>
      </c>
      <c r="CP146" s="40">
        <f t="shared" si="930"/>
        <v>0.12839629447561221</v>
      </c>
      <c r="CQ146" s="40">
        <f t="shared" si="930"/>
        <v>0.13217442489195164</v>
      </c>
      <c r="CR146" s="40">
        <f t="shared" si="930"/>
        <v>0.12456828487717797</v>
      </c>
      <c r="CS146" s="40">
        <f t="shared" si="930"/>
        <v>0.11757359198888087</v>
      </c>
      <c r="CT146" s="40">
        <f t="shared" si="930"/>
        <v>0.11281069057465941</v>
      </c>
      <c r="CU146" s="40">
        <f t="shared" si="930"/>
        <v>0.11232974914198171</v>
      </c>
      <c r="CV146" s="40">
        <f t="shared" si="930"/>
        <v>0.11157721789135223</v>
      </c>
      <c r="CW146" s="40">
        <f t="shared" si="930"/>
        <v>0.11176942098213492</v>
      </c>
      <c r="CX146" s="40">
        <f t="shared" ref="CX146:DB146" si="931">(SUM(CU140:CX140)-SUM(CU139:CX139))/CX212</f>
        <v>0.11249976530352207</v>
      </c>
      <c r="CY146" s="40">
        <f t="shared" si="931"/>
        <v>0.11334023236109628</v>
      </c>
      <c r="CZ146" s="40">
        <f t="shared" si="931"/>
        <v>0.11397340006335084</v>
      </c>
      <c r="DA146" s="40">
        <f t="shared" si="931"/>
        <v>0.11498914010223285</v>
      </c>
      <c r="DB146" s="40">
        <f t="shared" si="931"/>
        <v>0.115873317832144</v>
      </c>
      <c r="DE146" s="122"/>
      <c r="DF146" s="38">
        <v>9.9447900507737025E-2</v>
      </c>
    </row>
    <row r="147" spans="1:110" s="38" customFormat="1" x14ac:dyDescent="0.2">
      <c r="A147" s="38" t="s">
        <v>351</v>
      </c>
      <c r="B147" s="39">
        <f t="shared" ref="B147:AE147" si="932">+B126/B221</f>
        <v>7.5022197057829018E-2</v>
      </c>
      <c r="C147" s="39">
        <f t="shared" si="932"/>
        <v>9.1435144096618237E-2</v>
      </c>
      <c r="D147" s="39">
        <f t="shared" si="932"/>
        <v>0.1193551466122925</v>
      </c>
      <c r="E147" s="39">
        <f t="shared" si="932"/>
        <v>0.12979817391998033</v>
      </c>
      <c r="F147" s="39">
        <f t="shared" si="932"/>
        <v>7.1771278493580601E-2</v>
      </c>
      <c r="G147" s="39">
        <f t="shared" si="932"/>
        <v>6.3642404606978037E-2</v>
      </c>
      <c r="H147" s="39">
        <f t="shared" si="932"/>
        <v>5.8498738178610989E-2</v>
      </c>
      <c r="I147" s="39">
        <f t="shared" si="932"/>
        <v>8.534909058142176E-2</v>
      </c>
      <c r="J147" s="39">
        <f t="shared" si="932"/>
        <v>0.11045716569247002</v>
      </c>
      <c r="K147" s="39">
        <f t="shared" si="932"/>
        <v>8.3593132081309238E-2</v>
      </c>
      <c r="L147" s="39">
        <f t="shared" si="932"/>
        <v>7.7589946238686563E-2</v>
      </c>
      <c r="M147" s="39">
        <f t="shared" si="932"/>
        <v>6.666865329171362E-2</v>
      </c>
      <c r="N147" s="39">
        <f t="shared" si="932"/>
        <v>7.8785958602286058E-2</v>
      </c>
      <c r="O147" s="39">
        <f t="shared" si="932"/>
        <v>7.378220495459209E-2</v>
      </c>
      <c r="P147" s="39">
        <f t="shared" si="932"/>
        <v>6.9662538795326009E-2</v>
      </c>
      <c r="Q147" s="39">
        <f t="shared" si="932"/>
        <v>8.9993482441862199E-2</v>
      </c>
      <c r="R147" s="39">
        <f t="shared" si="932"/>
        <v>5.8766692737421564E-2</v>
      </c>
      <c r="S147" s="39">
        <f t="shared" si="932"/>
        <v>5.8592262807776456E-2</v>
      </c>
      <c r="T147" s="39">
        <f t="shared" si="932"/>
        <v>6.2620934930030916E-2</v>
      </c>
      <c r="U147" s="39">
        <f t="shared" si="932"/>
        <v>9.4843341042681648E-2</v>
      </c>
      <c r="V147" s="39">
        <f t="shared" si="932"/>
        <v>7.2255854265260835E-2</v>
      </c>
      <c r="W147" s="39">
        <f t="shared" si="932"/>
        <v>5.905964346442448E-2</v>
      </c>
      <c r="X147" s="39">
        <f t="shared" si="932"/>
        <v>6.2049049905294078E-2</v>
      </c>
      <c r="Y147" s="39">
        <f t="shared" si="932"/>
        <v>8.0750275188361337E-2</v>
      </c>
      <c r="Z147" s="39">
        <f t="shared" si="932"/>
        <v>8.7485260779977675E-2</v>
      </c>
      <c r="AA147" s="39">
        <f t="shared" ref="AA147" si="933">+AA126/AA221</f>
        <v>6.1587232883874396E-2</v>
      </c>
      <c r="AB147" s="40">
        <f t="shared" si="932"/>
        <v>9.9445335056925058E-2</v>
      </c>
      <c r="AC147" s="40">
        <f t="shared" si="932"/>
        <v>0.10536912482636043</v>
      </c>
      <c r="AD147" s="40">
        <f t="shared" si="932"/>
        <v>0.1079260501197658</v>
      </c>
      <c r="AE147" s="40">
        <f t="shared" si="932"/>
        <v>0.11048047178609</v>
      </c>
      <c r="AF147" s="39"/>
      <c r="AG147" s="39"/>
      <c r="AH147" s="39"/>
      <c r="AI147" s="39"/>
      <c r="AJ147" s="39"/>
      <c r="AK147" s="39"/>
      <c r="AL147" s="39">
        <f t="shared" ref="AL147:BQ147" si="934">+SUM(AI126:AL126)/AL221</f>
        <v>8.6170543917349698E-2</v>
      </c>
      <c r="AM147" s="39">
        <f t="shared" si="934"/>
        <v>9.1493968158852676E-2</v>
      </c>
      <c r="AN147" s="39">
        <f t="shared" si="934"/>
        <v>8.6019706716634989E-2</v>
      </c>
      <c r="AO147" s="39">
        <f t="shared" si="934"/>
        <v>8.2084516623358084E-2</v>
      </c>
      <c r="AP147" s="39">
        <f t="shared" si="934"/>
        <v>8.1202934309099459E-2</v>
      </c>
      <c r="AQ147" s="39">
        <f t="shared" si="934"/>
        <v>7.8662094699823146E-2</v>
      </c>
      <c r="AR147" s="39">
        <f t="shared" si="934"/>
        <v>7.7919624022200679E-2</v>
      </c>
      <c r="AS147" s="39">
        <f t="shared" si="934"/>
        <v>7.1672017336316979E-2</v>
      </c>
      <c r="AT147" s="39">
        <f t="shared" si="934"/>
        <v>6.8192262887546082E-2</v>
      </c>
      <c r="AU147" s="39">
        <f t="shared" si="934"/>
        <v>7.3035531873675535E-2</v>
      </c>
      <c r="AV147" s="39">
        <f t="shared" si="934"/>
        <v>7.8761758907582094E-2</v>
      </c>
      <c r="AW147" s="39">
        <f t="shared" si="934"/>
        <v>8.0569006884598504E-2</v>
      </c>
      <c r="AX147" s="39">
        <f t="shared" si="934"/>
        <v>8.184831432305989E-2</v>
      </c>
      <c r="AY147" s="39">
        <f t="shared" si="934"/>
        <v>8.0219644650814395E-2</v>
      </c>
      <c r="AZ147" s="39">
        <f t="shared" si="934"/>
        <v>6.4486651042851562E-2</v>
      </c>
      <c r="BA147" s="39">
        <f t="shared" si="934"/>
        <v>6.7361029504438383E-2</v>
      </c>
      <c r="BB147" s="39">
        <f t="shared" si="934"/>
        <v>6.7570603119075562E-2</v>
      </c>
      <c r="BC147" s="39">
        <f t="shared" si="934"/>
        <v>6.5671425922619237E-2</v>
      </c>
      <c r="BD147" s="39">
        <f t="shared" si="934"/>
        <v>6.6427783804520649E-2</v>
      </c>
      <c r="BE147" s="39">
        <f t="shared" si="934"/>
        <v>6.1574539884510962E-2</v>
      </c>
      <c r="BF147" s="39">
        <f t="shared" si="934"/>
        <v>5.9009784767334095E-2</v>
      </c>
      <c r="BG147" s="39">
        <f t="shared" si="934"/>
        <v>5.6699342431581576E-2</v>
      </c>
      <c r="BH147" s="39">
        <f t="shared" si="934"/>
        <v>5.4625338333128229E-2</v>
      </c>
      <c r="BI147" s="39">
        <f t="shared" si="934"/>
        <v>6.1395815175044666E-2</v>
      </c>
      <c r="BJ147" s="39">
        <f t="shared" si="934"/>
        <v>6.8033273280500309E-2</v>
      </c>
      <c r="BK147" s="39">
        <f t="shared" si="934"/>
        <v>7.4202521144981312E-2</v>
      </c>
      <c r="BL147" s="39">
        <f t="shared" si="934"/>
        <v>7.7205396015551625E-2</v>
      </c>
      <c r="BM147" s="39">
        <f t="shared" si="934"/>
        <v>7.7443180821873916E-2</v>
      </c>
      <c r="BN147" s="39">
        <f t="shared" si="934"/>
        <v>7.7073420516948515E-2</v>
      </c>
      <c r="BO147" s="39">
        <f t="shared" si="934"/>
        <v>7.4181271342823929E-2</v>
      </c>
      <c r="BP147" s="39">
        <f t="shared" si="934"/>
        <v>7.898026971357576E-2</v>
      </c>
      <c r="BQ147" s="39">
        <f t="shared" si="934"/>
        <v>7.7452239290267302E-2</v>
      </c>
      <c r="BR147" s="39">
        <f t="shared" ref="BR147:CW147" si="935">+SUM(BO126:BR126)/BR221</f>
        <v>7.0063811564421E-2</v>
      </c>
      <c r="BS147" s="39">
        <f t="shared" si="935"/>
        <v>7.1620722373368403E-2</v>
      </c>
      <c r="BT147" s="39">
        <f t="shared" si="935"/>
        <v>5.8443147061435094E-2</v>
      </c>
      <c r="BU147" s="39">
        <f t="shared" si="935"/>
        <v>5.5586458713207658E-2</v>
      </c>
      <c r="BV147" s="39">
        <f t="shared" si="935"/>
        <v>5.6364938902552425E-2</v>
      </c>
      <c r="BW147" s="39">
        <f t="shared" si="935"/>
        <v>5.1758118803339061E-2</v>
      </c>
      <c r="BX147" s="39">
        <f t="shared" si="935"/>
        <v>5.4424064367609992E-2</v>
      </c>
      <c r="BY147" s="39">
        <f t="shared" si="935"/>
        <v>6.2670044409402756E-2</v>
      </c>
      <c r="BZ147" s="39">
        <f t="shared" si="935"/>
        <v>6.2409960260187268E-2</v>
      </c>
      <c r="CA147" s="39">
        <f t="shared" si="935"/>
        <v>6.9987964498121488E-2</v>
      </c>
      <c r="CB147" s="39">
        <f t="shared" si="935"/>
        <v>7.9648463172841577E-2</v>
      </c>
      <c r="CC147" s="39">
        <f t="shared" si="935"/>
        <v>7.8631539241114837E-2</v>
      </c>
      <c r="CD147" s="39">
        <f t="shared" si="935"/>
        <v>8.0750275188361434E-2</v>
      </c>
      <c r="CE147" s="39">
        <f t="shared" si="935"/>
        <v>8.3130649549995855E-2</v>
      </c>
      <c r="CF147" s="39">
        <f t="shared" si="935"/>
        <v>8.3264548948906073E-2</v>
      </c>
      <c r="CG147" s="39">
        <f t="shared" si="935"/>
        <v>8.6122804753766352E-2</v>
      </c>
      <c r="CH147" s="39">
        <f t="shared" si="935"/>
        <v>8.7710468121598037E-2</v>
      </c>
      <c r="CI147" s="39">
        <f t="shared" si="935"/>
        <v>8.9529287579974415E-2</v>
      </c>
      <c r="CJ147" s="39">
        <f t="shared" si="935"/>
        <v>8.3462799616770125E-2</v>
      </c>
      <c r="CK147" s="39">
        <f t="shared" si="935"/>
        <v>8.6006274047971884E-2</v>
      </c>
      <c r="CL147" s="39">
        <f t="shared" si="935"/>
        <v>8.0370664330814162E-2</v>
      </c>
      <c r="CM147" s="40">
        <f t="shared" si="935"/>
        <v>8.0832267420639745E-2</v>
      </c>
      <c r="CN147" s="40">
        <f t="shared" si="935"/>
        <v>8.9549609207365322E-2</v>
      </c>
      <c r="CO147" s="40">
        <f t="shared" si="935"/>
        <v>9.4205332903638472E-2</v>
      </c>
      <c r="CP147" s="40">
        <f t="shared" si="935"/>
        <v>9.9445335056925127E-2</v>
      </c>
      <c r="CQ147" s="40">
        <f t="shared" si="935"/>
        <v>0.10517152136667358</v>
      </c>
      <c r="CR147" s="40">
        <f t="shared" si="935"/>
        <v>0.10500969277761771</v>
      </c>
      <c r="CS147" s="40">
        <f t="shared" si="935"/>
        <v>0.10476971057906187</v>
      </c>
      <c r="CT147" s="40">
        <f t="shared" si="935"/>
        <v>0.10536912482636054</v>
      </c>
      <c r="CU147" s="40">
        <f t="shared" si="935"/>
        <v>0.10616002418049042</v>
      </c>
      <c r="CV147" s="40">
        <f t="shared" si="935"/>
        <v>0.10664077504502296</v>
      </c>
      <c r="CW147" s="40">
        <f t="shared" si="935"/>
        <v>0.1072537260826127</v>
      </c>
      <c r="CX147" s="40">
        <f t="shared" ref="CX147:DB147" si="936">+SUM(CU126:CX126)/CX221</f>
        <v>0.10792605011976594</v>
      </c>
      <c r="CY147" s="40">
        <f t="shared" si="936"/>
        <v>0.10860250029514823</v>
      </c>
      <c r="CZ147" s="40">
        <f t="shared" si="936"/>
        <v>0.10920500106522293</v>
      </c>
      <c r="DA147" s="40">
        <f t="shared" si="936"/>
        <v>0.10986275060989889</v>
      </c>
      <c r="DB147" s="40">
        <f t="shared" si="936"/>
        <v>0.11048047178608993</v>
      </c>
      <c r="DE147" s="122"/>
      <c r="DF147" s="38">
        <v>8.5205453180496979E-2</v>
      </c>
    </row>
    <row r="148" spans="1:110" s="1" customFormat="1" x14ac:dyDescent="0.2">
      <c r="A148" s="150" t="s">
        <v>488</v>
      </c>
      <c r="AB148" s="20"/>
      <c r="AC148" s="20"/>
      <c r="AD148" s="20"/>
      <c r="AE148" s="20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E148" s="119"/>
    </row>
    <row r="149" spans="1:110" s="8" customFormat="1" x14ac:dyDescent="0.2">
      <c r="A149" s="12" t="s">
        <v>26</v>
      </c>
      <c r="AB149" s="58"/>
      <c r="AC149" s="58"/>
      <c r="AD149" s="58"/>
      <c r="AE149" s="58"/>
      <c r="CM149" s="54"/>
      <c r="CN149" s="54"/>
      <c r="CO149" s="54"/>
      <c r="CP149" s="54"/>
      <c r="CQ149" s="54"/>
      <c r="CR149" s="54"/>
      <c r="CS149" s="54"/>
      <c r="CT149" s="54"/>
      <c r="CU149" s="54"/>
      <c r="CV149" s="54"/>
      <c r="CW149" s="54"/>
      <c r="CX149" s="54"/>
      <c r="CY149" s="54"/>
      <c r="CZ149" s="54"/>
      <c r="DA149" s="54"/>
      <c r="DB149" s="54"/>
      <c r="DE149" s="132"/>
    </row>
    <row r="150" spans="1:110" s="9" customFormat="1" x14ac:dyDescent="0.2">
      <c r="A150" s="9" t="s">
        <v>453</v>
      </c>
      <c r="N150" s="9">
        <f>N101-SUM(AI101:AL101)</f>
        <v>187.64000000000669</v>
      </c>
      <c r="O150" s="9">
        <f>O101-SUM(AM101:AP101)</f>
        <v>819.19999999999709</v>
      </c>
      <c r="P150" s="9">
        <f>P101-SUM(AQ101:AT101)</f>
        <v>221.83999999999651</v>
      </c>
      <c r="Q150" s="9">
        <f>Q101-SUM(AU101:AX101)</f>
        <v>656.15999999999985</v>
      </c>
      <c r="R150" s="9">
        <f>R101-SUM(AY101:BB101)</f>
        <v>-44.06000000000131</v>
      </c>
      <c r="S150" s="9">
        <f>S101-SUM(BC101:BF101)</f>
        <v>-25.509999999998399</v>
      </c>
      <c r="T150" s="9">
        <f>T101-SUM(BG101:BJ101)</f>
        <v>0</v>
      </c>
      <c r="U150" s="9">
        <f>U101-SUM(BK101:BN101)</f>
        <v>0</v>
      </c>
      <c r="V150" s="9">
        <f>V101-SUM(BO101:BR101)</f>
        <v>0</v>
      </c>
      <c r="W150" s="9">
        <f>W101-SUM(BS101:BV101)</f>
        <v>0</v>
      </c>
      <c r="X150" s="9">
        <f>X101-SUM(BW101:BZ101)</f>
        <v>0</v>
      </c>
      <c r="Y150" s="9">
        <f>Y101-SUM(CA101:CD101)</f>
        <v>0</v>
      </c>
      <c r="Z150" s="9">
        <f>Z101-SUM(CE101:CH101)</f>
        <v>1.0000000002037268E-2</v>
      </c>
      <c r="AA150" s="9">
        <f>AA101-SUM(CF101:CI101)</f>
        <v>-3791.0899999999965</v>
      </c>
      <c r="AB150" s="15">
        <f>AB101-SUM(CM101:CP101)</f>
        <v>0</v>
      </c>
      <c r="AC150" s="15">
        <f>AC101-SUM(CQ101:CT101)</f>
        <v>0</v>
      </c>
      <c r="AD150" s="15">
        <f>AD101-SUM(CU101:CX101)</f>
        <v>0</v>
      </c>
      <c r="AE150" s="15">
        <f>AE101-SUM(CY101:DB101)</f>
        <v>0</v>
      </c>
      <c r="CM150" s="59"/>
      <c r="CN150" s="59"/>
      <c r="CO150" s="59"/>
      <c r="CP150" s="59"/>
      <c r="CQ150" s="59"/>
      <c r="CR150" s="59"/>
      <c r="CS150" s="59"/>
      <c r="CT150" s="59"/>
      <c r="CU150" s="59"/>
      <c r="CV150" s="59"/>
      <c r="CW150" s="59"/>
      <c r="CX150" s="59"/>
      <c r="CY150" s="59"/>
      <c r="CZ150" s="59"/>
      <c r="DA150" s="59"/>
      <c r="DB150" s="59"/>
      <c r="DE150" s="133"/>
      <c r="DF150" s="9">
        <v>0</v>
      </c>
    </row>
    <row r="151" spans="1:110" s="9" customFormat="1" x14ac:dyDescent="0.2">
      <c r="A151" s="9" t="s">
        <v>454</v>
      </c>
      <c r="N151" s="9">
        <f>N107-SUM(AI107:AL107)</f>
        <v>225.11000000000786</v>
      </c>
      <c r="O151" s="9">
        <f>O107-SUM(AM107:AP107)</f>
        <v>862.90000000000146</v>
      </c>
      <c r="P151" s="9">
        <f>P107-SUM(AQ107:AT107)</f>
        <v>252.93999999999505</v>
      </c>
      <c r="Q151" s="9">
        <f>Q107-SUM(AU107:AX107)</f>
        <v>685.7599999999984</v>
      </c>
      <c r="R151" s="9">
        <f>R107-SUM(AY107:BB107)</f>
        <v>-17.56000000000131</v>
      </c>
      <c r="S151" s="9">
        <f>S107-SUM(BC107:BF107)</f>
        <v>155.95000000000073</v>
      </c>
      <c r="T151" s="9">
        <f>T107-SUM(BG107:BJ107)</f>
        <v>345.2200000000048</v>
      </c>
      <c r="U151" s="9">
        <f>U107-SUM(BK107:BN107)</f>
        <v>111.73999999999796</v>
      </c>
      <c r="V151" s="9">
        <f>V107-SUM(BO107:BR107)</f>
        <v>28.890000000003056</v>
      </c>
      <c r="W151" s="9">
        <f>W107-SUM(BS107:BV107)</f>
        <v>49.110000000000582</v>
      </c>
      <c r="X151" s="9">
        <f>X107-SUM(BW107:BZ107)</f>
        <v>56.150000000001455</v>
      </c>
      <c r="Y151" s="9">
        <f>Y107-SUM(CA107:CD107)</f>
        <v>39.889999999999418</v>
      </c>
      <c r="Z151" s="9">
        <f>Z107-SUM(CE107:CH107)</f>
        <v>31.850000000005821</v>
      </c>
      <c r="AA151" s="9">
        <f>AA107-SUM(CF107:CI107)</f>
        <v>-4050.4300000000076</v>
      </c>
      <c r="AB151" s="15">
        <f>AB107-SUM(CM107:CP107)</f>
        <v>0</v>
      </c>
      <c r="AC151" s="15">
        <f>AC107-SUM(CQ107:CT107)</f>
        <v>0</v>
      </c>
      <c r="AD151" s="15">
        <f>AD107-SUM(CU107:CX107)</f>
        <v>0</v>
      </c>
      <c r="AE151" s="15">
        <f>AE107-SUM(CY107:DB107)</f>
        <v>0</v>
      </c>
      <c r="CM151" s="59"/>
      <c r="CN151" s="59"/>
      <c r="CO151" s="59"/>
      <c r="CP151" s="59"/>
      <c r="CQ151" s="59"/>
      <c r="CR151" s="59"/>
      <c r="CS151" s="59"/>
      <c r="CT151" s="59"/>
      <c r="CU151" s="59"/>
      <c r="CV151" s="59"/>
      <c r="CW151" s="59"/>
      <c r="CX151" s="59"/>
      <c r="CY151" s="59"/>
      <c r="CZ151" s="59"/>
      <c r="DA151" s="59"/>
      <c r="DB151" s="59"/>
      <c r="DE151" s="133"/>
      <c r="DF151" s="9">
        <v>0</v>
      </c>
    </row>
    <row r="152" spans="1:110" s="9" customFormat="1" x14ac:dyDescent="0.2">
      <c r="A152" s="9" t="s">
        <v>455</v>
      </c>
      <c r="N152" s="9">
        <f>N120-SUM(AI120:AL120)</f>
        <v>-161.41999999999825</v>
      </c>
      <c r="O152" s="9">
        <f>O120-SUM(AM120:AP120)</f>
        <v>-12.45999999999276</v>
      </c>
      <c r="P152" s="9">
        <f>P120-SUM(AQ120:AT120)</f>
        <v>333.96000000000004</v>
      </c>
      <c r="Q152" s="9">
        <f>Q120-SUM(AU120:AX120)</f>
        <v>588.73000000000229</v>
      </c>
      <c r="R152" s="9">
        <f>R120-SUM(AY120:BB120)</f>
        <v>-91.130000000006476</v>
      </c>
      <c r="S152" s="9">
        <f>S120-SUM(BC120:BF120)</f>
        <v>383.52000000000407</v>
      </c>
      <c r="T152" s="9">
        <f>T120-SUM(BG120:BJ120)</f>
        <v>-135.79999999999382</v>
      </c>
      <c r="U152" s="9">
        <f>U120-SUM(BK120:BN120)</f>
        <v>1544.4499999999998</v>
      </c>
      <c r="V152" s="9">
        <f>V120-SUM(BO120:BR120)</f>
        <v>149.9800000000032</v>
      </c>
      <c r="W152" s="9">
        <f>W120-SUM(BS120:BV120)</f>
        <v>198.37999999999556</v>
      </c>
      <c r="X152" s="9">
        <f>X120-SUM(BW120:BZ120)</f>
        <v>-30.020000000002256</v>
      </c>
      <c r="Y152" s="9">
        <f>Y120-SUM(CA120:CD120)</f>
        <v>0</v>
      </c>
      <c r="Z152" s="9">
        <f>Z120-SUM(CE120:CH120)</f>
        <v>-22.679999999998472</v>
      </c>
      <c r="AA152" s="9">
        <f>AA120-SUM(CF120:CI120)</f>
        <v>-1300.9900000000107</v>
      </c>
      <c r="AB152" s="15">
        <f>AB120-SUM(CM120:CP120)</f>
        <v>0</v>
      </c>
      <c r="AC152" s="15">
        <f>AC120-SUM(CQ120:CT120)</f>
        <v>0</v>
      </c>
      <c r="AD152" s="15">
        <f>AD120-SUM(CU120:CX120)</f>
        <v>0</v>
      </c>
      <c r="AE152" s="15">
        <f>AE120-SUM(CY120:DB120)</f>
        <v>0</v>
      </c>
      <c r="CM152" s="59"/>
      <c r="CN152" s="59"/>
      <c r="CO152" s="59"/>
      <c r="CP152" s="59"/>
      <c r="CQ152" s="59"/>
      <c r="CR152" s="59"/>
      <c r="CS152" s="59"/>
      <c r="CT152" s="59"/>
      <c r="CU152" s="59"/>
      <c r="CV152" s="59"/>
      <c r="CW152" s="59"/>
      <c r="CX152" s="59"/>
      <c r="CY152" s="59"/>
      <c r="CZ152" s="59"/>
      <c r="DA152" s="59"/>
      <c r="DB152" s="59"/>
      <c r="DE152" s="133"/>
      <c r="DF152" s="9">
        <v>0</v>
      </c>
    </row>
    <row r="153" spans="1:110" s="9" customFormat="1" x14ac:dyDescent="0.2">
      <c r="A153" s="9" t="s">
        <v>456</v>
      </c>
      <c r="N153" s="9">
        <f>N140-SUM(AI140:AL140)</f>
        <v>1.3642420526593924E-12</v>
      </c>
      <c r="O153" s="9">
        <f>O140-SUM(AM140:AP140)</f>
        <v>7.1622707764618099E-12</v>
      </c>
      <c r="P153" s="9">
        <f>P140-SUM(AQ140:AT140)</f>
        <v>2.2737367544323206E-13</v>
      </c>
      <c r="Q153" s="9">
        <f>Q140-SUM(AU140:AX140)</f>
        <v>2.9558577807620168E-12</v>
      </c>
      <c r="R153" s="9">
        <f>R140-SUM(AY140:BB140)</f>
        <v>19.989999999993074</v>
      </c>
      <c r="S153" s="9">
        <f>S140-SUM(BC140:BF140)</f>
        <v>4.0927261579781771E-12</v>
      </c>
      <c r="T153" s="9">
        <f>T140-SUM(BG140:BJ140)</f>
        <v>85.82000000000653</v>
      </c>
      <c r="U153" s="9">
        <f>U140-SUM(BK140:BN140)</f>
        <v>0</v>
      </c>
      <c r="V153" s="9">
        <f>V140-SUM(BO140:BR140)</f>
        <v>2.2737367544323206E-12</v>
      </c>
      <c r="W153" s="9">
        <f>W133-SUM(BS133:BV133)</f>
        <v>239.46999999999548</v>
      </c>
      <c r="X153" s="9">
        <f>X133-SUM(BW133:BZ133)</f>
        <v>-5.0000000001432454E-2</v>
      </c>
      <c r="Y153" s="9">
        <f>Y133-SUM(CA133:CD133)</f>
        <v>9.999999990213837E-3</v>
      </c>
      <c r="Z153" s="9">
        <f>Z133-SUM(CE133:CH133)</f>
        <v>5.0000000000181899E-2</v>
      </c>
      <c r="AA153" s="9">
        <f>AA133-SUM(CF133:CI133)</f>
        <v>-2062.5300000000125</v>
      </c>
      <c r="AB153" s="15">
        <f>AB133-SUM(CM133:CP133)</f>
        <v>-1.0004441719502211E-11</v>
      </c>
      <c r="AC153" s="15">
        <f>AC133-SUM(CQ133:CT133)</f>
        <v>-1.4551915228366852E-11</v>
      </c>
      <c r="AD153" s="15">
        <f>AD133-SUM(CU133:CX133)</f>
        <v>-2.1827872842550278E-11</v>
      </c>
      <c r="AE153" s="15">
        <f>AE133-SUM(CY133:DB133)</f>
        <v>0</v>
      </c>
      <c r="CM153" s="59"/>
      <c r="CN153" s="59"/>
      <c r="CO153" s="59"/>
      <c r="CP153" s="59"/>
      <c r="CQ153" s="59"/>
      <c r="CR153" s="59"/>
      <c r="CS153" s="59"/>
      <c r="CT153" s="59"/>
      <c r="CU153" s="59"/>
      <c r="CV153" s="59"/>
      <c r="CW153" s="59"/>
      <c r="CX153" s="59"/>
      <c r="CY153" s="59"/>
      <c r="CZ153" s="59"/>
      <c r="DA153" s="59"/>
      <c r="DB153" s="59"/>
      <c r="DE153" s="133"/>
      <c r="DF153" s="9">
        <v>9.0949470177292824E-12</v>
      </c>
    </row>
    <row r="154" spans="1:110" s="8" customFormat="1" x14ac:dyDescent="0.2">
      <c r="A154" s="149" t="s">
        <v>489</v>
      </c>
      <c r="AB154" s="58"/>
      <c r="AC154" s="58"/>
      <c r="AD154" s="58"/>
      <c r="AE154" s="58"/>
      <c r="CM154" s="54"/>
      <c r="CN154" s="54"/>
      <c r="CO154" s="54"/>
      <c r="CP154" s="54"/>
      <c r="CQ154" s="54"/>
      <c r="CR154" s="54"/>
      <c r="CS154" s="54"/>
      <c r="CT154" s="54"/>
      <c r="CU154" s="54"/>
      <c r="CV154" s="54"/>
      <c r="CW154" s="54"/>
      <c r="CX154" s="54"/>
      <c r="CY154" s="54"/>
      <c r="CZ154" s="54"/>
      <c r="DA154" s="54"/>
      <c r="DB154" s="54"/>
      <c r="DE154" s="132"/>
    </row>
    <row r="155" spans="1:110" s="3" customFormat="1" x14ac:dyDescent="0.2">
      <c r="A155" s="3" t="s">
        <v>27</v>
      </c>
      <c r="B155" s="3">
        <f>'Annual Raw'!C104</f>
        <v>197.84457649999999</v>
      </c>
      <c r="C155" s="3">
        <f>'Annual Raw'!D104</f>
        <v>197.81</v>
      </c>
      <c r="D155" s="3">
        <f>'Annual Raw'!E104</f>
        <v>197.81</v>
      </c>
      <c r="E155" s="3">
        <f t="shared" ref="E155:Y155" ca="1" si="937">+F155</f>
        <v>0</v>
      </c>
      <c r="F155" s="3">
        <f t="shared" ca="1" si="937"/>
        <v>0</v>
      </c>
      <c r="G155" s="3">
        <f t="shared" ca="1" si="937"/>
        <v>0</v>
      </c>
      <c r="H155" s="3">
        <f t="shared" ca="1" si="937"/>
        <v>0</v>
      </c>
      <c r="I155" s="3">
        <f t="shared" ca="1" si="937"/>
        <v>0</v>
      </c>
      <c r="J155" s="3">
        <f t="shared" ca="1" si="937"/>
        <v>0</v>
      </c>
      <c r="K155" s="3">
        <f t="shared" ca="1" si="937"/>
        <v>0</v>
      </c>
      <c r="L155" s="3">
        <f t="shared" ca="1" si="937"/>
        <v>0</v>
      </c>
      <c r="M155" s="3">
        <f t="shared" ca="1" si="937"/>
        <v>0</v>
      </c>
      <c r="N155" s="3">
        <f t="shared" ca="1" si="937"/>
        <v>0</v>
      </c>
      <c r="O155" s="3">
        <f t="shared" ca="1" si="937"/>
        <v>0</v>
      </c>
      <c r="P155" s="3">
        <f t="shared" ca="1" si="937"/>
        <v>0</v>
      </c>
      <c r="Q155" s="3">
        <f t="shared" ca="1" si="937"/>
        <v>0</v>
      </c>
      <c r="R155" s="3">
        <f t="shared" ca="1" si="937"/>
        <v>0</v>
      </c>
      <c r="S155" s="3">
        <f t="shared" ca="1" si="937"/>
        <v>0</v>
      </c>
      <c r="T155" s="3">
        <f t="shared" ca="1" si="937"/>
        <v>0</v>
      </c>
      <c r="U155" s="3">
        <f t="shared" ca="1" si="937"/>
        <v>0</v>
      </c>
      <c r="V155" s="3">
        <f t="shared" ca="1" si="937"/>
        <v>0</v>
      </c>
      <c r="W155" s="3">
        <f t="shared" ca="1" si="937"/>
        <v>0</v>
      </c>
      <c r="X155" s="3">
        <f t="shared" ca="1" si="937"/>
        <v>0</v>
      </c>
      <c r="Y155" s="3">
        <f t="shared" ca="1" si="937"/>
        <v>0</v>
      </c>
      <c r="Z155" s="3">
        <f ca="1">+AA155</f>
        <v>0</v>
      </c>
      <c r="AA155" s="3">
        <f ca="1">+AB155</f>
        <v>0</v>
      </c>
      <c r="AB155" s="37">
        <f t="shared" ref="AB155:AB156" ca="1" si="938">AA155</f>
        <v>0</v>
      </c>
      <c r="AC155" s="37">
        <f t="shared" ref="AC155:AC156" ca="1" si="939">AB155</f>
        <v>0</v>
      </c>
      <c r="AD155" s="37">
        <f t="shared" ref="AD155:AD156" ca="1" si="940">AC155</f>
        <v>0</v>
      </c>
      <c r="AE155" s="37">
        <f t="shared" ref="AE155:AE156" ca="1" si="941">AD155</f>
        <v>0</v>
      </c>
      <c r="AI155" s="3">
        <f t="shared" ref="AI155:CH155" si="942">+AJ155</f>
        <v>319.56</v>
      </c>
      <c r="AJ155" s="3">
        <f t="shared" si="942"/>
        <v>319.56</v>
      </c>
      <c r="AK155" s="3">
        <f t="shared" si="942"/>
        <v>319.56</v>
      </c>
      <c r="AL155" s="3">
        <f t="shared" si="942"/>
        <v>319.56</v>
      </c>
      <c r="AM155" s="3">
        <f t="shared" si="942"/>
        <v>319.56</v>
      </c>
      <c r="AN155" s="3">
        <f t="shared" si="942"/>
        <v>319.56</v>
      </c>
      <c r="AO155" s="3">
        <f t="shared" si="942"/>
        <v>319.56</v>
      </c>
      <c r="AP155" s="3">
        <f t="shared" si="942"/>
        <v>319.56</v>
      </c>
      <c r="AQ155" s="3">
        <f t="shared" si="942"/>
        <v>319.56</v>
      </c>
      <c r="AR155" s="3">
        <f t="shared" si="942"/>
        <v>319.56</v>
      </c>
      <c r="AS155" s="3">
        <f t="shared" si="942"/>
        <v>319.56</v>
      </c>
      <c r="AT155" s="3">
        <f t="shared" si="942"/>
        <v>319.56</v>
      </c>
      <c r="AU155" s="3">
        <f t="shared" si="942"/>
        <v>319.56</v>
      </c>
      <c r="AV155" s="3">
        <f t="shared" si="942"/>
        <v>319.56</v>
      </c>
      <c r="AW155" s="3">
        <f t="shared" si="942"/>
        <v>319.56</v>
      </c>
      <c r="AX155" s="3">
        <f t="shared" si="942"/>
        <v>319.56</v>
      </c>
      <c r="AY155" s="3">
        <f t="shared" si="942"/>
        <v>319.56</v>
      </c>
      <c r="AZ155" s="3">
        <f t="shared" si="942"/>
        <v>319.56</v>
      </c>
      <c r="BA155" s="3">
        <f t="shared" si="942"/>
        <v>319.56</v>
      </c>
      <c r="BB155" s="3">
        <f t="shared" si="942"/>
        <v>319.56</v>
      </c>
      <c r="BC155" s="3">
        <f t="shared" si="942"/>
        <v>319.56</v>
      </c>
      <c r="BD155" s="3">
        <f t="shared" si="942"/>
        <v>319.56</v>
      </c>
      <c r="BE155" s="3">
        <f t="shared" si="942"/>
        <v>319.56</v>
      </c>
      <c r="BF155" s="3">
        <f t="shared" si="942"/>
        <v>319.56</v>
      </c>
      <c r="BG155" s="3">
        <f t="shared" si="942"/>
        <v>319.56</v>
      </c>
      <c r="BH155" s="3">
        <f t="shared" si="942"/>
        <v>319.56</v>
      </c>
      <c r="BI155" s="3">
        <f t="shared" si="942"/>
        <v>319.56</v>
      </c>
      <c r="BJ155" s="3">
        <f t="shared" si="942"/>
        <v>319.56</v>
      </c>
      <c r="BK155" s="3">
        <f t="shared" si="942"/>
        <v>319.56</v>
      </c>
      <c r="BL155" s="3">
        <f t="shared" si="942"/>
        <v>319.56</v>
      </c>
      <c r="BM155" s="3">
        <f t="shared" si="942"/>
        <v>319.56</v>
      </c>
      <c r="BN155" s="3">
        <f t="shared" si="942"/>
        <v>319.56</v>
      </c>
      <c r="BO155" s="3">
        <f t="shared" si="942"/>
        <v>319.56</v>
      </c>
      <c r="BP155" s="3">
        <f t="shared" si="942"/>
        <v>319.56</v>
      </c>
      <c r="BQ155" s="3">
        <f t="shared" si="942"/>
        <v>319.56</v>
      </c>
      <c r="BR155" s="3">
        <f t="shared" si="942"/>
        <v>319.56</v>
      </c>
      <c r="BS155" s="3">
        <f t="shared" si="942"/>
        <v>319.56</v>
      </c>
      <c r="BT155" s="3">
        <f t="shared" si="942"/>
        <v>319.56</v>
      </c>
      <c r="BU155" s="3">
        <f t="shared" si="942"/>
        <v>319.56</v>
      </c>
      <c r="BV155" s="3">
        <f t="shared" si="942"/>
        <v>319.56</v>
      </c>
      <c r="BW155" s="3">
        <f t="shared" si="942"/>
        <v>319.56</v>
      </c>
      <c r="BX155" s="3">
        <f t="shared" si="942"/>
        <v>319.56</v>
      </c>
      <c r="BY155" s="3">
        <f t="shared" si="942"/>
        <v>319.56</v>
      </c>
      <c r="BZ155" s="3">
        <f t="shared" si="942"/>
        <v>319.56</v>
      </c>
      <c r="CA155" s="3">
        <f t="shared" si="942"/>
        <v>319.56</v>
      </c>
      <c r="CB155" s="3">
        <f t="shared" si="942"/>
        <v>319.56</v>
      </c>
      <c r="CC155" s="3">
        <f t="shared" si="942"/>
        <v>319.56</v>
      </c>
      <c r="CD155" s="3">
        <f t="shared" si="942"/>
        <v>319.56</v>
      </c>
      <c r="CE155" s="3">
        <f t="shared" si="942"/>
        <v>319.56</v>
      </c>
      <c r="CF155" s="3">
        <f t="shared" si="942"/>
        <v>319.56</v>
      </c>
      <c r="CG155" s="3">
        <f t="shared" si="942"/>
        <v>319.56</v>
      </c>
      <c r="CH155" s="3">
        <f t="shared" si="942"/>
        <v>319.56</v>
      </c>
      <c r="CI155" s="3">
        <f>+CJ155</f>
        <v>319.56</v>
      </c>
      <c r="CJ155" s="3">
        <f>'QTR Raw'!BD45</f>
        <v>319.56</v>
      </c>
      <c r="CK155" s="3">
        <f>'QTR Raw'!BE45</f>
        <v>319.56</v>
      </c>
      <c r="CL155" s="3">
        <f>'QTR Raw'!BF45</f>
        <v>319.56</v>
      </c>
      <c r="CM155" s="37">
        <f t="shared" ref="CM155:CM156" si="943">+CL155</f>
        <v>319.56</v>
      </c>
      <c r="CN155" s="37">
        <f t="shared" ref="CN155:CN156" si="944">+CM155</f>
        <v>319.56</v>
      </c>
      <c r="CO155" s="37">
        <f t="shared" ref="CO155:CO156" si="945">+CN155</f>
        <v>319.56</v>
      </c>
      <c r="CP155" s="37">
        <f t="shared" ref="CP155:CP156" si="946">+CO155</f>
        <v>319.56</v>
      </c>
      <c r="CQ155" s="37">
        <f t="shared" ref="CQ155:CQ156" si="947">+CP155</f>
        <v>319.56</v>
      </c>
      <c r="CR155" s="37">
        <f t="shared" ref="CR155:CR156" si="948">+CQ155</f>
        <v>319.56</v>
      </c>
      <c r="CS155" s="37">
        <f t="shared" ref="CS155:CS156" si="949">+CR155</f>
        <v>319.56</v>
      </c>
      <c r="CT155" s="37">
        <f t="shared" ref="CT155:CT156" si="950">+CS155</f>
        <v>319.56</v>
      </c>
      <c r="CU155" s="37">
        <f t="shared" ref="CU155:CU156" si="951">+CT155</f>
        <v>319.56</v>
      </c>
      <c r="CV155" s="37">
        <f t="shared" ref="CV155:CV156" si="952">+CU155</f>
        <v>319.56</v>
      </c>
      <c r="CW155" s="37">
        <f t="shared" ref="CW155:CW156" si="953">+CV155</f>
        <v>319.56</v>
      </c>
      <c r="CX155" s="37">
        <f t="shared" ref="CX155:CX156" si="954">+CW155</f>
        <v>319.56</v>
      </c>
      <c r="CY155" s="37">
        <f t="shared" ref="CY155:CY156" si="955">+CX155</f>
        <v>319.56</v>
      </c>
      <c r="CZ155" s="37">
        <f t="shared" ref="CZ155:CZ156" si="956">+CY155</f>
        <v>319.56</v>
      </c>
      <c r="DA155" s="37">
        <f t="shared" ref="DA155:DA156" si="957">+CZ155</f>
        <v>319.56</v>
      </c>
      <c r="DB155" s="37">
        <f t="shared" ref="DB155:DB156" si="958">+DA155</f>
        <v>319.56</v>
      </c>
      <c r="DE155" s="134"/>
      <c r="DF155" s="3">
        <v>319.56</v>
      </c>
    </row>
    <row r="156" spans="1:110" s="3" customFormat="1" x14ac:dyDescent="0.2">
      <c r="A156" s="3" t="s">
        <v>28</v>
      </c>
      <c r="B156" s="3">
        <f>'Annual Raw'!C105</f>
        <v>10</v>
      </c>
      <c r="C156" s="3">
        <f>'Annual Raw'!D105</f>
        <v>10</v>
      </c>
      <c r="D156" s="3">
        <f>'Annual Raw'!E105</f>
        <v>10</v>
      </c>
      <c r="E156" s="3">
        <f t="shared" ref="E156:Y156" ca="1" si="959">+F156</f>
        <v>0</v>
      </c>
      <c r="F156" s="3">
        <f t="shared" ca="1" si="959"/>
        <v>0</v>
      </c>
      <c r="G156" s="3">
        <f t="shared" ca="1" si="959"/>
        <v>0</v>
      </c>
      <c r="H156" s="3">
        <f t="shared" ca="1" si="959"/>
        <v>0</v>
      </c>
      <c r="I156" s="3">
        <f t="shared" ca="1" si="959"/>
        <v>0</v>
      </c>
      <c r="J156" s="3">
        <f t="shared" ca="1" si="959"/>
        <v>0</v>
      </c>
      <c r="K156" s="3">
        <f t="shared" ca="1" si="959"/>
        <v>0</v>
      </c>
      <c r="L156" s="3">
        <f t="shared" ca="1" si="959"/>
        <v>0</v>
      </c>
      <c r="M156" s="3">
        <f t="shared" ca="1" si="959"/>
        <v>0</v>
      </c>
      <c r="N156" s="3">
        <f t="shared" ca="1" si="959"/>
        <v>0</v>
      </c>
      <c r="O156" s="3">
        <f t="shared" ca="1" si="959"/>
        <v>0</v>
      </c>
      <c r="P156" s="3">
        <f t="shared" ca="1" si="959"/>
        <v>0</v>
      </c>
      <c r="Q156" s="3">
        <f t="shared" ca="1" si="959"/>
        <v>0</v>
      </c>
      <c r="R156" s="3">
        <f t="shared" ca="1" si="959"/>
        <v>0</v>
      </c>
      <c r="S156" s="3">
        <f t="shared" ca="1" si="959"/>
        <v>0</v>
      </c>
      <c r="T156" s="3">
        <f t="shared" ca="1" si="959"/>
        <v>0</v>
      </c>
      <c r="U156" s="3">
        <f t="shared" ca="1" si="959"/>
        <v>0</v>
      </c>
      <c r="V156" s="3">
        <f t="shared" ca="1" si="959"/>
        <v>0</v>
      </c>
      <c r="W156" s="3">
        <f t="shared" ca="1" si="959"/>
        <v>0</v>
      </c>
      <c r="X156" s="3">
        <f t="shared" ca="1" si="959"/>
        <v>0</v>
      </c>
      <c r="Y156" s="3">
        <f t="shared" ca="1" si="959"/>
        <v>0</v>
      </c>
      <c r="Z156" s="3">
        <f ca="1">+AA156</f>
        <v>0</v>
      </c>
      <c r="AA156" s="3">
        <f ca="1">+AB156</f>
        <v>0</v>
      </c>
      <c r="AB156" s="37">
        <f t="shared" ca="1" si="938"/>
        <v>0</v>
      </c>
      <c r="AC156" s="37">
        <f t="shared" ca="1" si="939"/>
        <v>0</v>
      </c>
      <c r="AD156" s="37">
        <f t="shared" ca="1" si="940"/>
        <v>0</v>
      </c>
      <c r="AE156" s="37">
        <f t="shared" ca="1" si="941"/>
        <v>0</v>
      </c>
      <c r="AI156" s="3">
        <f t="shared" ref="AI156:CH156" si="960">AJ156</f>
        <v>1</v>
      </c>
      <c r="AJ156" s="3">
        <f t="shared" si="960"/>
        <v>1</v>
      </c>
      <c r="AK156" s="3">
        <f t="shared" si="960"/>
        <v>1</v>
      </c>
      <c r="AL156" s="3">
        <f t="shared" si="960"/>
        <v>1</v>
      </c>
      <c r="AM156" s="3">
        <f t="shared" si="960"/>
        <v>1</v>
      </c>
      <c r="AN156" s="3">
        <f t="shared" si="960"/>
        <v>1</v>
      </c>
      <c r="AO156" s="3">
        <f t="shared" si="960"/>
        <v>1</v>
      </c>
      <c r="AP156" s="3">
        <f t="shared" si="960"/>
        <v>1</v>
      </c>
      <c r="AQ156" s="3">
        <f t="shared" si="960"/>
        <v>1</v>
      </c>
      <c r="AR156" s="3">
        <f t="shared" si="960"/>
        <v>1</v>
      </c>
      <c r="AS156" s="3">
        <f t="shared" si="960"/>
        <v>1</v>
      </c>
      <c r="AT156" s="3">
        <f t="shared" si="960"/>
        <v>1</v>
      </c>
      <c r="AU156" s="3">
        <f t="shared" si="960"/>
        <v>1</v>
      </c>
      <c r="AV156" s="3">
        <f t="shared" si="960"/>
        <v>1</v>
      </c>
      <c r="AW156" s="3">
        <f t="shared" si="960"/>
        <v>1</v>
      </c>
      <c r="AX156" s="3">
        <f t="shared" si="960"/>
        <v>1</v>
      </c>
      <c r="AY156" s="3">
        <f t="shared" si="960"/>
        <v>1</v>
      </c>
      <c r="AZ156" s="3">
        <f t="shared" si="960"/>
        <v>1</v>
      </c>
      <c r="BA156" s="3">
        <f t="shared" si="960"/>
        <v>1</v>
      </c>
      <c r="BB156" s="3">
        <f t="shared" si="960"/>
        <v>1</v>
      </c>
      <c r="BC156" s="3">
        <f t="shared" si="960"/>
        <v>1</v>
      </c>
      <c r="BD156" s="3">
        <f t="shared" si="960"/>
        <v>1</v>
      </c>
      <c r="BE156" s="3">
        <f t="shared" si="960"/>
        <v>1</v>
      </c>
      <c r="BF156" s="3">
        <f t="shared" si="960"/>
        <v>1</v>
      </c>
      <c r="BG156" s="3">
        <f t="shared" si="960"/>
        <v>1</v>
      </c>
      <c r="BH156" s="3">
        <f t="shared" si="960"/>
        <v>1</v>
      </c>
      <c r="BI156" s="3">
        <f t="shared" si="960"/>
        <v>1</v>
      </c>
      <c r="BJ156" s="3">
        <f t="shared" si="960"/>
        <v>1</v>
      </c>
      <c r="BK156" s="3">
        <f t="shared" si="960"/>
        <v>1</v>
      </c>
      <c r="BL156" s="3">
        <f t="shared" si="960"/>
        <v>1</v>
      </c>
      <c r="BM156" s="3">
        <f t="shared" si="960"/>
        <v>1</v>
      </c>
      <c r="BN156" s="3">
        <f t="shared" si="960"/>
        <v>1</v>
      </c>
      <c r="BO156" s="3">
        <f t="shared" si="960"/>
        <v>1</v>
      </c>
      <c r="BP156" s="3">
        <f t="shared" si="960"/>
        <v>1</v>
      </c>
      <c r="BQ156" s="3">
        <f t="shared" si="960"/>
        <v>1</v>
      </c>
      <c r="BR156" s="3">
        <f t="shared" si="960"/>
        <v>1</v>
      </c>
      <c r="BS156" s="3">
        <f t="shared" si="960"/>
        <v>1</v>
      </c>
      <c r="BT156" s="3">
        <f t="shared" si="960"/>
        <v>1</v>
      </c>
      <c r="BU156" s="3">
        <f t="shared" si="960"/>
        <v>1</v>
      </c>
      <c r="BV156" s="3">
        <f t="shared" si="960"/>
        <v>1</v>
      </c>
      <c r="BW156" s="3">
        <f t="shared" si="960"/>
        <v>1</v>
      </c>
      <c r="BX156" s="3">
        <f t="shared" si="960"/>
        <v>1</v>
      </c>
      <c r="BY156" s="3">
        <f t="shared" si="960"/>
        <v>1</v>
      </c>
      <c r="BZ156" s="3">
        <f t="shared" si="960"/>
        <v>1</v>
      </c>
      <c r="CA156" s="3">
        <f t="shared" si="960"/>
        <v>1</v>
      </c>
      <c r="CB156" s="3">
        <f t="shared" si="960"/>
        <v>1</v>
      </c>
      <c r="CC156" s="3">
        <f t="shared" si="960"/>
        <v>1</v>
      </c>
      <c r="CD156" s="3">
        <f t="shared" si="960"/>
        <v>1</v>
      </c>
      <c r="CE156" s="3">
        <f t="shared" si="960"/>
        <v>1</v>
      </c>
      <c r="CF156" s="3">
        <f t="shared" si="960"/>
        <v>1</v>
      </c>
      <c r="CG156" s="3">
        <f t="shared" si="960"/>
        <v>1</v>
      </c>
      <c r="CH156" s="3">
        <f t="shared" si="960"/>
        <v>1</v>
      </c>
      <c r="CI156" s="3">
        <f>CJ156</f>
        <v>1</v>
      </c>
      <c r="CJ156" s="3">
        <f>'QTR Raw'!BD46</f>
        <v>1</v>
      </c>
      <c r="CK156" s="3">
        <f>'QTR Raw'!BE46</f>
        <v>1</v>
      </c>
      <c r="CL156" s="3">
        <f>'QTR Raw'!BF46</f>
        <v>1</v>
      </c>
      <c r="CM156" s="37">
        <f t="shared" si="943"/>
        <v>1</v>
      </c>
      <c r="CN156" s="37">
        <f t="shared" si="944"/>
        <v>1</v>
      </c>
      <c r="CO156" s="37">
        <f t="shared" si="945"/>
        <v>1</v>
      </c>
      <c r="CP156" s="37">
        <f t="shared" si="946"/>
        <v>1</v>
      </c>
      <c r="CQ156" s="37">
        <f t="shared" si="947"/>
        <v>1</v>
      </c>
      <c r="CR156" s="37">
        <f t="shared" si="948"/>
        <v>1</v>
      </c>
      <c r="CS156" s="37">
        <f t="shared" si="949"/>
        <v>1</v>
      </c>
      <c r="CT156" s="37">
        <f t="shared" si="950"/>
        <v>1</v>
      </c>
      <c r="CU156" s="37">
        <f t="shared" si="951"/>
        <v>1</v>
      </c>
      <c r="CV156" s="37">
        <f t="shared" si="952"/>
        <v>1</v>
      </c>
      <c r="CW156" s="37">
        <f t="shared" si="953"/>
        <v>1</v>
      </c>
      <c r="CX156" s="37">
        <f t="shared" si="954"/>
        <v>1</v>
      </c>
      <c r="CY156" s="37">
        <f t="shared" si="955"/>
        <v>1</v>
      </c>
      <c r="CZ156" s="37">
        <f t="shared" si="956"/>
        <v>1</v>
      </c>
      <c r="DA156" s="37">
        <f t="shared" si="957"/>
        <v>1</v>
      </c>
      <c r="DB156" s="37">
        <f t="shared" si="958"/>
        <v>1</v>
      </c>
      <c r="DE156" s="134"/>
      <c r="DF156" s="3">
        <v>1</v>
      </c>
    </row>
    <row r="157" spans="1:110" s="3" customFormat="1" x14ac:dyDescent="0.2">
      <c r="A157" s="3" t="s">
        <v>29</v>
      </c>
      <c r="B157" s="3">
        <f>B155/B156</f>
        <v>19.78445765</v>
      </c>
      <c r="C157" s="3">
        <f t="shared" ref="C157:W157" si="961">C155/C156</f>
        <v>19.780999999999999</v>
      </c>
      <c r="D157" s="3">
        <f t="shared" si="961"/>
        <v>19.780999999999999</v>
      </c>
      <c r="E157" s="3" t="e">
        <f t="shared" ca="1" si="961"/>
        <v>#DIV/0!</v>
      </c>
      <c r="F157" s="3" t="e">
        <f t="shared" ca="1" si="961"/>
        <v>#DIV/0!</v>
      </c>
      <c r="G157" s="3" t="e">
        <f t="shared" ca="1" si="961"/>
        <v>#DIV/0!</v>
      </c>
      <c r="H157" s="3" t="e">
        <f t="shared" ca="1" si="961"/>
        <v>#DIV/0!</v>
      </c>
      <c r="I157" s="3" t="e">
        <f t="shared" ca="1" si="961"/>
        <v>#DIV/0!</v>
      </c>
      <c r="J157" s="3" t="e">
        <f t="shared" ca="1" si="961"/>
        <v>#DIV/0!</v>
      </c>
      <c r="K157" s="3" t="e">
        <f t="shared" ca="1" si="961"/>
        <v>#DIV/0!</v>
      </c>
      <c r="L157" s="3" t="e">
        <f t="shared" ca="1" si="961"/>
        <v>#DIV/0!</v>
      </c>
      <c r="M157" s="3" t="e">
        <f t="shared" ca="1" si="961"/>
        <v>#DIV/0!</v>
      </c>
      <c r="N157" s="3" t="e">
        <f t="shared" ca="1" si="961"/>
        <v>#DIV/0!</v>
      </c>
      <c r="O157" s="3" t="e">
        <f t="shared" ca="1" si="961"/>
        <v>#DIV/0!</v>
      </c>
      <c r="P157" s="3" t="e">
        <f t="shared" ca="1" si="961"/>
        <v>#DIV/0!</v>
      </c>
      <c r="Q157" s="3" t="e">
        <f t="shared" ca="1" si="961"/>
        <v>#DIV/0!</v>
      </c>
      <c r="R157" s="3" t="e">
        <f t="shared" ca="1" si="961"/>
        <v>#DIV/0!</v>
      </c>
      <c r="S157" s="3" t="e">
        <f t="shared" ca="1" si="961"/>
        <v>#DIV/0!</v>
      </c>
      <c r="T157" s="3" t="e">
        <f t="shared" ca="1" si="961"/>
        <v>#DIV/0!</v>
      </c>
      <c r="U157" s="3" t="e">
        <f t="shared" ca="1" si="961"/>
        <v>#DIV/0!</v>
      </c>
      <c r="V157" s="3" t="e">
        <f ca="1">V155/V156</f>
        <v>#DIV/0!</v>
      </c>
      <c r="W157" s="3" t="e">
        <f t="shared" ca="1" si="961"/>
        <v>#DIV/0!</v>
      </c>
      <c r="X157" s="3" t="e">
        <f t="shared" ref="X157:Y157" ca="1" si="962">X155/X156</f>
        <v>#DIV/0!</v>
      </c>
      <c r="Y157" s="3" t="e">
        <f t="shared" ca="1" si="962"/>
        <v>#DIV/0!</v>
      </c>
      <c r="Z157" s="3" t="e">
        <f t="shared" ref="Z157:AA157" ca="1" si="963">Z155/Z156</f>
        <v>#DIV/0!</v>
      </c>
      <c r="AA157" s="3" t="e">
        <f t="shared" ca="1" si="963"/>
        <v>#DIV/0!</v>
      </c>
      <c r="AB157" s="37" t="e">
        <f t="shared" ref="AA157:AD157" ca="1" si="964">AB155/AB156</f>
        <v>#DIV/0!</v>
      </c>
      <c r="AC157" s="37" t="e">
        <f t="shared" ca="1" si="964"/>
        <v>#DIV/0!</v>
      </c>
      <c r="AD157" s="37" t="e">
        <f t="shared" ca="1" si="964"/>
        <v>#DIV/0!</v>
      </c>
      <c r="AE157" s="37" t="e">
        <f t="shared" ref="AE157" ca="1" si="965">AE155/AE156</f>
        <v>#DIV/0!</v>
      </c>
      <c r="AI157" s="3">
        <f t="shared" ref="AI157" si="966">AI155/AI156</f>
        <v>319.56</v>
      </c>
      <c r="AJ157" s="3">
        <f t="shared" ref="AJ157" si="967">AJ155/AJ156</f>
        <v>319.56</v>
      </c>
      <c r="AK157" s="3">
        <f t="shared" ref="AK157:AM157" si="968">AK155/AK156</f>
        <v>319.56</v>
      </c>
      <c r="AL157" s="3">
        <f t="shared" si="968"/>
        <v>319.56</v>
      </c>
      <c r="AM157" s="3">
        <f t="shared" si="968"/>
        <v>319.56</v>
      </c>
      <c r="AN157" s="3">
        <f t="shared" ref="AN157:AO157" si="969">AN155/AN156</f>
        <v>319.56</v>
      </c>
      <c r="AO157" s="3">
        <f t="shared" si="969"/>
        <v>319.56</v>
      </c>
      <c r="AP157" s="3">
        <f t="shared" ref="AP157:CD157" si="970">AP155/AP156</f>
        <v>319.56</v>
      </c>
      <c r="AQ157" s="3">
        <f t="shared" si="970"/>
        <v>319.56</v>
      </c>
      <c r="AR157" s="3">
        <f t="shared" si="970"/>
        <v>319.56</v>
      </c>
      <c r="AS157" s="3">
        <f t="shared" si="970"/>
        <v>319.56</v>
      </c>
      <c r="AT157" s="3">
        <f t="shared" si="970"/>
        <v>319.56</v>
      </c>
      <c r="AU157" s="3">
        <f t="shared" si="970"/>
        <v>319.56</v>
      </c>
      <c r="AV157" s="3">
        <f t="shared" si="970"/>
        <v>319.56</v>
      </c>
      <c r="AW157" s="3">
        <f t="shared" si="970"/>
        <v>319.56</v>
      </c>
      <c r="AX157" s="3">
        <f t="shared" si="970"/>
        <v>319.56</v>
      </c>
      <c r="AY157" s="3">
        <f t="shared" si="970"/>
        <v>319.56</v>
      </c>
      <c r="AZ157" s="3">
        <f t="shared" si="970"/>
        <v>319.56</v>
      </c>
      <c r="BA157" s="3">
        <f t="shared" si="970"/>
        <v>319.56</v>
      </c>
      <c r="BB157" s="3">
        <f t="shared" si="970"/>
        <v>319.56</v>
      </c>
      <c r="BC157" s="3">
        <f t="shared" si="970"/>
        <v>319.56</v>
      </c>
      <c r="BD157" s="3">
        <f t="shared" si="970"/>
        <v>319.56</v>
      </c>
      <c r="BE157" s="3">
        <f t="shared" si="970"/>
        <v>319.56</v>
      </c>
      <c r="BF157" s="3">
        <f t="shared" si="970"/>
        <v>319.56</v>
      </c>
      <c r="BG157" s="3">
        <f t="shared" si="970"/>
        <v>319.56</v>
      </c>
      <c r="BH157" s="3">
        <f t="shared" si="970"/>
        <v>319.56</v>
      </c>
      <c r="BI157" s="3">
        <f t="shared" si="970"/>
        <v>319.56</v>
      </c>
      <c r="BJ157" s="3">
        <f t="shared" si="970"/>
        <v>319.56</v>
      </c>
      <c r="BK157" s="3">
        <f t="shared" si="970"/>
        <v>319.56</v>
      </c>
      <c r="BL157" s="3">
        <f t="shared" si="970"/>
        <v>319.56</v>
      </c>
      <c r="BM157" s="3">
        <f t="shared" si="970"/>
        <v>319.56</v>
      </c>
      <c r="BN157" s="3">
        <f t="shared" si="970"/>
        <v>319.56</v>
      </c>
      <c r="BO157" s="3">
        <f t="shared" si="970"/>
        <v>319.56</v>
      </c>
      <c r="BP157" s="3">
        <f t="shared" si="970"/>
        <v>319.56</v>
      </c>
      <c r="BQ157" s="3">
        <f t="shared" si="970"/>
        <v>319.56</v>
      </c>
      <c r="BR157" s="3">
        <f t="shared" si="970"/>
        <v>319.56</v>
      </c>
      <c r="BS157" s="3">
        <f t="shared" si="970"/>
        <v>319.56</v>
      </c>
      <c r="BT157" s="3">
        <f t="shared" si="970"/>
        <v>319.56</v>
      </c>
      <c r="BU157" s="3">
        <f t="shared" si="970"/>
        <v>319.56</v>
      </c>
      <c r="BV157" s="3">
        <f t="shared" si="970"/>
        <v>319.56</v>
      </c>
      <c r="BW157" s="3">
        <f t="shared" si="970"/>
        <v>319.56</v>
      </c>
      <c r="BX157" s="3">
        <f t="shared" si="970"/>
        <v>319.56</v>
      </c>
      <c r="BY157" s="3">
        <f t="shared" si="970"/>
        <v>319.56</v>
      </c>
      <c r="BZ157" s="3">
        <f t="shared" si="970"/>
        <v>319.56</v>
      </c>
      <c r="CA157" s="3">
        <f t="shared" si="970"/>
        <v>319.56</v>
      </c>
      <c r="CB157" s="3">
        <f t="shared" si="970"/>
        <v>319.56</v>
      </c>
      <c r="CC157" s="3">
        <f t="shared" si="970"/>
        <v>319.56</v>
      </c>
      <c r="CD157" s="3">
        <f t="shared" si="970"/>
        <v>319.56</v>
      </c>
      <c r="CE157" s="3">
        <f t="shared" ref="CE157:CF157" si="971">CE155/CE156</f>
        <v>319.56</v>
      </c>
      <c r="CF157" s="3">
        <f t="shared" si="971"/>
        <v>319.56</v>
      </c>
      <c r="CG157" s="3">
        <f t="shared" ref="CG157:CH157" si="972">CG155/CG156</f>
        <v>319.56</v>
      </c>
      <c r="CH157" s="3">
        <f t="shared" si="972"/>
        <v>319.56</v>
      </c>
      <c r="CI157" s="3">
        <f t="shared" ref="CI157:CJ157" si="973">CI155/CI156</f>
        <v>319.56</v>
      </c>
      <c r="CJ157" s="3">
        <f t="shared" si="973"/>
        <v>319.56</v>
      </c>
      <c r="CK157" s="3">
        <f t="shared" ref="CK157:CL157" si="974">CK155/CK156</f>
        <v>319.56</v>
      </c>
      <c r="CL157" s="3">
        <f t="shared" si="974"/>
        <v>319.56</v>
      </c>
      <c r="CM157" s="37">
        <f t="shared" ref="CM157:DB157" si="975">CM155/CM156</f>
        <v>319.56</v>
      </c>
      <c r="CN157" s="37">
        <f t="shared" si="975"/>
        <v>319.56</v>
      </c>
      <c r="CO157" s="37">
        <f t="shared" si="975"/>
        <v>319.56</v>
      </c>
      <c r="CP157" s="37">
        <f t="shared" si="975"/>
        <v>319.56</v>
      </c>
      <c r="CQ157" s="37">
        <f t="shared" si="975"/>
        <v>319.56</v>
      </c>
      <c r="CR157" s="37">
        <f t="shared" si="975"/>
        <v>319.56</v>
      </c>
      <c r="CS157" s="37">
        <f t="shared" si="975"/>
        <v>319.56</v>
      </c>
      <c r="CT157" s="37">
        <f t="shared" si="975"/>
        <v>319.56</v>
      </c>
      <c r="CU157" s="37">
        <f t="shared" si="975"/>
        <v>319.56</v>
      </c>
      <c r="CV157" s="37">
        <f t="shared" si="975"/>
        <v>319.56</v>
      </c>
      <c r="CW157" s="37">
        <f t="shared" si="975"/>
        <v>319.56</v>
      </c>
      <c r="CX157" s="37">
        <f t="shared" si="975"/>
        <v>319.56</v>
      </c>
      <c r="CY157" s="37">
        <f t="shared" si="975"/>
        <v>319.56</v>
      </c>
      <c r="CZ157" s="37">
        <f t="shared" si="975"/>
        <v>319.56</v>
      </c>
      <c r="DA157" s="37">
        <f t="shared" si="975"/>
        <v>319.56</v>
      </c>
      <c r="DB157" s="37">
        <f t="shared" si="975"/>
        <v>319.56</v>
      </c>
      <c r="DE157" s="134"/>
      <c r="DF157" s="3">
        <v>319.56</v>
      </c>
    </row>
    <row r="158" spans="1:110" s="53" customFormat="1" x14ac:dyDescent="0.2">
      <c r="A158" s="53" t="s">
        <v>30</v>
      </c>
      <c r="B158" s="53">
        <f t="shared" ref="B158:AE158" si="976">(B140-B139)/B157</f>
        <v>19.692118479679426</v>
      </c>
      <c r="C158" s="53">
        <f t="shared" si="976"/>
        <v>24.640816945553823</v>
      </c>
      <c r="D158" s="53">
        <f t="shared" si="976"/>
        <v>19.706283807694248</v>
      </c>
      <c r="E158" s="53" t="e">
        <f t="shared" ca="1" si="976"/>
        <v>#DIV/0!</v>
      </c>
      <c r="F158" s="53" t="e">
        <f t="shared" ca="1" si="976"/>
        <v>#DIV/0!</v>
      </c>
      <c r="G158" s="53" t="e">
        <f t="shared" ca="1" si="976"/>
        <v>#DIV/0!</v>
      </c>
      <c r="H158" s="53" t="e">
        <f t="shared" ca="1" si="976"/>
        <v>#DIV/0!</v>
      </c>
      <c r="I158" s="53" t="e">
        <f t="shared" ca="1" si="976"/>
        <v>#DIV/0!</v>
      </c>
      <c r="J158" s="53" t="e">
        <f t="shared" ca="1" si="976"/>
        <v>#DIV/0!</v>
      </c>
      <c r="K158" s="53" t="e">
        <f t="shared" ca="1" si="976"/>
        <v>#DIV/0!</v>
      </c>
      <c r="L158" s="53" t="e">
        <f t="shared" ca="1" si="976"/>
        <v>#DIV/0!</v>
      </c>
      <c r="M158" s="53" t="e">
        <f t="shared" ca="1" si="976"/>
        <v>#DIV/0!</v>
      </c>
      <c r="N158" s="53" t="e">
        <f t="shared" ca="1" si="976"/>
        <v>#DIV/0!</v>
      </c>
      <c r="O158" s="53" t="e">
        <f t="shared" ca="1" si="976"/>
        <v>#DIV/0!</v>
      </c>
      <c r="P158" s="53" t="e">
        <f t="shared" ca="1" si="976"/>
        <v>#DIV/0!</v>
      </c>
      <c r="Q158" s="53" t="e">
        <f t="shared" ca="1" si="976"/>
        <v>#DIV/0!</v>
      </c>
      <c r="R158" s="53" t="e">
        <f t="shared" ca="1" si="976"/>
        <v>#DIV/0!</v>
      </c>
      <c r="S158" s="53" t="e">
        <f t="shared" ca="1" si="976"/>
        <v>#DIV/0!</v>
      </c>
      <c r="T158" s="53" t="e">
        <f t="shared" ca="1" si="976"/>
        <v>#DIV/0!</v>
      </c>
      <c r="U158" s="53" t="e">
        <f t="shared" ca="1" si="976"/>
        <v>#DIV/0!</v>
      </c>
      <c r="V158" s="53" t="e">
        <f t="shared" ca="1" si="976"/>
        <v>#DIV/0!</v>
      </c>
      <c r="W158" s="53" t="e">
        <f t="shared" ca="1" si="976"/>
        <v>#DIV/0!</v>
      </c>
      <c r="X158" s="53" t="e">
        <f t="shared" ca="1" si="976"/>
        <v>#DIV/0!</v>
      </c>
      <c r="Y158" s="53" t="e">
        <f t="shared" ca="1" si="976"/>
        <v>#DIV/0!</v>
      </c>
      <c r="Z158" s="53" t="e">
        <f t="shared" ca="1" si="976"/>
        <v>#DIV/0!</v>
      </c>
      <c r="AA158" s="53" t="e">
        <f t="shared" ref="AA158" ca="1" si="977">(AA140-AA139)/AA157</f>
        <v>#DIV/0!</v>
      </c>
      <c r="AB158" s="54" t="e">
        <f t="shared" ca="1" si="976"/>
        <v>#DIV/0!</v>
      </c>
      <c r="AC158" s="54" t="e">
        <f t="shared" ca="1" si="976"/>
        <v>#DIV/0!</v>
      </c>
      <c r="AD158" s="54" t="e">
        <f t="shared" ca="1" si="976"/>
        <v>#DIV/0!</v>
      </c>
      <c r="AE158" s="54" t="e">
        <f t="shared" ca="1" si="976"/>
        <v>#DIV/0!</v>
      </c>
      <c r="AI158" s="53">
        <f t="shared" ref="AI158:BN158" si="978">(AI140-AI139)/AI157</f>
        <v>0.4566591563399659</v>
      </c>
      <c r="AJ158" s="53">
        <f t="shared" si="978"/>
        <v>0.52009012392038778</v>
      </c>
      <c r="AK158" s="53">
        <f t="shared" si="978"/>
        <v>0.8482914006759269</v>
      </c>
      <c r="AL158" s="53">
        <f t="shared" si="978"/>
        <v>0.56753035423707232</v>
      </c>
      <c r="AM158" s="53">
        <f t="shared" si="978"/>
        <v>-0.35893103016647754</v>
      </c>
      <c r="AN158" s="53">
        <f t="shared" si="978"/>
        <v>0.23460383026661671</v>
      </c>
      <c r="AO158" s="53">
        <f t="shared" si="978"/>
        <v>-0.2344160720991387</v>
      </c>
      <c r="AP158" s="53">
        <f t="shared" si="978"/>
        <v>-0.45478157466517416</v>
      </c>
      <c r="AQ158" s="53">
        <f t="shared" si="978"/>
        <v>-0.69423582425835084</v>
      </c>
      <c r="AR158" s="53">
        <f t="shared" si="978"/>
        <v>0.18137438978595491</v>
      </c>
      <c r="AS158" s="53">
        <f t="shared" si="978"/>
        <v>-0.42154837902115794</v>
      </c>
      <c r="AT158" s="53">
        <f t="shared" si="978"/>
        <v>-0.54089998748278623</v>
      </c>
      <c r="AU158" s="53">
        <f t="shared" si="978"/>
        <v>1.4725560145199623</v>
      </c>
      <c r="AV158" s="53">
        <f t="shared" si="978"/>
        <v>1.2497809488046094</v>
      </c>
      <c r="AW158" s="53">
        <f t="shared" si="978"/>
        <v>1.5799536863186912</v>
      </c>
      <c r="AX158" s="53">
        <f t="shared" si="978"/>
        <v>-0.71438853423457782</v>
      </c>
      <c r="AY158" s="53">
        <f t="shared" si="978"/>
        <v>1.0783890349230192</v>
      </c>
      <c r="AZ158" s="53">
        <f t="shared" si="978"/>
        <v>1.3372136687945935</v>
      </c>
      <c r="BA158" s="53">
        <f t="shared" si="978"/>
        <v>1.9466766804356022</v>
      </c>
      <c r="BB158" s="53">
        <f t="shared" si="978"/>
        <v>1.243835273501066</v>
      </c>
      <c r="BC158" s="53">
        <f t="shared" si="978"/>
        <v>1.0435598948554252</v>
      </c>
      <c r="BD158" s="53">
        <f t="shared" si="978"/>
        <v>0.99192639879834632</v>
      </c>
      <c r="BE158" s="53">
        <f t="shared" si="978"/>
        <v>1.77997872074102</v>
      </c>
      <c r="BF158" s="53">
        <f t="shared" si="978"/>
        <v>0.49518087370134151</v>
      </c>
      <c r="BG158" s="53">
        <f t="shared" si="978"/>
        <v>-0.6029227688071086</v>
      </c>
      <c r="BH158" s="53">
        <f t="shared" si="978"/>
        <v>1.1537426461384437</v>
      </c>
      <c r="BI158" s="53">
        <f t="shared" si="978"/>
        <v>0.5502878958568026</v>
      </c>
      <c r="BJ158" s="53">
        <f t="shared" si="978"/>
        <v>0.93412817624233269</v>
      </c>
      <c r="BK158" s="53">
        <f t="shared" si="978"/>
        <v>0.86575291025159407</v>
      </c>
      <c r="BL158" s="53">
        <f t="shared" si="978"/>
        <v>0.82435223432218752</v>
      </c>
      <c r="BM158" s="53">
        <f t="shared" si="978"/>
        <v>0.64814119414194415</v>
      </c>
      <c r="BN158" s="53">
        <f t="shared" si="978"/>
        <v>1.4214544999374166</v>
      </c>
      <c r="BO158" s="53">
        <f t="shared" ref="BO158:CT158" si="979">(BO140-BO139)/BO157</f>
        <v>0.71786206033295752</v>
      </c>
      <c r="BP158" s="53">
        <f t="shared" si="979"/>
        <v>0.93516084616346939</v>
      </c>
      <c r="BQ158" s="53">
        <f t="shared" si="979"/>
        <v>0.85260983852797467</v>
      </c>
      <c r="BR158" s="53">
        <f t="shared" si="979"/>
        <v>1.5088559268994868</v>
      </c>
      <c r="BS158" s="53">
        <f t="shared" si="979"/>
        <v>1.2236512704969342</v>
      </c>
      <c r="BT158" s="53">
        <f t="shared" si="979"/>
        <v>1.3190324195769139</v>
      </c>
      <c r="BU158" s="53">
        <f t="shared" si="979"/>
        <v>1.3324884215796702</v>
      </c>
      <c r="BV158" s="53">
        <f t="shared" si="979"/>
        <v>3.5086055826761813</v>
      </c>
      <c r="BW158" s="53">
        <f t="shared" si="979"/>
        <v>2.4865439979972446</v>
      </c>
      <c r="BX158" s="53">
        <f t="shared" si="979"/>
        <v>2.5631806233571206</v>
      </c>
      <c r="BY158" s="53">
        <f t="shared" si="979"/>
        <v>2.9572537238703243</v>
      </c>
      <c r="BZ158" s="53">
        <f t="shared" si="979"/>
        <v>2.4337526599073684</v>
      </c>
      <c r="CA158" s="53">
        <f t="shared" si="979"/>
        <v>2.3088308924771597</v>
      </c>
      <c r="CB158" s="53">
        <f t="shared" si="979"/>
        <v>2.7397984729002403</v>
      </c>
      <c r="CC158" s="53">
        <f t="shared" si="979"/>
        <v>2.9822568531731171</v>
      </c>
      <c r="CD158" s="53">
        <f t="shared" si="979"/>
        <v>2.680341719864817</v>
      </c>
      <c r="CE158" s="53">
        <f t="shared" si="979"/>
        <v>3.0386781825009335</v>
      </c>
      <c r="CF158" s="53">
        <f t="shared" si="979"/>
        <v>3.3374953060458101</v>
      </c>
      <c r="CG158" s="53">
        <f t="shared" si="979"/>
        <v>3.2253723870321713</v>
      </c>
      <c r="CH158" s="53">
        <f t="shared" si="979"/>
        <v>3.2071598447865841</v>
      </c>
      <c r="CI158" s="53">
        <f t="shared" si="979"/>
        <v>3.319157591688576</v>
      </c>
      <c r="CJ158" s="53">
        <f t="shared" si="979"/>
        <v>2.8772061584678941</v>
      </c>
      <c r="CK158" s="53">
        <f t="shared" ref="CK158:CL158" si="980">(CK140-CK139)/CK157</f>
        <v>2.415759168857178</v>
      </c>
      <c r="CL158" s="53">
        <f t="shared" si="980"/>
        <v>3.4111903867818247</v>
      </c>
      <c r="CM158" s="54">
        <f t="shared" si="979"/>
        <v>3.4009673534741434</v>
      </c>
      <c r="CN158" s="54">
        <f t="shared" si="979"/>
        <v>5.6442093119955761</v>
      </c>
      <c r="CO158" s="54">
        <f t="shared" si="979"/>
        <v>4.5156440097335828</v>
      </c>
      <c r="CP158" s="54">
        <f t="shared" si="979"/>
        <v>4.6327288050227153</v>
      </c>
      <c r="CQ158" s="54">
        <f t="shared" si="979"/>
        <v>4.5358451064215055</v>
      </c>
      <c r="CR158" s="54">
        <f t="shared" si="979"/>
        <v>5.176795735449903</v>
      </c>
      <c r="CS158" s="54">
        <f t="shared" si="979"/>
        <v>3.9171201682875378</v>
      </c>
      <c r="CT158" s="54">
        <f t="shared" si="979"/>
        <v>4.3879204205909454</v>
      </c>
      <c r="CU158" s="54">
        <f t="shared" ref="CU158:DB158" si="981">(CU140-CU139)/CU157</f>
        <v>5.023296681548989</v>
      </c>
      <c r="CV158" s="54">
        <f t="shared" si="981"/>
        <v>5.6874095386140153</v>
      </c>
      <c r="CW158" s="54">
        <f t="shared" si="981"/>
        <v>4.4469046854639478</v>
      </c>
      <c r="CX158" s="54">
        <f t="shared" si="981"/>
        <v>5.0880419543999276</v>
      </c>
      <c r="CY158" s="54">
        <f t="shared" si="981"/>
        <v>5.8360024663566854</v>
      </c>
      <c r="CZ158" s="54">
        <f t="shared" si="981"/>
        <v>6.5517792186285231</v>
      </c>
      <c r="DA158" s="54">
        <f t="shared" si="981"/>
        <v>5.2454517798056557</v>
      </c>
      <c r="DB158" s="54">
        <f t="shared" si="981"/>
        <v>5.9524852382454592</v>
      </c>
      <c r="DE158" s="132"/>
      <c r="DF158" s="53">
        <v>3.7279339109570757</v>
      </c>
    </row>
    <row r="159" spans="1:110" s="3" customFormat="1" x14ac:dyDescent="0.2">
      <c r="A159" s="3" t="s">
        <v>31</v>
      </c>
      <c r="B159" s="3">
        <f>'Annual Raw'!C110</f>
        <v>0.48262548262548299</v>
      </c>
      <c r="C159" s="3">
        <f>'Annual Raw'!D110</f>
        <v>0.48262548262548299</v>
      </c>
      <c r="D159" s="3">
        <f>'Annual Raw'!E110</f>
        <v>0.62741312741312705</v>
      </c>
      <c r="E159" s="3">
        <f>'Annual Raw'!F110</f>
        <v>0.67567567567567599</v>
      </c>
      <c r="F159" s="3">
        <f>'Annual Raw'!G110</f>
        <v>0.72393822393822405</v>
      </c>
      <c r="G159" s="3">
        <f>'Annual Raw'!H110</f>
        <v>0.82046332046332004</v>
      </c>
      <c r="H159" s="3">
        <f>'Annual Raw'!I110</f>
        <v>0.91698841698841704</v>
      </c>
      <c r="I159" s="3">
        <f>'Annual Raw'!J110</f>
        <v>1.01351351351351</v>
      </c>
      <c r="J159" s="3">
        <f>'Annual Raw'!K110</f>
        <v>1.1100386100386099</v>
      </c>
      <c r="K159" s="3">
        <f>'Annual Raw'!L110</f>
        <v>1.15830115830116</v>
      </c>
      <c r="L159" s="3">
        <f>'Annual Raw'!M110</f>
        <v>1.20656370656371</v>
      </c>
      <c r="M159" s="3">
        <f>'Annual Raw'!N110</f>
        <v>1.20192307692308</v>
      </c>
      <c r="N159" s="3">
        <f>'Annual Raw'!O110</f>
        <v>1.1057692307692299</v>
      </c>
      <c r="O159" s="3">
        <f>'Annual Raw'!P110</f>
        <v>1.25</v>
      </c>
      <c r="P159" s="3">
        <f>'Annual Raw'!Q110</f>
        <v>1.3</v>
      </c>
      <c r="Q159" s="3">
        <f>'Annual Raw'!R110</f>
        <v>1.3</v>
      </c>
      <c r="R159" s="3">
        <f>'Annual Raw'!S110</f>
        <v>1.3</v>
      </c>
      <c r="S159" s="3">
        <f>'Annual Raw'!T110</f>
        <v>1.3</v>
      </c>
      <c r="T159" s="3">
        <f>'Annual Raw'!U110</f>
        <v>1.3</v>
      </c>
      <c r="U159" s="3">
        <f>'Annual Raw'!V110</f>
        <v>1.55</v>
      </c>
      <c r="V159" s="3">
        <f>'Annual Raw'!W110</f>
        <v>1.55</v>
      </c>
      <c r="W159" s="3">
        <f>'Annual Raw'!X110</f>
        <v>1.75</v>
      </c>
      <c r="X159" s="3">
        <f>'Annual Raw'!Y110</f>
        <v>2</v>
      </c>
      <c r="Y159" s="3">
        <f>'Annual Raw'!Z110</f>
        <v>2</v>
      </c>
      <c r="Z159" s="3">
        <f>'Annual Raw'!AA110</f>
        <v>2.25</v>
      </c>
      <c r="AA159" s="3">
        <f>'Annual Raw'!AB110</f>
        <v>2.5</v>
      </c>
      <c r="AB159" s="37"/>
      <c r="AC159" s="37"/>
      <c r="AD159" s="37"/>
      <c r="AE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E159" s="134"/>
    </row>
    <row r="160" spans="1:110" s="3" customFormat="1" x14ac:dyDescent="0.2">
      <c r="A160" s="3" t="s">
        <v>32</v>
      </c>
      <c r="B160" s="3">
        <f>B159/B158</f>
        <v>2.4508560778948748E-2</v>
      </c>
      <c r="C160" s="3">
        <f t="shared" ref="C160:U160" si="982">C159/C158</f>
        <v>1.9586423765571122E-2</v>
      </c>
      <c r="D160" s="3">
        <f t="shared" si="982"/>
        <v>3.1838226503576275E-2</v>
      </c>
      <c r="E160" s="3" t="e">
        <f t="shared" ca="1" si="982"/>
        <v>#DIV/0!</v>
      </c>
      <c r="F160" s="3" t="e">
        <f t="shared" ca="1" si="982"/>
        <v>#DIV/0!</v>
      </c>
      <c r="G160" s="3" t="e">
        <f t="shared" ca="1" si="982"/>
        <v>#DIV/0!</v>
      </c>
      <c r="H160" s="3" t="e">
        <f t="shared" ca="1" si="982"/>
        <v>#DIV/0!</v>
      </c>
      <c r="I160" s="3" t="e">
        <f t="shared" ca="1" si="982"/>
        <v>#DIV/0!</v>
      </c>
      <c r="J160" s="3" t="e">
        <f t="shared" ca="1" si="982"/>
        <v>#DIV/0!</v>
      </c>
      <c r="K160" s="3" t="e">
        <f t="shared" ca="1" si="982"/>
        <v>#DIV/0!</v>
      </c>
      <c r="L160" s="3" t="e">
        <f t="shared" ca="1" si="982"/>
        <v>#DIV/0!</v>
      </c>
      <c r="M160" s="3" t="e">
        <f t="shared" ca="1" si="982"/>
        <v>#DIV/0!</v>
      </c>
      <c r="N160" s="3" t="e">
        <f t="shared" ca="1" si="982"/>
        <v>#DIV/0!</v>
      </c>
      <c r="O160" s="3" t="e">
        <f t="shared" ca="1" si="982"/>
        <v>#DIV/0!</v>
      </c>
      <c r="P160" s="3" t="e">
        <f t="shared" ca="1" si="982"/>
        <v>#DIV/0!</v>
      </c>
      <c r="Q160" s="3" t="e">
        <f t="shared" ca="1" si="982"/>
        <v>#DIV/0!</v>
      </c>
      <c r="R160" s="3" t="e">
        <f t="shared" ca="1" si="982"/>
        <v>#DIV/0!</v>
      </c>
      <c r="S160" s="3" t="e">
        <f t="shared" ca="1" si="982"/>
        <v>#DIV/0!</v>
      </c>
      <c r="T160" s="3" t="e">
        <f t="shared" ca="1" si="982"/>
        <v>#DIV/0!</v>
      </c>
      <c r="U160" s="3" t="e">
        <f t="shared" ca="1" si="982"/>
        <v>#DIV/0!</v>
      </c>
      <c r="V160" s="3" t="e">
        <f ca="1">V159/V158</f>
        <v>#DIV/0!</v>
      </c>
      <c r="W160" s="3" t="e">
        <f t="shared" ref="W160" ca="1" si="983">W159/W158</f>
        <v>#DIV/0!</v>
      </c>
      <c r="X160" s="3" t="e">
        <f t="shared" ref="X160:Y160" ca="1" si="984">X159/X158</f>
        <v>#DIV/0!</v>
      </c>
      <c r="Y160" s="3" t="e">
        <f t="shared" ca="1" si="984"/>
        <v>#DIV/0!</v>
      </c>
      <c r="Z160" s="3" t="e">
        <f t="shared" ref="Z160:AA160" ca="1" si="985">Z159/Z158</f>
        <v>#DIV/0!</v>
      </c>
      <c r="AA160" s="3" t="e">
        <f t="shared" ca="1" si="985"/>
        <v>#DIV/0!</v>
      </c>
      <c r="AB160" s="37" t="e">
        <f t="shared" ref="AA160:AD160" ca="1" si="986">AB159/AB158</f>
        <v>#DIV/0!</v>
      </c>
      <c r="AC160" s="37" t="e">
        <f t="shared" ca="1" si="986"/>
        <v>#DIV/0!</v>
      </c>
      <c r="AD160" s="37" t="e">
        <f t="shared" ca="1" si="986"/>
        <v>#DIV/0!</v>
      </c>
      <c r="AE160" s="37" t="e">
        <f t="shared" ref="AE160" ca="1" si="987">AE159/AE158</f>
        <v>#DIV/0!</v>
      </c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E160" s="134"/>
      <c r="DF160" s="3">
        <v>0</v>
      </c>
    </row>
    <row r="161" spans="1:110" s="3" customFormat="1" x14ac:dyDescent="0.2">
      <c r="A161" s="3" t="s">
        <v>33</v>
      </c>
      <c r="B161" s="3">
        <f>+B158</f>
        <v>19.692118479679426</v>
      </c>
      <c r="C161" s="3">
        <f t="shared" ref="C161:U161" si="988">+C158</f>
        <v>24.640816945553823</v>
      </c>
      <c r="D161" s="3">
        <f t="shared" si="988"/>
        <v>19.706283807694248</v>
      </c>
      <c r="E161" s="3" t="e">
        <f t="shared" ca="1" si="988"/>
        <v>#DIV/0!</v>
      </c>
      <c r="F161" s="3" t="e">
        <f t="shared" ca="1" si="988"/>
        <v>#DIV/0!</v>
      </c>
      <c r="G161" s="3" t="e">
        <f t="shared" ca="1" si="988"/>
        <v>#DIV/0!</v>
      </c>
      <c r="H161" s="3" t="e">
        <f t="shared" ca="1" si="988"/>
        <v>#DIV/0!</v>
      </c>
      <c r="I161" s="3" t="e">
        <f t="shared" ca="1" si="988"/>
        <v>#DIV/0!</v>
      </c>
      <c r="J161" s="3" t="e">
        <f t="shared" ca="1" si="988"/>
        <v>#DIV/0!</v>
      </c>
      <c r="K161" s="3" t="e">
        <f t="shared" ca="1" si="988"/>
        <v>#DIV/0!</v>
      </c>
      <c r="L161" s="3" t="e">
        <f t="shared" ca="1" si="988"/>
        <v>#DIV/0!</v>
      </c>
      <c r="M161" s="3" t="e">
        <f t="shared" ca="1" si="988"/>
        <v>#DIV/0!</v>
      </c>
      <c r="N161" s="3" t="e">
        <f t="shared" ca="1" si="988"/>
        <v>#DIV/0!</v>
      </c>
      <c r="O161" s="3" t="e">
        <f t="shared" ca="1" si="988"/>
        <v>#DIV/0!</v>
      </c>
      <c r="P161" s="3" t="e">
        <f t="shared" ca="1" si="988"/>
        <v>#DIV/0!</v>
      </c>
      <c r="Q161" s="3" t="e">
        <f t="shared" ca="1" si="988"/>
        <v>#DIV/0!</v>
      </c>
      <c r="R161" s="3" t="e">
        <f t="shared" ca="1" si="988"/>
        <v>#DIV/0!</v>
      </c>
      <c r="S161" s="3" t="e">
        <f t="shared" ca="1" si="988"/>
        <v>#DIV/0!</v>
      </c>
      <c r="T161" s="3" t="e">
        <f ca="1">+T158</f>
        <v>#DIV/0!</v>
      </c>
      <c r="U161" s="3" t="e">
        <f t="shared" ca="1" si="988"/>
        <v>#DIV/0!</v>
      </c>
      <c r="V161" s="3" t="e">
        <f ca="1">+V158</f>
        <v>#DIV/0!</v>
      </c>
      <c r="W161" s="3" t="e">
        <f t="shared" ref="W161" ca="1" si="989">+W158</f>
        <v>#DIV/0!</v>
      </c>
      <c r="X161" s="3" t="e">
        <f t="shared" ref="X161:Y161" ca="1" si="990">+X158</f>
        <v>#DIV/0!</v>
      </c>
      <c r="Y161" s="3" t="e">
        <f t="shared" ca="1" si="990"/>
        <v>#DIV/0!</v>
      </c>
      <c r="Z161" s="3" t="e">
        <f t="shared" ref="Z161:AA161" ca="1" si="991">+Z158</f>
        <v>#DIV/0!</v>
      </c>
      <c r="AA161" s="3" t="e">
        <f t="shared" ca="1" si="991"/>
        <v>#DIV/0!</v>
      </c>
      <c r="AB161" s="37" t="e">
        <f t="shared" ref="AA161:AD161" ca="1" si="992">+AB158</f>
        <v>#DIV/0!</v>
      </c>
      <c r="AC161" s="37" t="e">
        <f t="shared" ca="1" si="992"/>
        <v>#DIV/0!</v>
      </c>
      <c r="AD161" s="37" t="e">
        <f t="shared" ca="1" si="992"/>
        <v>#DIV/0!</v>
      </c>
      <c r="AE161" s="37" t="e">
        <f t="shared" ref="AE161" ca="1" si="993">+AE158</f>
        <v>#DIV/0!</v>
      </c>
      <c r="AL161" s="3">
        <f>SUM(AI158:AL158)</f>
        <v>2.3925710351733529</v>
      </c>
      <c r="AM161" s="3">
        <f t="shared" ref="AM161" si="994">SUM(AJ158:AM158)</f>
        <v>1.5769808486669095</v>
      </c>
      <c r="AN161" s="3">
        <f t="shared" ref="AN161" si="995">SUM(AK158:AN158)</f>
        <v>1.2914945550131383</v>
      </c>
      <c r="AO161" s="3">
        <f t="shared" ref="AO161" si="996">SUM(AL158:AO158)</f>
        <v>0.20878708223807277</v>
      </c>
      <c r="AP161" s="3">
        <f t="shared" ref="AP161" si="997">SUM(AM158:AP158)</f>
        <v>-0.81352484666417368</v>
      </c>
      <c r="AQ161" s="3">
        <f t="shared" ref="AQ161" si="998">SUM(AN158:AQ158)</f>
        <v>-1.148829640756047</v>
      </c>
      <c r="AR161" s="3">
        <f t="shared" ref="AR161" si="999">SUM(AO158:AR158)</f>
        <v>-1.2020590812367087</v>
      </c>
      <c r="AS161" s="3">
        <f t="shared" ref="AS161" si="1000">SUM(AP158:AS158)</f>
        <v>-1.3891913881587281</v>
      </c>
      <c r="AT161" s="3">
        <f t="shared" ref="AT161" si="1001">SUM(AQ158:AT158)</f>
        <v>-1.4753098009763401</v>
      </c>
      <c r="AU161" s="3">
        <f t="shared" ref="AU161" si="1002">SUM(AR158:AU158)</f>
        <v>0.69148203780197304</v>
      </c>
      <c r="AV161" s="3">
        <f t="shared" ref="AV161" si="1003">SUM(AS158:AV158)</f>
        <v>1.7598885968206277</v>
      </c>
      <c r="AW161" s="3">
        <f t="shared" ref="AW161" si="1004">SUM(AT158:AW158)</f>
        <v>3.7613906621604771</v>
      </c>
      <c r="AX161" s="3">
        <f t="shared" ref="AX161" si="1005">SUM(AU158:AX158)</f>
        <v>3.587902115408685</v>
      </c>
      <c r="AY161" s="3">
        <f t="shared" ref="AY161" si="1006">SUM(AV158:AY158)</f>
        <v>3.1937351358117421</v>
      </c>
      <c r="AZ161" s="3">
        <f t="shared" ref="AZ161" si="1007">SUM(AW158:AZ158)</f>
        <v>3.2811678558017263</v>
      </c>
      <c r="BA161" s="3">
        <f t="shared" ref="BA161" si="1008">SUM(AX158:BA158)</f>
        <v>3.6478908499186371</v>
      </c>
      <c r="BB161" s="3">
        <f t="shared" ref="BB161" si="1009">SUM(AY158:BB158)</f>
        <v>5.6061146576542811</v>
      </c>
      <c r="BC161" s="3">
        <f t="shared" ref="BC161" si="1010">SUM(AZ158:BC158)</f>
        <v>5.5712855175866869</v>
      </c>
      <c r="BD161" s="3">
        <f t="shared" ref="BD161" si="1011">SUM(BA158:BD158)</f>
        <v>5.2259982475904403</v>
      </c>
      <c r="BE161" s="3">
        <f t="shared" ref="BE161" si="1012">SUM(BB158:BE158)</f>
        <v>5.0593002878958577</v>
      </c>
      <c r="BF161" s="3">
        <f t="shared" ref="BF161" si="1013">SUM(BC158:BF158)</f>
        <v>4.3106458880961336</v>
      </c>
      <c r="BG161" s="3">
        <f t="shared" ref="BG161" si="1014">SUM(BD158:BG158)</f>
        <v>2.6641632244335991</v>
      </c>
      <c r="BH161" s="3">
        <f t="shared" ref="BH161" si="1015">SUM(BE158:BH158)</f>
        <v>2.8259794717736968</v>
      </c>
      <c r="BI161" s="3">
        <f t="shared" ref="BI161" si="1016">SUM(BF158:BI158)</f>
        <v>1.5962886468894792</v>
      </c>
      <c r="BJ161" s="3">
        <f t="shared" ref="BJ161" si="1017">SUM(BG158:BJ158)</f>
        <v>2.0352359494304704</v>
      </c>
      <c r="BK161" s="3">
        <f t="shared" ref="BK161" si="1018">SUM(BH158:BK158)</f>
        <v>3.5039116284891731</v>
      </c>
      <c r="BL161" s="3">
        <f t="shared" ref="BL161" si="1019">SUM(BI158:BL158)</f>
        <v>3.1745212166729169</v>
      </c>
      <c r="BM161" s="3">
        <f t="shared" ref="BM161" si="1020">SUM(BJ158:BM158)</f>
        <v>3.2723745149580585</v>
      </c>
      <c r="BN161" s="3">
        <f t="shared" ref="BN161" si="1021">SUM(BK158:BN158)</f>
        <v>3.7597008386531421</v>
      </c>
      <c r="BO161" s="3">
        <f t="shared" ref="BO161" si="1022">SUM(BL158:BO158)</f>
        <v>3.6118099887345059</v>
      </c>
      <c r="BP161" s="3">
        <f t="shared" ref="BP161" si="1023">SUM(BM158:BP158)</f>
        <v>3.7226186005757875</v>
      </c>
      <c r="BQ161" s="3">
        <f t="shared" ref="BQ161" si="1024">SUM(BN158:BQ158)</f>
        <v>3.9270872449618182</v>
      </c>
      <c r="BR161" s="3">
        <f t="shared" ref="BR161" si="1025">SUM(BO158:BR158)</f>
        <v>4.0144886719238881</v>
      </c>
      <c r="BS161" s="3">
        <f t="shared" ref="BS161" si="1026">SUM(BP158:BS158)</f>
        <v>4.5202778820878651</v>
      </c>
      <c r="BT161" s="3">
        <f t="shared" ref="BT161" si="1027">SUM(BQ158:BT158)</f>
        <v>4.904149455501309</v>
      </c>
      <c r="BU161" s="3">
        <f t="shared" ref="BU161" si="1028">SUM(BR158:BU158)</f>
        <v>5.384028038553005</v>
      </c>
      <c r="BV161" s="3">
        <f t="shared" ref="BV161" si="1029">SUM(BS158:BV158)</f>
        <v>7.3837776943296998</v>
      </c>
      <c r="BW161" s="3">
        <f t="shared" ref="BW161" si="1030">SUM(BT158:BW158)</f>
        <v>8.6466704218300094</v>
      </c>
      <c r="BX161" s="3">
        <f t="shared" ref="BX161" si="1031">SUM(BU158:BX158)</f>
        <v>9.8908186256102155</v>
      </c>
      <c r="BY161" s="3">
        <f t="shared" ref="BY161" si="1032">SUM(BV158:BY158)</f>
        <v>11.51558392790087</v>
      </c>
      <c r="BZ161" s="3">
        <f t="shared" ref="BZ161" si="1033">SUM(BW158:BZ158)</f>
        <v>10.440731005132056</v>
      </c>
      <c r="CA161" s="3">
        <f t="shared" ref="CA161" si="1034">SUM(BX158:CA158)</f>
        <v>10.263017899611972</v>
      </c>
      <c r="CB161" s="3">
        <f t="shared" ref="CB161" si="1035">SUM(BY158:CB158)</f>
        <v>10.439635749155093</v>
      </c>
      <c r="CC161" s="3">
        <f t="shared" ref="CC161" si="1036">SUM(BZ158:CC158)</f>
        <v>10.464638878457885</v>
      </c>
      <c r="CD161" s="3">
        <f t="shared" ref="CD161" si="1037">SUM(CA158:CD158)</f>
        <v>10.711227938415334</v>
      </c>
      <c r="CE161" s="3">
        <f t="shared" ref="CE161" si="1038">SUM(CB158:CE158)</f>
        <v>11.441075228439107</v>
      </c>
      <c r="CF161" s="3">
        <f t="shared" ref="CF161" si="1039">SUM(CC158:CF158)</f>
        <v>12.038772061584677</v>
      </c>
      <c r="CG161" s="3">
        <f t="shared" ref="CG161" si="1040">SUM(CD158:CG158)</f>
        <v>12.281887595443733</v>
      </c>
      <c r="CH161" s="3">
        <f t="shared" ref="CH161:CL161" si="1041">SUM(CE158:CH158)</f>
        <v>12.8087057203655</v>
      </c>
      <c r="CI161" s="3">
        <f t="shared" si="1041"/>
        <v>13.089185129553142</v>
      </c>
      <c r="CJ161" s="3">
        <f t="shared" si="1041"/>
        <v>12.628895981975225</v>
      </c>
      <c r="CK161" s="3">
        <f t="shared" si="1041"/>
        <v>11.819282763800233</v>
      </c>
      <c r="CL161" s="3">
        <f t="shared" si="1041"/>
        <v>12.023313305795472</v>
      </c>
      <c r="CM161" s="37">
        <f t="shared" ref="CM161" si="1042">SUM(CJ158:CM158)</f>
        <v>12.10512306758104</v>
      </c>
      <c r="CN161" s="37">
        <f t="shared" ref="CN161" si="1043">SUM(CK158:CN158)</f>
        <v>14.872126221108722</v>
      </c>
      <c r="CO161" s="37">
        <f t="shared" ref="CO161" si="1044">SUM(CL158:CO158)</f>
        <v>16.972011061985128</v>
      </c>
      <c r="CP161" s="37">
        <f t="shared" ref="CP161" si="1045">SUM(CM158:CP158)</f>
        <v>18.193549480226018</v>
      </c>
      <c r="CQ161" s="37">
        <f t="shared" ref="CQ161" si="1046">SUM(CN158:CQ158)</f>
        <v>19.328427233173379</v>
      </c>
      <c r="CR161" s="37">
        <f t="shared" ref="CR161" si="1047">SUM(CO158:CR158)</f>
        <v>18.861013656627708</v>
      </c>
      <c r="CS161" s="37">
        <f t="shared" ref="CS161" si="1048">SUM(CP158:CS158)</f>
        <v>18.262489815181663</v>
      </c>
      <c r="CT161" s="37">
        <f t="shared" ref="CT161" si="1049">SUM(CQ158:CT158)</f>
        <v>18.017681430749892</v>
      </c>
      <c r="CU161" s="37">
        <f t="shared" ref="CU161" si="1050">SUM(CR158:CU158)</f>
        <v>18.505133005877376</v>
      </c>
      <c r="CV161" s="37">
        <f t="shared" ref="CV161" si="1051">SUM(CS158:CV158)</f>
        <v>19.015746809041488</v>
      </c>
      <c r="CW161" s="37">
        <f t="shared" ref="CW161" si="1052">SUM(CT158:CW158)</f>
        <v>19.545531326217898</v>
      </c>
      <c r="CX161" s="37">
        <f t="shared" ref="CX161" si="1053">SUM(CU158:CX158)</f>
        <v>20.24565286002688</v>
      </c>
      <c r="CY161" s="37">
        <f t="shared" ref="CY161" si="1054">SUM(CV158:CY158)</f>
        <v>21.058358644834577</v>
      </c>
      <c r="CZ161" s="37">
        <f t="shared" ref="CZ161" si="1055">SUM(CW158:CZ158)</f>
        <v>21.922728324849082</v>
      </c>
      <c r="DA161" s="37">
        <f t="shared" ref="DA161" si="1056">SUM(CX158:DA158)</f>
        <v>22.721275419190789</v>
      </c>
      <c r="DB161" s="37">
        <f t="shared" ref="DB161" si="1057">SUM(CY158:DB158)</f>
        <v>23.585718703036321</v>
      </c>
      <c r="DE161" s="134"/>
      <c r="DF161" s="3">
        <v>12.340056829970724</v>
      </c>
    </row>
    <row r="162" spans="1:110" s="97" customFormat="1" x14ac:dyDescent="0.2">
      <c r="A162" s="97" t="s">
        <v>425</v>
      </c>
      <c r="C162" s="101">
        <f t="shared" ref="C162:AA162" si="1058">+C161/B161-1</f>
        <v>0.25130350860833128</v>
      </c>
      <c r="D162" s="101">
        <f t="shared" si="1058"/>
        <v>-0.20025850395962452</v>
      </c>
      <c r="E162" s="101" t="e">
        <f t="shared" ca="1" si="1058"/>
        <v>#DIV/0!</v>
      </c>
      <c r="F162" s="101" t="e">
        <f t="shared" ca="1" si="1058"/>
        <v>#DIV/0!</v>
      </c>
      <c r="G162" s="101" t="e">
        <f t="shared" ca="1" si="1058"/>
        <v>#DIV/0!</v>
      </c>
      <c r="H162" s="101" t="e">
        <f t="shared" ca="1" si="1058"/>
        <v>#DIV/0!</v>
      </c>
      <c r="I162" s="101" t="e">
        <f t="shared" ca="1" si="1058"/>
        <v>#DIV/0!</v>
      </c>
      <c r="J162" s="101" t="e">
        <f t="shared" ca="1" si="1058"/>
        <v>#DIV/0!</v>
      </c>
      <c r="K162" s="101" t="e">
        <f t="shared" ca="1" si="1058"/>
        <v>#DIV/0!</v>
      </c>
      <c r="L162" s="101" t="e">
        <f t="shared" ca="1" si="1058"/>
        <v>#DIV/0!</v>
      </c>
      <c r="M162" s="101" t="e">
        <f t="shared" ca="1" si="1058"/>
        <v>#DIV/0!</v>
      </c>
      <c r="N162" s="101" t="e">
        <f t="shared" ca="1" si="1058"/>
        <v>#DIV/0!</v>
      </c>
      <c r="O162" s="101" t="e">
        <f t="shared" ca="1" si="1058"/>
        <v>#DIV/0!</v>
      </c>
      <c r="P162" s="101" t="e">
        <f t="shared" ca="1" si="1058"/>
        <v>#DIV/0!</v>
      </c>
      <c r="Q162" s="101" t="e">
        <f t="shared" ca="1" si="1058"/>
        <v>#DIV/0!</v>
      </c>
      <c r="R162" s="101" t="e">
        <f t="shared" ca="1" si="1058"/>
        <v>#DIV/0!</v>
      </c>
      <c r="S162" s="101" t="e">
        <f t="shared" ca="1" si="1058"/>
        <v>#DIV/0!</v>
      </c>
      <c r="T162" s="101" t="e">
        <f t="shared" ca="1" si="1058"/>
        <v>#DIV/0!</v>
      </c>
      <c r="U162" s="101" t="e">
        <f t="shared" ca="1" si="1058"/>
        <v>#DIV/0!</v>
      </c>
      <c r="V162" s="101" t="e">
        <f t="shared" ca="1" si="1058"/>
        <v>#DIV/0!</v>
      </c>
      <c r="W162" s="101" t="e">
        <f t="shared" ca="1" si="1058"/>
        <v>#DIV/0!</v>
      </c>
      <c r="X162" s="101" t="e">
        <f t="shared" ca="1" si="1058"/>
        <v>#DIV/0!</v>
      </c>
      <c r="Y162" s="101" t="e">
        <f t="shared" ca="1" si="1058"/>
        <v>#DIV/0!</v>
      </c>
      <c r="Z162" s="101" t="e">
        <f t="shared" ca="1" si="1058"/>
        <v>#DIV/0!</v>
      </c>
      <c r="AA162" s="101" t="e">
        <f t="shared" ca="1" si="1058"/>
        <v>#DIV/0!</v>
      </c>
      <c r="AB162" s="174" t="e">
        <f t="shared" ref="AB162" ca="1" si="1059">+AB161/AA161-1</f>
        <v>#DIV/0!</v>
      </c>
      <c r="AC162" s="174" t="e">
        <f t="shared" ref="AC162" ca="1" si="1060">+AC161/AB161-1</f>
        <v>#DIV/0!</v>
      </c>
      <c r="AD162" s="174" t="e">
        <f t="shared" ref="AD162" ca="1" si="1061">+AD161/AC161-1</f>
        <v>#DIV/0!</v>
      </c>
      <c r="AE162" s="174" t="e">
        <f t="shared" ref="AE162" ca="1" si="1062">+AE161/AD161-1</f>
        <v>#DIV/0!</v>
      </c>
      <c r="AL162" s="176"/>
      <c r="AM162" s="176"/>
      <c r="AN162" s="176"/>
      <c r="AO162" s="176"/>
      <c r="AP162" s="176">
        <f t="shared" ref="AP162:CL162" si="1063">+IF(AL161&lt;0,1-AP161/AL161,AP161/AL161-1)</f>
        <v>-1.3400211883804027</v>
      </c>
      <c r="AQ162" s="176">
        <f t="shared" si="1063"/>
        <v>-1.728499424534675</v>
      </c>
      <c r="AR162" s="176">
        <f t="shared" si="1063"/>
        <v>-1.9307504058539993</v>
      </c>
      <c r="AS162" s="176">
        <f t="shared" si="1063"/>
        <v>-7.6536270983215369</v>
      </c>
      <c r="AT162" s="176">
        <f t="shared" si="1063"/>
        <v>-0.8134784782859299</v>
      </c>
      <c r="AU162" s="176">
        <f t="shared" si="1063"/>
        <v>1.6019012856831474</v>
      </c>
      <c r="AV162" s="176">
        <f t="shared" si="1063"/>
        <v>2.4640616457969853</v>
      </c>
      <c r="AW162" s="176">
        <f t="shared" si="1063"/>
        <v>3.7076115603811264</v>
      </c>
      <c r="AX162" s="176">
        <f t="shared" si="1063"/>
        <v>3.4319652137024099</v>
      </c>
      <c r="AY162" s="176">
        <f t="shared" si="1063"/>
        <v>3.618681268950569</v>
      </c>
      <c r="AZ162" s="176">
        <f t="shared" si="1063"/>
        <v>0.86441793061754302</v>
      </c>
      <c r="BA162" s="176">
        <f t="shared" si="1063"/>
        <v>-3.0174959858237038E-2</v>
      </c>
      <c r="BB162" s="176">
        <f t="shared" si="1063"/>
        <v>0.56250490602241765</v>
      </c>
      <c r="BC162" s="176">
        <f t="shared" si="1063"/>
        <v>0.7444419404462137</v>
      </c>
      <c r="BD162" s="176">
        <f t="shared" si="1063"/>
        <v>0.59272505316967727</v>
      </c>
      <c r="BE162" s="176">
        <f t="shared" si="1063"/>
        <v>0.3869110935730713</v>
      </c>
      <c r="BF162" s="176">
        <f t="shared" si="1063"/>
        <v>-0.23108139035104924</v>
      </c>
      <c r="BG162" s="176">
        <f t="shared" si="1063"/>
        <v>-0.52180457884922138</v>
      </c>
      <c r="BH162" s="176">
        <f t="shared" si="1063"/>
        <v>-0.45924599705392632</v>
      </c>
      <c r="BI162" s="176">
        <f t="shared" si="1063"/>
        <v>-0.68448430493273427</v>
      </c>
      <c r="BJ162" s="176">
        <f t="shared" si="1063"/>
        <v>-0.5278582369637963</v>
      </c>
      <c r="BK162" s="176">
        <f t="shared" si="1063"/>
        <v>0.31520155985716847</v>
      </c>
      <c r="BL162" s="176">
        <f t="shared" si="1063"/>
        <v>0.12333484668961914</v>
      </c>
      <c r="BM162" s="176">
        <f t="shared" si="1063"/>
        <v>1.0499892180117878</v>
      </c>
      <c r="BN162" s="176">
        <f t="shared" si="1063"/>
        <v>0.84730465266458999</v>
      </c>
      <c r="BO162" s="176">
        <f t="shared" si="1063"/>
        <v>3.0793687651265556E-2</v>
      </c>
      <c r="BP162" s="176">
        <f t="shared" si="1063"/>
        <v>0.17265513332347759</v>
      </c>
      <c r="BQ162" s="176">
        <f t="shared" si="1063"/>
        <v>0.20007267719848709</v>
      </c>
      <c r="BR162" s="176">
        <f t="shared" si="1063"/>
        <v>6.7768113529484975E-2</v>
      </c>
      <c r="BS162" s="176">
        <f t="shared" si="1063"/>
        <v>0.25152704494060751</v>
      </c>
      <c r="BT162" s="176">
        <f t="shared" si="1063"/>
        <v>0.31739240080699394</v>
      </c>
      <c r="BU162" s="176">
        <f t="shared" si="1063"/>
        <v>0.37099781662868359</v>
      </c>
      <c r="BV162" s="176">
        <f t="shared" si="1063"/>
        <v>0.83928223436513694</v>
      </c>
      <c r="BW162" s="176">
        <f t="shared" si="1063"/>
        <v>0.91286258220837757</v>
      </c>
      <c r="BX162" s="176">
        <f t="shared" si="1063"/>
        <v>1.0168265089301123</v>
      </c>
      <c r="BY162" s="176">
        <f t="shared" si="1063"/>
        <v>1.1388417455187998</v>
      </c>
      <c r="BZ162" s="176">
        <f t="shared" si="1063"/>
        <v>0.41400939158148198</v>
      </c>
      <c r="CA162" s="176">
        <f t="shared" si="1063"/>
        <v>0.18693293475153339</v>
      </c>
      <c r="CB162" s="176">
        <f t="shared" si="1063"/>
        <v>5.5487532864451516E-2</v>
      </c>
      <c r="CC162" s="176">
        <f t="shared" si="1063"/>
        <v>-9.1262853540294397E-2</v>
      </c>
      <c r="CD162" s="176">
        <f t="shared" si="1063"/>
        <v>2.5907853880184906E-2</v>
      </c>
      <c r="CE162" s="176">
        <f t="shared" si="1063"/>
        <v>0.1147866388181662</v>
      </c>
      <c r="CF162" s="176">
        <f t="shared" si="1063"/>
        <v>0.15317932070177886</v>
      </c>
      <c r="CG162" s="176">
        <f t="shared" si="1063"/>
        <v>0.17365613262840518</v>
      </c>
      <c r="CH162" s="176">
        <f t="shared" si="1063"/>
        <v>0.19582047866124275</v>
      </c>
      <c r="CI162" s="176">
        <f t="shared" si="1063"/>
        <v>0.14405201156420366</v>
      </c>
      <c r="CJ162" s="176">
        <f t="shared" si="1063"/>
        <v>4.9018613972567238E-2</v>
      </c>
      <c r="CK162" s="176">
        <f t="shared" si="1063"/>
        <v>-3.7665613534446751E-2</v>
      </c>
      <c r="CL162" s="176">
        <f t="shared" si="1063"/>
        <v>-6.1317078533647207E-2</v>
      </c>
      <c r="CM162" s="102">
        <f t="shared" ref="CM162:DB162" si="1064">+IF(CI161&lt;0,1-CM161/CI161,CM161/CI161-1)</f>
        <v>-7.5181308250446999E-2</v>
      </c>
      <c r="CN162" s="102">
        <f t="shared" si="1064"/>
        <v>0.1776267887814722</v>
      </c>
      <c r="CO162" s="102">
        <f t="shared" si="1064"/>
        <v>0.43595947412025082</v>
      </c>
      <c r="CP162" s="102">
        <f t="shared" si="1064"/>
        <v>0.51318933620871143</v>
      </c>
      <c r="CQ162" s="102">
        <f t="shared" si="1064"/>
        <v>0.5967146410049482</v>
      </c>
      <c r="CR162" s="102">
        <f t="shared" si="1064"/>
        <v>0.26821231720433936</v>
      </c>
      <c r="CS162" s="102">
        <f t="shared" si="1064"/>
        <v>7.603570068882548E-2</v>
      </c>
      <c r="CT162" s="102">
        <f t="shared" si="1064"/>
        <v>-9.6665056847357045E-3</v>
      </c>
      <c r="CU162" s="102">
        <f t="shared" si="1064"/>
        <v>-4.2594993237886625E-2</v>
      </c>
      <c r="CV162" s="102">
        <f t="shared" si="1064"/>
        <v>8.2038619573030491E-3</v>
      </c>
      <c r="CW162" s="102">
        <f t="shared" si="1064"/>
        <v>7.0255563399117538E-2</v>
      </c>
      <c r="CX162" s="102">
        <f t="shared" si="1064"/>
        <v>0.12365472426849644</v>
      </c>
      <c r="CY162" s="102">
        <f t="shared" si="1064"/>
        <v>0.1379739144888219</v>
      </c>
      <c r="CZ162" s="102">
        <f t="shared" si="1064"/>
        <v>0.15287232970652509</v>
      </c>
      <c r="DA162" s="102">
        <f t="shared" si="1064"/>
        <v>0.16247929206779999</v>
      </c>
      <c r="DB162" s="102">
        <f t="shared" si="1064"/>
        <v>0.16497693930157631</v>
      </c>
      <c r="DE162" s="135"/>
      <c r="DF162" s="97">
        <v>-3.6588309593969193E-2</v>
      </c>
    </row>
    <row r="163" spans="1:110" s="144" customFormat="1" x14ac:dyDescent="0.2">
      <c r="A163" s="144" t="s">
        <v>424</v>
      </c>
      <c r="AB163" s="145"/>
      <c r="AC163" s="145"/>
      <c r="AD163" s="145"/>
      <c r="AE163" s="145"/>
      <c r="CM163" s="145"/>
      <c r="CN163" s="145"/>
      <c r="CO163" s="145"/>
      <c r="CP163" s="145">
        <v>16.100000000000001</v>
      </c>
      <c r="CQ163" s="145"/>
      <c r="CR163" s="145"/>
      <c r="CS163" s="145"/>
      <c r="CT163" s="145">
        <v>17.8</v>
      </c>
      <c r="CU163" s="145"/>
      <c r="CV163" s="145"/>
      <c r="CW163" s="145"/>
      <c r="CX163" s="145"/>
      <c r="CY163" s="145"/>
      <c r="CZ163" s="145"/>
      <c r="DA163" s="145"/>
      <c r="DB163" s="145"/>
      <c r="DE163" s="146"/>
      <c r="DF163" s="144">
        <v>13.5</v>
      </c>
    </row>
    <row r="164" spans="1:110" s="144" customFormat="1" x14ac:dyDescent="0.2">
      <c r="A164" s="144" t="s">
        <v>436</v>
      </c>
      <c r="AB164" s="145"/>
      <c r="AC164" s="145"/>
      <c r="AD164" s="145"/>
      <c r="AE164" s="145"/>
      <c r="CM164" s="145"/>
      <c r="CN164" s="145"/>
      <c r="CO164" s="145"/>
      <c r="CP164" s="145">
        <f>CP163/CP161-1</f>
        <v>-0.11507097515531139</v>
      </c>
      <c r="CQ164" s="145"/>
      <c r="CR164" s="145"/>
      <c r="CS164" s="145"/>
      <c r="CT164" s="145">
        <f>CT163/CT161-1</f>
        <v>-1.2081545097050395E-2</v>
      </c>
      <c r="CU164" s="145"/>
      <c r="CV164" s="145"/>
      <c r="CW164" s="145"/>
      <c r="CX164" s="145"/>
      <c r="CY164" s="145"/>
      <c r="CZ164" s="145"/>
      <c r="DA164" s="145"/>
      <c r="DB164" s="145"/>
      <c r="DE164" s="146"/>
      <c r="DF164" s="144">
        <v>9.3998203250740486E-2</v>
      </c>
    </row>
    <row r="165" spans="1:110" s="3" customFormat="1" x14ac:dyDescent="0.2">
      <c r="A165" s="3" t="s">
        <v>34</v>
      </c>
      <c r="B165" s="3">
        <f>'Annual Raw'!C112</f>
        <v>32.049999999999997</v>
      </c>
      <c r="C165" s="3">
        <f>'Annual Raw'!D112</f>
        <v>32.549999999999997</v>
      </c>
      <c r="D165" s="3">
        <f>'Annual Raw'!E112</f>
        <v>32.54</v>
      </c>
      <c r="E165" s="3">
        <f>'Annual Raw'!F112</f>
        <v>32.5</v>
      </c>
      <c r="F165" s="3">
        <f>'Annual Raw'!G112</f>
        <v>32.46</v>
      </c>
      <c r="G165" s="3">
        <f>'Annual Raw'!H112</f>
        <v>32.28</v>
      </c>
      <c r="H165" s="3">
        <f>'Annual Raw'!I112</f>
        <v>32.25</v>
      </c>
      <c r="I165" s="3">
        <f>'Annual Raw'!J112</f>
        <v>33.44</v>
      </c>
      <c r="J165" s="3">
        <f>'Annual Raw'!K112</f>
        <v>33.26</v>
      </c>
      <c r="K165" s="3">
        <f>'Annual Raw'!L112</f>
        <v>31.22</v>
      </c>
      <c r="L165" s="3">
        <f>'Annual Raw'!M112</f>
        <v>31.81</v>
      </c>
      <c r="M165" s="3">
        <f>'Annual Raw'!N112</f>
        <v>31.81</v>
      </c>
      <c r="N165" s="3">
        <f>'Annual Raw'!O112</f>
        <v>32.47</v>
      </c>
      <c r="O165" s="3">
        <f>'Annual Raw'!P112</f>
        <v>32.47</v>
      </c>
      <c r="P165" s="3">
        <f>'Annual Raw'!Q112</f>
        <v>33.020000000000003</v>
      </c>
      <c r="Q165" s="3">
        <f>'Annual Raw'!R112</f>
        <v>33.020000000000003</v>
      </c>
      <c r="R165" s="3">
        <f>'Annual Raw'!S112</f>
        <v>33.020000000000003</v>
      </c>
      <c r="S165" s="3">
        <f>'Annual Raw'!T112</f>
        <v>33.020000000000003</v>
      </c>
      <c r="T165" s="3">
        <f>'Annual Raw'!U112</f>
        <v>33</v>
      </c>
      <c r="U165" s="3">
        <f>'Annual Raw'!V112</f>
        <v>37.22</v>
      </c>
      <c r="V165" s="3">
        <f>'Annual Raw'!W112</f>
        <v>46.86</v>
      </c>
      <c r="W165" s="3">
        <f>'Annual Raw'!X112</f>
        <v>46.86</v>
      </c>
      <c r="X165" s="3">
        <f>'Annual Raw'!Y112</f>
        <v>46.86</v>
      </c>
      <c r="Y165" s="3">
        <f>'Annual Raw'!Z112</f>
        <v>46.86</v>
      </c>
      <c r="Z165" s="3">
        <f>'Annual Raw'!AA112</f>
        <v>46.86</v>
      </c>
      <c r="AA165" s="3">
        <f>'Annual Raw'!AB112</f>
        <v>46.86</v>
      </c>
      <c r="AB165" s="37"/>
      <c r="AC165" s="37"/>
      <c r="AD165" s="37"/>
      <c r="AE165" s="37"/>
      <c r="AI165" s="3">
        <f>'QTR Raw'!C49</f>
        <v>31.75</v>
      </c>
      <c r="AJ165" s="3">
        <f>'QTR Raw'!D49</f>
        <v>31.75</v>
      </c>
      <c r="AK165" s="3">
        <f>'QTR Raw'!E49</f>
        <v>31.75</v>
      </c>
      <c r="AL165" s="3">
        <f>'QTR Raw'!F49</f>
        <v>32.47</v>
      </c>
      <c r="AM165" s="3">
        <f>'QTR Raw'!G49</f>
        <v>32.47</v>
      </c>
      <c r="AN165" s="3">
        <f>'QTR Raw'!H49</f>
        <v>32.47</v>
      </c>
      <c r="AO165" s="3">
        <f>'QTR Raw'!I49</f>
        <v>32.47</v>
      </c>
      <c r="AP165" s="3">
        <f>'QTR Raw'!J49</f>
        <v>32.47</v>
      </c>
      <c r="AQ165" s="3">
        <f>'QTR Raw'!K49</f>
        <v>33.04</v>
      </c>
      <c r="AR165" s="3">
        <f>'QTR Raw'!L49</f>
        <v>33.04</v>
      </c>
      <c r="AS165" s="3">
        <f>'QTR Raw'!M49</f>
        <v>33.04</v>
      </c>
      <c r="AT165" s="3">
        <f>'QTR Raw'!N49</f>
        <v>33.020000000000003</v>
      </c>
      <c r="AU165" s="3">
        <f>'QTR Raw'!O49</f>
        <v>33.020000000000003</v>
      </c>
      <c r="AV165" s="3">
        <f>'QTR Raw'!P49</f>
        <v>33.020000000000003</v>
      </c>
      <c r="AW165" s="3">
        <f>'QTR Raw'!Q49</f>
        <v>33.020000000000003</v>
      </c>
      <c r="AX165" s="3">
        <f>'QTR Raw'!R49</f>
        <v>33.020000000000003</v>
      </c>
      <c r="AY165" s="3">
        <f>'QTR Raw'!S49</f>
        <v>33.020000000000003</v>
      </c>
      <c r="AZ165" s="3">
        <f>'QTR Raw'!T49</f>
        <v>33.020000000000003</v>
      </c>
      <c r="BA165" s="3">
        <f>'QTR Raw'!U49</f>
        <v>33.020000000000003</v>
      </c>
      <c r="BB165" s="3">
        <f>'QTR Raw'!V49</f>
        <v>33.020000000000003</v>
      </c>
      <c r="BC165" s="3">
        <f>'QTR Raw'!W49</f>
        <v>33.020000000000003</v>
      </c>
      <c r="BD165" s="3">
        <f>'QTR Raw'!X49</f>
        <v>33.020000000000003</v>
      </c>
      <c r="BE165" s="3">
        <f>'QTR Raw'!Y49</f>
        <v>33.020000000000003</v>
      </c>
      <c r="BF165" s="3">
        <f>'QTR Raw'!Z49</f>
        <v>33.020000000000003</v>
      </c>
      <c r="BG165" s="3">
        <f>'QTR Raw'!AA49</f>
        <v>33</v>
      </c>
      <c r="BH165" s="3">
        <f>'QTR Raw'!AB49</f>
        <v>33</v>
      </c>
      <c r="BI165" s="3">
        <f>'QTR Raw'!AC49</f>
        <v>33</v>
      </c>
      <c r="BJ165" s="3">
        <f>'QTR Raw'!AD49</f>
        <v>33</v>
      </c>
      <c r="BK165" s="3">
        <f>'QTR Raw'!AE49</f>
        <v>33</v>
      </c>
      <c r="BL165" s="3">
        <f>'QTR Raw'!AF49</f>
        <v>36.21</v>
      </c>
      <c r="BM165" s="3">
        <f>'QTR Raw'!AG49</f>
        <v>36.21</v>
      </c>
      <c r="BN165" s="3">
        <f>'QTR Raw'!AH49</f>
        <v>37.22</v>
      </c>
      <c r="BO165" s="3">
        <f>'QTR Raw'!AI49</f>
        <v>37.22</v>
      </c>
      <c r="BP165" s="3">
        <f>'QTR Raw'!AJ49</f>
        <v>46.86</v>
      </c>
      <c r="BQ165" s="3">
        <f>'QTR Raw'!AK49</f>
        <v>46.86</v>
      </c>
      <c r="BR165" s="3">
        <f>'QTR Raw'!AL49</f>
        <v>46.86</v>
      </c>
      <c r="BS165" s="3">
        <f>'QTR Raw'!AM49</f>
        <v>46.86</v>
      </c>
      <c r="BT165" s="3">
        <f>'QTR Raw'!AN49</f>
        <v>46.86</v>
      </c>
      <c r="BU165" s="3">
        <f>'QTR Raw'!AO49</f>
        <v>46.86</v>
      </c>
      <c r="BV165" s="3">
        <f>'QTR Raw'!AP49</f>
        <v>46.86</v>
      </c>
      <c r="BW165" s="3">
        <f>'QTR Raw'!AQ49</f>
        <v>46.86</v>
      </c>
      <c r="BX165" s="3">
        <f>'QTR Raw'!AR49</f>
        <v>46.86</v>
      </c>
      <c r="BY165" s="3">
        <f>'QTR Raw'!AS49</f>
        <v>46.86</v>
      </c>
      <c r="BZ165" s="3">
        <f>'QTR Raw'!AT49</f>
        <v>46.86</v>
      </c>
      <c r="CA165" s="3">
        <f>'QTR Raw'!AU49</f>
        <v>46.86</v>
      </c>
      <c r="CB165" s="3">
        <f>'QTR Raw'!AV49</f>
        <v>46.86</v>
      </c>
      <c r="CC165" s="3">
        <f>'QTR Raw'!AW49</f>
        <v>46.86</v>
      </c>
      <c r="CD165" s="3">
        <f>'QTR Raw'!AX49</f>
        <v>46.86</v>
      </c>
      <c r="CE165" s="3">
        <f>'QTR Raw'!AY49</f>
        <v>46.86</v>
      </c>
      <c r="CF165" s="3">
        <f>'QTR Raw'!AZ49</f>
        <v>46.86</v>
      </c>
      <c r="CG165" s="3">
        <f>'QTR Raw'!BA49</f>
        <v>46.86</v>
      </c>
      <c r="CH165" s="3">
        <f>'QTR Raw'!BB49</f>
        <v>46.86</v>
      </c>
      <c r="CI165" s="3">
        <f>'QTR Raw'!BC49</f>
        <v>46.86</v>
      </c>
      <c r="CJ165" s="3">
        <f>'QTR Raw'!BD49</f>
        <v>46.86</v>
      </c>
      <c r="CK165" s="3">
        <f>'QTR Raw'!BE49</f>
        <v>46.86</v>
      </c>
      <c r="CL165" s="3">
        <f>'QTR Raw'!BF49</f>
        <v>46.86</v>
      </c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E165" s="134"/>
    </row>
    <row r="166" spans="1:110" s="3" customFormat="1" x14ac:dyDescent="0.2">
      <c r="A166" s="3" t="s">
        <v>35</v>
      </c>
      <c r="B166" s="3">
        <f>'Annual Raw'!C113</f>
        <v>0</v>
      </c>
      <c r="C166" s="3">
        <f>'Annual Raw'!D113</f>
        <v>0</v>
      </c>
      <c r="D166" s="3">
        <f>'Annual Raw'!E113</f>
        <v>0</v>
      </c>
      <c r="E166" s="3">
        <f>'Annual Raw'!F113</f>
        <v>0</v>
      </c>
      <c r="F166" s="3">
        <f>'Annual Raw'!G113</f>
        <v>0</v>
      </c>
      <c r="G166" s="3">
        <f>'Annual Raw'!H113</f>
        <v>0</v>
      </c>
      <c r="H166" s="3">
        <f>'Annual Raw'!I113</f>
        <v>0</v>
      </c>
      <c r="I166" s="3">
        <f>'Annual Raw'!J113</f>
        <v>0</v>
      </c>
      <c r="J166" s="3">
        <f>'Annual Raw'!K113</f>
        <v>43.87</v>
      </c>
      <c r="K166" s="3">
        <f>'Annual Raw'!L113</f>
        <v>36.26</v>
      </c>
      <c r="L166" s="3">
        <f>'Annual Raw'!M113</f>
        <v>35.58</v>
      </c>
      <c r="M166" s="3">
        <f>'Annual Raw'!N113</f>
        <v>6.9</v>
      </c>
      <c r="N166" s="3">
        <f>'Annual Raw'!O113</f>
        <v>6.76</v>
      </c>
      <c r="O166" s="3">
        <f>'Annual Raw'!P113</f>
        <v>4.59</v>
      </c>
      <c r="P166" s="3">
        <f>'Annual Raw'!Q113</f>
        <v>5.0999999999999996</v>
      </c>
      <c r="Q166" s="3">
        <f>'Annual Raw'!R113</f>
        <v>5.0999999999999996</v>
      </c>
      <c r="R166" s="3">
        <f>'Annual Raw'!S113</f>
        <v>4.34</v>
      </c>
      <c r="S166" s="3">
        <f>'Annual Raw'!T113</f>
        <v>4.34</v>
      </c>
      <c r="T166" s="3">
        <f>'Annual Raw'!U113</f>
        <v>4.34</v>
      </c>
      <c r="U166" s="3">
        <f>'Annual Raw'!V113</f>
        <v>3.85</v>
      </c>
      <c r="V166" s="3">
        <f>'Annual Raw'!W113</f>
        <v>1.4</v>
      </c>
      <c r="W166" s="3">
        <f>'Annual Raw'!X113</f>
        <v>1.4</v>
      </c>
      <c r="X166" s="3">
        <f>'Annual Raw'!Y113</f>
        <v>1.4</v>
      </c>
      <c r="Y166" s="3">
        <f>'Annual Raw'!Z113</f>
        <v>0</v>
      </c>
      <c r="Z166" s="3">
        <f>'Annual Raw'!AA113</f>
        <v>0</v>
      </c>
      <c r="AA166" s="3">
        <f>'Annual Raw'!AB113</f>
        <v>0</v>
      </c>
      <c r="AB166" s="37"/>
      <c r="AC166" s="37"/>
      <c r="AD166" s="37"/>
      <c r="AE166" s="37"/>
      <c r="AI166" s="3">
        <f>'QTR Raw'!C50</f>
        <v>6.91</v>
      </c>
      <c r="AJ166" s="3">
        <f>'QTR Raw'!D50</f>
        <v>6.91</v>
      </c>
      <c r="AK166" s="3">
        <f>'QTR Raw'!E50</f>
        <v>6.91</v>
      </c>
      <c r="AL166" s="3">
        <f>'QTR Raw'!F50</f>
        <v>6.76</v>
      </c>
      <c r="AM166" s="3">
        <f>'QTR Raw'!G50</f>
        <v>4.59</v>
      </c>
      <c r="AN166" s="3">
        <f>'QTR Raw'!H50</f>
        <v>4.59</v>
      </c>
      <c r="AO166" s="3">
        <f>'QTR Raw'!I50</f>
        <v>4.59</v>
      </c>
      <c r="AP166" s="3">
        <f>'QTR Raw'!J50</f>
        <v>4.59</v>
      </c>
      <c r="AQ166" s="3">
        <f>'QTR Raw'!K50</f>
        <v>6.66</v>
      </c>
      <c r="AR166" s="3">
        <f>'QTR Raw'!L50</f>
        <v>5.0999999999999996</v>
      </c>
      <c r="AS166" s="3">
        <f>'QTR Raw'!M50</f>
        <v>5.0999999999999996</v>
      </c>
      <c r="AT166" s="3">
        <f>'QTR Raw'!N50</f>
        <v>5.0999999999999996</v>
      </c>
      <c r="AU166" s="3">
        <f>'QTR Raw'!O50</f>
        <v>5.0999999999999996</v>
      </c>
      <c r="AV166" s="3">
        <f>'QTR Raw'!P50</f>
        <v>5.0999999999999996</v>
      </c>
      <c r="AW166" s="3">
        <f>'QTR Raw'!Q50</f>
        <v>5.0999999999999996</v>
      </c>
      <c r="AX166" s="3">
        <f>'QTR Raw'!R50</f>
        <v>5.0999999999999996</v>
      </c>
      <c r="AY166" s="3">
        <f>'QTR Raw'!S50</f>
        <v>5.0999999999999996</v>
      </c>
      <c r="AZ166" s="3">
        <f>'QTR Raw'!T50</f>
        <v>5.0999999999999996</v>
      </c>
      <c r="BA166" s="3">
        <f>'QTR Raw'!U50</f>
        <v>5.0999999999999996</v>
      </c>
      <c r="BB166" s="3">
        <f>'QTR Raw'!V50</f>
        <v>4.34</v>
      </c>
      <c r="BC166" s="3">
        <f>'QTR Raw'!W50</f>
        <v>4.34</v>
      </c>
      <c r="BD166" s="3">
        <f>'QTR Raw'!X50</f>
        <v>4.34</v>
      </c>
      <c r="BE166" s="3">
        <f>'QTR Raw'!Y50</f>
        <v>4.34</v>
      </c>
      <c r="BF166" s="3">
        <f>'QTR Raw'!Z50</f>
        <v>4.34</v>
      </c>
      <c r="BG166" s="3">
        <f>'QTR Raw'!AA50</f>
        <v>4.34</v>
      </c>
      <c r="BH166" s="3">
        <f>'QTR Raw'!AB50</f>
        <v>4.34</v>
      </c>
      <c r="BI166" s="3">
        <f>'QTR Raw'!AC50</f>
        <v>4.34</v>
      </c>
      <c r="BJ166" s="3">
        <f>'QTR Raw'!AD50</f>
        <v>4.34</v>
      </c>
      <c r="BK166" s="3">
        <f>'QTR Raw'!AE50</f>
        <v>4.34</v>
      </c>
      <c r="BL166" s="3">
        <f>'QTR Raw'!AF50</f>
        <v>3.96</v>
      </c>
      <c r="BM166" s="3">
        <f>'QTR Raw'!AG50</f>
        <v>3.96</v>
      </c>
      <c r="BN166" s="3">
        <f>'QTR Raw'!AH50</f>
        <v>3.85</v>
      </c>
      <c r="BO166" s="3">
        <f>'QTR Raw'!AI50</f>
        <v>3.85</v>
      </c>
      <c r="BP166" s="3">
        <f>'QTR Raw'!AJ50</f>
        <v>2.59</v>
      </c>
      <c r="BQ166" s="3">
        <f>'QTR Raw'!AK50</f>
        <v>2.59</v>
      </c>
      <c r="BR166" s="3">
        <f>'QTR Raw'!AL50</f>
        <v>1.4</v>
      </c>
      <c r="BS166" s="3">
        <f>'QTR Raw'!AM50</f>
        <v>1.4</v>
      </c>
      <c r="BT166" s="3">
        <f>'QTR Raw'!AN50</f>
        <v>1.4</v>
      </c>
      <c r="BU166" s="3">
        <f>'QTR Raw'!AO50</f>
        <v>1.4</v>
      </c>
      <c r="BV166" s="3">
        <f>'QTR Raw'!AP50</f>
        <v>1.4</v>
      </c>
      <c r="BW166" s="3">
        <f>'QTR Raw'!AQ50</f>
        <v>1.4</v>
      </c>
      <c r="BX166" s="3">
        <f>'QTR Raw'!AR50</f>
        <v>1.4</v>
      </c>
      <c r="BY166" s="3">
        <f>'QTR Raw'!AS50</f>
        <v>1.4</v>
      </c>
      <c r="BZ166" s="3">
        <f>'QTR Raw'!AT50</f>
        <v>1.4</v>
      </c>
      <c r="CA166" s="3">
        <f>'QTR Raw'!AU50</f>
        <v>1.4</v>
      </c>
      <c r="CB166" s="3">
        <f>'QTR Raw'!AV50</f>
        <v>1.4</v>
      </c>
      <c r="CC166" s="3">
        <f>'QTR Raw'!AW50</f>
        <v>0</v>
      </c>
      <c r="CD166" s="3">
        <f>'QTR Raw'!AX50</f>
        <v>0</v>
      </c>
      <c r="CE166" s="3">
        <f>'QTR Raw'!AY50</f>
        <v>0</v>
      </c>
      <c r="CF166" s="3">
        <f>'QTR Raw'!AZ50</f>
        <v>0</v>
      </c>
      <c r="CG166" s="3">
        <f>'QTR Raw'!BA50</f>
        <v>0</v>
      </c>
      <c r="CH166" s="3">
        <f>'QTR Raw'!BB50</f>
        <v>0</v>
      </c>
      <c r="CI166" s="3">
        <f>'QTR Raw'!BC50</f>
        <v>0</v>
      </c>
      <c r="CJ166" s="3">
        <f>'QTR Raw'!BD50</f>
        <v>0</v>
      </c>
      <c r="CK166" s="3">
        <f>'QTR Raw'!BE50</f>
        <v>0</v>
      </c>
      <c r="CL166" s="3">
        <f>'QTR Raw'!BF50</f>
        <v>0</v>
      </c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E166" s="134"/>
    </row>
    <row r="167" spans="1:110" s="3" customFormat="1" x14ac:dyDescent="0.2">
      <c r="AB167" s="37"/>
      <c r="AC167" s="37"/>
      <c r="AD167" s="37"/>
      <c r="AE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E167" s="134"/>
    </row>
    <row r="168" spans="1:110" s="13" customFormat="1" x14ac:dyDescent="0.2">
      <c r="A168" s="13" t="s">
        <v>36</v>
      </c>
      <c r="AB168" s="37"/>
      <c r="AC168" s="37"/>
      <c r="AD168" s="37"/>
      <c r="AE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E168" s="134"/>
    </row>
    <row r="169" spans="1:110" s="13" customFormat="1" x14ac:dyDescent="0.2">
      <c r="A169" s="13" t="s">
        <v>457</v>
      </c>
      <c r="B169" s="13">
        <f>'Annual Raw'!C106</f>
        <v>9.5681418982498005</v>
      </c>
      <c r="C169" s="13">
        <f>'Annual Raw'!D106</f>
        <v>10.952941053468001</v>
      </c>
      <c r="D169" s="13">
        <f>'Annual Raw'!E106</f>
        <v>10.914340380151801</v>
      </c>
      <c r="E169" s="13">
        <f>'Annual Raw'!F106</f>
        <v>36.3763095163415</v>
      </c>
      <c r="F169" s="13">
        <f>'Annual Raw'!G106</f>
        <v>34.489701608012901</v>
      </c>
      <c r="G169" s="13">
        <f>'Annual Raw'!H106</f>
        <v>55.917900382661102</v>
      </c>
      <c r="H169" s="13">
        <f>'Annual Raw'!I106</f>
        <v>49.162782552328402</v>
      </c>
      <c r="I169" s="13">
        <f>'Annual Raw'!J106</f>
        <v>113.090322648098</v>
      </c>
      <c r="J169" s="13">
        <f>'Annual Raw'!K106</f>
        <v>73.852738222194304</v>
      </c>
      <c r="K169" s="13">
        <f>'Annual Raw'!L106</f>
        <v>132.458210484495</v>
      </c>
      <c r="L169" s="13">
        <f>'Annual Raw'!M106</f>
        <v>128.38101436547299</v>
      </c>
      <c r="M169" s="13">
        <f>'Annual Raw'!N106</f>
        <v>97.321947598435898</v>
      </c>
      <c r="N169" s="13">
        <f>'Annual Raw'!O106</f>
        <v>93.027622692010098</v>
      </c>
      <c r="O169" s="13">
        <f>'Annual Raw'!P106</f>
        <v>84.8</v>
      </c>
      <c r="P169" s="13">
        <f>'Annual Raw'!Q106</f>
        <v>77.099999999999994</v>
      </c>
      <c r="Q169" s="13">
        <f>'Annual Raw'!R106</f>
        <v>64.650000000000006</v>
      </c>
      <c r="R169" s="13">
        <f>'Annual Raw'!S106</f>
        <v>90.5</v>
      </c>
      <c r="S169" s="13">
        <f>'Annual Raw'!T106</f>
        <v>79.349999999999994</v>
      </c>
      <c r="T169" s="13">
        <f>'Annual Raw'!U106</f>
        <v>73.8</v>
      </c>
      <c r="U169" s="13">
        <f>'Annual Raw'!V106</f>
        <v>32.85</v>
      </c>
      <c r="V169" s="13">
        <f>'Annual Raw'!W106</f>
        <v>103.2</v>
      </c>
      <c r="W169" s="13">
        <f>'Annual Raw'!X106</f>
        <v>238.85</v>
      </c>
      <c r="X169" s="13">
        <f>'Annual Raw'!Y106</f>
        <v>190.2</v>
      </c>
      <c r="Y169" s="13">
        <f>'Annual Raw'!Z106</f>
        <v>394.15</v>
      </c>
      <c r="Z169" s="13">
        <f>'Annual Raw'!AA106</f>
        <v>375.4</v>
      </c>
      <c r="AA169" s="13">
        <f>'Annual Raw'!AB106</f>
        <v>378.7</v>
      </c>
      <c r="AB169" s="37">
        <f>+CP169</f>
        <v>382</v>
      </c>
      <c r="AC169" s="37">
        <f>+CT169</f>
        <v>382</v>
      </c>
      <c r="AD169" s="37">
        <f>+CX169</f>
        <v>382</v>
      </c>
      <c r="AE169" s="37">
        <f>+DB169</f>
        <v>382</v>
      </c>
      <c r="AJ169" s="13">
        <f>'QTR Share Price'!HP21</f>
        <v>103.208550279154</v>
      </c>
      <c r="AK169" s="13">
        <f>'QTR Share Price'!HQ21</f>
        <v>106.48960751103</v>
      </c>
      <c r="AL169" s="13">
        <f>'QTR Share Price'!HR21</f>
        <v>93.027622692010098</v>
      </c>
      <c r="AM169" s="13">
        <f>'QTR Share Price'!HS21</f>
        <v>83.039698471446798</v>
      </c>
      <c r="AN169" s="13">
        <f>'QTR Share Price'!HT21</f>
        <v>78.262865148568693</v>
      </c>
      <c r="AO169" s="13">
        <f>'QTR Share Price'!HU21</f>
        <v>88.154287685841496</v>
      </c>
      <c r="AP169" s="13">
        <f>'QTR Share Price'!HV21</f>
        <v>84.8</v>
      </c>
      <c r="AQ169" s="13">
        <f>'QTR Share Price'!HW21</f>
        <v>107.75</v>
      </c>
      <c r="AR169" s="13">
        <f>'QTR Share Price'!HX21</f>
        <v>83</v>
      </c>
      <c r="AS169" s="13">
        <f>'QTR Share Price'!HY21</f>
        <v>82.15</v>
      </c>
      <c r="AT169" s="13">
        <f>'QTR Share Price'!HZ21</f>
        <v>77.099999999999994</v>
      </c>
      <c r="AU169" s="13">
        <f>'QTR Share Price'!IA21</f>
        <v>74.05</v>
      </c>
      <c r="AV169" s="13">
        <f>'QTR Share Price'!IB21</f>
        <v>65.05</v>
      </c>
      <c r="AW169" s="13">
        <f>'QTR Share Price'!IC21</f>
        <v>67.900000000000006</v>
      </c>
      <c r="AX169" s="13">
        <f>'QTR Share Price'!ID21</f>
        <v>64.650000000000006</v>
      </c>
      <c r="AY169" s="13">
        <f>'QTR Share Price'!IE21</f>
        <v>73.45</v>
      </c>
      <c r="AZ169" s="13">
        <f>'QTR Share Price'!IF21</f>
        <v>75.3</v>
      </c>
      <c r="BA169" s="13">
        <f>'QTR Share Price'!IG21</f>
        <v>75.7</v>
      </c>
      <c r="BB169" s="13">
        <f>'QTR Share Price'!IH21</f>
        <v>90.5</v>
      </c>
      <c r="BC169" s="13">
        <f>'QTR Share Price'!II21</f>
        <v>80.55</v>
      </c>
      <c r="BD169" s="13">
        <f>'QTR Share Price'!IJ21</f>
        <v>77.75</v>
      </c>
      <c r="BE169" s="13">
        <f>'QTR Share Price'!IK21</f>
        <v>93.85</v>
      </c>
      <c r="BF169" s="13">
        <f>'QTR Share Price'!IL21</f>
        <v>79.349999999999994</v>
      </c>
      <c r="BG169" s="13">
        <f>'QTR Share Price'!IM21</f>
        <v>73.05</v>
      </c>
      <c r="BH169" s="13">
        <f>'QTR Share Price'!IN21</f>
        <v>65.95</v>
      </c>
      <c r="BI169" s="13">
        <f>'QTR Share Price'!IO21</f>
        <v>76.75</v>
      </c>
      <c r="BJ169" s="13">
        <f>'QTR Share Price'!IP21</f>
        <v>73.8</v>
      </c>
      <c r="BK169" s="13">
        <f>'QTR Share Price'!IQ21</f>
        <v>69</v>
      </c>
      <c r="BL169" s="13">
        <f>'QTR Share Price'!IR21</f>
        <v>62.5</v>
      </c>
      <c r="BM169" s="13">
        <f>'QTR Share Price'!IS21</f>
        <v>56.5</v>
      </c>
      <c r="BN169" s="13">
        <f>'QTR Share Price'!IT21</f>
        <v>32.85</v>
      </c>
      <c r="BO169" s="13">
        <f>'QTR Share Price'!IU21</f>
        <v>44.9</v>
      </c>
      <c r="BP169" s="13">
        <f>'QTR Share Price'!IV21</f>
        <v>53.15</v>
      </c>
      <c r="BQ169" s="13">
        <f>'QTR Share Price'!IW21</f>
        <v>75.650000000000006</v>
      </c>
      <c r="BR169" s="13">
        <f>'QTR Share Price'!IX21</f>
        <v>103.2</v>
      </c>
      <c r="BS169" s="13">
        <f>'QTR Share Price'!IY21</f>
        <v>122.1</v>
      </c>
      <c r="BT169" s="13">
        <f>'QTR Share Price'!IZ21</f>
        <v>158.69999999999999</v>
      </c>
      <c r="BU169" s="13">
        <f>'QTR Share Price'!JA21</f>
        <v>220.9</v>
      </c>
      <c r="BV169" s="13">
        <f>'QTR Share Price'!JB21</f>
        <v>238.85</v>
      </c>
      <c r="BW169" s="13">
        <f>'QTR Share Price'!JC21</f>
        <v>202.35</v>
      </c>
      <c r="BX169" s="13">
        <f>'QTR Share Price'!JD21</f>
        <v>216.5</v>
      </c>
      <c r="BY169" s="13">
        <f>'QTR Share Price'!JE21</f>
        <v>207.7</v>
      </c>
      <c r="BZ169" s="13">
        <f>'QTR Share Price'!JF21</f>
        <v>190.2</v>
      </c>
      <c r="CA169" s="13">
        <f>'QTR Share Price'!JG21</f>
        <v>221.8</v>
      </c>
      <c r="CB169" s="13">
        <f>'QTR Share Price'!JH21</f>
        <v>262.2</v>
      </c>
      <c r="CC169" s="13">
        <f>'QTR Share Price'!JI21</f>
        <v>332.05</v>
      </c>
      <c r="CD169" s="13">
        <f>'QTR Share Price'!JJ21</f>
        <v>394.15</v>
      </c>
      <c r="CE169" s="13">
        <f>'QTR Share Price'!JK21</f>
        <v>440.5</v>
      </c>
      <c r="CF169" s="13">
        <f>'QTR Share Price'!JL21</f>
        <v>482.7</v>
      </c>
      <c r="CG169" s="13">
        <f>'QTR Share Price'!JM21</f>
        <v>392.4</v>
      </c>
      <c r="CH169" s="13">
        <f>'QTR Share Price'!JN21</f>
        <v>375.4</v>
      </c>
      <c r="CI169" s="13">
        <f>'QTR Share Price'!JO21</f>
        <v>405.6</v>
      </c>
      <c r="CJ169" s="13">
        <f>'QTR Share Price'!JP21</f>
        <v>388.75</v>
      </c>
      <c r="CK169" s="13">
        <f>'QTR Share Price'!JQ21</f>
        <v>379.55</v>
      </c>
      <c r="CL169" s="13">
        <f>'QTR Share Price'!JR21</f>
        <v>378.7</v>
      </c>
      <c r="CM169" s="37">
        <v>382</v>
      </c>
      <c r="CN169" s="37">
        <f t="shared" ref="CN169" si="1065">+CM169</f>
        <v>382</v>
      </c>
      <c r="CO169" s="37">
        <f t="shared" ref="CO169" si="1066">+CN169</f>
        <v>382</v>
      </c>
      <c r="CP169" s="37">
        <f t="shared" ref="CP169" si="1067">+CO169</f>
        <v>382</v>
      </c>
      <c r="CQ169" s="37">
        <f t="shared" ref="CQ169" si="1068">+CP169</f>
        <v>382</v>
      </c>
      <c r="CR169" s="37">
        <f t="shared" ref="CR169" si="1069">+CQ169</f>
        <v>382</v>
      </c>
      <c r="CS169" s="37">
        <f t="shared" ref="CS169" si="1070">+CR169</f>
        <v>382</v>
      </c>
      <c r="CT169" s="37">
        <f t="shared" ref="CT169" si="1071">+CS169</f>
        <v>382</v>
      </c>
      <c r="CU169" s="37">
        <f t="shared" ref="CU169" si="1072">+CT169</f>
        <v>382</v>
      </c>
      <c r="CV169" s="37">
        <f t="shared" ref="CV169" si="1073">+CU169</f>
        <v>382</v>
      </c>
      <c r="CW169" s="37">
        <f t="shared" ref="CW169" si="1074">+CV169</f>
        <v>382</v>
      </c>
      <c r="CX169" s="37">
        <f t="shared" ref="CX169" si="1075">+CW169</f>
        <v>382</v>
      </c>
      <c r="CY169" s="37">
        <f t="shared" ref="CY169" si="1076">+CX169</f>
        <v>382</v>
      </c>
      <c r="CZ169" s="37">
        <f t="shared" ref="CZ169" si="1077">+CY169</f>
        <v>382</v>
      </c>
      <c r="DA169" s="37">
        <f t="shared" ref="DA169" si="1078">+CZ169</f>
        <v>382</v>
      </c>
      <c r="DB169" s="37">
        <f t="shared" ref="DB169" si="1079">+DA169</f>
        <v>382</v>
      </c>
      <c r="DE169" s="134"/>
      <c r="DF169" s="13">
        <v>378.7</v>
      </c>
    </row>
    <row r="170" spans="1:110" s="13" customFormat="1" x14ac:dyDescent="0.2">
      <c r="A170" s="13" t="s">
        <v>458</v>
      </c>
      <c r="B170" s="13">
        <f>'Annual Raw'!C107</f>
        <v>17.4378541705874</v>
      </c>
      <c r="C170" s="13">
        <f>'Annual Raw'!D107</f>
        <v>14.9288104050352</v>
      </c>
      <c r="D170" s="13">
        <f>'Annual Raw'!E107</f>
        <v>13.341357714907099</v>
      </c>
      <c r="E170" s="13">
        <f>'Annual Raw'!F107</f>
        <v>41.302720448319803</v>
      </c>
      <c r="F170" s="13">
        <f>'Annual Raw'!G107</f>
        <v>41.013215398448402</v>
      </c>
      <c r="G170" s="13">
        <f>'Annual Raw'!H107</f>
        <v>58.436594316542198</v>
      </c>
      <c r="H170" s="13">
        <f>'Annual Raw'!I107</f>
        <v>61.761077305898802</v>
      </c>
      <c r="I170" s="13">
        <f>'Annual Raw'!J107</f>
        <v>158.35926227965601</v>
      </c>
      <c r="J170" s="13">
        <f>'Annual Raw'!K107</f>
        <v>145.717541768605</v>
      </c>
      <c r="K170" s="13">
        <f>'Annual Raw'!L107</f>
        <v>146.54263116073901</v>
      </c>
      <c r="L170" s="13">
        <f>'Annual Raw'!M107</f>
        <v>141.374966020534</v>
      </c>
      <c r="M170" s="13">
        <f>'Annual Raw'!N107</f>
        <v>130.750130690254</v>
      </c>
      <c r="N170" s="13">
        <f>'Annual Raw'!O107</f>
        <v>109.239905484809</v>
      </c>
      <c r="O170" s="13">
        <f>'Annual Raw'!P107</f>
        <v>97.804456014888203</v>
      </c>
      <c r="P170" s="13">
        <f>'Annual Raw'!Q107</f>
        <v>115.25</v>
      </c>
      <c r="Q170" s="13">
        <f>'Annual Raw'!R107</f>
        <v>82.15</v>
      </c>
      <c r="R170" s="13">
        <f>'Annual Raw'!S107</f>
        <v>91.1</v>
      </c>
      <c r="S170" s="13">
        <f>'Annual Raw'!T107</f>
        <v>101.75</v>
      </c>
      <c r="T170" s="13">
        <f>'Annual Raw'!U107</f>
        <v>89.5</v>
      </c>
      <c r="U170" s="13">
        <f>'Annual Raw'!V107</f>
        <v>76.900000000000006</v>
      </c>
      <c r="V170" s="13">
        <f>'Annual Raw'!W107</f>
        <v>114.95</v>
      </c>
      <c r="W170" s="13">
        <f>'Annual Raw'!X107</f>
        <v>269.7</v>
      </c>
      <c r="X170" s="13">
        <f>'Annual Raw'!Y107</f>
        <v>298</v>
      </c>
      <c r="Y170" s="13">
        <f>'Annual Raw'!Z107</f>
        <v>433.2</v>
      </c>
      <c r="Z170" s="13">
        <f>'Annual Raw'!AA107</f>
        <v>494.85</v>
      </c>
      <c r="AA170" s="13">
        <f>'Annual Raw'!AB107</f>
        <v>418.4</v>
      </c>
      <c r="AB170" s="37">
        <f>+MAX(CM170:CP170)</f>
        <v>480.03467326733744</v>
      </c>
      <c r="AC170" s="37">
        <f>+MAX(CQ170:CT170)</f>
        <v>541.0735546151592</v>
      </c>
      <c r="AD170" s="37">
        <f>+MAX(CU170:CX170)</f>
        <v>609.6601820057034</v>
      </c>
      <c r="AE170" s="37">
        <f>+MAX(CY170:DB170)</f>
        <v>689.56202126015728</v>
      </c>
      <c r="AJ170" s="13">
        <f>'QTR Share Price'!HP19</f>
        <v>106.682610877611</v>
      </c>
      <c r="AK170" s="13">
        <f>'QTR Share Price'!HQ19</f>
        <v>109.239905484809</v>
      </c>
      <c r="AL170" s="13">
        <f>'QTR Share Price'!HR19</f>
        <v>108.564393701775</v>
      </c>
      <c r="AM170" s="13">
        <f>'QTR Share Price'!HS19</f>
        <v>97.804456014888203</v>
      </c>
      <c r="AN170" s="13">
        <f>'QTR Share Price'!HT19</f>
        <v>91.821351650879294</v>
      </c>
      <c r="AO170" s="13">
        <f>'QTR Share Price'!HU19</f>
        <v>89.215806202036703</v>
      </c>
      <c r="AP170" s="13">
        <f>'QTR Share Price'!HV19</f>
        <v>88.588545260648601</v>
      </c>
      <c r="AQ170" s="13">
        <f>'QTR Share Price'!HW19</f>
        <v>115.25</v>
      </c>
      <c r="AR170" s="13">
        <f>'QTR Share Price'!HX19</f>
        <v>112.1</v>
      </c>
      <c r="AS170" s="13">
        <f>'QTR Share Price'!HY19</f>
        <v>94.9</v>
      </c>
      <c r="AT170" s="13">
        <f>'QTR Share Price'!HZ19</f>
        <v>92.4</v>
      </c>
      <c r="AU170" s="13">
        <f>'QTR Share Price'!IA19</f>
        <v>82.15</v>
      </c>
      <c r="AV170" s="13">
        <f>'QTR Share Price'!IB19</f>
        <v>76.75</v>
      </c>
      <c r="AW170" s="13">
        <f>'QTR Share Price'!IC19</f>
        <v>72.45</v>
      </c>
      <c r="AX170" s="13">
        <f>'QTR Share Price'!ID19</f>
        <v>70.75</v>
      </c>
      <c r="AY170" s="13">
        <f>'QTR Share Price'!IE19</f>
        <v>77.95</v>
      </c>
      <c r="AZ170" s="13">
        <f>'QTR Share Price'!IF19</f>
        <v>80.349999999999994</v>
      </c>
      <c r="BA170" s="13">
        <f>'QTR Share Price'!IG19</f>
        <v>84.45</v>
      </c>
      <c r="BB170" s="13">
        <f>'QTR Share Price'!IH19</f>
        <v>91.1</v>
      </c>
      <c r="BC170" s="13">
        <f>'QTR Share Price'!II19</f>
        <v>91.25</v>
      </c>
      <c r="BD170" s="13">
        <f>'QTR Share Price'!IJ19</f>
        <v>87.3</v>
      </c>
      <c r="BE170" s="13">
        <f>'QTR Share Price'!IK19</f>
        <v>97.05</v>
      </c>
      <c r="BF170" s="13">
        <f>'QTR Share Price'!IL19</f>
        <v>101.75</v>
      </c>
      <c r="BG170" s="13">
        <f>'QTR Share Price'!IM19</f>
        <v>89.5</v>
      </c>
      <c r="BH170" s="13">
        <f>'QTR Share Price'!IN19</f>
        <v>78.95</v>
      </c>
      <c r="BI170" s="13">
        <f>'QTR Share Price'!IO19</f>
        <v>86.15</v>
      </c>
      <c r="BJ170" s="13">
        <f>'QTR Share Price'!IP19</f>
        <v>77.900000000000006</v>
      </c>
      <c r="BK170" s="13">
        <f>'QTR Share Price'!IQ19</f>
        <v>76.900000000000006</v>
      </c>
      <c r="BL170" s="13">
        <f>'QTR Share Price'!IR19</f>
        <v>74.05</v>
      </c>
      <c r="BM170" s="13">
        <f>'QTR Share Price'!IS19</f>
        <v>62.95</v>
      </c>
      <c r="BN170" s="13">
        <f>'QTR Share Price'!IT19</f>
        <v>62.1</v>
      </c>
      <c r="BO170" s="13">
        <f>'QTR Share Price'!IU19</f>
        <v>47.35</v>
      </c>
      <c r="BP170" s="13">
        <f>'QTR Share Price'!IV19</f>
        <v>63.45</v>
      </c>
      <c r="BQ170" s="13">
        <f>'QTR Share Price'!IW19</f>
        <v>79</v>
      </c>
      <c r="BR170" s="13">
        <f>'QTR Share Price'!IX19</f>
        <v>114.95</v>
      </c>
      <c r="BS170" s="13">
        <f>'QTR Share Price'!IY19</f>
        <v>132.5</v>
      </c>
      <c r="BT170" s="13">
        <f>'QTR Share Price'!IZ19</f>
        <v>161.15</v>
      </c>
      <c r="BU170" s="13">
        <f>'QTR Share Price'!JA19</f>
        <v>269.7</v>
      </c>
      <c r="BV170" s="13">
        <f>'QTR Share Price'!JB19</f>
        <v>257.85000000000002</v>
      </c>
      <c r="BW170" s="13">
        <f>'QTR Share Price'!JC19</f>
        <v>298</v>
      </c>
      <c r="BX170" s="13">
        <f>'QTR Share Price'!JD19</f>
        <v>251</v>
      </c>
      <c r="BY170" s="13">
        <f>'QTR Share Price'!JE19</f>
        <v>234.5</v>
      </c>
      <c r="BZ170" s="13">
        <f>'QTR Share Price'!JF19</f>
        <v>215.45</v>
      </c>
      <c r="CA170" s="13">
        <f>'QTR Share Price'!JG19</f>
        <v>226.25</v>
      </c>
      <c r="CB170" s="13">
        <f>'QTR Share Price'!JH19</f>
        <v>276.5</v>
      </c>
      <c r="CC170" s="13">
        <f>'QTR Share Price'!JI19</f>
        <v>346.9</v>
      </c>
      <c r="CD170" s="13">
        <f>'QTR Share Price'!JJ19</f>
        <v>433.2</v>
      </c>
      <c r="CE170" s="13">
        <f>'QTR Share Price'!JK19</f>
        <v>464.3</v>
      </c>
      <c r="CF170" s="13">
        <f>'QTR Share Price'!JL19</f>
        <v>494.85</v>
      </c>
      <c r="CG170" s="13">
        <f>'QTR Share Price'!JM19</f>
        <v>491.25</v>
      </c>
      <c r="CH170" s="13">
        <f>'QTR Share Price'!JN19</f>
        <v>402.9</v>
      </c>
      <c r="CI170" s="13">
        <f>'QTR Share Price'!JO19</f>
        <v>416.7</v>
      </c>
      <c r="CJ170" s="13">
        <f>'QTR Share Price'!JP19</f>
        <v>416.7</v>
      </c>
      <c r="CK170" s="13">
        <f>'QTR Share Price'!JQ19</f>
        <v>413.2</v>
      </c>
      <c r="CL170" s="13">
        <f>'QTR Share Price'!JR19</f>
        <v>418.4</v>
      </c>
      <c r="CM170" s="37">
        <f>+CM187*CM184</f>
        <v>429.92152920198924</v>
      </c>
      <c r="CN170" s="37">
        <f t="shared" ref="CN170:DB170" si="1080">+CN187*CN184</f>
        <v>449.04253674234894</v>
      </c>
      <c r="CO170" s="37">
        <f t="shared" si="1080"/>
        <v>464.34027968327626</v>
      </c>
      <c r="CP170" s="37">
        <f t="shared" si="1080"/>
        <v>480.03467326733744</v>
      </c>
      <c r="CQ170" s="37">
        <f t="shared" si="1080"/>
        <v>495.40085189176642</v>
      </c>
      <c r="CR170" s="37">
        <f t="shared" si="1080"/>
        <v>512.93839254995339</v>
      </c>
      <c r="CS170" s="37">
        <f t="shared" si="1080"/>
        <v>526.20850358483983</v>
      </c>
      <c r="CT170" s="37">
        <f t="shared" si="1080"/>
        <v>541.0735546151592</v>
      </c>
      <c r="CU170" s="37">
        <f t="shared" si="1080"/>
        <v>558.09108327435115</v>
      </c>
      <c r="CV170" s="37">
        <f t="shared" si="1080"/>
        <v>577.35844113824714</v>
      </c>
      <c r="CW170" s="37">
        <f t="shared" si="1080"/>
        <v>592.42331441311046</v>
      </c>
      <c r="CX170" s="37">
        <f t="shared" si="1080"/>
        <v>609.6601820057034</v>
      </c>
      <c r="CY170" s="37">
        <f t="shared" si="1080"/>
        <v>629.43093128100099</v>
      </c>
      <c r="CZ170" s="37">
        <f t="shared" si="1080"/>
        <v>651.62653263404081</v>
      </c>
      <c r="DA170" s="37">
        <f t="shared" si="1080"/>
        <v>669.39666082916187</v>
      </c>
      <c r="DB170" s="37">
        <f t="shared" si="1080"/>
        <v>689.56202126015728</v>
      </c>
      <c r="DE170" s="134"/>
      <c r="DF170" s="13">
        <v>418.4</v>
      </c>
    </row>
    <row r="171" spans="1:110" s="13" customFormat="1" x14ac:dyDescent="0.2">
      <c r="A171" s="13" t="s">
        <v>459</v>
      </c>
      <c r="B171" s="13">
        <f>'Annual Raw'!C108</f>
        <v>4.2701994856031602</v>
      </c>
      <c r="C171" s="13">
        <f>'Annual Raw'!D108</f>
        <v>8.6851514961420193</v>
      </c>
      <c r="D171" s="13">
        <f>'Annual Raw'!E108</f>
        <v>8.8781548627229601</v>
      </c>
      <c r="E171" s="13">
        <f>'Annual Raw'!F108</f>
        <v>10.899865127658201</v>
      </c>
      <c r="F171" s="13">
        <f>'Annual Raw'!G108</f>
        <v>20.5162578675533</v>
      </c>
      <c r="G171" s="13">
        <f>'Annual Raw'!H108</f>
        <v>32.067509357422203</v>
      </c>
      <c r="H171" s="13">
        <f>'Annual Raw'!I108</f>
        <v>37.635656483282098</v>
      </c>
      <c r="I171" s="13">
        <f>'Annual Raw'!J108</f>
        <v>47.382326495619303</v>
      </c>
      <c r="J171" s="13">
        <f>'Annual Raw'!K108</f>
        <v>51.290644668883203</v>
      </c>
      <c r="K171" s="13">
        <f>'Annual Raw'!L108</f>
        <v>73.534282667335802</v>
      </c>
      <c r="L171" s="13">
        <f>'Annual Raw'!M108</f>
        <v>110.224222654371</v>
      </c>
      <c r="M171" s="13">
        <f>'Annual Raw'!N108</f>
        <v>77.828607573761602</v>
      </c>
      <c r="N171" s="13">
        <f>'Annual Raw'!O108</f>
        <v>80.096397131087599</v>
      </c>
      <c r="O171" s="13">
        <f>'Annual Raw'!P108</f>
        <v>65.862398845743698</v>
      </c>
      <c r="P171" s="13">
        <f>'Annual Raw'!Q108</f>
        <v>73.599999999999994</v>
      </c>
      <c r="Q171" s="13">
        <f>'Annual Raw'!R108</f>
        <v>55</v>
      </c>
      <c r="R171" s="13">
        <f>'Annual Raw'!S108</f>
        <v>60.6</v>
      </c>
      <c r="S171" s="13">
        <f>'Annual Raw'!T108</f>
        <v>75.900000000000006</v>
      </c>
      <c r="T171" s="13">
        <f>'Annual Raw'!U108</f>
        <v>59.9</v>
      </c>
      <c r="U171" s="13">
        <f>'Annual Raw'!V108</f>
        <v>31.3</v>
      </c>
      <c r="V171" s="13">
        <f>'Annual Raw'!W108</f>
        <v>27</v>
      </c>
      <c r="W171" s="13">
        <f>'Annual Raw'!X108</f>
        <v>89.95</v>
      </c>
      <c r="X171" s="13">
        <f>'Annual Raw'!Y108</f>
        <v>182.45</v>
      </c>
      <c r="Y171" s="13">
        <f>'Annual Raw'!Z108</f>
        <v>192.05</v>
      </c>
      <c r="Z171" s="13">
        <f>'Annual Raw'!AA108</f>
        <v>326.25</v>
      </c>
      <c r="AA171" s="13">
        <f>'Annual Raw'!AB108</f>
        <v>332.1</v>
      </c>
      <c r="AB171" s="37">
        <f>+MIN(CM171:CP171)</f>
        <v>253.81163554560143</v>
      </c>
      <c r="AC171" s="37">
        <f>+MIN(CQ171:CT171)</f>
        <v>292.46849001194823</v>
      </c>
      <c r="AD171" s="37">
        <f>+MIN(CU171:CX171)</f>
        <v>329.478756023703</v>
      </c>
      <c r="AE171" s="37">
        <f>+MIN(CY171:DB171)</f>
        <v>371.59547331337217</v>
      </c>
      <c r="AJ171" s="13">
        <f>+'QTR Share Price'!HP20</f>
        <v>89.312307885327101</v>
      </c>
      <c r="AK171" s="13">
        <f>+'QTR Share Price'!HQ20</f>
        <v>92.979371850364899</v>
      </c>
      <c r="AL171" s="13">
        <f>+'QTR Share Price'!HR20</f>
        <v>89.650063776843794</v>
      </c>
      <c r="AM171" s="13">
        <f>+'QTR Share Price'!HS20</f>
        <v>74.547550341885696</v>
      </c>
      <c r="AN171" s="13">
        <f>+'QTR Share Price'!HT20</f>
        <v>65.862398845743698</v>
      </c>
      <c r="AO171" s="13">
        <f>+'QTR Share Price'!HU20</f>
        <v>73.920289400497694</v>
      </c>
      <c r="AP171" s="13">
        <f>+'QTR Share Price'!HV20</f>
        <v>68.950452711038594</v>
      </c>
      <c r="AQ171" s="13">
        <f>+'QTR Share Price'!HW20</f>
        <v>75.849999999999994</v>
      </c>
      <c r="AR171" s="13">
        <f>+'QTR Share Price'!HX20</f>
        <v>82</v>
      </c>
      <c r="AS171" s="13">
        <f>+'QTR Share Price'!HY20</f>
        <v>76.8</v>
      </c>
      <c r="AT171" s="13">
        <f>+'QTR Share Price'!HZ20</f>
        <v>73.599999999999994</v>
      </c>
      <c r="AU171" s="13">
        <f>+'QTR Share Price'!IA20</f>
        <v>68.400000000000006</v>
      </c>
      <c r="AV171" s="13">
        <f>+'QTR Share Price'!IB20</f>
        <v>55.55</v>
      </c>
      <c r="AW171" s="13">
        <f>+'QTR Share Price'!IC20</f>
        <v>61</v>
      </c>
      <c r="AX171" s="13">
        <f>+'QTR Share Price'!ID20</f>
        <v>55</v>
      </c>
      <c r="AY171" s="13">
        <f>+'QTR Share Price'!IE20</f>
        <v>60.6</v>
      </c>
      <c r="AZ171" s="13">
        <f>+'QTR Share Price'!IF20</f>
        <v>69.7</v>
      </c>
      <c r="BA171" s="13">
        <f>+'QTR Share Price'!IG20</f>
        <v>67.099999999999994</v>
      </c>
      <c r="BB171" s="13">
        <f>+'QTR Share Price'!IH20</f>
        <v>75.099999999999994</v>
      </c>
      <c r="BC171" s="13">
        <f>+'QTR Share Price'!II20</f>
        <v>76.7</v>
      </c>
      <c r="BD171" s="13">
        <f>+'QTR Share Price'!IJ20</f>
        <v>75.900000000000006</v>
      </c>
      <c r="BE171" s="13">
        <f>+'QTR Share Price'!IK20</f>
        <v>77.099999999999994</v>
      </c>
      <c r="BF171" s="13">
        <f>+'QTR Share Price'!IL20</f>
        <v>77</v>
      </c>
      <c r="BG171" s="13">
        <f>+'QTR Share Price'!IM20</f>
        <v>71</v>
      </c>
      <c r="BH171" s="13">
        <f>+'QTR Share Price'!IN20</f>
        <v>65.55</v>
      </c>
      <c r="BI171" s="13">
        <f>+'QTR Share Price'!IO20</f>
        <v>59.9</v>
      </c>
      <c r="BJ171" s="13">
        <f>+'QTR Share Price'!IP20</f>
        <v>64.099999999999994</v>
      </c>
      <c r="BK171" s="13">
        <f>+'QTR Share Price'!IQ20</f>
        <v>60.9</v>
      </c>
      <c r="BL171" s="13">
        <f>+'QTR Share Price'!IR20</f>
        <v>50.4</v>
      </c>
      <c r="BM171" s="13">
        <f>+'QTR Share Price'!IS20</f>
        <v>51.05</v>
      </c>
      <c r="BN171" s="13">
        <f>+'QTR Share Price'!IT20</f>
        <v>31.3</v>
      </c>
      <c r="BO171" s="13">
        <f>+'QTR Share Price'!IU20</f>
        <v>27</v>
      </c>
      <c r="BP171" s="13">
        <f>+'QTR Share Price'!IV20</f>
        <v>44.05</v>
      </c>
      <c r="BQ171" s="13">
        <f>+'QTR Share Price'!IW20</f>
        <v>51.65</v>
      </c>
      <c r="BR171" s="13">
        <f>+'QTR Share Price'!IX20</f>
        <v>74.5</v>
      </c>
      <c r="BS171" s="13">
        <f>+'QTR Share Price'!IY20</f>
        <v>89.95</v>
      </c>
      <c r="BT171" s="13">
        <f>+'QTR Share Price'!IZ20</f>
        <v>118.4</v>
      </c>
      <c r="BU171" s="13">
        <f>+'QTR Share Price'!JA20</f>
        <v>156.6</v>
      </c>
      <c r="BV171" s="13">
        <f>+'QTR Share Price'!JB20</f>
        <v>203.3</v>
      </c>
      <c r="BW171" s="13">
        <f>+'QTR Share Price'!JC20</f>
        <v>190</v>
      </c>
      <c r="BX171" s="13">
        <f>+'QTR Share Price'!JD20</f>
        <v>200.55</v>
      </c>
      <c r="BY171" s="13">
        <f>+'QTR Share Price'!JE20</f>
        <v>194.45</v>
      </c>
      <c r="BZ171" s="13">
        <f>+'QTR Share Price'!JF20</f>
        <v>182.45</v>
      </c>
      <c r="CA171" s="13">
        <f>+'QTR Share Price'!JG20</f>
        <v>192.05</v>
      </c>
      <c r="CB171" s="13">
        <f>+'QTR Share Price'!JH20</f>
        <v>216.95</v>
      </c>
      <c r="CC171" s="13">
        <f>+'QTR Share Price'!JI20</f>
        <v>230.75</v>
      </c>
      <c r="CD171" s="13">
        <f>+'QTR Share Price'!JJ20</f>
        <v>319.8</v>
      </c>
      <c r="CE171" s="13">
        <f>+'QTR Share Price'!JK20</f>
        <v>377.2</v>
      </c>
      <c r="CF171" s="13">
        <f>+'QTR Share Price'!JL20</f>
        <v>400</v>
      </c>
      <c r="CG171" s="13">
        <f>+'QTR Share Price'!JM20</f>
        <v>385.45</v>
      </c>
      <c r="CH171" s="13">
        <f>+'QTR Share Price'!JN20</f>
        <v>326.25</v>
      </c>
      <c r="CI171" s="13">
        <f>+'QTR Share Price'!JO20</f>
        <v>332.1</v>
      </c>
      <c r="CJ171" s="13">
        <f>+'QTR Share Price'!JP20</f>
        <v>368.65</v>
      </c>
      <c r="CK171" s="13">
        <f>+'QTR Share Price'!JQ20</f>
        <v>369.75</v>
      </c>
      <c r="CL171" s="13">
        <f>+'QTR Share Price'!JR20</f>
        <v>342.35</v>
      </c>
      <c r="CM171" s="37">
        <f t="shared" ref="CM171:DB171" si="1081">+CM188*CM184</f>
        <v>253.81163554560143</v>
      </c>
      <c r="CN171" s="37">
        <f t="shared" si="1081"/>
        <v>265.10005416959257</v>
      </c>
      <c r="CO171" s="37">
        <f t="shared" si="1081"/>
        <v>274.13134218905975</v>
      </c>
      <c r="CP171" s="37">
        <f t="shared" si="1081"/>
        <v>283.39679979910522</v>
      </c>
      <c r="CQ171" s="37">
        <f t="shared" si="1081"/>
        <v>292.46849001194823</v>
      </c>
      <c r="CR171" s="37">
        <f t="shared" si="1081"/>
        <v>302.82208148284803</v>
      </c>
      <c r="CS171" s="37">
        <f t="shared" si="1081"/>
        <v>310.65632181942311</v>
      </c>
      <c r="CT171" s="37">
        <f t="shared" si="1081"/>
        <v>319.432162660605</v>
      </c>
      <c r="CU171" s="37">
        <f t="shared" si="1081"/>
        <v>329.478756023703</v>
      </c>
      <c r="CV171" s="37">
        <f t="shared" si="1081"/>
        <v>340.85357510093104</v>
      </c>
      <c r="CW171" s="37">
        <f t="shared" si="1081"/>
        <v>349.74738447185894</v>
      </c>
      <c r="CX171" s="37">
        <f t="shared" si="1081"/>
        <v>359.92346838065879</v>
      </c>
      <c r="CY171" s="37">
        <f t="shared" si="1081"/>
        <v>371.59547331337217</v>
      </c>
      <c r="CZ171" s="37">
        <f t="shared" si="1081"/>
        <v>384.69903175062922</v>
      </c>
      <c r="DA171" s="37">
        <f t="shared" si="1081"/>
        <v>395.18993531024051</v>
      </c>
      <c r="DB171" s="37">
        <f t="shared" si="1081"/>
        <v>407.09490578673143</v>
      </c>
      <c r="DE171" s="134"/>
      <c r="DF171" s="13">
        <v>342.35</v>
      </c>
    </row>
    <row r="172" spans="1:110" s="14" customFormat="1" x14ac:dyDescent="0.2">
      <c r="AB172" s="16"/>
      <c r="AC172" s="16"/>
      <c r="AD172" s="16"/>
      <c r="AE172" s="16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E172" s="134"/>
    </row>
    <row r="173" spans="1:110" s="51" customFormat="1" x14ac:dyDescent="0.2">
      <c r="A173" s="51" t="s">
        <v>346</v>
      </c>
      <c r="AB173" s="48">
        <f t="shared" ref="AB173:AD173" si="1082">+AB170/AB169-1</f>
        <v>0.2566352703333441</v>
      </c>
      <c r="AC173" s="48">
        <f t="shared" si="1082"/>
        <v>0.41642291784073082</v>
      </c>
      <c r="AD173" s="48">
        <f t="shared" si="1082"/>
        <v>0.59596906284215545</v>
      </c>
      <c r="AE173" s="48">
        <f t="shared" ref="AE173" si="1083">+AE170/AE169-1</f>
        <v>0.8051361813093123</v>
      </c>
      <c r="CM173" s="48">
        <f t="shared" ref="CM173:DB173" si="1084">+CM170/CM169-1</f>
        <v>0.12544902932457913</v>
      </c>
      <c r="CN173" s="48">
        <f t="shared" si="1084"/>
        <v>0.1755040228857303</v>
      </c>
      <c r="CO173" s="48">
        <f t="shared" si="1084"/>
        <v>0.2155504703750688</v>
      </c>
      <c r="CP173" s="48">
        <f t="shared" si="1084"/>
        <v>0.2566352703333441</v>
      </c>
      <c r="CQ173" s="48">
        <f t="shared" si="1084"/>
        <v>0.29686086882661367</v>
      </c>
      <c r="CR173" s="48">
        <f t="shared" si="1084"/>
        <v>0.34277066112553234</v>
      </c>
      <c r="CS173" s="48">
        <f t="shared" si="1084"/>
        <v>0.37750917168806231</v>
      </c>
      <c r="CT173" s="48">
        <f t="shared" si="1084"/>
        <v>0.41642291784073082</v>
      </c>
      <c r="CU173" s="48">
        <f t="shared" si="1084"/>
        <v>0.4609714221841652</v>
      </c>
      <c r="CV173" s="48">
        <f t="shared" si="1084"/>
        <v>0.51140953177551607</v>
      </c>
      <c r="CW173" s="48">
        <f t="shared" si="1084"/>
        <v>0.55084637280918969</v>
      </c>
      <c r="CX173" s="48">
        <f t="shared" si="1084"/>
        <v>0.59596906284215545</v>
      </c>
      <c r="CY173" s="48">
        <f t="shared" si="1084"/>
        <v>0.64772495099738481</v>
      </c>
      <c r="CZ173" s="48">
        <f t="shared" si="1084"/>
        <v>0.70582861946083986</v>
      </c>
      <c r="DA173" s="48">
        <f t="shared" si="1084"/>
        <v>0.75234727965749171</v>
      </c>
      <c r="DB173" s="48">
        <f t="shared" si="1084"/>
        <v>0.8051361813093123</v>
      </c>
      <c r="DE173" s="129"/>
      <c r="DF173" s="51">
        <v>0.10483232109849472</v>
      </c>
    </row>
    <row r="174" spans="1:110" s="51" customFormat="1" x14ac:dyDescent="0.2">
      <c r="A174" s="51" t="s">
        <v>347</v>
      </c>
      <c r="AB174" s="48">
        <f t="shared" ref="AB174:AD174" si="1085">+AB171/AB169-1</f>
        <v>-0.3355716346973785</v>
      </c>
      <c r="AC174" s="48">
        <f t="shared" si="1085"/>
        <v>-0.23437568059699421</v>
      </c>
      <c r="AD174" s="48">
        <f t="shared" si="1085"/>
        <v>-0.13749016747721732</v>
      </c>
      <c r="AE174" s="48">
        <f t="shared" ref="AE174" si="1086">+AE171/AE169-1</f>
        <v>-2.7236980855046666E-2</v>
      </c>
      <c r="CM174" s="48">
        <f t="shared" ref="CM174:DB174" si="1087">+CM171/CM169-1</f>
        <v>-0.3355716346973785</v>
      </c>
      <c r="CN174" s="48">
        <f t="shared" si="1087"/>
        <v>-0.30602080060316084</v>
      </c>
      <c r="CO174" s="48">
        <f t="shared" si="1087"/>
        <v>-0.2823786853689535</v>
      </c>
      <c r="CP174" s="48">
        <f t="shared" si="1087"/>
        <v>-0.25812356073532661</v>
      </c>
      <c r="CQ174" s="48">
        <f t="shared" si="1087"/>
        <v>-0.23437568059699421</v>
      </c>
      <c r="CR174" s="48">
        <f t="shared" si="1087"/>
        <v>-0.20727203800301564</v>
      </c>
      <c r="CS174" s="48">
        <f t="shared" si="1087"/>
        <v>-0.18676355544653633</v>
      </c>
      <c r="CT174" s="48">
        <f t="shared" si="1087"/>
        <v>-0.16379015010312825</v>
      </c>
      <c r="CU174" s="48">
        <f t="shared" si="1087"/>
        <v>-0.13749016747721732</v>
      </c>
      <c r="CV174" s="48">
        <f t="shared" si="1087"/>
        <v>-0.10771315418604444</v>
      </c>
      <c r="CW174" s="48">
        <f t="shared" si="1087"/>
        <v>-8.4430930701939966E-2</v>
      </c>
      <c r="CX174" s="48">
        <f t="shared" si="1087"/>
        <v>-5.7791967589898463E-2</v>
      </c>
      <c r="CY174" s="48">
        <f t="shared" si="1087"/>
        <v>-2.7236980855046666E-2</v>
      </c>
      <c r="CZ174" s="48">
        <f t="shared" si="1087"/>
        <v>7.065528143008315E-3</v>
      </c>
      <c r="DA174" s="48">
        <f t="shared" si="1087"/>
        <v>3.4528626466598267E-2</v>
      </c>
      <c r="DB174" s="48">
        <f t="shared" si="1087"/>
        <v>6.5693470645893814E-2</v>
      </c>
      <c r="DE174" s="129"/>
      <c r="DF174" s="51">
        <v>-0.12305254819118028</v>
      </c>
    </row>
    <row r="175" spans="1:110" s="14" customFormat="1" x14ac:dyDescent="0.2">
      <c r="AB175" s="16"/>
      <c r="AC175" s="16"/>
      <c r="AD175" s="16"/>
      <c r="AE175" s="16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E175" s="134"/>
    </row>
    <row r="176" spans="1:110" s="13" customFormat="1" x14ac:dyDescent="0.2">
      <c r="A176" s="13" t="s">
        <v>40</v>
      </c>
      <c r="AB176" s="37"/>
      <c r="AC176" s="37"/>
      <c r="AD176" s="37"/>
      <c r="AE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E176" s="134"/>
    </row>
    <row r="177" spans="1:110" s="13" customFormat="1" x14ac:dyDescent="0.2">
      <c r="A177" s="13" t="s">
        <v>460</v>
      </c>
      <c r="B177" s="13">
        <f t="shared" ref="B177:D177" si="1088">+B169/B161</f>
        <v>0.48588687439207218</v>
      </c>
      <c r="C177" s="13">
        <f t="shared" si="1088"/>
        <v>0.4445039739416734</v>
      </c>
      <c r="D177" s="13">
        <f t="shared" si="1088"/>
        <v>0.55385076591104077</v>
      </c>
      <c r="E177" s="13" t="e">
        <f t="shared" ref="E177:AE177" ca="1" si="1089">+E169/E161</f>
        <v>#DIV/0!</v>
      </c>
      <c r="F177" s="13" t="e">
        <f t="shared" ca="1" si="1089"/>
        <v>#DIV/0!</v>
      </c>
      <c r="G177" s="13" t="e">
        <f t="shared" ca="1" si="1089"/>
        <v>#DIV/0!</v>
      </c>
      <c r="H177" s="13" t="e">
        <f t="shared" ca="1" si="1089"/>
        <v>#DIV/0!</v>
      </c>
      <c r="I177" s="13" t="e">
        <f t="shared" ca="1" si="1089"/>
        <v>#DIV/0!</v>
      </c>
      <c r="J177" s="13" t="e">
        <f t="shared" ca="1" si="1089"/>
        <v>#DIV/0!</v>
      </c>
      <c r="K177" s="13" t="e">
        <f t="shared" ca="1" si="1089"/>
        <v>#DIV/0!</v>
      </c>
      <c r="L177" s="13" t="e">
        <f t="shared" ca="1" si="1089"/>
        <v>#DIV/0!</v>
      </c>
      <c r="M177" s="13" t="e">
        <f t="shared" ca="1" si="1089"/>
        <v>#DIV/0!</v>
      </c>
      <c r="N177" s="13" t="e">
        <f t="shared" ca="1" si="1089"/>
        <v>#DIV/0!</v>
      </c>
      <c r="O177" s="13" t="e">
        <f t="shared" ca="1" si="1089"/>
        <v>#DIV/0!</v>
      </c>
      <c r="P177" s="13" t="e">
        <f t="shared" ca="1" si="1089"/>
        <v>#DIV/0!</v>
      </c>
      <c r="Q177" s="13" t="e">
        <f t="shared" ca="1" si="1089"/>
        <v>#DIV/0!</v>
      </c>
      <c r="R177" s="13" t="e">
        <f t="shared" ca="1" si="1089"/>
        <v>#DIV/0!</v>
      </c>
      <c r="S177" s="13" t="e">
        <f t="shared" ca="1" si="1089"/>
        <v>#DIV/0!</v>
      </c>
      <c r="T177" s="13" t="e">
        <f t="shared" ca="1" si="1089"/>
        <v>#DIV/0!</v>
      </c>
      <c r="U177" s="13" t="e">
        <f t="shared" ca="1" si="1089"/>
        <v>#DIV/0!</v>
      </c>
      <c r="V177" s="13" t="e">
        <f t="shared" ca="1" si="1089"/>
        <v>#DIV/0!</v>
      </c>
      <c r="W177" s="13" t="e">
        <f t="shared" ca="1" si="1089"/>
        <v>#DIV/0!</v>
      </c>
      <c r="X177" s="13" t="e">
        <f t="shared" ca="1" si="1089"/>
        <v>#DIV/0!</v>
      </c>
      <c r="Y177" s="13" t="e">
        <f t="shared" ca="1" si="1089"/>
        <v>#DIV/0!</v>
      </c>
      <c r="Z177" s="13" t="e">
        <f t="shared" ref="Z177:AA177" ca="1" si="1090">+Z169/Z161</f>
        <v>#DIV/0!</v>
      </c>
      <c r="AA177" s="13" t="e">
        <f t="shared" ca="1" si="1090"/>
        <v>#DIV/0!</v>
      </c>
      <c r="AB177" s="37" t="e">
        <f t="shared" ca="1" si="1089"/>
        <v>#DIV/0!</v>
      </c>
      <c r="AC177" s="37" t="e">
        <f t="shared" ca="1" si="1089"/>
        <v>#DIV/0!</v>
      </c>
      <c r="AD177" s="37" t="e">
        <f t="shared" ca="1" si="1089"/>
        <v>#DIV/0!</v>
      </c>
      <c r="AE177" s="37" t="e">
        <f t="shared" ca="1" si="1089"/>
        <v>#DIV/0!</v>
      </c>
      <c r="AL177" s="13">
        <f t="shared" ref="AL177:BQ177" si="1091">+AL169/AL161</f>
        <v>38.881864456438102</v>
      </c>
      <c r="AM177" s="13">
        <f t="shared" si="1091"/>
        <v>52.657391839377041</v>
      </c>
      <c r="AN177" s="13">
        <f t="shared" si="1091"/>
        <v>60.598679912957536</v>
      </c>
      <c r="AO177" s="13">
        <f t="shared" si="1091"/>
        <v>422.22098580467815</v>
      </c>
      <c r="AP177" s="13">
        <f t="shared" si="1091"/>
        <v>-104.23775050967285</v>
      </c>
      <c r="AQ177" s="13">
        <f t="shared" si="1091"/>
        <v>-93.791103726301415</v>
      </c>
      <c r="AR177" s="13">
        <f t="shared" si="1091"/>
        <v>-69.048186811755969</v>
      </c>
      <c r="AS177" s="13">
        <f t="shared" si="1091"/>
        <v>-59.135120401864739</v>
      </c>
      <c r="AT177" s="13">
        <f t="shared" si="1091"/>
        <v>-52.26020999045506</v>
      </c>
      <c r="AU177" s="13">
        <f t="shared" si="1091"/>
        <v>107.08882653753976</v>
      </c>
      <c r="AV177" s="13">
        <f t="shared" si="1091"/>
        <v>36.962566901971954</v>
      </c>
      <c r="AW177" s="13">
        <f t="shared" si="1091"/>
        <v>18.051834041880518</v>
      </c>
      <c r="AX177" s="13">
        <f t="shared" si="1091"/>
        <v>18.018886223889069</v>
      </c>
      <c r="AY177" s="13">
        <f t="shared" si="1091"/>
        <v>22.998150089654018</v>
      </c>
      <c r="AZ177" s="13">
        <f t="shared" si="1091"/>
        <v>22.949145947183204</v>
      </c>
      <c r="BA177" s="13">
        <f t="shared" si="1091"/>
        <v>20.751717393542194</v>
      </c>
      <c r="BB177" s="13">
        <f t="shared" si="1091"/>
        <v>16.143087597474707</v>
      </c>
      <c r="BC177" s="13">
        <f t="shared" si="1091"/>
        <v>14.45806353771146</v>
      </c>
      <c r="BD177" s="13">
        <f t="shared" si="1091"/>
        <v>14.877540388737849</v>
      </c>
      <c r="BE177" s="13">
        <f t="shared" si="1091"/>
        <v>18.549995979588676</v>
      </c>
      <c r="BF177" s="13">
        <f t="shared" si="1091"/>
        <v>18.407914280114113</v>
      </c>
      <c r="BG177" s="13">
        <f t="shared" si="1091"/>
        <v>27.419491167073826</v>
      </c>
      <c r="BH177" s="13">
        <f t="shared" si="1091"/>
        <v>23.337041425360095</v>
      </c>
      <c r="BI177" s="13">
        <f t="shared" si="1091"/>
        <v>48.080276803042295</v>
      </c>
      <c r="BJ177" s="13">
        <f t="shared" si="1091"/>
        <v>36.26115194194157</v>
      </c>
      <c r="BK177" s="13">
        <f t="shared" si="1091"/>
        <v>19.692277464700677</v>
      </c>
      <c r="BL177" s="13">
        <f t="shared" si="1091"/>
        <v>19.68800828034901</v>
      </c>
      <c r="BM177" s="13">
        <f t="shared" si="1091"/>
        <v>17.265749913934943</v>
      </c>
      <c r="BN177" s="13">
        <f t="shared" si="1091"/>
        <v>8.7373973115818533</v>
      </c>
      <c r="BO177" s="13">
        <f t="shared" si="1091"/>
        <v>12.431440230811232</v>
      </c>
      <c r="BP177" s="13">
        <f t="shared" si="1091"/>
        <v>14.277584061869552</v>
      </c>
      <c r="BQ177" s="13">
        <f t="shared" si="1091"/>
        <v>19.263641289623433</v>
      </c>
      <c r="BR177" s="13">
        <f t="shared" ref="BR177:DB177" si="1092">+BR169/BR161</f>
        <v>25.706885343019994</v>
      </c>
      <c r="BS177" s="13">
        <f t="shared" si="1092"/>
        <v>27.011613707165143</v>
      </c>
      <c r="BT177" s="13">
        <f t="shared" si="1092"/>
        <v>32.360351461551744</v>
      </c>
      <c r="BU177" s="13">
        <f t="shared" si="1092"/>
        <v>41.028761072234019</v>
      </c>
      <c r="BV177" s="13">
        <f t="shared" si="1092"/>
        <v>32.347940293953123</v>
      </c>
      <c r="BW177" s="13">
        <f t="shared" si="1092"/>
        <v>23.40207156377009</v>
      </c>
      <c r="BX177" s="13">
        <f t="shared" si="1092"/>
        <v>21.888986968117919</v>
      </c>
      <c r="BY177" s="13">
        <f t="shared" si="1092"/>
        <v>18.036427965825332</v>
      </c>
      <c r="BZ177" s="13">
        <f t="shared" si="1092"/>
        <v>18.217115248588314</v>
      </c>
      <c r="CA177" s="13">
        <f t="shared" si="1092"/>
        <v>21.611576845090166</v>
      </c>
      <c r="CB177" s="13">
        <f t="shared" si="1092"/>
        <v>25.115818817837635</v>
      </c>
      <c r="CC177" s="13">
        <f t="shared" si="1092"/>
        <v>31.73066972082006</v>
      </c>
      <c r="CD177" s="13">
        <f t="shared" si="1092"/>
        <v>36.797835156359511</v>
      </c>
      <c r="CE177" s="13">
        <f t="shared" si="1092"/>
        <v>38.501626045168216</v>
      </c>
      <c r="CF177" s="13">
        <f t="shared" si="1092"/>
        <v>40.095451390784255</v>
      </c>
      <c r="CG177" s="13">
        <f t="shared" si="1092"/>
        <v>31.949486343253163</v>
      </c>
      <c r="CH177" s="13">
        <f t="shared" si="1092"/>
        <v>29.30819149066123</v>
      </c>
      <c r="CI177" s="13">
        <f t="shared" ref="CI177:CJ177" si="1093">+CI169/CI161</f>
        <v>30.987414112145498</v>
      </c>
      <c r="CJ177" s="13">
        <f t="shared" si="1093"/>
        <v>30.782579930569472</v>
      </c>
      <c r="CK177" s="13">
        <f t="shared" ref="CK177:CL177" si="1094">+CK169/CK161</f>
        <v>32.112777702761719</v>
      </c>
      <c r="CL177" s="13">
        <f t="shared" si="1094"/>
        <v>31.497141459123348</v>
      </c>
      <c r="CM177" s="37">
        <f t="shared" si="1092"/>
        <v>31.556886936824412</v>
      </c>
      <c r="CN177" s="37">
        <f t="shared" si="1092"/>
        <v>25.685634610726279</v>
      </c>
      <c r="CO177" s="37">
        <f t="shared" si="1092"/>
        <v>22.507645004758761</v>
      </c>
      <c r="CP177" s="37">
        <f t="shared" si="1092"/>
        <v>20.996452639172112</v>
      </c>
      <c r="CQ177" s="37">
        <f t="shared" si="1092"/>
        <v>19.763635985051771</v>
      </c>
      <c r="CR177" s="37">
        <f t="shared" si="1092"/>
        <v>20.253418345082753</v>
      </c>
      <c r="CS177" s="37">
        <f t="shared" si="1092"/>
        <v>20.917191679003277</v>
      </c>
      <c r="CT177" s="37">
        <f t="shared" si="1092"/>
        <v>21.201396054658805</v>
      </c>
      <c r="CU177" s="37">
        <f t="shared" si="1092"/>
        <v>20.64292106836918</v>
      </c>
      <c r="CV177" s="37">
        <f t="shared" si="1092"/>
        <v>20.088614127864229</v>
      </c>
      <c r="CW177" s="37">
        <f t="shared" si="1092"/>
        <v>19.544109271032941</v>
      </c>
      <c r="CX177" s="37">
        <f t="shared" si="1092"/>
        <v>18.868248045200001</v>
      </c>
      <c r="CY177" s="37">
        <f t="shared" si="1092"/>
        <v>18.140065255926348</v>
      </c>
      <c r="CZ177" s="37">
        <f t="shared" si="1092"/>
        <v>17.424838475373924</v>
      </c>
      <c r="DA177" s="37">
        <f t="shared" si="1092"/>
        <v>16.812436491894996</v>
      </c>
      <c r="DB177" s="37">
        <f t="shared" si="1092"/>
        <v>16.196241666819464</v>
      </c>
      <c r="DE177" s="134"/>
      <c r="DF177" s="13">
        <v>30.688675523781882</v>
      </c>
    </row>
    <row r="178" spans="1:110" s="13" customFormat="1" x14ac:dyDescent="0.2">
      <c r="A178" s="13" t="s">
        <v>461</v>
      </c>
      <c r="B178" s="13">
        <f t="shared" ref="B178:D178" si="1095">+B170/B161</f>
        <v>0.88552454062176023</v>
      </c>
      <c r="C178" s="13">
        <f t="shared" si="1095"/>
        <v>0.60585695831521313</v>
      </c>
      <c r="D178" s="13">
        <f t="shared" si="1095"/>
        <v>0.67701033056765447</v>
      </c>
      <c r="E178" s="13" t="e">
        <f t="shared" ref="E178:AE178" ca="1" si="1096">+E170/E161</f>
        <v>#DIV/0!</v>
      </c>
      <c r="F178" s="13" t="e">
        <f t="shared" ca="1" si="1096"/>
        <v>#DIV/0!</v>
      </c>
      <c r="G178" s="13" t="e">
        <f t="shared" ca="1" si="1096"/>
        <v>#DIV/0!</v>
      </c>
      <c r="H178" s="13" t="e">
        <f t="shared" ca="1" si="1096"/>
        <v>#DIV/0!</v>
      </c>
      <c r="I178" s="13" t="e">
        <f t="shared" ca="1" si="1096"/>
        <v>#DIV/0!</v>
      </c>
      <c r="J178" s="13" t="e">
        <f t="shared" ca="1" si="1096"/>
        <v>#DIV/0!</v>
      </c>
      <c r="K178" s="13" t="e">
        <f t="shared" ca="1" si="1096"/>
        <v>#DIV/0!</v>
      </c>
      <c r="L178" s="13" t="e">
        <f t="shared" ca="1" si="1096"/>
        <v>#DIV/0!</v>
      </c>
      <c r="M178" s="13" t="e">
        <f t="shared" ca="1" si="1096"/>
        <v>#DIV/0!</v>
      </c>
      <c r="N178" s="13" t="e">
        <f t="shared" ca="1" si="1096"/>
        <v>#DIV/0!</v>
      </c>
      <c r="O178" s="13" t="e">
        <f t="shared" ca="1" si="1096"/>
        <v>#DIV/0!</v>
      </c>
      <c r="P178" s="13" t="e">
        <f t="shared" ca="1" si="1096"/>
        <v>#DIV/0!</v>
      </c>
      <c r="Q178" s="13" t="e">
        <f t="shared" ca="1" si="1096"/>
        <v>#DIV/0!</v>
      </c>
      <c r="R178" s="13" t="e">
        <f t="shared" ca="1" si="1096"/>
        <v>#DIV/0!</v>
      </c>
      <c r="S178" s="13" t="e">
        <f t="shared" ca="1" si="1096"/>
        <v>#DIV/0!</v>
      </c>
      <c r="T178" s="13" t="e">
        <f t="shared" ca="1" si="1096"/>
        <v>#DIV/0!</v>
      </c>
      <c r="U178" s="13" t="e">
        <f t="shared" ca="1" si="1096"/>
        <v>#DIV/0!</v>
      </c>
      <c r="V178" s="13" t="e">
        <f t="shared" ca="1" si="1096"/>
        <v>#DIV/0!</v>
      </c>
      <c r="W178" s="13" t="e">
        <f t="shared" ca="1" si="1096"/>
        <v>#DIV/0!</v>
      </c>
      <c r="X178" s="13" t="e">
        <f t="shared" ca="1" si="1096"/>
        <v>#DIV/0!</v>
      </c>
      <c r="Y178" s="13" t="e">
        <f t="shared" ca="1" si="1096"/>
        <v>#DIV/0!</v>
      </c>
      <c r="Z178" s="13" t="e">
        <f t="shared" ref="Z178:AA178" ca="1" si="1097">+Z170/Z161</f>
        <v>#DIV/0!</v>
      </c>
      <c r="AA178" s="13" t="e">
        <f t="shared" ca="1" si="1097"/>
        <v>#DIV/0!</v>
      </c>
      <c r="AB178" s="60" t="e">
        <f t="shared" ca="1" si="1096"/>
        <v>#DIV/0!</v>
      </c>
      <c r="AC178" s="60" t="e">
        <f t="shared" ca="1" si="1096"/>
        <v>#DIV/0!</v>
      </c>
      <c r="AD178" s="60" t="e">
        <f t="shared" ca="1" si="1096"/>
        <v>#DIV/0!</v>
      </c>
      <c r="AE178" s="60" t="e">
        <f t="shared" ca="1" si="1096"/>
        <v>#DIV/0!</v>
      </c>
      <c r="AL178" s="13">
        <f t="shared" ref="AL178:BQ178" si="1098">+AL170/AL161</f>
        <v>45.37561982727464</v>
      </c>
      <c r="AM178" s="13">
        <f t="shared" si="1098"/>
        <v>62.020065809655563</v>
      </c>
      <c r="AN178" s="13">
        <f t="shared" si="1098"/>
        <v>71.096971562489628</v>
      </c>
      <c r="AO178" s="13">
        <f t="shared" si="1098"/>
        <v>427.30520128782189</v>
      </c>
      <c r="AP178" s="13">
        <f t="shared" si="1098"/>
        <v>-108.89470140205601</v>
      </c>
      <c r="AQ178" s="13">
        <f t="shared" si="1098"/>
        <v>-100.3194868162992</v>
      </c>
      <c r="AR178" s="13">
        <f t="shared" si="1098"/>
        <v>-93.256647489130643</v>
      </c>
      <c r="AS178" s="13">
        <f t="shared" si="1098"/>
        <v>-68.313121438064073</v>
      </c>
      <c r="AT178" s="13">
        <f t="shared" si="1098"/>
        <v>-62.630913140311904</v>
      </c>
      <c r="AU178" s="13">
        <f t="shared" si="1098"/>
        <v>118.80279675974195</v>
      </c>
      <c r="AV178" s="13">
        <f t="shared" si="1098"/>
        <v>43.610714984263609</v>
      </c>
      <c r="AW178" s="13">
        <f t="shared" si="1098"/>
        <v>19.261493024068386</v>
      </c>
      <c r="AX178" s="13">
        <f t="shared" si="1098"/>
        <v>19.719044088788113</v>
      </c>
      <c r="AY178" s="13">
        <f t="shared" si="1098"/>
        <v>24.407158604336701</v>
      </c>
      <c r="AZ178" s="13">
        <f t="shared" si="1098"/>
        <v>24.488232096363486</v>
      </c>
      <c r="BA178" s="13">
        <f t="shared" si="1098"/>
        <v>23.150363723707244</v>
      </c>
      <c r="BB178" s="13">
        <f t="shared" si="1098"/>
        <v>16.250113592596087</v>
      </c>
      <c r="BC178" s="13">
        <f t="shared" si="1098"/>
        <v>16.37862567121255</v>
      </c>
      <c r="BD178" s="13">
        <f t="shared" si="1098"/>
        <v>16.704942455778962</v>
      </c>
      <c r="BE178" s="13">
        <f t="shared" si="1098"/>
        <v>19.182494510592232</v>
      </c>
      <c r="BF178" s="13">
        <f t="shared" si="1098"/>
        <v>23.604351329572918</v>
      </c>
      <c r="BG178" s="13">
        <f t="shared" si="1098"/>
        <v>33.594037774854314</v>
      </c>
      <c r="BH178" s="13">
        <f t="shared" si="1098"/>
        <v>27.937216384111895</v>
      </c>
      <c r="BI178" s="13">
        <f t="shared" si="1098"/>
        <v>53.968936111818813</v>
      </c>
      <c r="BJ178" s="13">
        <f t="shared" si="1098"/>
        <v>38.275660383160549</v>
      </c>
      <c r="BK178" s="13">
        <f t="shared" si="1098"/>
        <v>21.946900536746121</v>
      </c>
      <c r="BL178" s="13">
        <f t="shared" si="1098"/>
        <v>23.326352210557506</v>
      </c>
      <c r="BM178" s="13">
        <f t="shared" si="1098"/>
        <v>19.236795700569996</v>
      </c>
      <c r="BN178" s="13">
        <f t="shared" si="1098"/>
        <v>16.51727163011364</v>
      </c>
      <c r="BO178" s="13">
        <f t="shared" si="1098"/>
        <v>13.109770488394474</v>
      </c>
      <c r="BP178" s="13">
        <f t="shared" si="1098"/>
        <v>17.044453597848037</v>
      </c>
      <c r="BQ178" s="13">
        <f t="shared" si="1098"/>
        <v>20.116690837809003</v>
      </c>
      <c r="BR178" s="13">
        <f t="shared" ref="BR178:CH178" si="1099">+BR170/BR161</f>
        <v>28.63378362577663</v>
      </c>
      <c r="BS178" s="13">
        <f t="shared" si="1099"/>
        <v>29.312357217030151</v>
      </c>
      <c r="BT178" s="13">
        <f t="shared" si="1099"/>
        <v>32.859928405980241</v>
      </c>
      <c r="BU178" s="13">
        <f t="shared" si="1099"/>
        <v>50.092606886290241</v>
      </c>
      <c r="BV178" s="13">
        <f t="shared" si="1099"/>
        <v>34.921148858261731</v>
      </c>
      <c r="BW178" s="13">
        <f t="shared" si="1099"/>
        <v>34.46413306648622</v>
      </c>
      <c r="BX178" s="13">
        <f t="shared" si="1099"/>
        <v>25.37707034179029</v>
      </c>
      <c r="BY178" s="13">
        <f t="shared" si="1099"/>
        <v>20.363708993673765</v>
      </c>
      <c r="BZ178" s="13">
        <f t="shared" si="1099"/>
        <v>20.635528287635925</v>
      </c>
      <c r="CA178" s="13">
        <f t="shared" si="1099"/>
        <v>22.045172503163435</v>
      </c>
      <c r="CB178" s="13">
        <f t="shared" si="1099"/>
        <v>26.485598410114825</v>
      </c>
      <c r="CC178" s="13">
        <f t="shared" si="1099"/>
        <v>33.149734456113471</v>
      </c>
      <c r="CD178" s="13">
        <f t="shared" si="1099"/>
        <v>40.443542280185056</v>
      </c>
      <c r="CE178" s="13">
        <f t="shared" si="1099"/>
        <v>40.581850108448585</v>
      </c>
      <c r="CF178" s="13">
        <f t="shared" si="1099"/>
        <v>41.104690533933272</v>
      </c>
      <c r="CG178" s="13">
        <f t="shared" si="1099"/>
        <v>39.99792346106809</v>
      </c>
      <c r="CH178" s="13">
        <f t="shared" si="1099"/>
        <v>31.455168757558365</v>
      </c>
      <c r="CI178" s="13">
        <f t="shared" ref="CI178:CJ178" si="1100">+CI170/CI161</f>
        <v>31.83544245693054</v>
      </c>
      <c r="CJ178" s="13">
        <f t="shared" si="1100"/>
        <v>32.995758346156393</v>
      </c>
      <c r="CK178" s="13">
        <f t="shared" ref="CK178:CL178" si="1101">+CK170/CK161</f>
        <v>34.959820173313503</v>
      </c>
      <c r="CL178" s="13">
        <f t="shared" si="1101"/>
        <v>34.799059906250882</v>
      </c>
      <c r="CM178" s="60">
        <f t="shared" ref="CM178:CM179" si="1102">+CL178</f>
        <v>34.799059906250882</v>
      </c>
      <c r="CN178" s="60">
        <f t="shared" ref="CN178:CN179" si="1103">+CM178</f>
        <v>34.799059906250882</v>
      </c>
      <c r="CO178" s="60">
        <f t="shared" ref="CO178:CO179" si="1104">+CN178</f>
        <v>34.799059906250882</v>
      </c>
      <c r="CP178" s="60">
        <f t="shared" ref="CP178:CP179" si="1105">+CO178</f>
        <v>34.799059906250882</v>
      </c>
      <c r="CQ178" s="60">
        <f t="shared" ref="CQ178:CQ179" si="1106">+CP178</f>
        <v>34.799059906250882</v>
      </c>
      <c r="CR178" s="60">
        <f t="shared" ref="CR178:CR179" si="1107">+CQ178</f>
        <v>34.799059906250882</v>
      </c>
      <c r="CS178" s="60">
        <f t="shared" ref="CS178:CS179" si="1108">+CR178</f>
        <v>34.799059906250882</v>
      </c>
      <c r="CT178" s="60">
        <f t="shared" ref="CT178:CT179" si="1109">+CS178</f>
        <v>34.799059906250882</v>
      </c>
      <c r="CU178" s="60">
        <f t="shared" ref="CU178:CU179" si="1110">+CT178</f>
        <v>34.799059906250882</v>
      </c>
      <c r="CV178" s="60">
        <f t="shared" ref="CV178:CV179" si="1111">+CU178</f>
        <v>34.799059906250882</v>
      </c>
      <c r="CW178" s="60">
        <f t="shared" ref="CW178:CW179" si="1112">+CV178</f>
        <v>34.799059906250882</v>
      </c>
      <c r="CX178" s="60">
        <f t="shared" ref="CX178:CX179" si="1113">+CW178</f>
        <v>34.799059906250882</v>
      </c>
      <c r="CY178" s="60">
        <f t="shared" ref="CY178:CY179" si="1114">+CX178</f>
        <v>34.799059906250882</v>
      </c>
      <c r="CZ178" s="60">
        <f t="shared" ref="CZ178:CZ179" si="1115">+CY178</f>
        <v>34.799059906250882</v>
      </c>
      <c r="DA178" s="60">
        <f t="shared" ref="DA178:DA179" si="1116">+CZ178</f>
        <v>34.799059906250882</v>
      </c>
      <c r="DB178" s="60">
        <f t="shared" ref="DB178:DB179" si="1117">+DA178</f>
        <v>34.799059906250882</v>
      </c>
      <c r="DE178" s="136"/>
      <c r="DF178" s="13">
        <v>33.905840610378505</v>
      </c>
    </row>
    <row r="179" spans="1:110" s="13" customFormat="1" x14ac:dyDescent="0.2">
      <c r="A179" s="13" t="s">
        <v>462</v>
      </c>
      <c r="B179" s="13">
        <f t="shared" ref="B179:D179" si="1118">+B171/B161</f>
        <v>0.21684815120372342</v>
      </c>
      <c r="C179" s="13">
        <f t="shared" si="1118"/>
        <v>0.35247011149559976</v>
      </c>
      <c r="D179" s="13">
        <f t="shared" si="1118"/>
        <v>0.45052405361464021</v>
      </c>
      <c r="E179" s="13" t="e">
        <f t="shared" ref="E179:AE179" ca="1" si="1119">+E171/E161</f>
        <v>#DIV/0!</v>
      </c>
      <c r="F179" s="13" t="e">
        <f t="shared" ca="1" si="1119"/>
        <v>#DIV/0!</v>
      </c>
      <c r="G179" s="13" t="e">
        <f t="shared" ca="1" si="1119"/>
        <v>#DIV/0!</v>
      </c>
      <c r="H179" s="13" t="e">
        <f t="shared" ca="1" si="1119"/>
        <v>#DIV/0!</v>
      </c>
      <c r="I179" s="13" t="e">
        <f t="shared" ca="1" si="1119"/>
        <v>#DIV/0!</v>
      </c>
      <c r="J179" s="13" t="e">
        <f t="shared" ca="1" si="1119"/>
        <v>#DIV/0!</v>
      </c>
      <c r="K179" s="13" t="e">
        <f t="shared" ca="1" si="1119"/>
        <v>#DIV/0!</v>
      </c>
      <c r="L179" s="13" t="e">
        <f t="shared" ca="1" si="1119"/>
        <v>#DIV/0!</v>
      </c>
      <c r="M179" s="13" t="e">
        <f t="shared" ca="1" si="1119"/>
        <v>#DIV/0!</v>
      </c>
      <c r="N179" s="13" t="e">
        <f t="shared" ca="1" si="1119"/>
        <v>#DIV/0!</v>
      </c>
      <c r="O179" s="13" t="e">
        <f t="shared" ca="1" si="1119"/>
        <v>#DIV/0!</v>
      </c>
      <c r="P179" s="13" t="e">
        <f t="shared" ca="1" si="1119"/>
        <v>#DIV/0!</v>
      </c>
      <c r="Q179" s="13" t="e">
        <f t="shared" ca="1" si="1119"/>
        <v>#DIV/0!</v>
      </c>
      <c r="R179" s="13" t="e">
        <f t="shared" ca="1" si="1119"/>
        <v>#DIV/0!</v>
      </c>
      <c r="S179" s="13" t="e">
        <f t="shared" ca="1" si="1119"/>
        <v>#DIV/0!</v>
      </c>
      <c r="T179" s="13" t="e">
        <f t="shared" ca="1" si="1119"/>
        <v>#DIV/0!</v>
      </c>
      <c r="U179" s="13" t="e">
        <f t="shared" ca="1" si="1119"/>
        <v>#DIV/0!</v>
      </c>
      <c r="V179" s="13" t="e">
        <f t="shared" ca="1" si="1119"/>
        <v>#DIV/0!</v>
      </c>
      <c r="W179" s="13" t="e">
        <f t="shared" ca="1" si="1119"/>
        <v>#DIV/0!</v>
      </c>
      <c r="X179" s="13" t="e">
        <f t="shared" ca="1" si="1119"/>
        <v>#DIV/0!</v>
      </c>
      <c r="Y179" s="13" t="e">
        <f t="shared" ca="1" si="1119"/>
        <v>#DIV/0!</v>
      </c>
      <c r="Z179" s="13" t="e">
        <f t="shared" ref="Z179:AA179" ca="1" si="1120">+Z171/Z161</f>
        <v>#DIV/0!</v>
      </c>
      <c r="AA179" s="13" t="e">
        <f t="shared" ca="1" si="1120"/>
        <v>#DIV/0!</v>
      </c>
      <c r="AB179" s="60" t="e">
        <f t="shared" ca="1" si="1119"/>
        <v>#DIV/0!</v>
      </c>
      <c r="AC179" s="60" t="e">
        <f t="shared" ca="1" si="1119"/>
        <v>#DIV/0!</v>
      </c>
      <c r="AD179" s="60" t="e">
        <f t="shared" ca="1" si="1119"/>
        <v>#DIV/0!</v>
      </c>
      <c r="AE179" s="60" t="e">
        <f t="shared" ca="1" si="1119"/>
        <v>#DIV/0!</v>
      </c>
      <c r="AL179" s="13">
        <f t="shared" ref="AL179:BQ179" si="1121">+AL171/AL161</f>
        <v>37.470178506256232</v>
      </c>
      <c r="AM179" s="13">
        <f t="shared" si="1121"/>
        <v>47.272324457778915</v>
      </c>
      <c r="AN179" s="13">
        <f t="shared" si="1121"/>
        <v>50.997039507513591</v>
      </c>
      <c r="AO179" s="13">
        <f t="shared" si="1121"/>
        <v>354.04627818980157</v>
      </c>
      <c r="AP179" s="13">
        <f t="shared" si="1121"/>
        <v>-84.755189707809393</v>
      </c>
      <c r="AQ179" s="13">
        <f t="shared" si="1121"/>
        <v>-66.023714316844192</v>
      </c>
      <c r="AR179" s="13">
        <f t="shared" si="1121"/>
        <v>-68.216280946554079</v>
      </c>
      <c r="AS179" s="13">
        <f t="shared" si="1121"/>
        <v>-55.283959182753641</v>
      </c>
      <c r="AT179" s="13">
        <f t="shared" si="1121"/>
        <v>-49.887826916958396</v>
      </c>
      <c r="AU179" s="13">
        <f t="shared" si="1121"/>
        <v>98.917970765262936</v>
      </c>
      <c r="AV179" s="13">
        <f t="shared" si="1121"/>
        <v>31.564497946265057</v>
      </c>
      <c r="AW179" s="13">
        <f t="shared" si="1121"/>
        <v>16.217406134826383</v>
      </c>
      <c r="AX179" s="13">
        <f t="shared" si="1121"/>
        <v>15.329292224499595</v>
      </c>
      <c r="AY179" s="13">
        <f t="shared" si="1121"/>
        <v>18.974647997726802</v>
      </c>
      <c r="AZ179" s="13">
        <f t="shared" si="1121"/>
        <v>21.242436554032796</v>
      </c>
      <c r="BA179" s="13">
        <f t="shared" si="1121"/>
        <v>18.394190714751403</v>
      </c>
      <c r="BB179" s="13">
        <f t="shared" si="1121"/>
        <v>13.396087056025973</v>
      </c>
      <c r="BC179" s="13">
        <f t="shared" si="1121"/>
        <v>13.767020153227424</v>
      </c>
      <c r="BD179" s="13">
        <f t="shared" si="1121"/>
        <v>14.523541035436693</v>
      </c>
      <c r="BE179" s="13">
        <f t="shared" si="1121"/>
        <v>15.239261481366936</v>
      </c>
      <c r="BF179" s="13">
        <f t="shared" si="1121"/>
        <v>17.862752357514641</v>
      </c>
      <c r="BG179" s="13">
        <f t="shared" si="1121"/>
        <v>26.650018793459846</v>
      </c>
      <c r="BH179" s="13">
        <f t="shared" si="1121"/>
        <v>23.195497580475422</v>
      </c>
      <c r="BI179" s="13">
        <f t="shared" si="1121"/>
        <v>37.524541765501411</v>
      </c>
      <c r="BJ179" s="13">
        <f t="shared" si="1121"/>
        <v>31.495119776130821</v>
      </c>
      <c r="BK179" s="13">
        <f t="shared" si="1121"/>
        <v>17.380575327540164</v>
      </c>
      <c r="BL179" s="13">
        <f t="shared" si="1121"/>
        <v>15.87640987727344</v>
      </c>
      <c r="BM179" s="13">
        <f t="shared" si="1121"/>
        <v>15.600292621351837</v>
      </c>
      <c r="BN179" s="13">
        <f t="shared" si="1121"/>
        <v>8.325130467351963</v>
      </c>
      <c r="BO179" s="13">
        <f t="shared" si="1121"/>
        <v>7.4754763080602062</v>
      </c>
      <c r="BP179" s="13">
        <f t="shared" si="1121"/>
        <v>11.833068258238075</v>
      </c>
      <c r="BQ179" s="13">
        <f t="shared" si="1121"/>
        <v>13.152241541428289</v>
      </c>
      <c r="BR179" s="13">
        <f t="shared" ref="BR179:CH179" si="1122">+BR171/BR161</f>
        <v>18.557780601308039</v>
      </c>
      <c r="BS179" s="13">
        <f t="shared" si="1122"/>
        <v>19.89921910695745</v>
      </c>
      <c r="BT179" s="13">
        <f t="shared" si="1122"/>
        <v>24.142820498095322</v>
      </c>
      <c r="BU179" s="13">
        <f t="shared" si="1122"/>
        <v>29.086029804942719</v>
      </c>
      <c r="BV179" s="13">
        <f t="shared" si="1122"/>
        <v>27.533331638102034</v>
      </c>
      <c r="BW179" s="13">
        <f t="shared" si="1122"/>
        <v>21.973776116216047</v>
      </c>
      <c r="BX179" s="13">
        <f t="shared" si="1122"/>
        <v>20.276380306956348</v>
      </c>
      <c r="BY179" s="13">
        <f t="shared" si="1122"/>
        <v>16.885813278549524</v>
      </c>
      <c r="BZ179" s="13">
        <f t="shared" si="1122"/>
        <v>17.474830058385585</v>
      </c>
      <c r="CA179" s="13">
        <f t="shared" si="1122"/>
        <v>18.712819355723926</v>
      </c>
      <c r="CB179" s="13">
        <f t="shared" si="1122"/>
        <v>20.781376401715772</v>
      </c>
      <c r="CC179" s="13">
        <f t="shared" si="1122"/>
        <v>22.050450348077785</v>
      </c>
      <c r="CD179" s="13">
        <f t="shared" si="1122"/>
        <v>29.856520824568751</v>
      </c>
      <c r="CE179" s="13">
        <f t="shared" si="1122"/>
        <v>32.968929271821679</v>
      </c>
      <c r="CF179" s="13">
        <f t="shared" si="1122"/>
        <v>33.225980021366695</v>
      </c>
      <c r="CG179" s="13">
        <f t="shared" si="1122"/>
        <v>31.383612413371388</v>
      </c>
      <c r="CH179" s="13">
        <f t="shared" si="1122"/>
        <v>25.470957575461448</v>
      </c>
      <c r="CI179" s="13">
        <f t="shared" ref="CI179:CJ179" si="1123">+CI171/CI161</f>
        <v>25.372091288568836</v>
      </c>
      <c r="CJ179" s="13">
        <f t="shared" si="1123"/>
        <v>29.190991874995333</v>
      </c>
      <c r="CK179" s="13">
        <f t="shared" ref="CK179:CL179" si="1124">+CK171/CK161</f>
        <v>31.283624174933855</v>
      </c>
      <c r="CL179" s="13">
        <f t="shared" si="1124"/>
        <v>28.473848372143859</v>
      </c>
      <c r="CM179" s="60">
        <f t="shared" si="1102"/>
        <v>28.473848372143859</v>
      </c>
      <c r="CN179" s="60">
        <f t="shared" si="1103"/>
        <v>28.473848372143859</v>
      </c>
      <c r="CO179" s="60">
        <f t="shared" si="1104"/>
        <v>28.473848372143859</v>
      </c>
      <c r="CP179" s="60">
        <f t="shared" si="1105"/>
        <v>28.473848372143859</v>
      </c>
      <c r="CQ179" s="60">
        <f t="shared" si="1106"/>
        <v>28.473848372143859</v>
      </c>
      <c r="CR179" s="60">
        <f t="shared" si="1107"/>
        <v>28.473848372143859</v>
      </c>
      <c r="CS179" s="60">
        <f t="shared" si="1108"/>
        <v>28.473848372143859</v>
      </c>
      <c r="CT179" s="60">
        <f t="shared" si="1109"/>
        <v>28.473848372143859</v>
      </c>
      <c r="CU179" s="60">
        <f t="shared" si="1110"/>
        <v>28.473848372143859</v>
      </c>
      <c r="CV179" s="60">
        <f t="shared" si="1111"/>
        <v>28.473848372143859</v>
      </c>
      <c r="CW179" s="60">
        <f t="shared" si="1112"/>
        <v>28.473848372143859</v>
      </c>
      <c r="CX179" s="60">
        <f t="shared" si="1113"/>
        <v>28.473848372143859</v>
      </c>
      <c r="CY179" s="60">
        <f t="shared" si="1114"/>
        <v>28.473848372143859</v>
      </c>
      <c r="CZ179" s="60">
        <f t="shared" si="1115"/>
        <v>28.473848372143859</v>
      </c>
      <c r="DA179" s="60">
        <f t="shared" si="1116"/>
        <v>28.473848372143859</v>
      </c>
      <c r="DB179" s="60">
        <f t="shared" si="1117"/>
        <v>28.473848372143859</v>
      </c>
      <c r="DE179" s="136"/>
      <c r="DF179" s="13">
        <v>27.742984065399334</v>
      </c>
    </row>
    <row r="180" spans="1:110" s="13" customFormat="1" x14ac:dyDescent="0.2">
      <c r="AB180" s="60"/>
      <c r="AC180" s="60"/>
      <c r="AD180" s="60"/>
      <c r="AE180" s="60"/>
      <c r="CM180" s="60"/>
      <c r="CN180" s="60"/>
      <c r="CO180" s="60"/>
      <c r="CP180" s="60"/>
      <c r="CQ180" s="60"/>
      <c r="CR180" s="60"/>
      <c r="CS180" s="60"/>
      <c r="CT180" s="60"/>
      <c r="CU180" s="60"/>
      <c r="CV180" s="60"/>
      <c r="CW180" s="60"/>
      <c r="CX180" s="60"/>
      <c r="CY180" s="60"/>
      <c r="CZ180" s="60"/>
      <c r="DA180" s="60"/>
      <c r="DB180" s="60"/>
      <c r="DE180" s="136"/>
    </row>
    <row r="181" spans="1:110" s="13" customFormat="1" x14ac:dyDescent="0.2">
      <c r="A181" s="13" t="s">
        <v>463</v>
      </c>
      <c r="B181" s="13">
        <f t="shared" ref="B181:AD181" si="1125">+B170/C161</f>
        <v>0.70768165719172216</v>
      </c>
      <c r="C181" s="13">
        <f t="shared" si="1125"/>
        <v>0.75756599015418113</v>
      </c>
      <c r="D181" s="13" t="e">
        <f t="shared" ca="1" si="1125"/>
        <v>#DIV/0!</v>
      </c>
      <c r="E181" s="13" t="e">
        <f t="shared" ca="1" si="1125"/>
        <v>#DIV/0!</v>
      </c>
      <c r="F181" s="13" t="e">
        <f t="shared" ca="1" si="1125"/>
        <v>#DIV/0!</v>
      </c>
      <c r="G181" s="13" t="e">
        <f t="shared" ca="1" si="1125"/>
        <v>#DIV/0!</v>
      </c>
      <c r="H181" s="13" t="e">
        <f t="shared" ca="1" si="1125"/>
        <v>#DIV/0!</v>
      </c>
      <c r="I181" s="13" t="e">
        <f t="shared" ca="1" si="1125"/>
        <v>#DIV/0!</v>
      </c>
      <c r="J181" s="13" t="e">
        <f t="shared" ca="1" si="1125"/>
        <v>#DIV/0!</v>
      </c>
      <c r="K181" s="13" t="e">
        <f t="shared" ca="1" si="1125"/>
        <v>#DIV/0!</v>
      </c>
      <c r="L181" s="13" t="e">
        <f t="shared" ca="1" si="1125"/>
        <v>#DIV/0!</v>
      </c>
      <c r="M181" s="13" t="e">
        <f t="shared" ca="1" si="1125"/>
        <v>#DIV/0!</v>
      </c>
      <c r="N181" s="13" t="e">
        <f t="shared" ca="1" si="1125"/>
        <v>#DIV/0!</v>
      </c>
      <c r="O181" s="13" t="e">
        <f t="shared" ca="1" si="1125"/>
        <v>#DIV/0!</v>
      </c>
      <c r="P181" s="13" t="e">
        <f t="shared" ca="1" si="1125"/>
        <v>#DIV/0!</v>
      </c>
      <c r="Q181" s="13" t="e">
        <f t="shared" ca="1" si="1125"/>
        <v>#DIV/0!</v>
      </c>
      <c r="R181" s="13" t="e">
        <f t="shared" ca="1" si="1125"/>
        <v>#DIV/0!</v>
      </c>
      <c r="S181" s="13" t="e">
        <f t="shared" ca="1" si="1125"/>
        <v>#DIV/0!</v>
      </c>
      <c r="T181" s="13" t="e">
        <f t="shared" ca="1" si="1125"/>
        <v>#DIV/0!</v>
      </c>
      <c r="U181" s="13" t="e">
        <f t="shared" ca="1" si="1125"/>
        <v>#DIV/0!</v>
      </c>
      <c r="V181" s="13" t="e">
        <f t="shared" ca="1" si="1125"/>
        <v>#DIV/0!</v>
      </c>
      <c r="W181" s="13" t="e">
        <f t="shared" ca="1" si="1125"/>
        <v>#DIV/0!</v>
      </c>
      <c r="X181" s="13" t="e">
        <f t="shared" ca="1" si="1125"/>
        <v>#DIV/0!</v>
      </c>
      <c r="Y181" s="13" t="e">
        <f t="shared" ca="1" si="1125"/>
        <v>#DIV/0!</v>
      </c>
      <c r="Z181" s="13" t="e">
        <f t="shared" ref="Z181:AA181" ca="1" si="1126">+Z170/AA161</f>
        <v>#DIV/0!</v>
      </c>
      <c r="AA181" s="13" t="e">
        <f t="shared" ca="1" si="1126"/>
        <v>#DIV/0!</v>
      </c>
      <c r="AB181" s="37" t="e">
        <f t="shared" ca="1" si="1125"/>
        <v>#DIV/0!</v>
      </c>
      <c r="AC181" s="37" t="e">
        <f t="shared" ca="1" si="1125"/>
        <v>#DIV/0!</v>
      </c>
      <c r="AD181" s="37" t="e">
        <f t="shared" ca="1" si="1125"/>
        <v>#DIV/0!</v>
      </c>
      <c r="AE181" s="37"/>
      <c r="AL181" s="13">
        <f t="shared" ref="AL181:BQ181" si="1127">+AL170/AP161</f>
        <v>-133.44938897310757</v>
      </c>
      <c r="AM181" s="13">
        <f t="shared" si="1127"/>
        <v>-85.133994236537021</v>
      </c>
      <c r="AN181" s="13">
        <f t="shared" si="1127"/>
        <v>-76.386720989130723</v>
      </c>
      <c r="AO181" s="13">
        <f t="shared" si="1127"/>
        <v>-64.22139307981584</v>
      </c>
      <c r="AP181" s="13">
        <f t="shared" si="1127"/>
        <v>-60.047418652015935</v>
      </c>
      <c r="AQ181" s="13">
        <f t="shared" si="1127"/>
        <v>166.67099606281508</v>
      </c>
      <c r="AR181" s="13">
        <f t="shared" si="1127"/>
        <v>63.697213677341367</v>
      </c>
      <c r="AS181" s="13">
        <f t="shared" si="1127"/>
        <v>25.230030199918428</v>
      </c>
      <c r="AT181" s="13">
        <f t="shared" si="1127"/>
        <v>25.75321093715932</v>
      </c>
      <c r="AU181" s="13">
        <f t="shared" si="1127"/>
        <v>25.72223321804054</v>
      </c>
      <c r="AV181" s="13">
        <f t="shared" si="1127"/>
        <v>23.391061772195368</v>
      </c>
      <c r="AW181" s="13">
        <f t="shared" si="1127"/>
        <v>19.860791613766605</v>
      </c>
      <c r="AX181" s="13">
        <f t="shared" si="1127"/>
        <v>12.620148591395974</v>
      </c>
      <c r="AY181" s="13">
        <f t="shared" si="1127"/>
        <v>13.991384888449515</v>
      </c>
      <c r="AZ181" s="13">
        <f t="shared" si="1127"/>
        <v>15.375052993377313</v>
      </c>
      <c r="BA181" s="13">
        <f t="shared" si="1127"/>
        <v>16.692031544765729</v>
      </c>
      <c r="BB181" s="13">
        <f t="shared" si="1127"/>
        <v>21.133723893111476</v>
      </c>
      <c r="BC181" s="13">
        <f t="shared" si="1127"/>
        <v>34.250904435256494</v>
      </c>
      <c r="BD181" s="13">
        <f t="shared" si="1127"/>
        <v>30.891944146079396</v>
      </c>
      <c r="BE181" s="13">
        <f t="shared" si="1127"/>
        <v>60.797275097527745</v>
      </c>
      <c r="BF181" s="13">
        <f t="shared" si="1127"/>
        <v>49.994203388788009</v>
      </c>
      <c r="BG181" s="13">
        <f t="shared" si="1127"/>
        <v>25.542881638995809</v>
      </c>
      <c r="BH181" s="13">
        <f t="shared" si="1127"/>
        <v>24.86989205973687</v>
      </c>
      <c r="BI181" s="13">
        <f t="shared" si="1127"/>
        <v>26.32644876257514</v>
      </c>
      <c r="BJ181" s="13">
        <f t="shared" si="1127"/>
        <v>20.719733655166706</v>
      </c>
      <c r="BK181" s="13">
        <f t="shared" si="1127"/>
        <v>21.291264003327033</v>
      </c>
      <c r="BL181" s="13">
        <f t="shared" si="1127"/>
        <v>19.891911566913269</v>
      </c>
      <c r="BM181" s="13">
        <f t="shared" si="1127"/>
        <v>16.029692256203504</v>
      </c>
      <c r="BN181" s="13">
        <f t="shared" si="1127"/>
        <v>15.468968796526566</v>
      </c>
      <c r="BO181" s="13">
        <f t="shared" si="1127"/>
        <v>10.475019730010398</v>
      </c>
      <c r="BP181" s="13">
        <f t="shared" si="1127"/>
        <v>12.938023315913412</v>
      </c>
      <c r="BQ181" s="13">
        <f t="shared" si="1127"/>
        <v>14.673029084230363</v>
      </c>
      <c r="BR181" s="13">
        <f t="shared" ref="BR181:CL181" si="1128">+BR170/BV161</f>
        <v>15.567911814067037</v>
      </c>
      <c r="BS181" s="13">
        <f t="shared" si="1128"/>
        <v>15.323817554729612</v>
      </c>
      <c r="BT181" s="13">
        <f t="shared" si="1128"/>
        <v>16.292887990356594</v>
      </c>
      <c r="BU181" s="13">
        <f t="shared" si="1128"/>
        <v>23.420436313832894</v>
      </c>
      <c r="BV181" s="13">
        <f t="shared" si="1128"/>
        <v>24.696546618551512</v>
      </c>
      <c r="BW181" s="13">
        <f t="shared" si="1128"/>
        <v>29.036293506929077</v>
      </c>
      <c r="BX181" s="13">
        <f t="shared" si="1128"/>
        <v>24.042984451858302</v>
      </c>
      <c r="BY181" s="13">
        <f t="shared" si="1128"/>
        <v>22.408800028707436</v>
      </c>
      <c r="BZ181" s="13">
        <f t="shared" si="1128"/>
        <v>20.114407165895361</v>
      </c>
      <c r="CA181" s="13">
        <f t="shared" si="1128"/>
        <v>19.775239257024538</v>
      </c>
      <c r="CB181" s="13">
        <f t="shared" si="1128"/>
        <v>22.967458689769728</v>
      </c>
      <c r="CC181" s="13">
        <f t="shared" si="1128"/>
        <v>28.24484406848757</v>
      </c>
      <c r="CD181" s="13">
        <f t="shared" si="1128"/>
        <v>33.820747346175935</v>
      </c>
      <c r="CE181" s="13">
        <f t="shared" si="1128"/>
        <v>35.472032476008764</v>
      </c>
      <c r="CF181" s="13">
        <f t="shared" si="1128"/>
        <v>39.18394772641107</v>
      </c>
      <c r="CG181" s="13">
        <f t="shared" si="1128"/>
        <v>41.563435769942544</v>
      </c>
      <c r="CH181" s="13">
        <f t="shared" si="1128"/>
        <v>33.509897792133081</v>
      </c>
      <c r="CI181" s="13">
        <f t="shared" si="1128"/>
        <v>34.423441849672074</v>
      </c>
      <c r="CJ181" s="13">
        <f t="shared" si="1128"/>
        <v>28.018858487669213</v>
      </c>
      <c r="CK181" s="13">
        <f t="shared" si="1128"/>
        <v>24.345965748602932</v>
      </c>
      <c r="CL181" s="13">
        <f t="shared" si="1128"/>
        <v>22.997161738820974</v>
      </c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E181" s="134"/>
      <c r="DF181" s="13">
        <v>24.447293789008697</v>
      </c>
    </row>
    <row r="182" spans="1:110" s="98" customFormat="1" x14ac:dyDescent="0.2">
      <c r="A182" s="98" t="s">
        <v>426</v>
      </c>
      <c r="AB182" s="99"/>
      <c r="AC182" s="99"/>
      <c r="AD182" s="99"/>
      <c r="AE182" s="99"/>
      <c r="AL182" s="175"/>
      <c r="AM182" s="175"/>
      <c r="AN182" s="175"/>
      <c r="AO182" s="175">
        <f t="shared" ref="AO182:CI182" si="1129">+CORREL(AL161:AO161,AL178:AO178)</f>
        <v>-0.884283788825865</v>
      </c>
      <c r="AP182" s="175">
        <f t="shared" si="1129"/>
        <v>0.15151650634769157</v>
      </c>
      <c r="AQ182" s="175">
        <f t="shared" si="1129"/>
        <v>0.50476751269194986</v>
      </c>
      <c r="AR182" s="175">
        <f t="shared" si="1129"/>
        <v>0.95861268124914756</v>
      </c>
      <c r="AS182" s="175">
        <f t="shared" si="1129"/>
        <v>-0.89601018028219614</v>
      </c>
      <c r="AT182" s="175">
        <f t="shared" si="1129"/>
        <v>-0.99447638126051607</v>
      </c>
      <c r="AU182" s="175">
        <f t="shared" si="1129"/>
        <v>0.96964875158348407</v>
      </c>
      <c r="AV182" s="175">
        <f t="shared" si="1129"/>
        <v>0.8101146326246762</v>
      </c>
      <c r="AW182" s="175">
        <f t="shared" si="1129"/>
        <v>0.37337987225381408</v>
      </c>
      <c r="AX182" s="175">
        <f t="shared" si="1129"/>
        <v>-0.9154937669769857</v>
      </c>
      <c r="AY182" s="175">
        <f t="shared" si="1129"/>
        <v>-0.99687139982612483</v>
      </c>
      <c r="AZ182" s="175">
        <f t="shared" si="1129"/>
        <v>-0.96779994271912173</v>
      </c>
      <c r="BA182" s="175">
        <f t="shared" si="1129"/>
        <v>-0.69310931101731277</v>
      </c>
      <c r="BB182" s="175">
        <f t="shared" si="1129"/>
        <v>-0.99908385328243887</v>
      </c>
      <c r="BC182" s="175">
        <f t="shared" si="1129"/>
        <v>-0.99999220875615202</v>
      </c>
      <c r="BD182" s="175">
        <f t="shared" si="1129"/>
        <v>-0.99145006628548094</v>
      </c>
      <c r="BE182" s="175">
        <f t="shared" si="1129"/>
        <v>-0.84572580128996444</v>
      </c>
      <c r="BF182" s="175">
        <f t="shared" si="1129"/>
        <v>-0.97199447152510432</v>
      </c>
      <c r="BG182" s="175">
        <f t="shared" si="1129"/>
        <v>-0.99658310934224326</v>
      </c>
      <c r="BH182" s="175">
        <f t="shared" si="1129"/>
        <v>-0.94530859708537218</v>
      </c>
      <c r="BI182" s="175">
        <f t="shared" si="1129"/>
        <v>-0.88884531474700879</v>
      </c>
      <c r="BJ182" s="175">
        <f t="shared" si="1129"/>
        <v>-0.9514035315628655</v>
      </c>
      <c r="BK182" s="175">
        <f t="shared" si="1129"/>
        <v>-0.95710461441192263</v>
      </c>
      <c r="BL182" s="175">
        <f t="shared" si="1129"/>
        <v>-0.96540370518993879</v>
      </c>
      <c r="BM182" s="175">
        <f t="shared" si="1129"/>
        <v>-0.96259314022678033</v>
      </c>
      <c r="BN182" s="175">
        <f t="shared" si="1129"/>
        <v>-0.73317964267130742</v>
      </c>
      <c r="BO182" s="175">
        <f t="shared" si="1129"/>
        <v>-0.81969100668737127</v>
      </c>
      <c r="BP182" s="175">
        <f t="shared" si="1129"/>
        <v>-0.5142878030409137</v>
      </c>
      <c r="BQ182" s="175">
        <f t="shared" si="1129"/>
        <v>0.96911789655191516</v>
      </c>
      <c r="BR182" s="175">
        <f t="shared" si="1129"/>
        <v>0.93502592593035794</v>
      </c>
      <c r="BS182" s="175">
        <f t="shared" si="1129"/>
        <v>0.81494187405336949</v>
      </c>
      <c r="BT182" s="175">
        <f t="shared" si="1129"/>
        <v>0.81333619056247508</v>
      </c>
      <c r="BU182" s="175">
        <f t="shared" si="1129"/>
        <v>0.86912856566414254</v>
      </c>
      <c r="BV182" s="175">
        <f t="shared" si="1129"/>
        <v>0.13148149518799793</v>
      </c>
      <c r="BW182" s="175">
        <f t="shared" si="1129"/>
        <v>-0.37029089715967733</v>
      </c>
      <c r="BX182" s="175">
        <f t="shared" si="1129"/>
        <v>-0.96669626659334151</v>
      </c>
      <c r="BY182" s="175">
        <f t="shared" si="1129"/>
        <v>-0.95763625539349551</v>
      </c>
      <c r="BZ182" s="175">
        <f t="shared" si="1129"/>
        <v>-0.9289723875231598</v>
      </c>
      <c r="CA182" s="175">
        <f t="shared" si="1129"/>
        <v>-0.75992217655708094</v>
      </c>
      <c r="CB182" s="175">
        <f t="shared" si="1129"/>
        <v>-0.43393475036298457</v>
      </c>
      <c r="CC182" s="175">
        <f t="shared" si="1129"/>
        <v>0.51241886213937027</v>
      </c>
      <c r="CD182" s="175">
        <f t="shared" si="1129"/>
        <v>0.95818264139865961</v>
      </c>
      <c r="CE182" s="175">
        <f t="shared" si="1129"/>
        <v>0.71912831220704809</v>
      </c>
      <c r="CF182" s="175">
        <f t="shared" si="1129"/>
        <v>0.70254876549036105</v>
      </c>
      <c r="CG182" s="175">
        <f t="shared" si="1129"/>
        <v>-4.4062121346564141E-2</v>
      </c>
      <c r="CH182" s="175">
        <f t="shared" si="1129"/>
        <v>-0.79787678916905536</v>
      </c>
      <c r="CI182" s="175">
        <f t="shared" si="1129"/>
        <v>-0.95568483181505037</v>
      </c>
      <c r="CJ182" s="175">
        <f>+CORREL(CG161:CJ161,CG178:CJ178)</f>
        <v>-0.87508781977634431</v>
      </c>
      <c r="CK182" s="175">
        <f>+CORREL(CH161:CK161,CH178:CK178)</f>
        <v>-0.94386781586948298</v>
      </c>
      <c r="CL182" s="175">
        <f>+CORREL(CI161:CL161,CI178:CL178)</f>
        <v>-0.99486663619200655</v>
      </c>
      <c r="CM182" s="99"/>
      <c r="CN182" s="99"/>
      <c r="CO182" s="99"/>
      <c r="CP182" s="99"/>
      <c r="CQ182" s="99"/>
      <c r="CR182" s="99"/>
      <c r="CS182" s="99"/>
      <c r="CT182" s="99"/>
      <c r="CU182" s="99"/>
      <c r="CV182" s="99"/>
      <c r="CW182" s="99"/>
      <c r="CX182" s="99"/>
      <c r="CY182" s="99"/>
      <c r="CZ182" s="99"/>
      <c r="DA182" s="99"/>
      <c r="DB182" s="99"/>
      <c r="DE182" s="137"/>
      <c r="DF182" s="98">
        <v>-0.99665046531362111</v>
      </c>
    </row>
    <row r="183" spans="1:110" s="4" customFormat="1" x14ac:dyDescent="0.2">
      <c r="A183" s="3"/>
      <c r="AB183" s="17"/>
      <c r="AC183" s="17"/>
      <c r="AD183" s="17"/>
      <c r="AE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E183" s="119"/>
    </row>
    <row r="184" spans="1:110" s="162" customFormat="1" x14ac:dyDescent="0.2">
      <c r="A184" s="49" t="s">
        <v>505</v>
      </c>
      <c r="E184" s="162" t="e">
        <f t="shared" ref="E184:AE184" ca="1" si="1130">+E$212/E$157</f>
        <v>#DIV/0!</v>
      </c>
      <c r="F184" s="162" t="e">
        <f t="shared" ca="1" si="1130"/>
        <v>#DIV/0!</v>
      </c>
      <c r="G184" s="162" t="e">
        <f t="shared" ca="1" si="1130"/>
        <v>#DIV/0!</v>
      </c>
      <c r="H184" s="162" t="e">
        <f t="shared" ca="1" si="1130"/>
        <v>#DIV/0!</v>
      </c>
      <c r="I184" s="162" t="e">
        <f t="shared" ca="1" si="1130"/>
        <v>#DIV/0!</v>
      </c>
      <c r="J184" s="162" t="e">
        <f t="shared" ca="1" si="1130"/>
        <v>#DIV/0!</v>
      </c>
      <c r="K184" s="162" t="e">
        <f t="shared" ca="1" si="1130"/>
        <v>#DIV/0!</v>
      </c>
      <c r="L184" s="162" t="e">
        <f t="shared" ca="1" si="1130"/>
        <v>#DIV/0!</v>
      </c>
      <c r="M184" s="162" t="e">
        <f t="shared" ca="1" si="1130"/>
        <v>#DIV/0!</v>
      </c>
      <c r="N184" s="162" t="e">
        <f t="shared" ca="1" si="1130"/>
        <v>#DIV/0!</v>
      </c>
      <c r="O184" s="162" t="e">
        <f t="shared" ca="1" si="1130"/>
        <v>#DIV/0!</v>
      </c>
      <c r="P184" s="162" t="e">
        <f t="shared" ca="1" si="1130"/>
        <v>#DIV/0!</v>
      </c>
      <c r="Q184" s="162" t="e">
        <f t="shared" ca="1" si="1130"/>
        <v>#DIV/0!</v>
      </c>
      <c r="R184" s="162" t="e">
        <f t="shared" ca="1" si="1130"/>
        <v>#DIV/0!</v>
      </c>
      <c r="S184" s="162" t="e">
        <f t="shared" ca="1" si="1130"/>
        <v>#DIV/0!</v>
      </c>
      <c r="T184" s="162" t="e">
        <f t="shared" ca="1" si="1130"/>
        <v>#DIV/0!</v>
      </c>
      <c r="U184" s="162" t="e">
        <f t="shared" ca="1" si="1130"/>
        <v>#DIV/0!</v>
      </c>
      <c r="V184" s="162" t="e">
        <f t="shared" ca="1" si="1130"/>
        <v>#DIV/0!</v>
      </c>
      <c r="W184" s="162" t="e">
        <f t="shared" ca="1" si="1130"/>
        <v>#DIV/0!</v>
      </c>
      <c r="X184" s="162" t="e">
        <f t="shared" ca="1" si="1130"/>
        <v>#DIV/0!</v>
      </c>
      <c r="Y184" s="162" t="e">
        <f t="shared" ca="1" si="1130"/>
        <v>#DIV/0!</v>
      </c>
      <c r="Z184" s="162" t="e">
        <f t="shared" ca="1" si="1130"/>
        <v>#DIV/0!</v>
      </c>
      <c r="AA184" s="162" t="e">
        <f t="shared" ca="1" si="1130"/>
        <v>#DIV/0!</v>
      </c>
      <c r="AB184" s="21" t="e">
        <f t="shared" ca="1" si="1130"/>
        <v>#DIV/0!</v>
      </c>
      <c r="AC184" s="21" t="e">
        <f t="shared" ca="1" si="1130"/>
        <v>#DIV/0!</v>
      </c>
      <c r="AD184" s="21" t="e">
        <f t="shared" ca="1" si="1130"/>
        <v>#DIV/0!</v>
      </c>
      <c r="AE184" s="21" t="e">
        <f t="shared" ca="1" si="1130"/>
        <v>#DIV/0!</v>
      </c>
      <c r="AL184" s="162">
        <f t="shared" ref="AL184:BQ184" si="1131">+AL$212/AL$157</f>
        <v>38.602422080360498</v>
      </c>
      <c r="AM184" s="162">
        <f t="shared" si="1131"/>
        <v>38.243491050194024</v>
      </c>
      <c r="AN184" s="162">
        <f t="shared" si="1131"/>
        <v>40.834491175366132</v>
      </c>
      <c r="AO184" s="162">
        <f t="shared" si="1131"/>
        <v>40.600075103266988</v>
      </c>
      <c r="AP184" s="162">
        <f t="shared" si="1131"/>
        <v>38.806702966579053</v>
      </c>
      <c r="AQ184" s="162">
        <f t="shared" si="1131"/>
        <v>38.458411565903127</v>
      </c>
      <c r="AR184" s="162">
        <f t="shared" si="1131"/>
        <v>39.573538615596448</v>
      </c>
      <c r="AS184" s="162">
        <f t="shared" si="1131"/>
        <v>40.192326949555635</v>
      </c>
      <c r="AT184" s="162">
        <f t="shared" si="1131"/>
        <v>44.808142445863062</v>
      </c>
      <c r="AU184" s="162">
        <f t="shared" si="1131"/>
        <v>45.756759294029287</v>
      </c>
      <c r="AV184" s="162">
        <f t="shared" si="1131"/>
        <v>46.770184003004125</v>
      </c>
      <c r="AW184" s="162">
        <f t="shared" si="1131"/>
        <v>48.125954437351361</v>
      </c>
      <c r="AX184" s="162">
        <f t="shared" si="1131"/>
        <v>41.098322693703842</v>
      </c>
      <c r="AY184" s="162">
        <f t="shared" si="1131"/>
        <v>41.325165853047935</v>
      </c>
      <c r="AZ184" s="162">
        <f t="shared" si="1131"/>
        <v>51.481099011140316</v>
      </c>
      <c r="BA184" s="162">
        <f t="shared" si="1131"/>
        <v>53.418857178620598</v>
      </c>
      <c r="BB184" s="162">
        <f t="shared" si="1131"/>
        <v>46.046282388283885</v>
      </c>
      <c r="BC184" s="162">
        <f t="shared" si="1131"/>
        <v>47.137689322818872</v>
      </c>
      <c r="BD184" s="162">
        <f t="shared" si="1131"/>
        <v>45.222900237827012</v>
      </c>
      <c r="BE184" s="162">
        <f t="shared" si="1131"/>
        <v>47.071723619977476</v>
      </c>
      <c r="BF184" s="162">
        <f t="shared" si="1131"/>
        <v>51.320190261609703</v>
      </c>
      <c r="BG184" s="162">
        <f t="shared" si="1131"/>
        <v>56.54897358868444</v>
      </c>
      <c r="BH184" s="162">
        <f t="shared" si="1131"/>
        <v>57.973682563524847</v>
      </c>
      <c r="BI184" s="162">
        <f t="shared" si="1131"/>
        <v>58.417605457504067</v>
      </c>
      <c r="BJ184" s="162">
        <f t="shared" si="1131"/>
        <v>57.283483539867312</v>
      </c>
      <c r="BK184" s="162">
        <f t="shared" si="1131"/>
        <v>57.795281011390657</v>
      </c>
      <c r="BL184" s="162">
        <f t="shared" si="1131"/>
        <v>57.231975215921892</v>
      </c>
      <c r="BM184" s="162">
        <f t="shared" si="1131"/>
        <v>57.83693203154337</v>
      </c>
      <c r="BN184" s="162">
        <f t="shared" si="1131"/>
        <v>61.228001001376896</v>
      </c>
      <c r="BO184" s="162">
        <f t="shared" si="1131"/>
        <v>61.87457754412317</v>
      </c>
      <c r="BP184" s="162">
        <f t="shared" si="1131"/>
        <v>68.099637000876214</v>
      </c>
      <c r="BQ184" s="162">
        <f t="shared" si="1131"/>
        <v>68.876361246714239</v>
      </c>
      <c r="BR184" s="162">
        <f t="shared" ref="BR184:DB184" si="1132">+BR$212/BR$157</f>
        <v>69.853110526974589</v>
      </c>
      <c r="BS184" s="162">
        <f t="shared" si="1132"/>
        <v>71.076761797471519</v>
      </c>
      <c r="BT184" s="162">
        <f t="shared" si="1132"/>
        <v>66.582801351858805</v>
      </c>
      <c r="BU184" s="162">
        <f t="shared" si="1132"/>
        <v>67.915289773438474</v>
      </c>
      <c r="BV184" s="162">
        <f t="shared" si="1132"/>
        <v>70.226436349981228</v>
      </c>
      <c r="BW184" s="162">
        <f t="shared" si="1132"/>
        <v>72.712980347978473</v>
      </c>
      <c r="BX184" s="162">
        <f t="shared" si="1132"/>
        <v>80.367411440731019</v>
      </c>
      <c r="BY184" s="162">
        <f t="shared" si="1132"/>
        <v>83.324665164601342</v>
      </c>
      <c r="BZ184" s="162">
        <f t="shared" si="1132"/>
        <v>90.084585054449875</v>
      </c>
      <c r="CA184" s="162">
        <f t="shared" si="1132"/>
        <v>93.127800725998256</v>
      </c>
      <c r="CB184" s="162">
        <f t="shared" si="1132"/>
        <v>94.305639003629992</v>
      </c>
      <c r="CC184" s="162">
        <f t="shared" si="1132"/>
        <v>97.287895856803118</v>
      </c>
      <c r="CD184" s="162">
        <f t="shared" si="1132"/>
        <v>101.24949931155339</v>
      </c>
      <c r="CE184" s="162">
        <f t="shared" si="1132"/>
        <v>104.28817749405431</v>
      </c>
      <c r="CF184" s="162">
        <f t="shared" si="1132"/>
        <v>105.39210163975466</v>
      </c>
      <c r="CG184" s="162">
        <f t="shared" si="1132"/>
        <v>108.61747402678684</v>
      </c>
      <c r="CH184" s="162">
        <f t="shared" si="1132"/>
        <v>112.15630867442735</v>
      </c>
      <c r="CI184" s="162">
        <f t="shared" si="1132"/>
        <v>115.47546626611592</v>
      </c>
      <c r="CJ184" s="162">
        <f t="shared" si="1132"/>
        <v>117.94195143322068</v>
      </c>
      <c r="CK184" s="162">
        <f t="shared" si="1132"/>
        <v>120.35771060207786</v>
      </c>
      <c r="CL184" s="162">
        <f t="shared" si="1132"/>
        <v>123.50485041932657</v>
      </c>
      <c r="CM184" s="21">
        <f t="shared" si="1132"/>
        <v>126.90581777280072</v>
      </c>
      <c r="CN184" s="21">
        <f t="shared" si="1132"/>
        <v>132.55002708479628</v>
      </c>
      <c r="CO184" s="21">
        <f t="shared" si="1132"/>
        <v>137.06567109452988</v>
      </c>
      <c r="CP184" s="21">
        <f t="shared" si="1132"/>
        <v>141.69839989955261</v>
      </c>
      <c r="CQ184" s="21">
        <f t="shared" si="1132"/>
        <v>146.23424500597412</v>
      </c>
      <c r="CR184" s="21">
        <f t="shared" si="1132"/>
        <v>151.41104074142402</v>
      </c>
      <c r="CS184" s="21">
        <f t="shared" si="1132"/>
        <v>155.32816090971156</v>
      </c>
      <c r="CT184" s="21">
        <f t="shared" si="1132"/>
        <v>159.7160813303025</v>
      </c>
      <c r="CU184" s="21">
        <f t="shared" si="1132"/>
        <v>164.7393780118515</v>
      </c>
      <c r="CV184" s="21">
        <f t="shared" si="1132"/>
        <v>170.42678755046552</v>
      </c>
      <c r="CW184" s="21">
        <f t="shared" si="1132"/>
        <v>174.87369223592947</v>
      </c>
      <c r="CX184" s="21">
        <f t="shared" si="1132"/>
        <v>179.96173419032939</v>
      </c>
      <c r="CY184" s="21">
        <f t="shared" si="1132"/>
        <v>185.79773665668608</v>
      </c>
      <c r="CZ184" s="21">
        <f t="shared" si="1132"/>
        <v>192.34951587531461</v>
      </c>
      <c r="DA184" s="21">
        <f t="shared" si="1132"/>
        <v>197.59496765512026</v>
      </c>
      <c r="DB184" s="21">
        <f t="shared" si="1132"/>
        <v>203.54745289336572</v>
      </c>
      <c r="DE184" s="22"/>
      <c r="DF184" s="162">
        <v>124.08564451303494</v>
      </c>
    </row>
    <row r="185" spans="1:110" s="162" customFormat="1" x14ac:dyDescent="0.2">
      <c r="A185" s="49" t="s">
        <v>501</v>
      </c>
      <c r="AB185" s="21"/>
      <c r="AC185" s="21"/>
      <c r="AD185" s="21"/>
      <c r="AE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E185" s="22"/>
    </row>
    <row r="186" spans="1:110" s="162" customFormat="1" x14ac:dyDescent="0.2">
      <c r="A186" s="49" t="s">
        <v>502</v>
      </c>
      <c r="E186" s="162" t="e">
        <f t="shared" ref="E186:AE188" ca="1" si="1133">+E169/E$184</f>
        <v>#DIV/0!</v>
      </c>
      <c r="F186" s="162" t="e">
        <f t="shared" ca="1" si="1133"/>
        <v>#DIV/0!</v>
      </c>
      <c r="G186" s="162" t="e">
        <f t="shared" ca="1" si="1133"/>
        <v>#DIV/0!</v>
      </c>
      <c r="H186" s="162" t="e">
        <f t="shared" ca="1" si="1133"/>
        <v>#DIV/0!</v>
      </c>
      <c r="I186" s="162" t="e">
        <f t="shared" ca="1" si="1133"/>
        <v>#DIV/0!</v>
      </c>
      <c r="J186" s="162" t="e">
        <f t="shared" ca="1" si="1133"/>
        <v>#DIV/0!</v>
      </c>
      <c r="K186" s="162" t="e">
        <f t="shared" ca="1" si="1133"/>
        <v>#DIV/0!</v>
      </c>
      <c r="L186" s="162" t="e">
        <f t="shared" ca="1" si="1133"/>
        <v>#DIV/0!</v>
      </c>
      <c r="M186" s="162" t="e">
        <f t="shared" ca="1" si="1133"/>
        <v>#DIV/0!</v>
      </c>
      <c r="N186" s="162" t="e">
        <f t="shared" ca="1" si="1133"/>
        <v>#DIV/0!</v>
      </c>
      <c r="O186" s="162" t="e">
        <f t="shared" ca="1" si="1133"/>
        <v>#DIV/0!</v>
      </c>
      <c r="P186" s="162" t="e">
        <f t="shared" ca="1" si="1133"/>
        <v>#DIV/0!</v>
      </c>
      <c r="Q186" s="162" t="e">
        <f t="shared" ca="1" si="1133"/>
        <v>#DIV/0!</v>
      </c>
      <c r="R186" s="162" t="e">
        <f t="shared" ca="1" si="1133"/>
        <v>#DIV/0!</v>
      </c>
      <c r="S186" s="162" t="e">
        <f t="shared" ca="1" si="1133"/>
        <v>#DIV/0!</v>
      </c>
      <c r="T186" s="162" t="e">
        <f t="shared" ca="1" si="1133"/>
        <v>#DIV/0!</v>
      </c>
      <c r="U186" s="162" t="e">
        <f t="shared" ca="1" si="1133"/>
        <v>#DIV/0!</v>
      </c>
      <c r="V186" s="162" t="e">
        <f t="shared" ca="1" si="1133"/>
        <v>#DIV/0!</v>
      </c>
      <c r="W186" s="162" t="e">
        <f t="shared" ca="1" si="1133"/>
        <v>#DIV/0!</v>
      </c>
      <c r="X186" s="162" t="e">
        <f t="shared" ca="1" si="1133"/>
        <v>#DIV/0!</v>
      </c>
      <c r="Y186" s="162" t="e">
        <f t="shared" ca="1" si="1133"/>
        <v>#DIV/0!</v>
      </c>
      <c r="Z186" s="162" t="e">
        <f t="shared" ca="1" si="1133"/>
        <v>#DIV/0!</v>
      </c>
      <c r="AA186" s="162" t="e">
        <f t="shared" ref="AA186" ca="1" si="1134">+AA169/AA$184</f>
        <v>#DIV/0!</v>
      </c>
      <c r="AB186" s="21" t="e">
        <f t="shared" ca="1" si="1133"/>
        <v>#DIV/0!</v>
      </c>
      <c r="AC186" s="21" t="e">
        <f t="shared" ca="1" si="1133"/>
        <v>#DIV/0!</v>
      </c>
      <c r="AD186" s="21" t="e">
        <f t="shared" ca="1" si="1133"/>
        <v>#DIV/0!</v>
      </c>
      <c r="AE186" s="21" t="e">
        <f t="shared" ca="1" si="1133"/>
        <v>#DIV/0!</v>
      </c>
      <c r="AL186" s="162">
        <f t="shared" ref="AL186:CI188" si="1135">+AL169/AL$184</f>
        <v>2.4098908223517705</v>
      </c>
      <c r="AM186" s="162">
        <f t="shared" si="1135"/>
        <v>2.1713420033348525</v>
      </c>
      <c r="AN186" s="162">
        <f t="shared" si="1135"/>
        <v>1.9165872500397814</v>
      </c>
      <c r="AO186" s="162">
        <f t="shared" si="1135"/>
        <v>2.1712838575204492</v>
      </c>
      <c r="AP186" s="162">
        <f t="shared" si="1135"/>
        <v>2.1851895038089451</v>
      </c>
      <c r="AQ186" s="162">
        <f t="shared" si="1135"/>
        <v>2.801727778469409</v>
      </c>
      <c r="AR186" s="162">
        <f t="shared" si="1135"/>
        <v>2.0973610878277289</v>
      </c>
      <c r="AS186" s="162">
        <f t="shared" si="1135"/>
        <v>2.0439224656762067</v>
      </c>
      <c r="AT186" s="162">
        <f t="shared" si="1135"/>
        <v>1.7206694094304795</v>
      </c>
      <c r="AU186" s="162">
        <f t="shared" si="1135"/>
        <v>1.618340134714537</v>
      </c>
      <c r="AV186" s="162">
        <f t="shared" si="1135"/>
        <v>1.3908433628531744</v>
      </c>
      <c r="AW186" s="162">
        <f t="shared" si="1135"/>
        <v>1.4108811096596492</v>
      </c>
      <c r="AX186" s="162">
        <f t="shared" si="1135"/>
        <v>1.5730568977673685</v>
      </c>
      <c r="AY186" s="162">
        <f t="shared" si="1135"/>
        <v>1.7773673374037458</v>
      </c>
      <c r="AZ186" s="162">
        <f t="shared" si="1135"/>
        <v>1.4626727371089214</v>
      </c>
      <c r="BA186" s="162">
        <f t="shared" si="1135"/>
        <v>1.4171025738509586</v>
      </c>
      <c r="BB186" s="162">
        <f t="shared" si="1135"/>
        <v>1.9654138250914912</v>
      </c>
      <c r="BC186" s="162">
        <f t="shared" si="1135"/>
        <v>1.7088236856151235</v>
      </c>
      <c r="BD186" s="162">
        <f t="shared" si="1135"/>
        <v>1.7192616924415092</v>
      </c>
      <c r="BE186" s="162">
        <f t="shared" si="1135"/>
        <v>1.9937659550705209</v>
      </c>
      <c r="BF186" s="162">
        <f t="shared" si="1135"/>
        <v>1.5461750939641024</v>
      </c>
      <c r="BG186" s="162">
        <f t="shared" si="1135"/>
        <v>1.2918006351686893</v>
      </c>
      <c r="BH186" s="162">
        <f t="shared" si="1135"/>
        <v>1.1375851435301714</v>
      </c>
      <c r="BI186" s="162">
        <f t="shared" si="1135"/>
        <v>1.3138162613637399</v>
      </c>
      <c r="BJ186" s="162">
        <f t="shared" si="1135"/>
        <v>1.2883294701977712</v>
      </c>
      <c r="BK186" s="162">
        <f t="shared" si="1135"/>
        <v>1.1938690978317252</v>
      </c>
      <c r="BL186" s="162">
        <f t="shared" si="1135"/>
        <v>1.0920468805104695</v>
      </c>
      <c r="BM186" s="162">
        <f t="shared" si="1135"/>
        <v>0.97688445799970458</v>
      </c>
      <c r="BN186" s="162">
        <f t="shared" si="1135"/>
        <v>0.53651923078888808</v>
      </c>
      <c r="BO186" s="162">
        <f t="shared" si="1135"/>
        <v>0.72566152016119245</v>
      </c>
      <c r="BP186" s="162">
        <f t="shared" si="1135"/>
        <v>0.78047405743610843</v>
      </c>
      <c r="BQ186" s="162">
        <f t="shared" si="1135"/>
        <v>1.0983448984626625</v>
      </c>
      <c r="BR186" s="162">
        <f t="shared" si="1135"/>
        <v>1.4773858919302973</v>
      </c>
      <c r="BS186" s="162">
        <f t="shared" si="1135"/>
        <v>1.7178610408267583</v>
      </c>
      <c r="BT186" s="162">
        <f t="shared" si="1135"/>
        <v>2.3834983926456488</v>
      </c>
      <c r="BU186" s="162">
        <f t="shared" si="1135"/>
        <v>3.2525812778964762</v>
      </c>
      <c r="BV186" s="162">
        <f t="shared" si="1135"/>
        <v>3.4011408297818866</v>
      </c>
      <c r="BW186" s="162">
        <f t="shared" si="1135"/>
        <v>2.7828593881260928</v>
      </c>
      <c r="BX186" s="162">
        <f t="shared" si="1135"/>
        <v>2.6938779801270991</v>
      </c>
      <c r="BY186" s="162">
        <f t="shared" si="1135"/>
        <v>2.49265928149492</v>
      </c>
      <c r="BZ186" s="162">
        <f t="shared" si="1135"/>
        <v>2.1113490158725523</v>
      </c>
      <c r="CA186" s="162">
        <f t="shared" si="1135"/>
        <v>2.3816733378315531</v>
      </c>
      <c r="CB186" s="162">
        <f t="shared" si="1135"/>
        <v>2.7803215456703225</v>
      </c>
      <c r="CC186" s="162">
        <f t="shared" si="1135"/>
        <v>3.4130659017308833</v>
      </c>
      <c r="CD186" s="162">
        <f t="shared" si="1135"/>
        <v>3.8928587566360857</v>
      </c>
      <c r="CE186" s="162">
        <f t="shared" si="1135"/>
        <v>4.2238728356827773</v>
      </c>
      <c r="CF186" s="162">
        <f t="shared" si="1135"/>
        <v>4.5800396091344489</v>
      </c>
      <c r="CG186" s="162">
        <f t="shared" si="1135"/>
        <v>3.6126783790168768</v>
      </c>
      <c r="CH186" s="162">
        <f t="shared" si="1135"/>
        <v>3.3471144373138109</v>
      </c>
      <c r="CI186" s="162">
        <f t="shared" si="1135"/>
        <v>3.5124343994012142</v>
      </c>
      <c r="CJ186" s="162">
        <f>+CJ169/CJ$184</f>
        <v>3.2961130053890297</v>
      </c>
      <c r="CK186" s="162">
        <f>+CK169/CK$184</f>
        <v>3.1535162816020486</v>
      </c>
      <c r="CL186" s="162">
        <f>+CL169/CL$184</f>
        <v>3.0662763342024935</v>
      </c>
      <c r="CM186" s="21">
        <f t="shared" ref="CM186:DB186" si="1136">+CM169/CM$184</f>
        <v>3.0101062875138949</v>
      </c>
      <c r="CN186" s="21">
        <f t="shared" si="1136"/>
        <v>2.8819307577781403</v>
      </c>
      <c r="CO186" s="21">
        <f t="shared" si="1136"/>
        <v>2.7869852235761252</v>
      </c>
      <c r="CP186" s="21">
        <f t="shared" si="1136"/>
        <v>2.6958667160023881</v>
      </c>
      <c r="CQ186" s="21">
        <f t="shared" si="1136"/>
        <v>2.6122472200980975</v>
      </c>
      <c r="CR186" s="21">
        <f t="shared" si="1136"/>
        <v>2.5229335861469311</v>
      </c>
      <c r="CS186" s="21">
        <f t="shared" si="1136"/>
        <v>2.4593093600203457</v>
      </c>
      <c r="CT186" s="21">
        <f t="shared" si="1136"/>
        <v>2.3917441300729192</v>
      </c>
      <c r="CU186" s="21">
        <f t="shared" si="1136"/>
        <v>2.318814145167639</v>
      </c>
      <c r="CV186" s="21">
        <f t="shared" si="1136"/>
        <v>2.2414316756800043</v>
      </c>
      <c r="CW186" s="21">
        <f t="shared" si="1136"/>
        <v>2.1844337768349265</v>
      </c>
      <c r="CX186" s="21">
        <f t="shared" si="1136"/>
        <v>2.122673476773639</v>
      </c>
      <c r="CY186" s="21">
        <f t="shared" si="1136"/>
        <v>2.0559992111521419</v>
      </c>
      <c r="CZ186" s="21">
        <f t="shared" si="1136"/>
        <v>1.9859680865930602</v>
      </c>
      <c r="DA186" s="21">
        <f t="shared" si="1136"/>
        <v>1.9332476152264058</v>
      </c>
      <c r="DB186" s="21">
        <f t="shared" si="1136"/>
        <v>1.8767122583455853</v>
      </c>
      <c r="DE186" s="22"/>
      <c r="DF186" s="162">
        <v>3.0519243502032851</v>
      </c>
    </row>
    <row r="187" spans="1:110" s="162" customFormat="1" x14ac:dyDescent="0.2">
      <c r="A187" s="49" t="s">
        <v>503</v>
      </c>
      <c r="E187" s="162" t="e">
        <f t="shared" ca="1" si="1133"/>
        <v>#DIV/0!</v>
      </c>
      <c r="F187" s="162" t="e">
        <f t="shared" ca="1" si="1133"/>
        <v>#DIV/0!</v>
      </c>
      <c r="G187" s="162" t="e">
        <f t="shared" ca="1" si="1133"/>
        <v>#DIV/0!</v>
      </c>
      <c r="H187" s="162" t="e">
        <f t="shared" ca="1" si="1133"/>
        <v>#DIV/0!</v>
      </c>
      <c r="I187" s="162" t="e">
        <f t="shared" ca="1" si="1133"/>
        <v>#DIV/0!</v>
      </c>
      <c r="J187" s="162" t="e">
        <f t="shared" ca="1" si="1133"/>
        <v>#DIV/0!</v>
      </c>
      <c r="K187" s="162" t="e">
        <f t="shared" ca="1" si="1133"/>
        <v>#DIV/0!</v>
      </c>
      <c r="L187" s="162" t="e">
        <f t="shared" ca="1" si="1133"/>
        <v>#DIV/0!</v>
      </c>
      <c r="M187" s="162" t="e">
        <f t="shared" ca="1" si="1133"/>
        <v>#DIV/0!</v>
      </c>
      <c r="N187" s="162" t="e">
        <f t="shared" ca="1" si="1133"/>
        <v>#DIV/0!</v>
      </c>
      <c r="O187" s="162" t="e">
        <f t="shared" ca="1" si="1133"/>
        <v>#DIV/0!</v>
      </c>
      <c r="P187" s="162" t="e">
        <f t="shared" ca="1" si="1133"/>
        <v>#DIV/0!</v>
      </c>
      <c r="Q187" s="162" t="e">
        <f t="shared" ca="1" si="1133"/>
        <v>#DIV/0!</v>
      </c>
      <c r="R187" s="162" t="e">
        <f t="shared" ca="1" si="1133"/>
        <v>#DIV/0!</v>
      </c>
      <c r="S187" s="162" t="e">
        <f t="shared" ca="1" si="1133"/>
        <v>#DIV/0!</v>
      </c>
      <c r="T187" s="162" t="e">
        <f t="shared" ca="1" si="1133"/>
        <v>#DIV/0!</v>
      </c>
      <c r="U187" s="162" t="e">
        <f t="shared" ca="1" si="1133"/>
        <v>#DIV/0!</v>
      </c>
      <c r="V187" s="162" t="e">
        <f t="shared" ca="1" si="1133"/>
        <v>#DIV/0!</v>
      </c>
      <c r="W187" s="162" t="e">
        <f t="shared" ca="1" si="1133"/>
        <v>#DIV/0!</v>
      </c>
      <c r="X187" s="162" t="e">
        <f t="shared" ca="1" si="1133"/>
        <v>#DIV/0!</v>
      </c>
      <c r="Y187" s="162" t="e">
        <f t="shared" ca="1" si="1133"/>
        <v>#DIV/0!</v>
      </c>
      <c r="Z187" s="162" t="e">
        <f t="shared" ca="1" si="1133"/>
        <v>#DIV/0!</v>
      </c>
      <c r="AA187" s="162" t="e">
        <f t="shared" ref="AA187" ca="1" si="1137">+AA170/AA$184</f>
        <v>#DIV/0!</v>
      </c>
      <c r="AB187" s="21" t="e">
        <f t="shared" ca="1" si="1133"/>
        <v>#DIV/0!</v>
      </c>
      <c r="AC187" s="21" t="e">
        <f t="shared" ca="1" si="1133"/>
        <v>#DIV/0!</v>
      </c>
      <c r="AD187" s="21" t="e">
        <f t="shared" ca="1" si="1133"/>
        <v>#DIV/0!</v>
      </c>
      <c r="AE187" s="21" t="e">
        <f t="shared" ca="1" si="1133"/>
        <v>#DIV/0!</v>
      </c>
      <c r="AL187" s="162">
        <f t="shared" si="1135"/>
        <v>2.8123725883254513</v>
      </c>
      <c r="AM187" s="162">
        <f t="shared" si="1135"/>
        <v>2.5574144339103686</v>
      </c>
      <c r="AN187" s="162">
        <f t="shared" si="1135"/>
        <v>2.2486224024819381</v>
      </c>
      <c r="AO187" s="162">
        <f t="shared" si="1135"/>
        <v>2.1974295854161543</v>
      </c>
      <c r="AP187" s="162">
        <f t="shared" si="1135"/>
        <v>2.2828155573263325</v>
      </c>
      <c r="AQ187" s="162">
        <f t="shared" si="1135"/>
        <v>2.9967436331192521</v>
      </c>
      <c r="AR187" s="162">
        <f t="shared" si="1135"/>
        <v>2.8327009391022697</v>
      </c>
      <c r="AS187" s="162">
        <f t="shared" si="1135"/>
        <v>2.3611471940678275</v>
      </c>
      <c r="AT187" s="162">
        <f t="shared" si="1135"/>
        <v>2.0621252066326372</v>
      </c>
      <c r="AU187" s="162">
        <f t="shared" si="1135"/>
        <v>1.7953631609290914</v>
      </c>
      <c r="AV187" s="162">
        <f t="shared" si="1135"/>
        <v>1.641002737878265</v>
      </c>
      <c r="AW187" s="162">
        <f t="shared" si="1135"/>
        <v>1.5054246891729246</v>
      </c>
      <c r="AX187" s="162">
        <f t="shared" si="1135"/>
        <v>1.7214814465126267</v>
      </c>
      <c r="AY187" s="162">
        <f t="shared" si="1135"/>
        <v>1.8862598223365825</v>
      </c>
      <c r="AZ187" s="162">
        <f t="shared" si="1135"/>
        <v>1.5607669910584574</v>
      </c>
      <c r="BA187" s="162">
        <f t="shared" si="1135"/>
        <v>1.5809024090054618</v>
      </c>
      <c r="BB187" s="162">
        <f t="shared" si="1135"/>
        <v>1.9784441929926502</v>
      </c>
      <c r="BC187" s="162">
        <f t="shared" si="1135"/>
        <v>1.9358182658271883</v>
      </c>
      <c r="BD187" s="162">
        <f t="shared" si="1135"/>
        <v>1.9304378874616559</v>
      </c>
      <c r="BE187" s="162">
        <f t="shared" si="1135"/>
        <v>2.0617473195481519</v>
      </c>
      <c r="BF187" s="162">
        <f t="shared" si="1135"/>
        <v>1.9826504828084113</v>
      </c>
      <c r="BG187" s="162">
        <f t="shared" si="1135"/>
        <v>1.5826989301519192</v>
      </c>
      <c r="BH187" s="162">
        <f t="shared" si="1135"/>
        <v>1.3618248230736472</v>
      </c>
      <c r="BI187" s="162">
        <f t="shared" si="1135"/>
        <v>1.4747266568923283</v>
      </c>
      <c r="BJ187" s="162">
        <f t="shared" si="1135"/>
        <v>1.359903329653203</v>
      </c>
      <c r="BK187" s="162">
        <f t="shared" si="1135"/>
        <v>1.3305584583081111</v>
      </c>
      <c r="BL187" s="162">
        <f t="shared" si="1135"/>
        <v>1.293857144028804</v>
      </c>
      <c r="BM187" s="162">
        <f t="shared" si="1135"/>
        <v>1.0884048961253348</v>
      </c>
      <c r="BN187" s="162">
        <f t="shared" si="1135"/>
        <v>1.0142418335461172</v>
      </c>
      <c r="BO187" s="162">
        <f t="shared" si="1135"/>
        <v>0.76525775010317287</v>
      </c>
      <c r="BP187" s="162">
        <f t="shared" si="1135"/>
        <v>0.93172302811516627</v>
      </c>
      <c r="BQ187" s="162">
        <f t="shared" si="1135"/>
        <v>1.1469827756582991</v>
      </c>
      <c r="BR187" s="162">
        <f t="shared" si="1135"/>
        <v>1.6455960104398033</v>
      </c>
      <c r="BS187" s="162">
        <f t="shared" si="1135"/>
        <v>1.8641817191608967</v>
      </c>
      <c r="BT187" s="162">
        <f t="shared" si="1135"/>
        <v>2.420294681631042</v>
      </c>
      <c r="BU187" s="162">
        <f t="shared" si="1135"/>
        <v>3.9711234524612022</v>
      </c>
      <c r="BV187" s="162">
        <f t="shared" si="1135"/>
        <v>3.6716942137712354</v>
      </c>
      <c r="BW187" s="162">
        <f t="shared" si="1135"/>
        <v>4.0983053998595294</v>
      </c>
      <c r="BX187" s="162">
        <f t="shared" si="1135"/>
        <v>3.123156457329801</v>
      </c>
      <c r="BY187" s="162">
        <f t="shared" si="1135"/>
        <v>2.8142927371716842</v>
      </c>
      <c r="BZ187" s="162">
        <f t="shared" si="1135"/>
        <v>2.3916411433740348</v>
      </c>
      <c r="CA187" s="162">
        <f t="shared" si="1135"/>
        <v>2.429457135637461</v>
      </c>
      <c r="CB187" s="162">
        <f t="shared" si="1135"/>
        <v>2.9319561684891084</v>
      </c>
      <c r="CC187" s="162">
        <f t="shared" si="1135"/>
        <v>3.565705650686473</v>
      </c>
      <c r="CD187" s="162">
        <f t="shared" si="1135"/>
        <v>4.2785396762013255</v>
      </c>
      <c r="CE187" s="162">
        <f t="shared" si="1135"/>
        <v>4.4520866233995768</v>
      </c>
      <c r="CF187" s="162">
        <f t="shared" si="1135"/>
        <v>4.6953233904706488</v>
      </c>
      <c r="CG187" s="162">
        <f t="shared" si="1135"/>
        <v>4.5227529400918467</v>
      </c>
      <c r="CH187" s="162">
        <f t="shared" si="1135"/>
        <v>3.5923079562965752</v>
      </c>
      <c r="CI187" s="162">
        <f t="shared" si="1135"/>
        <v>3.6085587135860102</v>
      </c>
      <c r="CJ187" s="162">
        <f t="shared" ref="CJ187:CK188" si="1138">+CJ170/CJ$184</f>
        <v>3.53309399188581</v>
      </c>
      <c r="CK187" s="162">
        <f t="shared" si="1138"/>
        <v>3.433099532493654</v>
      </c>
      <c r="CL187" s="162">
        <f t="shared" ref="CL187" si="1139">+CL170/CL$184</f>
        <v>3.3877211994463252</v>
      </c>
      <c r="CM187" s="94">
        <f t="shared" ref="CM187:DB187" si="1140">+CL187</f>
        <v>3.3877211994463252</v>
      </c>
      <c r="CN187" s="94">
        <f t="shared" si="1140"/>
        <v>3.3877211994463252</v>
      </c>
      <c r="CO187" s="94">
        <f t="shared" si="1140"/>
        <v>3.3877211994463252</v>
      </c>
      <c r="CP187" s="94">
        <f t="shared" si="1140"/>
        <v>3.3877211994463252</v>
      </c>
      <c r="CQ187" s="94">
        <f t="shared" si="1140"/>
        <v>3.3877211994463252</v>
      </c>
      <c r="CR187" s="94">
        <f t="shared" si="1140"/>
        <v>3.3877211994463252</v>
      </c>
      <c r="CS187" s="94">
        <f t="shared" si="1140"/>
        <v>3.3877211994463252</v>
      </c>
      <c r="CT187" s="94">
        <f t="shared" si="1140"/>
        <v>3.3877211994463252</v>
      </c>
      <c r="CU187" s="94">
        <f t="shared" si="1140"/>
        <v>3.3877211994463252</v>
      </c>
      <c r="CV187" s="94">
        <f t="shared" si="1140"/>
        <v>3.3877211994463252</v>
      </c>
      <c r="CW187" s="94">
        <f t="shared" si="1140"/>
        <v>3.3877211994463252</v>
      </c>
      <c r="CX187" s="94">
        <f t="shared" si="1140"/>
        <v>3.3877211994463252</v>
      </c>
      <c r="CY187" s="94">
        <f t="shared" si="1140"/>
        <v>3.3877211994463252</v>
      </c>
      <c r="CZ187" s="94">
        <f t="shared" si="1140"/>
        <v>3.3877211994463252</v>
      </c>
      <c r="DA187" s="94">
        <f t="shared" si="1140"/>
        <v>3.3877211994463252</v>
      </c>
      <c r="DB187" s="94">
        <f t="shared" si="1140"/>
        <v>3.3877211994463252</v>
      </c>
      <c r="DC187" s="94"/>
      <c r="DE187" s="22"/>
      <c r="DF187" s="162">
        <v>3.371864663652111</v>
      </c>
    </row>
    <row r="188" spans="1:110" s="162" customFormat="1" x14ac:dyDescent="0.2">
      <c r="A188" s="49" t="s">
        <v>504</v>
      </c>
      <c r="E188" s="162" t="e">
        <f t="shared" ca="1" si="1133"/>
        <v>#DIV/0!</v>
      </c>
      <c r="F188" s="162" t="e">
        <f t="shared" ca="1" si="1133"/>
        <v>#DIV/0!</v>
      </c>
      <c r="G188" s="162" t="e">
        <f t="shared" ca="1" si="1133"/>
        <v>#DIV/0!</v>
      </c>
      <c r="H188" s="162" t="e">
        <f t="shared" ca="1" si="1133"/>
        <v>#DIV/0!</v>
      </c>
      <c r="I188" s="162" t="e">
        <f t="shared" ca="1" si="1133"/>
        <v>#DIV/0!</v>
      </c>
      <c r="J188" s="162" t="e">
        <f t="shared" ca="1" si="1133"/>
        <v>#DIV/0!</v>
      </c>
      <c r="K188" s="162" t="e">
        <f t="shared" ca="1" si="1133"/>
        <v>#DIV/0!</v>
      </c>
      <c r="L188" s="162" t="e">
        <f t="shared" ca="1" si="1133"/>
        <v>#DIV/0!</v>
      </c>
      <c r="M188" s="162" t="e">
        <f t="shared" ca="1" si="1133"/>
        <v>#DIV/0!</v>
      </c>
      <c r="N188" s="162" t="e">
        <f t="shared" ca="1" si="1133"/>
        <v>#DIV/0!</v>
      </c>
      <c r="O188" s="162" t="e">
        <f t="shared" ca="1" si="1133"/>
        <v>#DIV/0!</v>
      </c>
      <c r="P188" s="162" t="e">
        <f t="shared" ca="1" si="1133"/>
        <v>#DIV/0!</v>
      </c>
      <c r="Q188" s="162" t="e">
        <f t="shared" ca="1" si="1133"/>
        <v>#DIV/0!</v>
      </c>
      <c r="R188" s="162" t="e">
        <f t="shared" ca="1" si="1133"/>
        <v>#DIV/0!</v>
      </c>
      <c r="S188" s="162" t="e">
        <f t="shared" ca="1" si="1133"/>
        <v>#DIV/0!</v>
      </c>
      <c r="T188" s="162" t="e">
        <f t="shared" ca="1" si="1133"/>
        <v>#DIV/0!</v>
      </c>
      <c r="U188" s="162" t="e">
        <f t="shared" ca="1" si="1133"/>
        <v>#DIV/0!</v>
      </c>
      <c r="V188" s="162" t="e">
        <f t="shared" ca="1" si="1133"/>
        <v>#DIV/0!</v>
      </c>
      <c r="W188" s="162" t="e">
        <f t="shared" ca="1" si="1133"/>
        <v>#DIV/0!</v>
      </c>
      <c r="X188" s="162" t="e">
        <f t="shared" ca="1" si="1133"/>
        <v>#DIV/0!</v>
      </c>
      <c r="Y188" s="162" t="e">
        <f t="shared" ca="1" si="1133"/>
        <v>#DIV/0!</v>
      </c>
      <c r="Z188" s="162" t="e">
        <f t="shared" ca="1" si="1133"/>
        <v>#DIV/0!</v>
      </c>
      <c r="AA188" s="162" t="e">
        <f t="shared" ref="AA188" ca="1" si="1141">+AA171/AA$184</f>
        <v>#DIV/0!</v>
      </c>
      <c r="AB188" s="21" t="e">
        <f t="shared" ca="1" si="1133"/>
        <v>#DIV/0!</v>
      </c>
      <c r="AC188" s="21" t="e">
        <f t="shared" ca="1" si="1133"/>
        <v>#DIV/0!</v>
      </c>
      <c r="AD188" s="21" t="e">
        <f t="shared" ca="1" si="1133"/>
        <v>#DIV/0!</v>
      </c>
      <c r="AE188" s="21" t="e">
        <f t="shared" ca="1" si="1133"/>
        <v>#DIV/0!</v>
      </c>
      <c r="AL188" s="162">
        <f t="shared" si="1135"/>
        <v>2.322394786270535</v>
      </c>
      <c r="AM188" s="162">
        <f t="shared" si="1135"/>
        <v>1.9492872720234438</v>
      </c>
      <c r="AN188" s="162">
        <f t="shared" si="1135"/>
        <v>1.6129109718275596</v>
      </c>
      <c r="AO188" s="162">
        <f t="shared" si="1135"/>
        <v>1.8206934152826113</v>
      </c>
      <c r="AP188" s="162">
        <f t="shared" si="1135"/>
        <v>1.7767665748471293</v>
      </c>
      <c r="AQ188" s="162">
        <f t="shared" si="1135"/>
        <v>1.972260343358744</v>
      </c>
      <c r="AR188" s="162">
        <f t="shared" si="1135"/>
        <v>2.0720916771310094</v>
      </c>
      <c r="AS188" s="162">
        <f t="shared" si="1135"/>
        <v>1.910812481605997</v>
      </c>
      <c r="AT188" s="162">
        <f t="shared" si="1135"/>
        <v>1.6425586061489401</v>
      </c>
      <c r="AU188" s="162">
        <f t="shared" si="1135"/>
        <v>1.4948611102562368</v>
      </c>
      <c r="AV188" s="162">
        <f t="shared" si="1135"/>
        <v>1.1877225027900666</v>
      </c>
      <c r="AW188" s="162">
        <f t="shared" si="1135"/>
        <v>1.2675073297384181</v>
      </c>
      <c r="AX188" s="162">
        <f t="shared" si="1135"/>
        <v>1.3382541280310172</v>
      </c>
      <c r="AY188" s="162">
        <f t="shared" si="1135"/>
        <v>1.4664187970955342</v>
      </c>
      <c r="AZ188" s="162">
        <f t="shared" si="1135"/>
        <v>1.3538949505510205</v>
      </c>
      <c r="BA188" s="162">
        <f t="shared" si="1135"/>
        <v>1.2561107358705323</v>
      </c>
      <c r="BB188" s="162">
        <f t="shared" si="1135"/>
        <v>1.6309677156284086</v>
      </c>
      <c r="BC188" s="162">
        <f t="shared" si="1135"/>
        <v>1.6271480656322779</v>
      </c>
      <c r="BD188" s="162">
        <f t="shared" si="1135"/>
        <v>1.6783532148721616</v>
      </c>
      <c r="BE188" s="162">
        <f t="shared" si="1135"/>
        <v>1.6379260003829212</v>
      </c>
      <c r="BF188" s="162">
        <f t="shared" si="1135"/>
        <v>1.5003841491523111</v>
      </c>
      <c r="BG188" s="162">
        <f t="shared" si="1135"/>
        <v>1.2555488719640924</v>
      </c>
      <c r="BH188" s="162">
        <f t="shared" si="1135"/>
        <v>1.1306854610826798</v>
      </c>
      <c r="BI188" s="162">
        <f t="shared" si="1135"/>
        <v>1.0253758183151533</v>
      </c>
      <c r="BJ188" s="162">
        <f t="shared" si="1135"/>
        <v>1.1189961929495544</v>
      </c>
      <c r="BK188" s="162">
        <f t="shared" si="1135"/>
        <v>1.0537192472166965</v>
      </c>
      <c r="BL188" s="162">
        <f t="shared" si="1135"/>
        <v>0.88062660444364249</v>
      </c>
      <c r="BM188" s="162">
        <f t="shared" si="1135"/>
        <v>0.88265401028114898</v>
      </c>
      <c r="BN188" s="162">
        <f t="shared" si="1135"/>
        <v>0.51120401594192377</v>
      </c>
      <c r="BO188" s="162">
        <f t="shared" si="1135"/>
        <v>0.43636661568713131</v>
      </c>
      <c r="BP188" s="162">
        <f t="shared" si="1135"/>
        <v>0.64684632605946524</v>
      </c>
      <c r="BQ188" s="162">
        <f t="shared" si="1135"/>
        <v>0.74989443497153341</v>
      </c>
      <c r="BR188" s="162">
        <f t="shared" si="1135"/>
        <v>1.0665237301241004</v>
      </c>
      <c r="BS188" s="162">
        <f t="shared" si="1135"/>
        <v>1.2655331746303597</v>
      </c>
      <c r="BT188" s="162">
        <f t="shared" si="1135"/>
        <v>1.7782369860695957</v>
      </c>
      <c r="BU188" s="162">
        <f t="shared" si="1135"/>
        <v>2.3058136175581176</v>
      </c>
      <c r="BV188" s="162">
        <f t="shared" si="1135"/>
        <v>2.8949212086860272</v>
      </c>
      <c r="BW188" s="162">
        <f t="shared" si="1135"/>
        <v>2.6130135099775522</v>
      </c>
      <c r="BX188" s="162">
        <f t="shared" si="1135"/>
        <v>2.4954144522609227</v>
      </c>
      <c r="BY188" s="162">
        <f t="shared" si="1135"/>
        <v>2.3336427409084606</v>
      </c>
      <c r="BZ188" s="162">
        <f t="shared" si="1135"/>
        <v>2.0253187589166517</v>
      </c>
      <c r="CA188" s="162">
        <f t="shared" si="1135"/>
        <v>2.0622198581178983</v>
      </c>
      <c r="CB188" s="162">
        <f t="shared" si="1135"/>
        <v>2.3004987007367523</v>
      </c>
      <c r="CC188" s="162">
        <f t="shared" si="1135"/>
        <v>2.3718264021213713</v>
      </c>
      <c r="CD188" s="162">
        <f t="shared" si="1135"/>
        <v>3.1585341376943306</v>
      </c>
      <c r="CE188" s="162">
        <f t="shared" si="1135"/>
        <v>3.6169008708729709</v>
      </c>
      <c r="CF188" s="162">
        <f t="shared" si="1135"/>
        <v>3.7953508258831148</v>
      </c>
      <c r="CG188" s="162">
        <f t="shared" si="1135"/>
        <v>3.5486923577779184</v>
      </c>
      <c r="CH188" s="162">
        <f t="shared" si="1135"/>
        <v>2.9088867479318883</v>
      </c>
      <c r="CI188" s="162">
        <f t="shared" si="1135"/>
        <v>2.8759355622316156</v>
      </c>
      <c r="CJ188" s="162">
        <f t="shared" si="1138"/>
        <v>3.1256901850460856</v>
      </c>
      <c r="CK188" s="162">
        <f t="shared" si="1138"/>
        <v>3.0720923333483268</v>
      </c>
      <c r="CL188" s="162">
        <f t="shared" ref="CL188" si="1142">+CL171/CL$184</f>
        <v>2.7719559097286077</v>
      </c>
      <c r="CM188" s="94">
        <v>2</v>
      </c>
      <c r="CN188" s="94">
        <f t="shared" ref="CN188:DB188" si="1143">+CM188</f>
        <v>2</v>
      </c>
      <c r="CO188" s="94">
        <f t="shared" si="1143"/>
        <v>2</v>
      </c>
      <c r="CP188" s="94">
        <f t="shared" si="1143"/>
        <v>2</v>
      </c>
      <c r="CQ188" s="94">
        <f t="shared" si="1143"/>
        <v>2</v>
      </c>
      <c r="CR188" s="94">
        <f t="shared" si="1143"/>
        <v>2</v>
      </c>
      <c r="CS188" s="94">
        <f t="shared" si="1143"/>
        <v>2</v>
      </c>
      <c r="CT188" s="94">
        <f t="shared" si="1143"/>
        <v>2</v>
      </c>
      <c r="CU188" s="94">
        <f t="shared" si="1143"/>
        <v>2</v>
      </c>
      <c r="CV188" s="94">
        <f t="shared" si="1143"/>
        <v>2</v>
      </c>
      <c r="CW188" s="94">
        <f t="shared" si="1143"/>
        <v>2</v>
      </c>
      <c r="CX188" s="94">
        <f t="shared" si="1143"/>
        <v>2</v>
      </c>
      <c r="CY188" s="94">
        <f t="shared" si="1143"/>
        <v>2</v>
      </c>
      <c r="CZ188" s="94">
        <f t="shared" si="1143"/>
        <v>2</v>
      </c>
      <c r="DA188" s="94">
        <f t="shared" si="1143"/>
        <v>2</v>
      </c>
      <c r="DB188" s="94">
        <f t="shared" si="1143"/>
        <v>2</v>
      </c>
      <c r="DC188" s="94"/>
      <c r="DE188" s="22"/>
      <c r="DF188" s="162">
        <v>2.7589815191235667</v>
      </c>
    </row>
    <row r="189" spans="1:110" s="4" customFormat="1" x14ac:dyDescent="0.2">
      <c r="A189" s="3"/>
      <c r="AB189" s="17"/>
      <c r="AC189" s="17"/>
      <c r="AD189" s="17"/>
      <c r="AE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E189" s="119"/>
    </row>
    <row r="190" spans="1:110" s="177" customFormat="1" hidden="1" outlineLevel="1" x14ac:dyDescent="0.2">
      <c r="A190" s="177" t="s">
        <v>510</v>
      </c>
      <c r="E190" s="177">
        <f t="shared" ref="E190:AE190" si="1144">+E101</f>
        <v>4993.72</v>
      </c>
      <c r="F190" s="177">
        <f t="shared" si="1144"/>
        <v>4900.29</v>
      </c>
      <c r="G190" s="177">
        <f t="shared" si="1144"/>
        <v>5621.26</v>
      </c>
      <c r="H190" s="177">
        <f t="shared" si="1144"/>
        <v>6475.6399999999994</v>
      </c>
      <c r="I190" s="177">
        <f t="shared" si="1144"/>
        <v>10890.86</v>
      </c>
      <c r="J190" s="177">
        <f t="shared" si="1144"/>
        <v>18061.32</v>
      </c>
      <c r="K190" s="177">
        <f t="shared" si="1144"/>
        <v>18985.84</v>
      </c>
      <c r="L190" s="177">
        <f t="shared" si="1144"/>
        <v>19450.760000000002</v>
      </c>
      <c r="M190" s="177">
        <f t="shared" si="1144"/>
        <v>26001.4</v>
      </c>
      <c r="N190" s="177">
        <f t="shared" si="1144"/>
        <v>33025.43</v>
      </c>
      <c r="O190" s="177">
        <f t="shared" si="1144"/>
        <v>35718.239999999998</v>
      </c>
      <c r="P190" s="177">
        <f t="shared" si="1144"/>
        <v>33592.79</v>
      </c>
      <c r="Q190" s="177">
        <f t="shared" si="1144"/>
        <v>29494.3</v>
      </c>
      <c r="R190" s="177">
        <f t="shared" si="1144"/>
        <v>27587.59</v>
      </c>
      <c r="S190" s="177">
        <f t="shared" si="1144"/>
        <v>26840.27</v>
      </c>
      <c r="T190" s="177">
        <f t="shared" si="1144"/>
        <v>29881.06</v>
      </c>
      <c r="U190" s="177">
        <f t="shared" si="1144"/>
        <v>29136.37</v>
      </c>
      <c r="V190" s="177">
        <f t="shared" si="1144"/>
        <v>32703.31</v>
      </c>
      <c r="W190" s="177">
        <f t="shared" si="1144"/>
        <v>42815.67</v>
      </c>
      <c r="X190" s="177">
        <f t="shared" si="1144"/>
        <v>55109.08</v>
      </c>
      <c r="Y190" s="177">
        <f t="shared" si="1144"/>
        <v>61448.9</v>
      </c>
      <c r="Z190" s="177">
        <f t="shared" si="1144"/>
        <v>65478.239999999998</v>
      </c>
      <c r="AA190" s="177">
        <f t="shared" ref="AA190" si="1145">+AA101</f>
        <v>62428.59</v>
      </c>
      <c r="AB190" s="178">
        <f t="shared" si="1144"/>
        <v>78342.752529999998</v>
      </c>
      <c r="AC190" s="178">
        <f t="shared" si="1144"/>
        <v>84881.196633793006</v>
      </c>
      <c r="AD190" s="178">
        <f t="shared" si="1144"/>
        <v>90082.516490238719</v>
      </c>
      <c r="AE190" s="178">
        <f t="shared" si="1144"/>
        <v>95893.630188417097</v>
      </c>
      <c r="AL190" s="177">
        <f t="shared" ref="AL190:BQ190" si="1146">+SUM(AI99:AL99)</f>
        <v>33025.43</v>
      </c>
      <c r="AM190" s="177">
        <f t="shared" si="1146"/>
        <v>35111.03</v>
      </c>
      <c r="AN190" s="177">
        <f t="shared" si="1146"/>
        <v>36175.949999999997</v>
      </c>
      <c r="AO190" s="177">
        <f t="shared" si="1146"/>
        <v>35836.660000000003</v>
      </c>
      <c r="AP190" s="177">
        <f t="shared" si="1146"/>
        <v>35706.01</v>
      </c>
      <c r="AQ190" s="177">
        <f t="shared" si="1146"/>
        <v>35074.049999999996</v>
      </c>
      <c r="AR190" s="177">
        <f t="shared" si="1146"/>
        <v>34893.360000000001</v>
      </c>
      <c r="AS190" s="177">
        <f t="shared" si="1146"/>
        <v>34721.74</v>
      </c>
      <c r="AT190" s="177">
        <f t="shared" si="1146"/>
        <v>33727.57</v>
      </c>
      <c r="AU190" s="177">
        <f t="shared" si="1146"/>
        <v>32203.71</v>
      </c>
      <c r="AV190" s="177">
        <f t="shared" si="1146"/>
        <v>31286.04</v>
      </c>
      <c r="AW190" s="177">
        <f t="shared" si="1146"/>
        <v>30110.79</v>
      </c>
      <c r="AX190" s="177">
        <f t="shared" si="1146"/>
        <v>29500.89</v>
      </c>
      <c r="AY190" s="177">
        <f t="shared" si="1146"/>
        <v>29155.52</v>
      </c>
      <c r="AZ190" s="177">
        <f t="shared" si="1146"/>
        <v>28702.829999999998</v>
      </c>
      <c r="BA190" s="177">
        <f t="shared" si="1146"/>
        <v>27924.15</v>
      </c>
      <c r="BB190" s="177">
        <f t="shared" si="1146"/>
        <v>27631.65</v>
      </c>
      <c r="BC190" s="177">
        <f t="shared" si="1146"/>
        <v>27208.35</v>
      </c>
      <c r="BD190" s="177">
        <f t="shared" si="1146"/>
        <v>26868.36</v>
      </c>
      <c r="BE190" s="177">
        <f t="shared" si="1146"/>
        <v>26654.11</v>
      </c>
      <c r="BF190" s="177">
        <f t="shared" si="1146"/>
        <v>26865.78</v>
      </c>
      <c r="BG190" s="177">
        <f t="shared" si="1146"/>
        <v>27765.98</v>
      </c>
      <c r="BH190" s="177">
        <f t="shared" si="1146"/>
        <v>28245.74</v>
      </c>
      <c r="BI190" s="177">
        <f t="shared" si="1146"/>
        <v>29868.13</v>
      </c>
      <c r="BJ190" s="177">
        <f t="shared" si="1146"/>
        <v>29881.06</v>
      </c>
      <c r="BK190" s="177">
        <f t="shared" si="1146"/>
        <v>30332.58</v>
      </c>
      <c r="BL190" s="177">
        <f t="shared" si="1146"/>
        <v>30656.99</v>
      </c>
      <c r="BM190" s="177">
        <f t="shared" si="1146"/>
        <v>29745.41</v>
      </c>
      <c r="BN190" s="177">
        <f t="shared" si="1146"/>
        <v>29136.37</v>
      </c>
      <c r="BO190" s="177">
        <f t="shared" si="1146"/>
        <v>27822.639999999999</v>
      </c>
      <c r="BP190" s="177">
        <f t="shared" si="1146"/>
        <v>28434.629999999997</v>
      </c>
      <c r="BQ190" s="177">
        <f t="shared" si="1146"/>
        <v>28961.51</v>
      </c>
      <c r="BR190" s="177">
        <f t="shared" ref="BR190:CW190" si="1147">+SUM(BO99:BR99)</f>
        <v>32703.309999999998</v>
      </c>
      <c r="BS190" s="177">
        <f t="shared" si="1147"/>
        <v>36382.67</v>
      </c>
      <c r="BT190" s="177">
        <f t="shared" si="1147"/>
        <v>37903.08</v>
      </c>
      <c r="BU190" s="177">
        <f t="shared" si="1147"/>
        <v>41218.31</v>
      </c>
      <c r="BV190" s="177">
        <f t="shared" si="1147"/>
        <v>42815.67</v>
      </c>
      <c r="BW190" s="177">
        <f t="shared" si="1147"/>
        <v>47178.8</v>
      </c>
      <c r="BX190" s="177">
        <f t="shared" si="1147"/>
        <v>51399.3</v>
      </c>
      <c r="BY190" s="177">
        <f t="shared" si="1147"/>
        <v>54615.28</v>
      </c>
      <c r="BZ190" s="177">
        <f t="shared" si="1147"/>
        <v>55109.08</v>
      </c>
      <c r="CA190" s="177">
        <f t="shared" si="1147"/>
        <v>55826.89</v>
      </c>
      <c r="CB190" s="177">
        <f t="shared" si="1147"/>
        <v>57534.2</v>
      </c>
      <c r="CC190" s="177">
        <f t="shared" si="1147"/>
        <v>58056.08</v>
      </c>
      <c r="CD190" s="177">
        <f t="shared" si="1147"/>
        <v>61448.9</v>
      </c>
      <c r="CE190" s="177">
        <f t="shared" si="1147"/>
        <v>63529.229999999996</v>
      </c>
      <c r="CF190" s="177">
        <f t="shared" si="1147"/>
        <v>63488.869999999995</v>
      </c>
      <c r="CG190" s="177">
        <f t="shared" si="1147"/>
        <v>64228.929999999993</v>
      </c>
      <c r="CH190" s="177">
        <f t="shared" si="1147"/>
        <v>65478.229999999996</v>
      </c>
      <c r="CI190" s="177">
        <f t="shared" si="1147"/>
        <v>66219.679999999993</v>
      </c>
      <c r="CJ190" s="177">
        <f t="shared" si="1147"/>
        <v>66066.92</v>
      </c>
      <c r="CK190" s="177">
        <f t="shared" si="1147"/>
        <v>64624.270000000004</v>
      </c>
      <c r="CL190" s="177">
        <f t="shared" si="1147"/>
        <v>62428.59</v>
      </c>
      <c r="CM190" s="178">
        <f t="shared" si="1147"/>
        <v>61837.710000000006</v>
      </c>
      <c r="CN190" s="178">
        <f t="shared" si="1147"/>
        <v>67690.507000000012</v>
      </c>
      <c r="CO190" s="178">
        <f t="shared" si="1147"/>
        <v>73001.914900000003</v>
      </c>
      <c r="CP190" s="178">
        <f t="shared" si="1147"/>
        <v>78342.752529999998</v>
      </c>
      <c r="CQ190" s="178">
        <f t="shared" si="1147"/>
        <v>82018.624141000008</v>
      </c>
      <c r="CR190" s="178">
        <f t="shared" si="1147"/>
        <v>83033.190197699994</v>
      </c>
      <c r="CS190" s="178">
        <f t="shared" si="1147"/>
        <v>83927.181920690011</v>
      </c>
      <c r="CT190" s="178">
        <f t="shared" si="1147"/>
        <v>84881.196633793006</v>
      </c>
      <c r="CU190" s="178">
        <f t="shared" si="1147"/>
        <v>86221.472648862109</v>
      </c>
      <c r="CV190" s="178">
        <f t="shared" si="1147"/>
        <v>87574.324655541379</v>
      </c>
      <c r="CW190" s="178">
        <f t="shared" si="1147"/>
        <v>88793.52451953759</v>
      </c>
      <c r="CX190" s="178">
        <f t="shared" ref="CX190:DB190" si="1148">+SUM(CU99:CX99)</f>
        <v>90082.516490238719</v>
      </c>
      <c r="CY190" s="178">
        <f t="shared" si="1148"/>
        <v>91538.272960398404</v>
      </c>
      <c r="CZ190" s="178">
        <f t="shared" si="1148"/>
        <v>93075.455259336508</v>
      </c>
      <c r="DA190" s="178">
        <f t="shared" si="1148"/>
        <v>94442.680266813055</v>
      </c>
      <c r="DB190" s="178">
        <f t="shared" si="1148"/>
        <v>95893.630188417097</v>
      </c>
      <c r="DE190" s="179"/>
      <c r="DF190" s="177">
        <v>65115.07</v>
      </c>
    </row>
    <row r="191" spans="1:110" s="163" customFormat="1" hidden="1" outlineLevel="1" x14ac:dyDescent="0.2">
      <c r="A191" s="163" t="s">
        <v>511</v>
      </c>
      <c r="E191" s="163" t="e">
        <f t="shared" ref="E191:AE191" ca="1" si="1149">+E190/E157</f>
        <v>#DIV/0!</v>
      </c>
      <c r="F191" s="163" t="e">
        <f t="shared" ca="1" si="1149"/>
        <v>#DIV/0!</v>
      </c>
      <c r="G191" s="163" t="e">
        <f t="shared" ca="1" si="1149"/>
        <v>#DIV/0!</v>
      </c>
      <c r="H191" s="163" t="e">
        <f t="shared" ca="1" si="1149"/>
        <v>#DIV/0!</v>
      </c>
      <c r="I191" s="163" t="e">
        <f t="shared" ca="1" si="1149"/>
        <v>#DIV/0!</v>
      </c>
      <c r="J191" s="163" t="e">
        <f t="shared" ca="1" si="1149"/>
        <v>#DIV/0!</v>
      </c>
      <c r="K191" s="163" t="e">
        <f t="shared" ca="1" si="1149"/>
        <v>#DIV/0!</v>
      </c>
      <c r="L191" s="163" t="e">
        <f t="shared" ca="1" si="1149"/>
        <v>#DIV/0!</v>
      </c>
      <c r="M191" s="163" t="e">
        <f t="shared" ca="1" si="1149"/>
        <v>#DIV/0!</v>
      </c>
      <c r="N191" s="163" t="e">
        <f t="shared" ca="1" si="1149"/>
        <v>#DIV/0!</v>
      </c>
      <c r="O191" s="163" t="e">
        <f t="shared" ca="1" si="1149"/>
        <v>#DIV/0!</v>
      </c>
      <c r="P191" s="163" t="e">
        <f t="shared" ca="1" si="1149"/>
        <v>#DIV/0!</v>
      </c>
      <c r="Q191" s="163" t="e">
        <f t="shared" ca="1" si="1149"/>
        <v>#DIV/0!</v>
      </c>
      <c r="R191" s="163" t="e">
        <f t="shared" ca="1" si="1149"/>
        <v>#DIV/0!</v>
      </c>
      <c r="S191" s="163" t="e">
        <f t="shared" ca="1" si="1149"/>
        <v>#DIV/0!</v>
      </c>
      <c r="T191" s="163" t="e">
        <f t="shared" ca="1" si="1149"/>
        <v>#DIV/0!</v>
      </c>
      <c r="U191" s="163" t="e">
        <f t="shared" ca="1" si="1149"/>
        <v>#DIV/0!</v>
      </c>
      <c r="V191" s="163" t="e">
        <f t="shared" ca="1" si="1149"/>
        <v>#DIV/0!</v>
      </c>
      <c r="W191" s="163" t="e">
        <f t="shared" ca="1" si="1149"/>
        <v>#DIV/0!</v>
      </c>
      <c r="X191" s="163" t="e">
        <f t="shared" ca="1" si="1149"/>
        <v>#DIV/0!</v>
      </c>
      <c r="Y191" s="163" t="e">
        <f t="shared" ca="1" si="1149"/>
        <v>#DIV/0!</v>
      </c>
      <c r="Z191" s="163" t="e">
        <f t="shared" ref="Z191:AA191" ca="1" si="1150">+Z190/Z157</f>
        <v>#DIV/0!</v>
      </c>
      <c r="AA191" s="163" t="e">
        <f t="shared" ca="1" si="1150"/>
        <v>#DIV/0!</v>
      </c>
      <c r="AB191" s="94" t="e">
        <f t="shared" ca="1" si="1149"/>
        <v>#DIV/0!</v>
      </c>
      <c r="AC191" s="94" t="e">
        <f t="shared" ca="1" si="1149"/>
        <v>#DIV/0!</v>
      </c>
      <c r="AD191" s="94" t="e">
        <f t="shared" ca="1" si="1149"/>
        <v>#DIV/0!</v>
      </c>
      <c r="AE191" s="94" t="e">
        <f t="shared" ca="1" si="1149"/>
        <v>#DIV/0!</v>
      </c>
      <c r="AL191" s="163">
        <f t="shared" ref="AL191:BQ191" si="1151">+AL190/AL157</f>
        <v>103.3465702841407</v>
      </c>
      <c r="AM191" s="163">
        <f t="shared" si="1151"/>
        <v>109.8730441857554</v>
      </c>
      <c r="AN191" s="163">
        <f t="shared" si="1151"/>
        <v>113.20550131430716</v>
      </c>
      <c r="AO191" s="163">
        <f t="shared" si="1151"/>
        <v>112.14376017023409</v>
      </c>
      <c r="AP191" s="163">
        <f t="shared" si="1151"/>
        <v>111.73491676054576</v>
      </c>
      <c r="AQ191" s="163">
        <f t="shared" si="1151"/>
        <v>109.75732256853172</v>
      </c>
      <c r="AR191" s="163">
        <f t="shared" si="1151"/>
        <v>109.19188884716485</v>
      </c>
      <c r="AS191" s="163">
        <f t="shared" si="1151"/>
        <v>108.6548379021154</v>
      </c>
      <c r="AT191" s="163">
        <f t="shared" si="1151"/>
        <v>105.54377894605082</v>
      </c>
      <c r="AU191" s="163">
        <f t="shared" si="1151"/>
        <v>100.77515959444236</v>
      </c>
      <c r="AV191" s="163">
        <f t="shared" si="1151"/>
        <v>97.903492301915136</v>
      </c>
      <c r="AW191" s="163">
        <f t="shared" si="1151"/>
        <v>94.225779196395038</v>
      </c>
      <c r="AX191" s="163">
        <f t="shared" si="1151"/>
        <v>92.317217423957942</v>
      </c>
      <c r="AY191" s="163">
        <f t="shared" si="1151"/>
        <v>91.23645011891351</v>
      </c>
      <c r="AZ191" s="163">
        <f t="shared" si="1151"/>
        <v>89.819846038302657</v>
      </c>
      <c r="BA191" s="163">
        <f t="shared" si="1151"/>
        <v>87.383120540743519</v>
      </c>
      <c r="BB191" s="163">
        <f t="shared" si="1151"/>
        <v>86.467799474277129</v>
      </c>
      <c r="BC191" s="163">
        <f t="shared" si="1151"/>
        <v>85.143165602703718</v>
      </c>
      <c r="BD191" s="163">
        <f t="shared" si="1151"/>
        <v>84.07923394667668</v>
      </c>
      <c r="BE191" s="163">
        <f t="shared" si="1151"/>
        <v>83.408780823632497</v>
      </c>
      <c r="BF191" s="163">
        <f t="shared" si="1151"/>
        <v>84.071160345475022</v>
      </c>
      <c r="BG191" s="163">
        <f t="shared" si="1151"/>
        <v>86.888158718237577</v>
      </c>
      <c r="BH191" s="163">
        <f t="shared" si="1151"/>
        <v>88.389473025409941</v>
      </c>
      <c r="BI191" s="163">
        <f t="shared" si="1151"/>
        <v>93.466422581048946</v>
      </c>
      <c r="BJ191" s="163">
        <f t="shared" si="1151"/>
        <v>93.506884466140946</v>
      </c>
      <c r="BK191" s="163">
        <f t="shared" si="1151"/>
        <v>94.919827262485924</v>
      </c>
      <c r="BL191" s="163">
        <f t="shared" si="1151"/>
        <v>95.935004381023916</v>
      </c>
      <c r="BM191" s="163">
        <f t="shared" si="1151"/>
        <v>93.082394542495933</v>
      </c>
      <c r="BN191" s="163">
        <f t="shared" si="1151"/>
        <v>91.176523970459371</v>
      </c>
      <c r="BO191" s="163">
        <f t="shared" si="1151"/>
        <v>87.065465014394789</v>
      </c>
      <c r="BP191" s="163">
        <f t="shared" si="1151"/>
        <v>88.980567029665778</v>
      </c>
      <c r="BQ191" s="163">
        <f t="shared" si="1151"/>
        <v>90.629334084365993</v>
      </c>
      <c r="BR191" s="163">
        <f t="shared" ref="BR191:CW191" si="1152">+BR190/BR157</f>
        <v>102.33855926899486</v>
      </c>
      <c r="BS191" s="163">
        <f t="shared" si="1152"/>
        <v>113.85239078733258</v>
      </c>
      <c r="BT191" s="163">
        <f t="shared" si="1152"/>
        <v>118.61021404431094</v>
      </c>
      <c r="BU191" s="163">
        <f t="shared" si="1152"/>
        <v>128.98457253723871</v>
      </c>
      <c r="BV191" s="163">
        <f t="shared" si="1152"/>
        <v>133.98319564401052</v>
      </c>
      <c r="BW191" s="163">
        <f t="shared" si="1152"/>
        <v>147.63675053198148</v>
      </c>
      <c r="BX191" s="163">
        <f t="shared" si="1152"/>
        <v>160.8439729628239</v>
      </c>
      <c r="BY191" s="163">
        <f t="shared" si="1152"/>
        <v>170.90774815371134</v>
      </c>
      <c r="BZ191" s="163">
        <f t="shared" si="1152"/>
        <v>172.45299787207409</v>
      </c>
      <c r="CA191" s="163">
        <f t="shared" si="1152"/>
        <v>174.69924270872448</v>
      </c>
      <c r="CB191" s="163">
        <f t="shared" si="1152"/>
        <v>180.04193265740392</v>
      </c>
      <c r="CC191" s="163">
        <f t="shared" si="1152"/>
        <v>181.67505319814745</v>
      </c>
      <c r="CD191" s="163">
        <f t="shared" si="1152"/>
        <v>192.29221429465517</v>
      </c>
      <c r="CE191" s="163">
        <f t="shared" si="1152"/>
        <v>198.8021967705595</v>
      </c>
      <c r="CF191" s="163">
        <f t="shared" si="1152"/>
        <v>198.67589810990108</v>
      </c>
      <c r="CG191" s="163">
        <f t="shared" si="1152"/>
        <v>200.99176993365876</v>
      </c>
      <c r="CH191" s="163">
        <f t="shared" si="1152"/>
        <v>204.90120791087745</v>
      </c>
      <c r="CI191" s="163">
        <f t="shared" si="1152"/>
        <v>207.22142946551506</v>
      </c>
      <c r="CJ191" s="163">
        <f t="shared" si="1152"/>
        <v>206.74339717111027</v>
      </c>
      <c r="CK191" s="163">
        <f t="shared" ref="CK191:CL191" si="1153">+CK190/CK157</f>
        <v>202.22890849918639</v>
      </c>
      <c r="CL191" s="163">
        <f t="shared" si="1153"/>
        <v>195.35796094630115</v>
      </c>
      <c r="CM191" s="50">
        <f t="shared" si="1152"/>
        <v>193.50891851295532</v>
      </c>
      <c r="CN191" s="50">
        <f t="shared" si="1152"/>
        <v>211.82409250219055</v>
      </c>
      <c r="CO191" s="50">
        <f t="shared" si="1152"/>
        <v>228.44509606959571</v>
      </c>
      <c r="CP191" s="50">
        <f t="shared" si="1152"/>
        <v>245.1581941732382</v>
      </c>
      <c r="CQ191" s="50">
        <f t="shared" si="1152"/>
        <v>256.66110946614094</v>
      </c>
      <c r="CR191" s="50">
        <f t="shared" si="1152"/>
        <v>259.83599385936913</v>
      </c>
      <c r="CS191" s="50">
        <f t="shared" si="1152"/>
        <v>262.63356465355491</v>
      </c>
      <c r="CT191" s="50">
        <f t="shared" si="1152"/>
        <v>265.61896555824575</v>
      </c>
      <c r="CU191" s="50">
        <f t="shared" si="1152"/>
        <v>269.81309503336496</v>
      </c>
      <c r="CV191" s="50">
        <f t="shared" si="1152"/>
        <v>274.04657859413373</v>
      </c>
      <c r="CW191" s="50">
        <f t="shared" si="1152"/>
        <v>277.86182413173611</v>
      </c>
      <c r="CX191" s="50">
        <f t="shared" ref="CX191:DB191" si="1154">+CX190/CX157</f>
        <v>281.89547030366356</v>
      </c>
      <c r="CY191" s="50">
        <f t="shared" si="1154"/>
        <v>286.45097308924272</v>
      </c>
      <c r="CZ191" s="50">
        <f t="shared" si="1154"/>
        <v>291.26128194810525</v>
      </c>
      <c r="DA191" s="50">
        <f t="shared" si="1154"/>
        <v>295.53974298038884</v>
      </c>
      <c r="DB191" s="50">
        <f t="shared" si="1154"/>
        <v>300.08020462015617</v>
      </c>
      <c r="DE191" s="164"/>
      <c r="DF191" s="163">
        <v>203.76477030917511</v>
      </c>
    </row>
    <row r="192" spans="1:110" s="163" customFormat="1" hidden="1" outlineLevel="1" x14ac:dyDescent="0.2">
      <c r="AB192" s="94"/>
      <c r="AC192" s="94"/>
      <c r="AD192" s="94"/>
      <c r="AE192" s="94"/>
      <c r="CM192" s="94"/>
      <c r="CN192" s="94"/>
      <c r="CO192" s="94"/>
      <c r="CP192" s="94"/>
      <c r="CQ192" s="94"/>
      <c r="CR192" s="94"/>
      <c r="CS192" s="94"/>
      <c r="CT192" s="94"/>
      <c r="CU192" s="94"/>
      <c r="CV192" s="94"/>
      <c r="CW192" s="94"/>
      <c r="CX192" s="94"/>
      <c r="CY192" s="94"/>
      <c r="CZ192" s="94"/>
      <c r="DA192" s="94"/>
      <c r="DB192" s="94"/>
      <c r="DE192" s="164"/>
    </row>
    <row r="193" spans="1:110" s="163" customFormat="1" hidden="1" outlineLevel="1" x14ac:dyDescent="0.2">
      <c r="A193" s="163" t="s">
        <v>506</v>
      </c>
      <c r="AB193" s="94"/>
      <c r="AC193" s="94"/>
      <c r="AD193" s="94"/>
      <c r="AE193" s="94"/>
      <c r="CM193" s="94"/>
      <c r="CN193" s="94"/>
      <c r="CO193" s="94"/>
      <c r="CP193" s="94"/>
      <c r="CQ193" s="94"/>
      <c r="CR193" s="94"/>
      <c r="CS193" s="94"/>
      <c r="CT193" s="94"/>
      <c r="CU193" s="94"/>
      <c r="CV193" s="94"/>
      <c r="CW193" s="94"/>
      <c r="CX193" s="94"/>
      <c r="CY193" s="94"/>
      <c r="CZ193" s="94"/>
      <c r="DA193" s="94"/>
      <c r="DB193" s="94"/>
      <c r="DE193" s="164"/>
    </row>
    <row r="194" spans="1:110" s="163" customFormat="1" hidden="1" outlineLevel="1" x14ac:dyDescent="0.2">
      <c r="A194" s="163" t="s">
        <v>507</v>
      </c>
      <c r="E194" s="163" t="e">
        <f t="shared" ref="E194:AE196" ca="1" si="1155">+E169/E$191</f>
        <v>#DIV/0!</v>
      </c>
      <c r="F194" s="163" t="e">
        <f t="shared" ca="1" si="1155"/>
        <v>#DIV/0!</v>
      </c>
      <c r="G194" s="163" t="e">
        <f t="shared" ca="1" si="1155"/>
        <v>#DIV/0!</v>
      </c>
      <c r="H194" s="163" t="e">
        <f t="shared" ca="1" si="1155"/>
        <v>#DIV/0!</v>
      </c>
      <c r="I194" s="163" t="e">
        <f t="shared" ca="1" si="1155"/>
        <v>#DIV/0!</v>
      </c>
      <c r="J194" s="163" t="e">
        <f t="shared" ca="1" si="1155"/>
        <v>#DIV/0!</v>
      </c>
      <c r="K194" s="163" t="e">
        <f t="shared" ca="1" si="1155"/>
        <v>#DIV/0!</v>
      </c>
      <c r="L194" s="163" t="e">
        <f t="shared" ca="1" si="1155"/>
        <v>#DIV/0!</v>
      </c>
      <c r="M194" s="163" t="e">
        <f t="shared" ca="1" si="1155"/>
        <v>#DIV/0!</v>
      </c>
      <c r="N194" s="163" t="e">
        <f t="shared" ca="1" si="1155"/>
        <v>#DIV/0!</v>
      </c>
      <c r="O194" s="163" t="e">
        <f t="shared" ca="1" si="1155"/>
        <v>#DIV/0!</v>
      </c>
      <c r="P194" s="163" t="e">
        <f t="shared" ca="1" si="1155"/>
        <v>#DIV/0!</v>
      </c>
      <c r="Q194" s="163" t="e">
        <f t="shared" ca="1" si="1155"/>
        <v>#DIV/0!</v>
      </c>
      <c r="R194" s="163" t="e">
        <f t="shared" ca="1" si="1155"/>
        <v>#DIV/0!</v>
      </c>
      <c r="S194" s="163" t="e">
        <f t="shared" ca="1" si="1155"/>
        <v>#DIV/0!</v>
      </c>
      <c r="T194" s="163" t="e">
        <f t="shared" ca="1" si="1155"/>
        <v>#DIV/0!</v>
      </c>
      <c r="U194" s="163" t="e">
        <f t="shared" ca="1" si="1155"/>
        <v>#DIV/0!</v>
      </c>
      <c r="V194" s="163" t="e">
        <f t="shared" ca="1" si="1155"/>
        <v>#DIV/0!</v>
      </c>
      <c r="W194" s="163" t="e">
        <f t="shared" ca="1" si="1155"/>
        <v>#DIV/0!</v>
      </c>
      <c r="X194" s="163" t="e">
        <f t="shared" ca="1" si="1155"/>
        <v>#DIV/0!</v>
      </c>
      <c r="Y194" s="163" t="e">
        <f t="shared" ca="1" si="1155"/>
        <v>#DIV/0!</v>
      </c>
      <c r="Z194" s="163" t="e">
        <f ca="1">+Z169/Z$191</f>
        <v>#DIV/0!</v>
      </c>
      <c r="AA194" s="163" t="e">
        <f ca="1">+AA169/AA$191</f>
        <v>#DIV/0!</v>
      </c>
      <c r="AB194" s="50" t="e">
        <f t="shared" ref="AA194:AE194" ca="1" si="1156">+AB169/AB$191</f>
        <v>#DIV/0!</v>
      </c>
      <c r="AC194" s="50" t="e">
        <f t="shared" ca="1" si="1156"/>
        <v>#DIV/0!</v>
      </c>
      <c r="AD194" s="50" t="e">
        <f t="shared" ca="1" si="1156"/>
        <v>#DIV/0!</v>
      </c>
      <c r="AE194" s="50" t="e">
        <f t="shared" ca="1" si="1156"/>
        <v>#DIV/0!</v>
      </c>
      <c r="AL194" s="163">
        <f t="shared" ref="AL194:BQ194" si="1157">+AL169/AL191</f>
        <v>0.90015200733067657</v>
      </c>
      <c r="AM194" s="163">
        <f t="shared" si="1157"/>
        <v>0.75577862693106812</v>
      </c>
      <c r="AN194" s="163">
        <f t="shared" si="1157"/>
        <v>0.69133446908447782</v>
      </c>
      <c r="AO194" s="163">
        <f t="shared" si="1157"/>
        <v>0.78608285964393732</v>
      </c>
      <c r="AP194" s="163">
        <f t="shared" si="1157"/>
        <v>0.75893912537413166</v>
      </c>
      <c r="AQ194" s="163">
        <f t="shared" si="1157"/>
        <v>0.98171126516612717</v>
      </c>
      <c r="AR194" s="163">
        <f t="shared" si="1157"/>
        <v>0.76012972095550557</v>
      </c>
      <c r="AS194" s="163">
        <f t="shared" si="1157"/>
        <v>0.75606389541537966</v>
      </c>
      <c r="AT194" s="163">
        <f t="shared" si="1157"/>
        <v>0.73050255325242819</v>
      </c>
      <c r="AU194" s="163">
        <f t="shared" si="1157"/>
        <v>0.73480409555296577</v>
      </c>
      <c r="AV194" s="163">
        <f t="shared" si="1157"/>
        <v>0.66442982237445192</v>
      </c>
      <c r="AW194" s="163">
        <f t="shared" si="1157"/>
        <v>0.72060958878860382</v>
      </c>
      <c r="AX194" s="163">
        <f t="shared" si="1157"/>
        <v>0.70030273662930176</v>
      </c>
      <c r="AY194" s="163">
        <f t="shared" si="1157"/>
        <v>0.80505105036713465</v>
      </c>
      <c r="AZ194" s="163">
        <f t="shared" si="1157"/>
        <v>0.83834479039174892</v>
      </c>
      <c r="BA194" s="163">
        <f t="shared" si="1157"/>
        <v>0.86630003061865812</v>
      </c>
      <c r="BB194" s="163">
        <f t="shared" si="1157"/>
        <v>1.0466323943738431</v>
      </c>
      <c r="BC194" s="163">
        <f t="shared" si="1157"/>
        <v>0.94605361956899259</v>
      </c>
      <c r="BD194" s="163">
        <f t="shared" si="1157"/>
        <v>0.92472298272019582</v>
      </c>
      <c r="BE194" s="163">
        <f t="shared" si="1157"/>
        <v>1.1251812947421616</v>
      </c>
      <c r="BF194" s="163">
        <f t="shared" si="1157"/>
        <v>0.94384328316542454</v>
      </c>
      <c r="BG194" s="163">
        <f t="shared" si="1157"/>
        <v>0.8407359653792158</v>
      </c>
      <c r="BH194" s="163">
        <f t="shared" si="1157"/>
        <v>0.74612957564574345</v>
      </c>
      <c r="BI194" s="163">
        <f t="shared" si="1157"/>
        <v>0.82115050389830224</v>
      </c>
      <c r="BJ194" s="163">
        <f t="shared" si="1157"/>
        <v>0.7892467000835981</v>
      </c>
      <c r="BK194" s="163">
        <f t="shared" si="1157"/>
        <v>0.72692926219925902</v>
      </c>
      <c r="BL194" s="163">
        <f t="shared" si="1157"/>
        <v>0.6514827450444417</v>
      </c>
      <c r="BM194" s="163">
        <f t="shared" si="1157"/>
        <v>0.6069891119335723</v>
      </c>
      <c r="BN194" s="163">
        <f t="shared" si="1157"/>
        <v>0.36029011163710517</v>
      </c>
      <c r="BO194" s="163">
        <f t="shared" si="1157"/>
        <v>0.51570390157080714</v>
      </c>
      <c r="BP194" s="163">
        <f t="shared" si="1157"/>
        <v>0.59732143516550074</v>
      </c>
      <c r="BQ194" s="163">
        <f t="shared" si="1157"/>
        <v>0.83471870078597432</v>
      </c>
      <c r="BR194" s="163">
        <f t="shared" ref="BR194:DB194" si="1158">+BR169/BR191</f>
        <v>1.0084175577334529</v>
      </c>
      <c r="BS194" s="163">
        <f t="shared" si="1158"/>
        <v>1.0724412474400586</v>
      </c>
      <c r="BT194" s="163">
        <f t="shared" si="1158"/>
        <v>1.3379960678657248</v>
      </c>
      <c r="BU194" s="163">
        <f t="shared" si="1158"/>
        <v>1.7126079162391665</v>
      </c>
      <c r="BV194" s="163">
        <f t="shared" si="1158"/>
        <v>1.7826862454797505</v>
      </c>
      <c r="BW194" s="163">
        <f t="shared" si="1158"/>
        <v>1.3705936988647442</v>
      </c>
      <c r="BX194" s="163">
        <f t="shared" si="1158"/>
        <v>1.3460249458650213</v>
      </c>
      <c r="BY194" s="163">
        <f t="shared" si="1158"/>
        <v>1.215275505316461</v>
      </c>
      <c r="BZ194" s="163">
        <f t="shared" si="1158"/>
        <v>1.1029092120572508</v>
      </c>
      <c r="CA194" s="163">
        <f t="shared" si="1158"/>
        <v>1.2696105407268792</v>
      </c>
      <c r="CB194" s="163">
        <f t="shared" si="1158"/>
        <v>1.456327401788849</v>
      </c>
      <c r="CC194" s="163">
        <f t="shared" si="1158"/>
        <v>1.8277137898390661</v>
      </c>
      <c r="CD194" s="163">
        <f t="shared" si="1158"/>
        <v>2.0497449750931258</v>
      </c>
      <c r="CE194" s="163">
        <f t="shared" si="1158"/>
        <v>2.215770284009424</v>
      </c>
      <c r="CF194" s="163">
        <f t="shared" si="1158"/>
        <v>2.4295850910561176</v>
      </c>
      <c r="CG194" s="163">
        <f t="shared" si="1158"/>
        <v>1.9523187448397477</v>
      </c>
      <c r="CH194" s="163">
        <f t="shared" si="1158"/>
        <v>1.8321024254931753</v>
      </c>
      <c r="CI194" s="163">
        <f t="shared" si="1158"/>
        <v>1.9573265228705428</v>
      </c>
      <c r="CJ194" s="163">
        <f t="shared" si="1158"/>
        <v>1.8803502569818602</v>
      </c>
      <c r="CK194" s="163">
        <f t="shared" ref="CK194:CL194" si="1159">+CK169/CK191</f>
        <v>1.876833548758075</v>
      </c>
      <c r="CL194" s="163">
        <f t="shared" si="1159"/>
        <v>1.9384927963293741</v>
      </c>
      <c r="CM194" s="50">
        <f t="shared" si="1158"/>
        <v>1.9740692208686252</v>
      </c>
      <c r="CN194" s="50">
        <f t="shared" si="1158"/>
        <v>1.8033831538593732</v>
      </c>
      <c r="CO194" s="50">
        <f t="shared" si="1158"/>
        <v>1.6721742185423139</v>
      </c>
      <c r="CP194" s="50">
        <f t="shared" si="1158"/>
        <v>1.5581775730084881</v>
      </c>
      <c r="CQ194" s="50">
        <f t="shared" si="1158"/>
        <v>1.4883439130866607</v>
      </c>
      <c r="CR194" s="50">
        <f t="shared" si="1158"/>
        <v>1.4701581344682739</v>
      </c>
      <c r="CS194" s="50">
        <f t="shared" si="1158"/>
        <v>1.4544980208599907</v>
      </c>
      <c r="CT194" s="50">
        <f t="shared" si="1158"/>
        <v>1.4381503188116056</v>
      </c>
      <c r="CU194" s="50">
        <f t="shared" si="1158"/>
        <v>1.4157948855401628</v>
      </c>
      <c r="CV194" s="50">
        <f t="shared" si="1158"/>
        <v>1.3939236240775936</v>
      </c>
      <c r="CW194" s="50">
        <f t="shared" si="1158"/>
        <v>1.3747840358914916</v>
      </c>
      <c r="CX194" s="50">
        <f t="shared" si="1158"/>
        <v>1.3551122321635811</v>
      </c>
      <c r="CY194" s="50">
        <f t="shared" si="1158"/>
        <v>1.3335615371814058</v>
      </c>
      <c r="CZ194" s="50">
        <f t="shared" si="1158"/>
        <v>1.3115371787317132</v>
      </c>
      <c r="DA194" s="50">
        <f t="shared" si="1158"/>
        <v>1.2925503559950935</v>
      </c>
      <c r="DB194" s="50">
        <f t="shared" si="1158"/>
        <v>1.2729930002665073</v>
      </c>
      <c r="DE194" s="106"/>
      <c r="DF194" s="163">
        <v>1.8585155786517622</v>
      </c>
    </row>
    <row r="195" spans="1:110" s="163" customFormat="1" hidden="1" outlineLevel="1" x14ac:dyDescent="0.2">
      <c r="A195" s="163" t="s">
        <v>508</v>
      </c>
      <c r="E195" s="163" t="e">
        <f t="shared" ca="1" si="1155"/>
        <v>#DIV/0!</v>
      </c>
      <c r="F195" s="163" t="e">
        <f t="shared" ca="1" si="1155"/>
        <v>#DIV/0!</v>
      </c>
      <c r="G195" s="163" t="e">
        <f t="shared" ca="1" si="1155"/>
        <v>#DIV/0!</v>
      </c>
      <c r="H195" s="163" t="e">
        <f t="shared" ca="1" si="1155"/>
        <v>#DIV/0!</v>
      </c>
      <c r="I195" s="163" t="e">
        <f t="shared" ca="1" si="1155"/>
        <v>#DIV/0!</v>
      </c>
      <c r="J195" s="163" t="e">
        <f t="shared" ca="1" si="1155"/>
        <v>#DIV/0!</v>
      </c>
      <c r="K195" s="163" t="e">
        <f t="shared" ca="1" si="1155"/>
        <v>#DIV/0!</v>
      </c>
      <c r="L195" s="163" t="e">
        <f t="shared" ca="1" si="1155"/>
        <v>#DIV/0!</v>
      </c>
      <c r="M195" s="163" t="e">
        <f t="shared" ca="1" si="1155"/>
        <v>#DIV/0!</v>
      </c>
      <c r="N195" s="163" t="e">
        <f t="shared" ca="1" si="1155"/>
        <v>#DIV/0!</v>
      </c>
      <c r="O195" s="163" t="e">
        <f t="shared" ca="1" si="1155"/>
        <v>#DIV/0!</v>
      </c>
      <c r="P195" s="163" t="e">
        <f t="shared" ca="1" si="1155"/>
        <v>#DIV/0!</v>
      </c>
      <c r="Q195" s="163" t="e">
        <f t="shared" ca="1" si="1155"/>
        <v>#DIV/0!</v>
      </c>
      <c r="R195" s="163" t="e">
        <f t="shared" ca="1" si="1155"/>
        <v>#DIV/0!</v>
      </c>
      <c r="S195" s="163" t="e">
        <f t="shared" ca="1" si="1155"/>
        <v>#DIV/0!</v>
      </c>
      <c r="T195" s="163" t="e">
        <f t="shared" ca="1" si="1155"/>
        <v>#DIV/0!</v>
      </c>
      <c r="U195" s="163" t="e">
        <f t="shared" ca="1" si="1155"/>
        <v>#DIV/0!</v>
      </c>
      <c r="V195" s="163" t="e">
        <f t="shared" ca="1" si="1155"/>
        <v>#DIV/0!</v>
      </c>
      <c r="W195" s="163" t="e">
        <f t="shared" ca="1" si="1155"/>
        <v>#DIV/0!</v>
      </c>
      <c r="X195" s="163" t="e">
        <f t="shared" ca="1" si="1155"/>
        <v>#DIV/0!</v>
      </c>
      <c r="Y195" s="163" t="e">
        <f t="shared" ca="1" si="1155"/>
        <v>#DIV/0!</v>
      </c>
      <c r="Z195" s="163" t="e">
        <f t="shared" ref="Z195:AA196" ca="1" si="1160">+Z170/Z$191</f>
        <v>#DIV/0!</v>
      </c>
      <c r="AA195" s="163" t="e">
        <f t="shared" ca="1" si="1160"/>
        <v>#DIV/0!</v>
      </c>
      <c r="AB195" s="94" t="e">
        <f t="shared" ca="1" si="1155"/>
        <v>#DIV/0!</v>
      </c>
      <c r="AC195" s="94" t="e">
        <f t="shared" ca="1" si="1155"/>
        <v>#DIV/0!</v>
      </c>
      <c r="AD195" s="94" t="e">
        <f t="shared" ca="1" si="1155"/>
        <v>#DIV/0!</v>
      </c>
      <c r="AE195" s="94" t="e">
        <f t="shared" ca="1" si="1155"/>
        <v>#DIV/0!</v>
      </c>
      <c r="AL195" s="163">
        <f t="shared" ref="AL195:BQ195" si="1161">+AL170/AL191</f>
        <v>1.0504885977666065</v>
      </c>
      <c r="AM195" s="163">
        <f t="shared" si="1161"/>
        <v>0.89015878953473249</v>
      </c>
      <c r="AN195" s="163">
        <f t="shared" si="1161"/>
        <v>0.81110326428345325</v>
      </c>
      <c r="AO195" s="163">
        <f t="shared" si="1161"/>
        <v>0.79554855362979826</v>
      </c>
      <c r="AP195" s="163">
        <f t="shared" si="1161"/>
        <v>0.79284567285711471</v>
      </c>
      <c r="AQ195" s="163">
        <f t="shared" si="1161"/>
        <v>1.0500438358273425</v>
      </c>
      <c r="AR195" s="163">
        <f t="shared" si="1161"/>
        <v>1.0266330327603876</v>
      </c>
      <c r="AS195" s="163">
        <f t="shared" si="1161"/>
        <v>0.8734079570897082</v>
      </c>
      <c r="AT195" s="163">
        <f t="shared" si="1161"/>
        <v>0.87546609494843541</v>
      </c>
      <c r="AU195" s="163">
        <f t="shared" si="1161"/>
        <v>0.81518104591054885</v>
      </c>
      <c r="AV195" s="163">
        <f t="shared" si="1161"/>
        <v>0.78393526313972617</v>
      </c>
      <c r="AW195" s="163">
        <f t="shared" si="1161"/>
        <v>0.76889786020227313</v>
      </c>
      <c r="AX195" s="163">
        <f t="shared" si="1161"/>
        <v>0.76637925160901921</v>
      </c>
      <c r="AY195" s="163">
        <f t="shared" si="1161"/>
        <v>0.85437344283346683</v>
      </c>
      <c r="AZ195" s="163">
        <f t="shared" si="1161"/>
        <v>0.89456844499305477</v>
      </c>
      <c r="BA195" s="163">
        <f t="shared" si="1161"/>
        <v>0.96643378580905781</v>
      </c>
      <c r="BB195" s="163">
        <f t="shared" si="1161"/>
        <v>1.0535713936735591</v>
      </c>
      <c r="BC195" s="163">
        <f t="shared" si="1161"/>
        <v>1.0717243052224776</v>
      </c>
      <c r="BD195" s="163">
        <f t="shared" si="1161"/>
        <v>1.038306320147564</v>
      </c>
      <c r="BE195" s="163">
        <f t="shared" si="1161"/>
        <v>1.1635465599864336</v>
      </c>
      <c r="BF195" s="163">
        <f t="shared" si="1161"/>
        <v>1.2102842351869181</v>
      </c>
      <c r="BG195" s="163">
        <f t="shared" si="1161"/>
        <v>1.0300598070012295</v>
      </c>
      <c r="BH195" s="163">
        <f t="shared" si="1161"/>
        <v>0.89320591352890732</v>
      </c>
      <c r="BI195" s="163">
        <f t="shared" si="1161"/>
        <v>0.92172137994578174</v>
      </c>
      <c r="BJ195" s="163">
        <f t="shared" si="1161"/>
        <v>0.83309373897713135</v>
      </c>
      <c r="BK195" s="163">
        <f t="shared" si="1161"/>
        <v>0.81015739511772489</v>
      </c>
      <c r="BL195" s="163">
        <f t="shared" si="1161"/>
        <v>0.77187675632865449</v>
      </c>
      <c r="BM195" s="163">
        <f t="shared" si="1161"/>
        <v>0.67628255922510394</v>
      </c>
      <c r="BN195" s="163">
        <f t="shared" si="1161"/>
        <v>0.6810963754235686</v>
      </c>
      <c r="BO195" s="163">
        <f t="shared" si="1161"/>
        <v>0.54384364675674202</v>
      </c>
      <c r="BP195" s="163">
        <f t="shared" si="1161"/>
        <v>0.71307704724837295</v>
      </c>
      <c r="BQ195" s="163">
        <f t="shared" si="1161"/>
        <v>0.87168245025898172</v>
      </c>
      <c r="BR195" s="163">
        <f t="shared" ref="BR195:CJ195" si="1162">+BR170/BR191</f>
        <v>1.1232325412932209</v>
      </c>
      <c r="BS195" s="163">
        <f t="shared" si="1162"/>
        <v>1.1637875944783602</v>
      </c>
      <c r="BT195" s="163">
        <f t="shared" si="1162"/>
        <v>1.3586519617930786</v>
      </c>
      <c r="BU195" s="163">
        <f t="shared" si="1162"/>
        <v>2.0909477365762932</v>
      </c>
      <c r="BV195" s="163">
        <f t="shared" si="1162"/>
        <v>1.9244950738829967</v>
      </c>
      <c r="BW195" s="163">
        <f t="shared" si="1162"/>
        <v>2.0184676168109403</v>
      </c>
      <c r="BX195" s="163">
        <f t="shared" si="1162"/>
        <v>1.5605185284624497</v>
      </c>
      <c r="BY195" s="163">
        <f t="shared" si="1162"/>
        <v>1.3720852479379397</v>
      </c>
      <c r="BZ195" s="163">
        <f t="shared" si="1162"/>
        <v>1.2493259187052297</v>
      </c>
      <c r="CA195" s="163">
        <f t="shared" si="1162"/>
        <v>1.2950828892671615</v>
      </c>
      <c r="CB195" s="163">
        <f t="shared" si="1162"/>
        <v>1.535753343228897</v>
      </c>
      <c r="CC195" s="163">
        <f t="shared" si="1162"/>
        <v>1.9094531356577984</v>
      </c>
      <c r="CD195" s="163">
        <f t="shared" si="1162"/>
        <v>2.2528213198283451</v>
      </c>
      <c r="CE195" s="163">
        <f t="shared" si="1162"/>
        <v>2.3354872709774699</v>
      </c>
      <c r="CF195" s="163">
        <f t="shared" si="1162"/>
        <v>2.4907399674935156</v>
      </c>
      <c r="CG195" s="163">
        <f t="shared" si="1162"/>
        <v>2.4441299271216259</v>
      </c>
      <c r="CH195" s="163">
        <f t="shared" si="1162"/>
        <v>1.9663134449419295</v>
      </c>
      <c r="CI195" s="163">
        <f t="shared" si="1162"/>
        <v>2.0108924114402247</v>
      </c>
      <c r="CJ195" s="163">
        <f t="shared" si="1162"/>
        <v>2.015541998930781</v>
      </c>
      <c r="CK195" s="163">
        <f t="shared" ref="CK195:CL195" si="1163">+CK170/CK191</f>
        <v>2.0432291459539891</v>
      </c>
      <c r="CL195" s="163">
        <f t="shared" si="1163"/>
        <v>2.1417094956012943</v>
      </c>
      <c r="CM195" s="94">
        <f t="shared" ref="CM195:DB195" si="1164">+CL195</f>
        <v>2.1417094956012943</v>
      </c>
      <c r="CN195" s="94">
        <f t="shared" si="1164"/>
        <v>2.1417094956012943</v>
      </c>
      <c r="CO195" s="94">
        <f t="shared" si="1164"/>
        <v>2.1417094956012943</v>
      </c>
      <c r="CP195" s="94">
        <f t="shared" si="1164"/>
        <v>2.1417094956012943</v>
      </c>
      <c r="CQ195" s="94">
        <f t="shared" si="1164"/>
        <v>2.1417094956012943</v>
      </c>
      <c r="CR195" s="94">
        <f t="shared" si="1164"/>
        <v>2.1417094956012943</v>
      </c>
      <c r="CS195" s="94">
        <f t="shared" si="1164"/>
        <v>2.1417094956012943</v>
      </c>
      <c r="CT195" s="94">
        <f t="shared" si="1164"/>
        <v>2.1417094956012943</v>
      </c>
      <c r="CU195" s="94">
        <f t="shared" si="1164"/>
        <v>2.1417094956012943</v>
      </c>
      <c r="CV195" s="94">
        <f t="shared" si="1164"/>
        <v>2.1417094956012943</v>
      </c>
      <c r="CW195" s="94">
        <f t="shared" si="1164"/>
        <v>2.1417094956012943</v>
      </c>
      <c r="CX195" s="94">
        <f t="shared" si="1164"/>
        <v>2.1417094956012943</v>
      </c>
      <c r="CY195" s="94">
        <f t="shared" si="1164"/>
        <v>2.1417094956012943</v>
      </c>
      <c r="CZ195" s="94">
        <f t="shared" si="1164"/>
        <v>2.1417094956012943</v>
      </c>
      <c r="DA195" s="94">
        <f t="shared" si="1164"/>
        <v>2.1417094956012943</v>
      </c>
      <c r="DB195" s="94">
        <f t="shared" si="1164"/>
        <v>2.1417094956012943</v>
      </c>
      <c r="DE195" s="164"/>
      <c r="DF195" s="163">
        <v>2.0533480805595388</v>
      </c>
    </row>
    <row r="196" spans="1:110" s="163" customFormat="1" hidden="1" outlineLevel="1" x14ac:dyDescent="0.2">
      <c r="A196" s="163" t="s">
        <v>509</v>
      </c>
      <c r="E196" s="163" t="e">
        <f t="shared" ca="1" si="1155"/>
        <v>#DIV/0!</v>
      </c>
      <c r="F196" s="163" t="e">
        <f t="shared" ca="1" si="1155"/>
        <v>#DIV/0!</v>
      </c>
      <c r="G196" s="163" t="e">
        <f t="shared" ca="1" si="1155"/>
        <v>#DIV/0!</v>
      </c>
      <c r="H196" s="163" t="e">
        <f t="shared" ca="1" si="1155"/>
        <v>#DIV/0!</v>
      </c>
      <c r="I196" s="163" t="e">
        <f t="shared" ca="1" si="1155"/>
        <v>#DIV/0!</v>
      </c>
      <c r="J196" s="163" t="e">
        <f t="shared" ca="1" si="1155"/>
        <v>#DIV/0!</v>
      </c>
      <c r="K196" s="163" t="e">
        <f t="shared" ca="1" si="1155"/>
        <v>#DIV/0!</v>
      </c>
      <c r="L196" s="163" t="e">
        <f t="shared" ca="1" si="1155"/>
        <v>#DIV/0!</v>
      </c>
      <c r="M196" s="163" t="e">
        <f t="shared" ca="1" si="1155"/>
        <v>#DIV/0!</v>
      </c>
      <c r="N196" s="163" t="e">
        <f t="shared" ca="1" si="1155"/>
        <v>#DIV/0!</v>
      </c>
      <c r="O196" s="163" t="e">
        <f t="shared" ca="1" si="1155"/>
        <v>#DIV/0!</v>
      </c>
      <c r="P196" s="163" t="e">
        <f t="shared" ca="1" si="1155"/>
        <v>#DIV/0!</v>
      </c>
      <c r="Q196" s="163" t="e">
        <f t="shared" ca="1" si="1155"/>
        <v>#DIV/0!</v>
      </c>
      <c r="R196" s="163" t="e">
        <f t="shared" ca="1" si="1155"/>
        <v>#DIV/0!</v>
      </c>
      <c r="S196" s="163" t="e">
        <f t="shared" ca="1" si="1155"/>
        <v>#DIV/0!</v>
      </c>
      <c r="T196" s="163" t="e">
        <f t="shared" ca="1" si="1155"/>
        <v>#DIV/0!</v>
      </c>
      <c r="U196" s="163" t="e">
        <f t="shared" ca="1" si="1155"/>
        <v>#DIV/0!</v>
      </c>
      <c r="V196" s="163" t="e">
        <f t="shared" ca="1" si="1155"/>
        <v>#DIV/0!</v>
      </c>
      <c r="W196" s="163" t="e">
        <f t="shared" ca="1" si="1155"/>
        <v>#DIV/0!</v>
      </c>
      <c r="X196" s="163" t="e">
        <f t="shared" ca="1" si="1155"/>
        <v>#DIV/0!</v>
      </c>
      <c r="Y196" s="163" t="e">
        <f t="shared" ca="1" si="1155"/>
        <v>#DIV/0!</v>
      </c>
      <c r="Z196" s="163" t="e">
        <f t="shared" ca="1" si="1160"/>
        <v>#DIV/0!</v>
      </c>
      <c r="AA196" s="163" t="e">
        <f t="shared" ca="1" si="1160"/>
        <v>#DIV/0!</v>
      </c>
      <c r="AB196" s="94" t="e">
        <f t="shared" ca="1" si="1155"/>
        <v>#DIV/0!</v>
      </c>
      <c r="AC196" s="94" t="e">
        <f t="shared" ca="1" si="1155"/>
        <v>#DIV/0!</v>
      </c>
      <c r="AD196" s="94" t="e">
        <f t="shared" ca="1" si="1155"/>
        <v>#DIV/0!</v>
      </c>
      <c r="AE196" s="94" t="e">
        <f t="shared" ca="1" si="1155"/>
        <v>#DIV/0!</v>
      </c>
      <c r="AL196" s="163">
        <f t="shared" ref="AL196:BQ196" si="1165">+AL171/AL191</f>
        <v>0.86747013984460464</v>
      </c>
      <c r="AM196" s="163">
        <f t="shared" si="1165"/>
        <v>0.67848807589105176</v>
      </c>
      <c r="AN196" s="163">
        <f t="shared" si="1165"/>
        <v>0.58179503717651804</v>
      </c>
      <c r="AO196" s="163">
        <f t="shared" si="1165"/>
        <v>0.65915650846990315</v>
      </c>
      <c r="AP196" s="163">
        <f t="shared" si="1165"/>
        <v>0.61708957871068459</v>
      </c>
      <c r="AQ196" s="163">
        <f t="shared" si="1165"/>
        <v>0.69107006462042453</v>
      </c>
      <c r="AR196" s="163">
        <f t="shared" si="1165"/>
        <v>0.75097153154640317</v>
      </c>
      <c r="AS196" s="163">
        <f t="shared" si="1165"/>
        <v>0.7068254067912495</v>
      </c>
      <c r="AT196" s="163">
        <f t="shared" si="1165"/>
        <v>0.69734095874680557</v>
      </c>
      <c r="AU196" s="163">
        <f t="shared" si="1165"/>
        <v>0.67873869190847891</v>
      </c>
      <c r="AV196" s="163">
        <f t="shared" si="1165"/>
        <v>0.56739549012914381</v>
      </c>
      <c r="AW196" s="163">
        <f t="shared" si="1165"/>
        <v>0.64738122115029195</v>
      </c>
      <c r="AX196" s="163">
        <f t="shared" si="1165"/>
        <v>0.59577185637450258</v>
      </c>
      <c r="AY196" s="163">
        <f t="shared" si="1165"/>
        <v>0.66420821854660794</v>
      </c>
      <c r="AZ196" s="163">
        <f t="shared" si="1165"/>
        <v>0.77599776746752858</v>
      </c>
      <c r="BA196" s="163">
        <f t="shared" si="1165"/>
        <v>0.76788285408866519</v>
      </c>
      <c r="BB196" s="163">
        <f t="shared" si="1165"/>
        <v>0.86853141234779674</v>
      </c>
      <c r="BC196" s="163">
        <f t="shared" si="1165"/>
        <v>0.9008356625815237</v>
      </c>
      <c r="BD196" s="163">
        <f t="shared" si="1165"/>
        <v>0.90271992782588895</v>
      </c>
      <c r="BE196" s="163">
        <f t="shared" si="1165"/>
        <v>0.92436310947917588</v>
      </c>
      <c r="BF196" s="163">
        <f t="shared" si="1165"/>
        <v>0.91589077257388407</v>
      </c>
      <c r="BG196" s="163">
        <f t="shared" si="1165"/>
        <v>0.81714241672723242</v>
      </c>
      <c r="BH196" s="163">
        <f t="shared" si="1165"/>
        <v>0.74160414986472289</v>
      </c>
      <c r="BI196" s="163">
        <f t="shared" si="1165"/>
        <v>0.64087185906851207</v>
      </c>
      <c r="BJ196" s="163">
        <f t="shared" si="1165"/>
        <v>0.68551102270133646</v>
      </c>
      <c r="BK196" s="163">
        <f t="shared" si="1165"/>
        <v>0.64159408794108508</v>
      </c>
      <c r="BL196" s="163">
        <f t="shared" si="1165"/>
        <v>0.52535568560383772</v>
      </c>
      <c r="BM196" s="163">
        <f t="shared" si="1165"/>
        <v>0.54843883476475863</v>
      </c>
      <c r="BN196" s="163">
        <f t="shared" si="1165"/>
        <v>0.34329012159030109</v>
      </c>
      <c r="BO196" s="163">
        <f t="shared" si="1165"/>
        <v>0.31011147755928264</v>
      </c>
      <c r="BP196" s="163">
        <f t="shared" si="1165"/>
        <v>0.4950519138107301</v>
      </c>
      <c r="BQ196" s="163">
        <f t="shared" si="1165"/>
        <v>0.56990377918830892</v>
      </c>
      <c r="BR196" s="163">
        <f t="shared" ref="BR196:CJ196" si="1166">+BR171/BR191</f>
        <v>0.72797585320874258</v>
      </c>
      <c r="BS196" s="163">
        <f t="shared" si="1166"/>
        <v>0.79005806885530949</v>
      </c>
      <c r="BT196" s="163">
        <f t="shared" si="1166"/>
        <v>0.99822769020354019</v>
      </c>
      <c r="BU196" s="163">
        <f t="shared" si="1166"/>
        <v>1.2140986857539768</v>
      </c>
      <c r="BV196" s="163">
        <f t="shared" si="1166"/>
        <v>1.5173544639147303</v>
      </c>
      <c r="BW196" s="163">
        <f t="shared" si="1166"/>
        <v>1.2869424402485863</v>
      </c>
      <c r="BX196" s="163">
        <f t="shared" si="1166"/>
        <v>1.24686052144679</v>
      </c>
      <c r="BY196" s="163">
        <f t="shared" si="1166"/>
        <v>1.1377483004756179</v>
      </c>
      <c r="BZ196" s="163">
        <f t="shared" si="1166"/>
        <v>1.0579694308088612</v>
      </c>
      <c r="CA196" s="163">
        <f t="shared" si="1166"/>
        <v>1.099317873519374</v>
      </c>
      <c r="CB196" s="163">
        <f t="shared" si="1166"/>
        <v>1.2049970626166697</v>
      </c>
      <c r="CC196" s="163">
        <f t="shared" si="1166"/>
        <v>1.2701248516951196</v>
      </c>
      <c r="CD196" s="163">
        <f t="shared" si="1166"/>
        <v>1.66309385521954</v>
      </c>
      <c r="CE196" s="163">
        <f t="shared" si="1166"/>
        <v>1.8973633396784442</v>
      </c>
      <c r="CF196" s="163">
        <f t="shared" si="1166"/>
        <v>2.013329265428728</v>
      </c>
      <c r="CG196" s="163">
        <f t="shared" si="1166"/>
        <v>1.9177402145730904</v>
      </c>
      <c r="CH196" s="163">
        <f t="shared" si="1166"/>
        <v>1.5922307307329475</v>
      </c>
      <c r="CI196" s="163">
        <f t="shared" si="1166"/>
        <v>1.6026334769361619</v>
      </c>
      <c r="CJ196" s="163">
        <f t="shared" si="1166"/>
        <v>1.783128288710901</v>
      </c>
      <c r="CK196" s="163">
        <f t="shared" ref="CK196:CL196" si="1167">+CK171/CK191</f>
        <v>1.8283736125762038</v>
      </c>
      <c r="CL196" s="163">
        <f t="shared" si="1167"/>
        <v>1.7524241056861931</v>
      </c>
      <c r="CM196" s="94">
        <f t="shared" ref="CM196:DB196" si="1168">+CL196</f>
        <v>1.7524241056861931</v>
      </c>
      <c r="CN196" s="94">
        <f t="shared" si="1168"/>
        <v>1.7524241056861931</v>
      </c>
      <c r="CO196" s="94">
        <f t="shared" si="1168"/>
        <v>1.7524241056861931</v>
      </c>
      <c r="CP196" s="94">
        <f t="shared" si="1168"/>
        <v>1.7524241056861931</v>
      </c>
      <c r="CQ196" s="94">
        <f t="shared" si="1168"/>
        <v>1.7524241056861931</v>
      </c>
      <c r="CR196" s="94">
        <f t="shared" si="1168"/>
        <v>1.7524241056861931</v>
      </c>
      <c r="CS196" s="94">
        <f t="shared" si="1168"/>
        <v>1.7524241056861931</v>
      </c>
      <c r="CT196" s="94">
        <f t="shared" si="1168"/>
        <v>1.7524241056861931</v>
      </c>
      <c r="CU196" s="94">
        <f t="shared" si="1168"/>
        <v>1.7524241056861931</v>
      </c>
      <c r="CV196" s="94">
        <f t="shared" si="1168"/>
        <v>1.7524241056861931</v>
      </c>
      <c r="CW196" s="94">
        <f t="shared" si="1168"/>
        <v>1.7524241056861931</v>
      </c>
      <c r="CX196" s="94">
        <f t="shared" si="1168"/>
        <v>1.7524241056861931</v>
      </c>
      <c r="CY196" s="94">
        <f t="shared" si="1168"/>
        <v>1.7524241056861931</v>
      </c>
      <c r="CZ196" s="94">
        <f t="shared" si="1168"/>
        <v>1.7524241056861931</v>
      </c>
      <c r="DA196" s="94">
        <f t="shared" si="1168"/>
        <v>1.7524241056861931</v>
      </c>
      <c r="DB196" s="94">
        <f t="shared" si="1168"/>
        <v>1.7524241056861931</v>
      </c>
      <c r="DE196" s="164"/>
      <c r="DF196" s="163">
        <v>1.6801236027236093</v>
      </c>
    </row>
    <row r="197" spans="1:110" s="4" customFormat="1" hidden="1" outlineLevel="1" x14ac:dyDescent="0.2">
      <c r="A197" s="3"/>
      <c r="AB197" s="17"/>
      <c r="AC197" s="17"/>
      <c r="AD197" s="17"/>
      <c r="AE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E197" s="119"/>
    </row>
    <row r="198" spans="1:110" s="4" customFormat="1" hidden="1" outlineLevel="1" x14ac:dyDescent="0.2">
      <c r="A198" s="3"/>
      <c r="AB198" s="17"/>
      <c r="AC198" s="17"/>
      <c r="AD198" s="17"/>
      <c r="AE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E198" s="119"/>
    </row>
    <row r="199" spans="1:110" s="162" customFormat="1" hidden="1" outlineLevel="1" x14ac:dyDescent="0.2">
      <c r="A199" s="49" t="s">
        <v>340</v>
      </c>
      <c r="B199" s="162">
        <f t="shared" ref="B199:AE199" si="1169">+B170*B157</f>
        <v>344.99848734486227</v>
      </c>
      <c r="C199" s="162">
        <f t="shared" si="1169"/>
        <v>295.30679862200128</v>
      </c>
      <c r="D199" s="162">
        <f t="shared" si="1169"/>
        <v>263.90539695857734</v>
      </c>
      <c r="E199" s="162" t="e">
        <f t="shared" ca="1" si="1169"/>
        <v>#DIV/0!</v>
      </c>
      <c r="F199" s="162" t="e">
        <f t="shared" ca="1" si="1169"/>
        <v>#DIV/0!</v>
      </c>
      <c r="G199" s="162" t="e">
        <f t="shared" ca="1" si="1169"/>
        <v>#DIV/0!</v>
      </c>
      <c r="H199" s="162" t="e">
        <f t="shared" ca="1" si="1169"/>
        <v>#DIV/0!</v>
      </c>
      <c r="I199" s="162" t="e">
        <f t="shared" ca="1" si="1169"/>
        <v>#DIV/0!</v>
      </c>
      <c r="J199" s="162" t="e">
        <f t="shared" ca="1" si="1169"/>
        <v>#DIV/0!</v>
      </c>
      <c r="K199" s="162" t="e">
        <f t="shared" ca="1" si="1169"/>
        <v>#DIV/0!</v>
      </c>
      <c r="L199" s="162" t="e">
        <f t="shared" ca="1" si="1169"/>
        <v>#DIV/0!</v>
      </c>
      <c r="M199" s="162" t="e">
        <f t="shared" ca="1" si="1169"/>
        <v>#DIV/0!</v>
      </c>
      <c r="N199" s="162" t="e">
        <f t="shared" ca="1" si="1169"/>
        <v>#DIV/0!</v>
      </c>
      <c r="O199" s="162" t="e">
        <f t="shared" ca="1" si="1169"/>
        <v>#DIV/0!</v>
      </c>
      <c r="P199" s="162" t="e">
        <f t="shared" ca="1" si="1169"/>
        <v>#DIV/0!</v>
      </c>
      <c r="Q199" s="162" t="e">
        <f t="shared" ca="1" si="1169"/>
        <v>#DIV/0!</v>
      </c>
      <c r="R199" s="162" t="e">
        <f t="shared" ca="1" si="1169"/>
        <v>#DIV/0!</v>
      </c>
      <c r="S199" s="162" t="e">
        <f t="shared" ca="1" si="1169"/>
        <v>#DIV/0!</v>
      </c>
      <c r="T199" s="162" t="e">
        <f t="shared" ca="1" si="1169"/>
        <v>#DIV/0!</v>
      </c>
      <c r="U199" s="162" t="e">
        <f t="shared" ca="1" si="1169"/>
        <v>#DIV/0!</v>
      </c>
      <c r="V199" s="162" t="e">
        <f t="shared" ca="1" si="1169"/>
        <v>#DIV/0!</v>
      </c>
      <c r="W199" s="162" t="e">
        <f t="shared" ca="1" si="1169"/>
        <v>#DIV/0!</v>
      </c>
      <c r="X199" s="162" t="e">
        <f t="shared" ca="1" si="1169"/>
        <v>#DIV/0!</v>
      </c>
      <c r="Y199" s="162" t="e">
        <f t="shared" ca="1" si="1169"/>
        <v>#DIV/0!</v>
      </c>
      <c r="Z199" s="162" t="e">
        <f t="shared" ca="1" si="1169"/>
        <v>#DIV/0!</v>
      </c>
      <c r="AA199" s="162" t="e">
        <f t="shared" ref="AA199" ca="1" si="1170">+AA170*AA157</f>
        <v>#DIV/0!</v>
      </c>
      <c r="AB199" s="21" t="e">
        <f t="shared" ca="1" si="1169"/>
        <v>#DIV/0!</v>
      </c>
      <c r="AC199" s="21" t="e">
        <f t="shared" ca="1" si="1169"/>
        <v>#DIV/0!</v>
      </c>
      <c r="AD199" s="21" t="e">
        <f t="shared" ca="1" si="1169"/>
        <v>#DIV/0!</v>
      </c>
      <c r="AE199" s="21" t="e">
        <f t="shared" ca="1" si="1169"/>
        <v>#DIV/0!</v>
      </c>
      <c r="AL199" s="162">
        <f t="shared" ref="AL199:BQ199" si="1171">+AL170*AL157</f>
        <v>34692.837651339221</v>
      </c>
      <c r="AM199" s="162">
        <f t="shared" si="1171"/>
        <v>31254.391964117673</v>
      </c>
      <c r="AN199" s="162">
        <f t="shared" si="1171"/>
        <v>29342.431133554986</v>
      </c>
      <c r="AO199" s="162">
        <f t="shared" si="1171"/>
        <v>28509.803029922849</v>
      </c>
      <c r="AP199" s="162">
        <f t="shared" si="1171"/>
        <v>28309.355523492868</v>
      </c>
      <c r="AQ199" s="162">
        <f t="shared" si="1171"/>
        <v>36829.29</v>
      </c>
      <c r="AR199" s="162">
        <f t="shared" si="1171"/>
        <v>35822.675999999999</v>
      </c>
      <c r="AS199" s="162">
        <f t="shared" si="1171"/>
        <v>30326.244000000002</v>
      </c>
      <c r="AT199" s="162">
        <f t="shared" si="1171"/>
        <v>29527.344000000001</v>
      </c>
      <c r="AU199" s="162">
        <f t="shared" si="1171"/>
        <v>26251.854000000003</v>
      </c>
      <c r="AV199" s="162">
        <f t="shared" si="1171"/>
        <v>24526.23</v>
      </c>
      <c r="AW199" s="162">
        <f t="shared" si="1171"/>
        <v>23152.121999999999</v>
      </c>
      <c r="AX199" s="162">
        <f t="shared" si="1171"/>
        <v>22608.87</v>
      </c>
      <c r="AY199" s="162">
        <f t="shared" si="1171"/>
        <v>24909.702000000001</v>
      </c>
      <c r="AZ199" s="162">
        <f t="shared" si="1171"/>
        <v>25676.645999999997</v>
      </c>
      <c r="BA199" s="162">
        <f t="shared" si="1171"/>
        <v>26986.842000000001</v>
      </c>
      <c r="BB199" s="162">
        <f t="shared" si="1171"/>
        <v>29111.915999999997</v>
      </c>
      <c r="BC199" s="162">
        <f t="shared" si="1171"/>
        <v>29159.85</v>
      </c>
      <c r="BD199" s="162">
        <f t="shared" si="1171"/>
        <v>27897.588</v>
      </c>
      <c r="BE199" s="162">
        <f t="shared" si="1171"/>
        <v>31013.297999999999</v>
      </c>
      <c r="BF199" s="162">
        <f t="shared" si="1171"/>
        <v>32515.23</v>
      </c>
      <c r="BG199" s="162">
        <f t="shared" si="1171"/>
        <v>28600.62</v>
      </c>
      <c r="BH199" s="162">
        <f t="shared" si="1171"/>
        <v>25229.262000000002</v>
      </c>
      <c r="BI199" s="162">
        <f t="shared" si="1171"/>
        <v>27530.094000000001</v>
      </c>
      <c r="BJ199" s="162">
        <f t="shared" si="1171"/>
        <v>24893.724000000002</v>
      </c>
      <c r="BK199" s="162">
        <f t="shared" si="1171"/>
        <v>24574.164000000001</v>
      </c>
      <c r="BL199" s="162">
        <f t="shared" si="1171"/>
        <v>23663.417999999998</v>
      </c>
      <c r="BM199" s="162">
        <f t="shared" si="1171"/>
        <v>20116.302</v>
      </c>
      <c r="BN199" s="162">
        <f t="shared" si="1171"/>
        <v>19844.675999999999</v>
      </c>
      <c r="BO199" s="162">
        <f t="shared" si="1171"/>
        <v>15131.166000000001</v>
      </c>
      <c r="BP199" s="162">
        <f t="shared" si="1171"/>
        <v>20276.082000000002</v>
      </c>
      <c r="BQ199" s="162">
        <f t="shared" si="1171"/>
        <v>25245.24</v>
      </c>
      <c r="BR199" s="162">
        <f t="shared" ref="BR199:CJ199" si="1172">+BR170*BR157</f>
        <v>36733.421999999999</v>
      </c>
      <c r="BS199" s="162">
        <f t="shared" si="1172"/>
        <v>42341.7</v>
      </c>
      <c r="BT199" s="162">
        <f t="shared" si="1172"/>
        <v>51497.094000000005</v>
      </c>
      <c r="BU199" s="162">
        <f t="shared" si="1172"/>
        <v>86185.331999999995</v>
      </c>
      <c r="BV199" s="162">
        <f t="shared" si="1172"/>
        <v>82398.546000000002</v>
      </c>
      <c r="BW199" s="162">
        <f t="shared" si="1172"/>
        <v>95228.88</v>
      </c>
      <c r="BX199" s="162">
        <f t="shared" si="1172"/>
        <v>80209.56</v>
      </c>
      <c r="BY199" s="162">
        <f t="shared" si="1172"/>
        <v>74936.820000000007</v>
      </c>
      <c r="BZ199" s="162">
        <f t="shared" si="1172"/>
        <v>68849.20199999999</v>
      </c>
      <c r="CA199" s="162">
        <f t="shared" si="1172"/>
        <v>72300.45</v>
      </c>
      <c r="CB199" s="162">
        <f t="shared" si="1172"/>
        <v>88358.34</v>
      </c>
      <c r="CC199" s="162">
        <f t="shared" si="1172"/>
        <v>110855.36399999999</v>
      </c>
      <c r="CD199" s="162">
        <f t="shared" si="1172"/>
        <v>138433.39199999999</v>
      </c>
      <c r="CE199" s="162">
        <f t="shared" si="1172"/>
        <v>148371.70800000001</v>
      </c>
      <c r="CF199" s="162">
        <f t="shared" si="1172"/>
        <v>158134.266</v>
      </c>
      <c r="CG199" s="162">
        <f t="shared" si="1172"/>
        <v>156983.85</v>
      </c>
      <c r="CH199" s="162">
        <f t="shared" si="1172"/>
        <v>128750.72399999999</v>
      </c>
      <c r="CI199" s="162">
        <f t="shared" si="1172"/>
        <v>133160.652</v>
      </c>
      <c r="CJ199" s="162">
        <f t="shared" si="1172"/>
        <v>133160.652</v>
      </c>
      <c r="CK199" s="162">
        <f t="shared" ref="CK199:DB199" si="1173">+CK170*CK157</f>
        <v>132042.19200000001</v>
      </c>
      <c r="CL199" s="162">
        <f t="shared" si="1173"/>
        <v>133703.90399999998</v>
      </c>
      <c r="CM199" s="21">
        <f t="shared" si="1173"/>
        <v>137385.72387178769</v>
      </c>
      <c r="CN199" s="21">
        <f t="shared" si="1173"/>
        <v>143496.03304138503</v>
      </c>
      <c r="CO199" s="21">
        <f t="shared" si="1173"/>
        <v>148384.57977558777</v>
      </c>
      <c r="CP199" s="21">
        <f t="shared" si="1173"/>
        <v>153399.88018931035</v>
      </c>
      <c r="CQ199" s="21">
        <f t="shared" si="1173"/>
        <v>158310.29623053287</v>
      </c>
      <c r="CR199" s="21">
        <f t="shared" si="1173"/>
        <v>163914.59272326311</v>
      </c>
      <c r="CS199" s="21">
        <f t="shared" si="1173"/>
        <v>168155.18940557141</v>
      </c>
      <c r="CT199" s="21">
        <f t="shared" si="1173"/>
        <v>172905.46511282027</v>
      </c>
      <c r="CU199" s="21">
        <f t="shared" si="1173"/>
        <v>178343.58657115165</v>
      </c>
      <c r="CV199" s="21">
        <f t="shared" si="1173"/>
        <v>184500.66345013827</v>
      </c>
      <c r="CW199" s="21">
        <f t="shared" si="1173"/>
        <v>189314.79435385359</v>
      </c>
      <c r="CX199" s="21">
        <f t="shared" si="1173"/>
        <v>194823.00776174257</v>
      </c>
      <c r="CY199" s="21">
        <f t="shared" si="1173"/>
        <v>201140.94840015669</v>
      </c>
      <c r="CZ199" s="21">
        <f t="shared" si="1173"/>
        <v>208233.77476853409</v>
      </c>
      <c r="DA199" s="21">
        <f t="shared" si="1173"/>
        <v>213912.39693456696</v>
      </c>
      <c r="DB199" s="21">
        <f t="shared" si="1173"/>
        <v>220356.43951389586</v>
      </c>
      <c r="DE199" s="22"/>
      <c r="DF199" s="162">
        <v>133703.90399999998</v>
      </c>
    </row>
    <row r="200" spans="1:110" s="162" customFormat="1" hidden="1" outlineLevel="1" x14ac:dyDescent="0.2">
      <c r="A200" s="49" t="s">
        <v>341</v>
      </c>
      <c r="B200" s="162">
        <f t="shared" ref="B200:AE200" si="1174">+B171*B157</f>
        <v>84.483580879967505</v>
      </c>
      <c r="C200" s="162">
        <f t="shared" si="1174"/>
        <v>171.80098174518528</v>
      </c>
      <c r="D200" s="162">
        <f t="shared" si="1174"/>
        <v>175.61878133952285</v>
      </c>
      <c r="E200" s="162" t="e">
        <f t="shared" ca="1" si="1174"/>
        <v>#DIV/0!</v>
      </c>
      <c r="F200" s="162" t="e">
        <f t="shared" ca="1" si="1174"/>
        <v>#DIV/0!</v>
      </c>
      <c r="G200" s="162" t="e">
        <f t="shared" ca="1" si="1174"/>
        <v>#DIV/0!</v>
      </c>
      <c r="H200" s="162" t="e">
        <f t="shared" ca="1" si="1174"/>
        <v>#DIV/0!</v>
      </c>
      <c r="I200" s="162" t="e">
        <f t="shared" ca="1" si="1174"/>
        <v>#DIV/0!</v>
      </c>
      <c r="J200" s="162" t="e">
        <f t="shared" ca="1" si="1174"/>
        <v>#DIV/0!</v>
      </c>
      <c r="K200" s="162" t="e">
        <f t="shared" ca="1" si="1174"/>
        <v>#DIV/0!</v>
      </c>
      <c r="L200" s="162" t="e">
        <f t="shared" ca="1" si="1174"/>
        <v>#DIV/0!</v>
      </c>
      <c r="M200" s="162" t="e">
        <f t="shared" ca="1" si="1174"/>
        <v>#DIV/0!</v>
      </c>
      <c r="N200" s="162" t="e">
        <f t="shared" ca="1" si="1174"/>
        <v>#DIV/0!</v>
      </c>
      <c r="O200" s="162" t="e">
        <f t="shared" ca="1" si="1174"/>
        <v>#DIV/0!</v>
      </c>
      <c r="P200" s="162" t="e">
        <f t="shared" ca="1" si="1174"/>
        <v>#DIV/0!</v>
      </c>
      <c r="Q200" s="162" t="e">
        <f t="shared" ca="1" si="1174"/>
        <v>#DIV/0!</v>
      </c>
      <c r="R200" s="162" t="e">
        <f t="shared" ca="1" si="1174"/>
        <v>#DIV/0!</v>
      </c>
      <c r="S200" s="162" t="e">
        <f t="shared" ca="1" si="1174"/>
        <v>#DIV/0!</v>
      </c>
      <c r="T200" s="162" t="e">
        <f t="shared" ca="1" si="1174"/>
        <v>#DIV/0!</v>
      </c>
      <c r="U200" s="162" t="e">
        <f t="shared" ca="1" si="1174"/>
        <v>#DIV/0!</v>
      </c>
      <c r="V200" s="162" t="e">
        <f t="shared" ca="1" si="1174"/>
        <v>#DIV/0!</v>
      </c>
      <c r="W200" s="162" t="e">
        <f t="shared" ca="1" si="1174"/>
        <v>#DIV/0!</v>
      </c>
      <c r="X200" s="162" t="e">
        <f t="shared" ca="1" si="1174"/>
        <v>#DIV/0!</v>
      </c>
      <c r="Y200" s="162" t="e">
        <f t="shared" ca="1" si="1174"/>
        <v>#DIV/0!</v>
      </c>
      <c r="Z200" s="162" t="e">
        <f t="shared" ca="1" si="1174"/>
        <v>#DIV/0!</v>
      </c>
      <c r="AA200" s="162" t="e">
        <f t="shared" ref="AA200" ca="1" si="1175">+AA171*AA157</f>
        <v>#DIV/0!</v>
      </c>
      <c r="AB200" s="21" t="e">
        <f t="shared" ca="1" si="1174"/>
        <v>#DIV/0!</v>
      </c>
      <c r="AC200" s="21" t="e">
        <f t="shared" ca="1" si="1174"/>
        <v>#DIV/0!</v>
      </c>
      <c r="AD200" s="21" t="e">
        <f t="shared" ca="1" si="1174"/>
        <v>#DIV/0!</v>
      </c>
      <c r="AE200" s="21" t="e">
        <f t="shared" ca="1" si="1174"/>
        <v>#DIV/0!</v>
      </c>
      <c r="AL200" s="162">
        <f t="shared" ref="AL200:BQ200" si="1176">+AL171*AL157</f>
        <v>28648.574380528204</v>
      </c>
      <c r="AM200" s="162">
        <f t="shared" si="1176"/>
        <v>23822.415187252995</v>
      </c>
      <c r="AN200" s="162">
        <f t="shared" si="1176"/>
        <v>21046.988175145856</v>
      </c>
      <c r="AO200" s="162">
        <f t="shared" si="1176"/>
        <v>23621.967680823043</v>
      </c>
      <c r="AP200" s="162">
        <f t="shared" si="1176"/>
        <v>22033.806668339494</v>
      </c>
      <c r="AQ200" s="162">
        <f t="shared" si="1176"/>
        <v>24238.625999999997</v>
      </c>
      <c r="AR200" s="162">
        <f t="shared" si="1176"/>
        <v>26203.920000000002</v>
      </c>
      <c r="AS200" s="162">
        <f t="shared" si="1176"/>
        <v>24542.207999999999</v>
      </c>
      <c r="AT200" s="162">
        <f t="shared" si="1176"/>
        <v>23519.615999999998</v>
      </c>
      <c r="AU200" s="162">
        <f t="shared" si="1176"/>
        <v>21857.904000000002</v>
      </c>
      <c r="AV200" s="162">
        <f t="shared" si="1176"/>
        <v>17751.558000000001</v>
      </c>
      <c r="AW200" s="162">
        <f t="shared" si="1176"/>
        <v>19493.16</v>
      </c>
      <c r="AX200" s="162">
        <f t="shared" si="1176"/>
        <v>17575.8</v>
      </c>
      <c r="AY200" s="162">
        <f t="shared" si="1176"/>
        <v>19365.335999999999</v>
      </c>
      <c r="AZ200" s="162">
        <f t="shared" si="1176"/>
        <v>22273.332000000002</v>
      </c>
      <c r="BA200" s="162">
        <f t="shared" si="1176"/>
        <v>21442.475999999999</v>
      </c>
      <c r="BB200" s="162">
        <f t="shared" si="1176"/>
        <v>23998.955999999998</v>
      </c>
      <c r="BC200" s="162">
        <f t="shared" si="1176"/>
        <v>24510.252</v>
      </c>
      <c r="BD200" s="162">
        <f t="shared" si="1176"/>
        <v>24254.604000000003</v>
      </c>
      <c r="BE200" s="162">
        <f t="shared" si="1176"/>
        <v>24638.075999999997</v>
      </c>
      <c r="BF200" s="162">
        <f t="shared" si="1176"/>
        <v>24606.12</v>
      </c>
      <c r="BG200" s="162">
        <f t="shared" si="1176"/>
        <v>22688.76</v>
      </c>
      <c r="BH200" s="162">
        <f t="shared" si="1176"/>
        <v>20947.157999999999</v>
      </c>
      <c r="BI200" s="162">
        <f t="shared" si="1176"/>
        <v>19141.644</v>
      </c>
      <c r="BJ200" s="162">
        <f t="shared" si="1176"/>
        <v>20483.795999999998</v>
      </c>
      <c r="BK200" s="162">
        <f t="shared" si="1176"/>
        <v>19461.203999999998</v>
      </c>
      <c r="BL200" s="162">
        <f t="shared" si="1176"/>
        <v>16105.824000000001</v>
      </c>
      <c r="BM200" s="162">
        <f t="shared" si="1176"/>
        <v>16313.537999999999</v>
      </c>
      <c r="BN200" s="162">
        <f t="shared" si="1176"/>
        <v>10002.228000000001</v>
      </c>
      <c r="BO200" s="162">
        <f t="shared" si="1176"/>
        <v>8628.1200000000008</v>
      </c>
      <c r="BP200" s="162">
        <f t="shared" si="1176"/>
        <v>14076.617999999999</v>
      </c>
      <c r="BQ200" s="162">
        <f t="shared" si="1176"/>
        <v>16505.274000000001</v>
      </c>
      <c r="BR200" s="162">
        <f t="shared" ref="BR200:CJ200" si="1177">+BR171*BR157</f>
        <v>23807.22</v>
      </c>
      <c r="BS200" s="162">
        <f t="shared" si="1177"/>
        <v>28744.422000000002</v>
      </c>
      <c r="BT200" s="162">
        <f t="shared" si="1177"/>
        <v>37835.904000000002</v>
      </c>
      <c r="BU200" s="162">
        <f t="shared" si="1177"/>
        <v>50043.095999999998</v>
      </c>
      <c r="BV200" s="162">
        <f t="shared" si="1177"/>
        <v>64966.548000000003</v>
      </c>
      <c r="BW200" s="162">
        <f t="shared" si="1177"/>
        <v>60716.4</v>
      </c>
      <c r="BX200" s="162">
        <f t="shared" si="1177"/>
        <v>64087.758000000002</v>
      </c>
      <c r="BY200" s="162">
        <f t="shared" si="1177"/>
        <v>62138.441999999995</v>
      </c>
      <c r="BZ200" s="162">
        <f t="shared" si="1177"/>
        <v>58303.721999999994</v>
      </c>
      <c r="CA200" s="162">
        <f t="shared" si="1177"/>
        <v>61371.498000000007</v>
      </c>
      <c r="CB200" s="162">
        <f t="shared" si="1177"/>
        <v>69328.542000000001</v>
      </c>
      <c r="CC200" s="162">
        <f t="shared" si="1177"/>
        <v>73738.47</v>
      </c>
      <c r="CD200" s="162">
        <f t="shared" si="1177"/>
        <v>102195.288</v>
      </c>
      <c r="CE200" s="162">
        <f t="shared" si="1177"/>
        <v>120538.03199999999</v>
      </c>
      <c r="CF200" s="162">
        <f t="shared" si="1177"/>
        <v>127824</v>
      </c>
      <c r="CG200" s="162">
        <f t="shared" si="1177"/>
        <v>123174.402</v>
      </c>
      <c r="CH200" s="162">
        <f t="shared" si="1177"/>
        <v>104256.45</v>
      </c>
      <c r="CI200" s="162">
        <f t="shared" si="1177"/>
        <v>106125.876</v>
      </c>
      <c r="CJ200" s="162">
        <f t="shared" si="1177"/>
        <v>117805.79399999999</v>
      </c>
      <c r="CK200" s="162">
        <f t="shared" ref="CK200:DB200" si="1178">+CK171*CK157</f>
        <v>118157.31</v>
      </c>
      <c r="CL200" s="162">
        <f t="shared" si="1178"/>
        <v>109401.36600000001</v>
      </c>
      <c r="CM200" s="21">
        <f t="shared" si="1178"/>
        <v>81108.046254952395</v>
      </c>
      <c r="CN200" s="21">
        <f t="shared" si="1178"/>
        <v>84715.373310434996</v>
      </c>
      <c r="CO200" s="21">
        <f t="shared" si="1178"/>
        <v>87601.411709935928</v>
      </c>
      <c r="CP200" s="21">
        <f t="shared" si="1178"/>
        <v>90562.281343802068</v>
      </c>
      <c r="CQ200" s="21">
        <f t="shared" si="1178"/>
        <v>93461.230668218181</v>
      </c>
      <c r="CR200" s="21">
        <f t="shared" si="1178"/>
        <v>96769.824358658923</v>
      </c>
      <c r="CS200" s="21">
        <f t="shared" si="1178"/>
        <v>99273.334200614845</v>
      </c>
      <c r="CT200" s="21">
        <f t="shared" si="1178"/>
        <v>102077.74189982294</v>
      </c>
      <c r="CU200" s="21">
        <f t="shared" si="1178"/>
        <v>105288.23127493453</v>
      </c>
      <c r="CV200" s="21">
        <f t="shared" si="1178"/>
        <v>108923.16845925352</v>
      </c>
      <c r="CW200" s="21">
        <f t="shared" si="1178"/>
        <v>111765.27418182725</v>
      </c>
      <c r="CX200" s="21">
        <f t="shared" si="1178"/>
        <v>115017.14355572332</v>
      </c>
      <c r="CY200" s="21">
        <f t="shared" si="1178"/>
        <v>118747.04945202121</v>
      </c>
      <c r="CZ200" s="21">
        <f t="shared" si="1178"/>
        <v>122934.42258623107</v>
      </c>
      <c r="DA200" s="21">
        <f t="shared" si="1178"/>
        <v>126286.89572774046</v>
      </c>
      <c r="DB200" s="21">
        <f t="shared" si="1178"/>
        <v>130091.24809320789</v>
      </c>
      <c r="DE200" s="22"/>
      <c r="DF200" s="162">
        <v>109401.36600000001</v>
      </c>
    </row>
    <row r="201" spans="1:110" s="162" customFormat="1" hidden="1" outlineLevel="1" x14ac:dyDescent="0.2">
      <c r="A201" s="49" t="s">
        <v>80</v>
      </c>
      <c r="B201" s="162">
        <f>+B260</f>
        <v>1537.9487961</v>
      </c>
      <c r="C201" s="162">
        <f t="shared" ref="C201:W201" si="1179">+C260</f>
        <v>2275.12</v>
      </c>
      <c r="D201" s="162">
        <f t="shared" si="1179"/>
        <v>2508.0700000000002</v>
      </c>
      <c r="E201" s="162">
        <f t="shared" si="1179"/>
        <v>1845.47</v>
      </c>
      <c r="F201" s="162">
        <f t="shared" si="1179"/>
        <v>1705.7199999999998</v>
      </c>
      <c r="G201" s="162">
        <f t="shared" si="1179"/>
        <v>2573.2099999999991</v>
      </c>
      <c r="H201" s="162">
        <f t="shared" si="1179"/>
        <v>3340.3500000000004</v>
      </c>
      <c r="I201" s="162">
        <f t="shared" si="1179"/>
        <v>8419.48</v>
      </c>
      <c r="J201" s="162">
        <f t="shared" si="1179"/>
        <v>12510.08</v>
      </c>
      <c r="K201" s="162">
        <f t="shared" si="1179"/>
        <v>15865.839999999998</v>
      </c>
      <c r="L201" s="162">
        <f t="shared" si="1179"/>
        <v>22303.770000000004</v>
      </c>
      <c r="M201" s="162">
        <f t="shared" si="1179"/>
        <v>30888.22</v>
      </c>
      <c r="N201" s="162">
        <f t="shared" si="1179"/>
        <v>36914.999999999993</v>
      </c>
      <c r="O201" s="162">
        <f t="shared" si="1179"/>
        <v>39776.99</v>
      </c>
      <c r="P201" s="162">
        <f t="shared" si="1179"/>
        <v>40017.680000000008</v>
      </c>
      <c r="Q201" s="162">
        <f t="shared" si="1179"/>
        <v>39349.479999999996</v>
      </c>
      <c r="R201" s="162">
        <f t="shared" si="1179"/>
        <v>48263.329999999994</v>
      </c>
      <c r="S201" s="162">
        <f t="shared" si="1179"/>
        <v>48467.299999999996</v>
      </c>
      <c r="T201" s="162">
        <f t="shared" si="1179"/>
        <v>49051.609999999993</v>
      </c>
      <c r="U201" s="162">
        <f t="shared" si="1179"/>
        <v>47082.239999999998</v>
      </c>
      <c r="V201" s="162">
        <f t="shared" si="1179"/>
        <v>38300.430000000008</v>
      </c>
      <c r="W201" s="162">
        <f t="shared" si="1179"/>
        <v>40538.78</v>
      </c>
      <c r="X201" s="162">
        <f t="shared" ref="X201:Y201" si="1180">+X260</f>
        <v>36618.300000000003</v>
      </c>
      <c r="Y201" s="162">
        <f t="shared" si="1180"/>
        <v>38850.009999999995</v>
      </c>
      <c r="Z201" s="162">
        <f t="shared" ref="Z201:AA201" si="1181">+Z260</f>
        <v>45092.159999999996</v>
      </c>
      <c r="AA201" s="162">
        <f t="shared" si="1181"/>
        <v>56122.28</v>
      </c>
      <c r="AB201" s="21">
        <f t="shared" ref="AA201:AD201" si="1182">+AB260</f>
        <v>62257.898592127611</v>
      </c>
      <c r="AC201" s="21">
        <f t="shared" si="1182"/>
        <v>64745.679573379821</v>
      </c>
      <c r="AD201" s="21">
        <f t="shared" si="1182"/>
        <v>61154.255040744254</v>
      </c>
      <c r="AE201" s="21">
        <f t="shared" ref="AE201" si="1183">+AE260</f>
        <v>56440.842477480735</v>
      </c>
      <c r="AL201" s="162">
        <f t="shared" ref="AL201:AM201" si="1184">+AL260</f>
        <v>34179.229999999996</v>
      </c>
      <c r="AM201" s="162">
        <f t="shared" si="1184"/>
        <v>34296.759003494066</v>
      </c>
      <c r="AN201" s="162">
        <f t="shared" ref="AN201:AO201" si="1185">+AN260</f>
        <v>37366.14</v>
      </c>
      <c r="AO201" s="162">
        <f t="shared" si="1185"/>
        <v>37367.289649183251</v>
      </c>
      <c r="AP201" s="162">
        <f t="shared" ref="AP201:CD201" si="1186">+AP260</f>
        <v>34781.17</v>
      </c>
      <c r="AQ201" s="162">
        <f t="shared" si="1186"/>
        <v>34816.53897738774</v>
      </c>
      <c r="AR201" s="162">
        <f t="shared" si="1186"/>
        <v>36586.21</v>
      </c>
      <c r="AS201" s="162">
        <f t="shared" si="1186"/>
        <v>36372.014757688718</v>
      </c>
      <c r="AT201" s="162">
        <f t="shared" si="1186"/>
        <v>36390.67</v>
      </c>
      <c r="AU201" s="162">
        <f t="shared" si="1186"/>
        <v>35841.617410782485</v>
      </c>
      <c r="AV201" s="162">
        <f t="shared" si="1186"/>
        <v>34902.86</v>
      </c>
      <c r="AW201" s="162">
        <f t="shared" si="1186"/>
        <v>34364.699880686072</v>
      </c>
      <c r="AX201" s="162">
        <f t="shared" si="1186"/>
        <v>36003.68</v>
      </c>
      <c r="AY201" s="162">
        <f t="shared" si="1186"/>
        <v>35842.816734194421</v>
      </c>
      <c r="AZ201" s="162">
        <f t="shared" si="1186"/>
        <v>40502.629999999997</v>
      </c>
      <c r="BA201" s="162">
        <f t="shared" si="1186"/>
        <v>39695.469857256525</v>
      </c>
      <c r="BB201" s="162">
        <f t="shared" si="1186"/>
        <v>39370.67</v>
      </c>
      <c r="BC201" s="162">
        <f t="shared" si="1186"/>
        <v>38935.641127727242</v>
      </c>
      <c r="BD201" s="162">
        <f t="shared" si="1186"/>
        <v>38092.83</v>
      </c>
      <c r="BE201" s="162">
        <f t="shared" si="1186"/>
        <v>37352.984013660862</v>
      </c>
      <c r="BF201" s="162">
        <f t="shared" si="1186"/>
        <v>39561.649999999994</v>
      </c>
      <c r="BG201" s="162">
        <f t="shared" si="1186"/>
        <v>37885.459485375308</v>
      </c>
      <c r="BH201" s="162">
        <f t="shared" si="1186"/>
        <v>43800.68</v>
      </c>
      <c r="BI201" s="162">
        <f t="shared" si="1186"/>
        <v>43831.186202346944</v>
      </c>
      <c r="BJ201" s="162">
        <f t="shared" si="1186"/>
        <v>44060.18</v>
      </c>
      <c r="BK201" s="162">
        <f t="shared" si="1186"/>
        <v>44011.429811226808</v>
      </c>
      <c r="BL201" s="162">
        <f t="shared" si="1186"/>
        <v>42916.36</v>
      </c>
      <c r="BM201" s="162">
        <f t="shared" si="1186"/>
        <v>42512.785259969627</v>
      </c>
      <c r="BN201" s="162">
        <f t="shared" si="1186"/>
        <v>41745.81</v>
      </c>
      <c r="BO201" s="162">
        <f t="shared" si="1186"/>
        <v>41490.641741738145</v>
      </c>
      <c r="BP201" s="162">
        <f t="shared" si="1186"/>
        <v>34415.96</v>
      </c>
      <c r="BQ201" s="162">
        <f t="shared" si="1186"/>
        <v>34006.591195154047</v>
      </c>
      <c r="BR201" s="162">
        <f t="shared" si="1186"/>
        <v>36800.43</v>
      </c>
      <c r="BS201" s="162">
        <f t="shared" si="1186"/>
        <v>36409.827944241784</v>
      </c>
      <c r="BT201" s="162">
        <f t="shared" si="1186"/>
        <v>40694.869999999995</v>
      </c>
      <c r="BU201" s="162">
        <f t="shared" si="1186"/>
        <v>40606.244650864101</v>
      </c>
      <c r="BV201" s="162">
        <f t="shared" si="1186"/>
        <v>40538.78</v>
      </c>
      <c r="BW201" s="162">
        <f t="shared" si="1186"/>
        <v>40176.074204462224</v>
      </c>
      <c r="BX201" s="162">
        <f t="shared" si="1186"/>
        <v>41283.880000000005</v>
      </c>
      <c r="BY201" s="162">
        <f t="shared" si="1186"/>
        <v>40377.702932080472</v>
      </c>
      <c r="BZ201" s="162">
        <f t="shared" si="1186"/>
        <v>36618.300000000003</v>
      </c>
      <c r="CA201" s="162">
        <f t="shared" si="1186"/>
        <v>36963.013516544408</v>
      </c>
      <c r="CB201" s="162">
        <f t="shared" si="1186"/>
        <v>37584.629999999997</v>
      </c>
      <c r="CC201" s="162">
        <f t="shared" si="1186"/>
        <v>36322.808198942294</v>
      </c>
      <c r="CD201" s="162">
        <f t="shared" si="1186"/>
        <v>38850.009999999995</v>
      </c>
      <c r="CE201" s="162">
        <f t="shared" ref="CE201:CF201" si="1187">+CE260</f>
        <v>38390.093561247922</v>
      </c>
      <c r="CF201" s="162">
        <f t="shared" si="1187"/>
        <v>44335.76</v>
      </c>
      <c r="CG201" s="162">
        <f t="shared" ref="CG201:CH201" si="1188">+CG260</f>
        <v>43262.666731298341</v>
      </c>
      <c r="CH201" s="162">
        <f t="shared" si="1188"/>
        <v>45092.159999999996</v>
      </c>
      <c r="CI201" s="162">
        <f t="shared" ref="CI201:CJ201" si="1189">+CI260</f>
        <v>42058.455124380838</v>
      </c>
      <c r="CJ201" s="162">
        <f t="shared" si="1189"/>
        <v>54000.83</v>
      </c>
      <c r="CK201" s="162">
        <f t="shared" ref="CK201:DB201" si="1190">+CK260</f>
        <v>55240.286897415295</v>
      </c>
      <c r="CL201" s="162">
        <f t="shared" si="1190"/>
        <v>56122.270000000004</v>
      </c>
      <c r="CM201" s="21">
        <f t="shared" si="1190"/>
        <v>57364.22466751407</v>
      </c>
      <c r="CN201" s="21">
        <f t="shared" si="1190"/>
        <v>58580.838215511736</v>
      </c>
      <c r="CO201" s="21">
        <f t="shared" si="1190"/>
        <v>60285.978779324359</v>
      </c>
      <c r="CP201" s="21">
        <f t="shared" si="1190"/>
        <v>62257.898592127611</v>
      </c>
      <c r="CQ201" s="21">
        <f t="shared" si="1190"/>
        <v>63061.514957554697</v>
      </c>
      <c r="CR201" s="21">
        <f t="shared" si="1190"/>
        <v>63939.682923749126</v>
      </c>
      <c r="CS201" s="21">
        <f t="shared" si="1190"/>
        <v>63665.397944532997</v>
      </c>
      <c r="CT201" s="21">
        <f t="shared" si="1190"/>
        <v>64745.679573379821</v>
      </c>
      <c r="CU201" s="21">
        <f t="shared" si="1190"/>
        <v>64393.01080144463</v>
      </c>
      <c r="CV201" s="21">
        <f t="shared" si="1190"/>
        <v>63840.401123547519</v>
      </c>
      <c r="CW201" s="21">
        <f t="shared" si="1190"/>
        <v>61640.391832032794</v>
      </c>
      <c r="CX201" s="21">
        <f t="shared" si="1190"/>
        <v>61154.255040744254</v>
      </c>
      <c r="CY201" s="21">
        <f t="shared" si="1190"/>
        <v>60596.782288133443</v>
      </c>
      <c r="CZ201" s="21">
        <f t="shared" si="1190"/>
        <v>59776.521223816606</v>
      </c>
      <c r="DA201" s="21">
        <f t="shared" si="1190"/>
        <v>57192.167078081591</v>
      </c>
      <c r="DB201" s="21">
        <f t="shared" si="1190"/>
        <v>56440.842477480735</v>
      </c>
      <c r="DE201" s="22"/>
      <c r="DF201" s="162">
        <v>63208.211444011707</v>
      </c>
    </row>
    <row r="202" spans="1:110" s="162" customFormat="1" hidden="1" outlineLevel="1" x14ac:dyDescent="0.2">
      <c r="A202" s="49" t="s">
        <v>342</v>
      </c>
      <c r="B202" s="162">
        <f>+B199+B201</f>
        <v>1882.9472834448623</v>
      </c>
      <c r="C202" s="162">
        <f t="shared" ref="C202:W202" si="1191">+C199+C201</f>
        <v>2570.4267986220011</v>
      </c>
      <c r="D202" s="162">
        <f t="shared" si="1191"/>
        <v>2771.9753969585777</v>
      </c>
      <c r="E202" s="162" t="e">
        <f t="shared" ca="1" si="1191"/>
        <v>#DIV/0!</v>
      </c>
      <c r="F202" s="162" t="e">
        <f t="shared" ca="1" si="1191"/>
        <v>#DIV/0!</v>
      </c>
      <c r="G202" s="162" t="e">
        <f t="shared" ca="1" si="1191"/>
        <v>#DIV/0!</v>
      </c>
      <c r="H202" s="162" t="e">
        <f t="shared" ca="1" si="1191"/>
        <v>#DIV/0!</v>
      </c>
      <c r="I202" s="162" t="e">
        <f t="shared" ca="1" si="1191"/>
        <v>#DIV/0!</v>
      </c>
      <c r="J202" s="162" t="e">
        <f t="shared" ca="1" si="1191"/>
        <v>#DIV/0!</v>
      </c>
      <c r="K202" s="162" t="e">
        <f t="shared" ca="1" si="1191"/>
        <v>#DIV/0!</v>
      </c>
      <c r="L202" s="162" t="e">
        <f t="shared" ca="1" si="1191"/>
        <v>#DIV/0!</v>
      </c>
      <c r="M202" s="162" t="e">
        <f t="shared" ca="1" si="1191"/>
        <v>#DIV/0!</v>
      </c>
      <c r="N202" s="162" t="e">
        <f t="shared" ca="1" si="1191"/>
        <v>#DIV/0!</v>
      </c>
      <c r="O202" s="162" t="e">
        <f t="shared" ca="1" si="1191"/>
        <v>#DIV/0!</v>
      </c>
      <c r="P202" s="162" t="e">
        <f t="shared" ca="1" si="1191"/>
        <v>#DIV/0!</v>
      </c>
      <c r="Q202" s="162" t="e">
        <f t="shared" ca="1" si="1191"/>
        <v>#DIV/0!</v>
      </c>
      <c r="R202" s="162" t="e">
        <f t="shared" ca="1" si="1191"/>
        <v>#DIV/0!</v>
      </c>
      <c r="S202" s="162" t="e">
        <f t="shared" ca="1" si="1191"/>
        <v>#DIV/0!</v>
      </c>
      <c r="T202" s="162" t="e">
        <f t="shared" ca="1" si="1191"/>
        <v>#DIV/0!</v>
      </c>
      <c r="U202" s="162" t="e">
        <f t="shared" ca="1" si="1191"/>
        <v>#DIV/0!</v>
      </c>
      <c r="V202" s="162" t="e">
        <f t="shared" ca="1" si="1191"/>
        <v>#DIV/0!</v>
      </c>
      <c r="W202" s="162" t="e">
        <f t="shared" ca="1" si="1191"/>
        <v>#DIV/0!</v>
      </c>
      <c r="X202" s="162" t="e">
        <f t="shared" ref="X202:Y202" ca="1" si="1192">+X199+X201</f>
        <v>#DIV/0!</v>
      </c>
      <c r="Y202" s="162" t="e">
        <f t="shared" ca="1" si="1192"/>
        <v>#DIV/0!</v>
      </c>
      <c r="Z202" s="162" t="e">
        <f t="shared" ref="Z202:AA202" ca="1" si="1193">+Z199+Z201</f>
        <v>#DIV/0!</v>
      </c>
      <c r="AA202" s="162" t="e">
        <f t="shared" ca="1" si="1193"/>
        <v>#DIV/0!</v>
      </c>
      <c r="AB202" s="21" t="e">
        <f t="shared" ref="AA202:AD202" ca="1" si="1194">+AB199+AB201</f>
        <v>#DIV/0!</v>
      </c>
      <c r="AC202" s="21" t="e">
        <f t="shared" ca="1" si="1194"/>
        <v>#DIV/0!</v>
      </c>
      <c r="AD202" s="21" t="e">
        <f t="shared" ca="1" si="1194"/>
        <v>#DIV/0!</v>
      </c>
      <c r="AE202" s="21" t="e">
        <f t="shared" ref="AE202" ca="1" si="1195">+AE199+AE201</f>
        <v>#DIV/0!</v>
      </c>
      <c r="AL202" s="162">
        <f t="shared" ref="AL202" si="1196">+AL199+AL201</f>
        <v>68872.067651339225</v>
      </c>
      <c r="AM202" s="162">
        <f t="shared" ref="AM202:AO202" si="1197">+AM199+AM201</f>
        <v>65551.150967611742</v>
      </c>
      <c r="AN202" s="162">
        <f t="shared" si="1197"/>
        <v>66708.571133554986</v>
      </c>
      <c r="AO202" s="162">
        <f t="shared" si="1197"/>
        <v>65877.092679106107</v>
      </c>
      <c r="AP202" s="162">
        <f t="shared" ref="AP202:CD202" si="1198">+AP199+AP201</f>
        <v>63090.525523492863</v>
      </c>
      <c r="AQ202" s="162">
        <f t="shared" si="1198"/>
        <v>71645.828977387748</v>
      </c>
      <c r="AR202" s="162">
        <f t="shared" si="1198"/>
        <v>72408.885999999999</v>
      </c>
      <c r="AS202" s="162">
        <f t="shared" si="1198"/>
        <v>66698.258757688716</v>
      </c>
      <c r="AT202" s="162">
        <f t="shared" si="1198"/>
        <v>65918.013999999996</v>
      </c>
      <c r="AU202" s="162">
        <f t="shared" si="1198"/>
        <v>62093.471410782484</v>
      </c>
      <c r="AV202" s="162">
        <f t="shared" si="1198"/>
        <v>59429.09</v>
      </c>
      <c r="AW202" s="162">
        <f t="shared" si="1198"/>
        <v>57516.821880686068</v>
      </c>
      <c r="AX202" s="162">
        <f t="shared" si="1198"/>
        <v>58612.55</v>
      </c>
      <c r="AY202" s="162">
        <f t="shared" si="1198"/>
        <v>60752.518734194426</v>
      </c>
      <c r="AZ202" s="162">
        <f t="shared" si="1198"/>
        <v>66179.275999999998</v>
      </c>
      <c r="BA202" s="162">
        <f t="shared" si="1198"/>
        <v>66682.311857256529</v>
      </c>
      <c r="BB202" s="162">
        <f t="shared" si="1198"/>
        <v>68482.585999999996</v>
      </c>
      <c r="BC202" s="162">
        <f t="shared" si="1198"/>
        <v>68095.491127727233</v>
      </c>
      <c r="BD202" s="162">
        <f t="shared" si="1198"/>
        <v>65990.418000000005</v>
      </c>
      <c r="BE202" s="162">
        <f t="shared" si="1198"/>
        <v>68366.282013660864</v>
      </c>
      <c r="BF202" s="162">
        <f t="shared" si="1198"/>
        <v>72076.87999999999</v>
      </c>
      <c r="BG202" s="162">
        <f t="shared" si="1198"/>
        <v>66486.079485375303</v>
      </c>
      <c r="BH202" s="162">
        <f t="shared" si="1198"/>
        <v>69029.94200000001</v>
      </c>
      <c r="BI202" s="162">
        <f t="shared" si="1198"/>
        <v>71361.280202346941</v>
      </c>
      <c r="BJ202" s="162">
        <f t="shared" si="1198"/>
        <v>68953.90400000001</v>
      </c>
      <c r="BK202" s="162">
        <f t="shared" si="1198"/>
        <v>68585.593811226805</v>
      </c>
      <c r="BL202" s="162">
        <f t="shared" si="1198"/>
        <v>66579.777999999991</v>
      </c>
      <c r="BM202" s="162">
        <f t="shared" si="1198"/>
        <v>62629.08725996963</v>
      </c>
      <c r="BN202" s="162">
        <f t="shared" si="1198"/>
        <v>61590.485999999997</v>
      </c>
      <c r="BO202" s="162">
        <f t="shared" si="1198"/>
        <v>56621.807741738143</v>
      </c>
      <c r="BP202" s="162">
        <f t="shared" si="1198"/>
        <v>54692.042000000001</v>
      </c>
      <c r="BQ202" s="162">
        <f t="shared" si="1198"/>
        <v>59251.831195154053</v>
      </c>
      <c r="BR202" s="162">
        <f t="shared" si="1198"/>
        <v>73533.851999999999</v>
      </c>
      <c r="BS202" s="162">
        <f t="shared" si="1198"/>
        <v>78751.527944241781</v>
      </c>
      <c r="BT202" s="162">
        <f t="shared" si="1198"/>
        <v>92191.964000000007</v>
      </c>
      <c r="BU202" s="162">
        <f t="shared" si="1198"/>
        <v>126791.5766508641</v>
      </c>
      <c r="BV202" s="162">
        <f t="shared" si="1198"/>
        <v>122937.326</v>
      </c>
      <c r="BW202" s="162">
        <f t="shared" si="1198"/>
        <v>135404.95420446224</v>
      </c>
      <c r="BX202" s="162">
        <f t="shared" si="1198"/>
        <v>121493.44</v>
      </c>
      <c r="BY202" s="162">
        <f t="shared" si="1198"/>
        <v>115314.52293208048</v>
      </c>
      <c r="BZ202" s="162">
        <f t="shared" si="1198"/>
        <v>105467.50199999999</v>
      </c>
      <c r="CA202" s="162">
        <f t="shared" si="1198"/>
        <v>109263.46351654441</v>
      </c>
      <c r="CB202" s="162">
        <f t="shared" si="1198"/>
        <v>125942.97</v>
      </c>
      <c r="CC202" s="162">
        <f t="shared" si="1198"/>
        <v>147178.17219894228</v>
      </c>
      <c r="CD202" s="162">
        <f t="shared" si="1198"/>
        <v>177283.402</v>
      </c>
      <c r="CE202" s="162">
        <f t="shared" ref="CE202:CF202" si="1199">+CE199+CE201</f>
        <v>186761.80156124794</v>
      </c>
      <c r="CF202" s="162">
        <f t="shared" si="1199"/>
        <v>202470.02600000001</v>
      </c>
      <c r="CG202" s="162">
        <f t="shared" ref="CG202:CH202" si="1200">+CG199+CG201</f>
        <v>200246.51673129835</v>
      </c>
      <c r="CH202" s="162">
        <f t="shared" si="1200"/>
        <v>173842.88399999999</v>
      </c>
      <c r="CI202" s="162">
        <f t="shared" ref="CI202:CJ202" si="1201">+CI199+CI201</f>
        <v>175219.10712438083</v>
      </c>
      <c r="CJ202" s="162">
        <f t="shared" si="1201"/>
        <v>187161.48200000002</v>
      </c>
      <c r="CK202" s="162">
        <f t="shared" ref="CK202:DB202" si="1202">+CK199+CK201</f>
        <v>187282.47889741531</v>
      </c>
      <c r="CL202" s="162">
        <f t="shared" si="1202"/>
        <v>189826.174</v>
      </c>
      <c r="CM202" s="21">
        <f t="shared" si="1202"/>
        <v>194749.94853930175</v>
      </c>
      <c r="CN202" s="21">
        <f t="shared" si="1202"/>
        <v>202076.87125689676</v>
      </c>
      <c r="CO202" s="21">
        <f t="shared" si="1202"/>
        <v>208670.55855491213</v>
      </c>
      <c r="CP202" s="21">
        <f t="shared" si="1202"/>
        <v>215657.77878143796</v>
      </c>
      <c r="CQ202" s="21">
        <f t="shared" si="1202"/>
        <v>221371.81118808757</v>
      </c>
      <c r="CR202" s="21">
        <f t="shared" si="1202"/>
        <v>227854.27564701223</v>
      </c>
      <c r="CS202" s="21">
        <f t="shared" si="1202"/>
        <v>231820.58735010441</v>
      </c>
      <c r="CT202" s="21">
        <f t="shared" si="1202"/>
        <v>237651.14468620007</v>
      </c>
      <c r="CU202" s="21">
        <f t="shared" si="1202"/>
        <v>242736.59737259627</v>
      </c>
      <c r="CV202" s="21">
        <f t="shared" si="1202"/>
        <v>248341.06457368578</v>
      </c>
      <c r="CW202" s="21">
        <f t="shared" si="1202"/>
        <v>250955.18618588638</v>
      </c>
      <c r="CX202" s="21">
        <f t="shared" si="1202"/>
        <v>255977.26280248683</v>
      </c>
      <c r="CY202" s="21">
        <f t="shared" si="1202"/>
        <v>261737.73068829015</v>
      </c>
      <c r="CZ202" s="21">
        <f t="shared" si="1202"/>
        <v>268010.29599235067</v>
      </c>
      <c r="DA202" s="21">
        <f t="shared" si="1202"/>
        <v>271104.56401264854</v>
      </c>
      <c r="DB202" s="21">
        <f t="shared" si="1202"/>
        <v>276797.2819913766</v>
      </c>
      <c r="DE202" s="22"/>
      <c r="DF202" s="162">
        <v>196912.1154440117</v>
      </c>
    </row>
    <row r="203" spans="1:110" s="162" customFormat="1" hidden="1" outlineLevel="1" x14ac:dyDescent="0.2">
      <c r="A203" s="49" t="s">
        <v>345</v>
      </c>
      <c r="B203" s="162">
        <f>+B200+B201</f>
        <v>1622.4323769799676</v>
      </c>
      <c r="C203" s="162">
        <f t="shared" ref="C203:W203" si="1203">+C200+C201</f>
        <v>2446.9209817451851</v>
      </c>
      <c r="D203" s="162">
        <f t="shared" si="1203"/>
        <v>2683.6887813395228</v>
      </c>
      <c r="E203" s="162" t="e">
        <f t="shared" ca="1" si="1203"/>
        <v>#DIV/0!</v>
      </c>
      <c r="F203" s="162" t="e">
        <f t="shared" ca="1" si="1203"/>
        <v>#DIV/0!</v>
      </c>
      <c r="G203" s="162" t="e">
        <f t="shared" ca="1" si="1203"/>
        <v>#DIV/0!</v>
      </c>
      <c r="H203" s="162" t="e">
        <f t="shared" ca="1" si="1203"/>
        <v>#DIV/0!</v>
      </c>
      <c r="I203" s="162" t="e">
        <f t="shared" ca="1" si="1203"/>
        <v>#DIV/0!</v>
      </c>
      <c r="J203" s="162" t="e">
        <f t="shared" ca="1" si="1203"/>
        <v>#DIV/0!</v>
      </c>
      <c r="K203" s="162" t="e">
        <f t="shared" ca="1" si="1203"/>
        <v>#DIV/0!</v>
      </c>
      <c r="L203" s="162" t="e">
        <f t="shared" ca="1" si="1203"/>
        <v>#DIV/0!</v>
      </c>
      <c r="M203" s="162" t="e">
        <f t="shared" ca="1" si="1203"/>
        <v>#DIV/0!</v>
      </c>
      <c r="N203" s="162" t="e">
        <f t="shared" ca="1" si="1203"/>
        <v>#DIV/0!</v>
      </c>
      <c r="O203" s="162" t="e">
        <f t="shared" ca="1" si="1203"/>
        <v>#DIV/0!</v>
      </c>
      <c r="P203" s="162" t="e">
        <f t="shared" ca="1" si="1203"/>
        <v>#DIV/0!</v>
      </c>
      <c r="Q203" s="162" t="e">
        <f t="shared" ca="1" si="1203"/>
        <v>#DIV/0!</v>
      </c>
      <c r="R203" s="162" t="e">
        <f t="shared" ca="1" si="1203"/>
        <v>#DIV/0!</v>
      </c>
      <c r="S203" s="162" t="e">
        <f t="shared" ca="1" si="1203"/>
        <v>#DIV/0!</v>
      </c>
      <c r="T203" s="162" t="e">
        <f t="shared" ca="1" si="1203"/>
        <v>#DIV/0!</v>
      </c>
      <c r="U203" s="162" t="e">
        <f t="shared" ca="1" si="1203"/>
        <v>#DIV/0!</v>
      </c>
      <c r="V203" s="162" t="e">
        <f t="shared" ca="1" si="1203"/>
        <v>#DIV/0!</v>
      </c>
      <c r="W203" s="162" t="e">
        <f t="shared" ca="1" si="1203"/>
        <v>#DIV/0!</v>
      </c>
      <c r="X203" s="162" t="e">
        <f t="shared" ref="X203:Y203" ca="1" si="1204">+X200+X201</f>
        <v>#DIV/0!</v>
      </c>
      <c r="Y203" s="162" t="e">
        <f t="shared" ca="1" si="1204"/>
        <v>#DIV/0!</v>
      </c>
      <c r="Z203" s="162" t="e">
        <f t="shared" ref="Z203:AA203" ca="1" si="1205">+Z200+Z201</f>
        <v>#DIV/0!</v>
      </c>
      <c r="AA203" s="162" t="e">
        <f t="shared" ca="1" si="1205"/>
        <v>#DIV/0!</v>
      </c>
      <c r="AB203" s="21" t="e">
        <f t="shared" ref="AA203:AD203" ca="1" si="1206">+AB200+AB201</f>
        <v>#DIV/0!</v>
      </c>
      <c r="AC203" s="21" t="e">
        <f t="shared" ca="1" si="1206"/>
        <v>#DIV/0!</v>
      </c>
      <c r="AD203" s="21" t="e">
        <f t="shared" ca="1" si="1206"/>
        <v>#DIV/0!</v>
      </c>
      <c r="AE203" s="21" t="e">
        <f t="shared" ref="AE203" ca="1" si="1207">+AE200+AE201</f>
        <v>#DIV/0!</v>
      </c>
      <c r="AL203" s="162">
        <f t="shared" ref="AL203:AM203" si="1208">+AL200+AL201</f>
        <v>62827.8043805282</v>
      </c>
      <c r="AM203" s="162">
        <f t="shared" si="1208"/>
        <v>58119.174190747057</v>
      </c>
      <c r="AN203" s="162">
        <f t="shared" ref="AN203:AO203" si="1209">+AN200+AN201</f>
        <v>58413.128175145859</v>
      </c>
      <c r="AO203" s="162">
        <f t="shared" si="1209"/>
        <v>60989.257330006294</v>
      </c>
      <c r="AP203" s="162">
        <f t="shared" ref="AP203:CD203" si="1210">+AP200+AP201</f>
        <v>56814.976668339492</v>
      </c>
      <c r="AQ203" s="162">
        <f t="shared" si="1210"/>
        <v>59055.164977387736</v>
      </c>
      <c r="AR203" s="162">
        <f t="shared" si="1210"/>
        <v>62790.130000000005</v>
      </c>
      <c r="AS203" s="162">
        <f t="shared" si="1210"/>
        <v>60914.222757688716</v>
      </c>
      <c r="AT203" s="162">
        <f t="shared" si="1210"/>
        <v>59910.285999999993</v>
      </c>
      <c r="AU203" s="162">
        <f t="shared" si="1210"/>
        <v>57699.521410782487</v>
      </c>
      <c r="AV203" s="162">
        <f t="shared" si="1210"/>
        <v>52654.418000000005</v>
      </c>
      <c r="AW203" s="162">
        <f t="shared" si="1210"/>
        <v>53857.859880686068</v>
      </c>
      <c r="AX203" s="162">
        <f t="shared" si="1210"/>
        <v>53579.479999999996</v>
      </c>
      <c r="AY203" s="162">
        <f t="shared" si="1210"/>
        <v>55208.152734194417</v>
      </c>
      <c r="AZ203" s="162">
        <f t="shared" si="1210"/>
        <v>62775.962</v>
      </c>
      <c r="BA203" s="162">
        <f t="shared" si="1210"/>
        <v>61137.94585725652</v>
      </c>
      <c r="BB203" s="162">
        <f t="shared" si="1210"/>
        <v>63369.625999999997</v>
      </c>
      <c r="BC203" s="162">
        <f t="shared" si="1210"/>
        <v>63445.893127727242</v>
      </c>
      <c r="BD203" s="162">
        <f t="shared" si="1210"/>
        <v>62347.434000000008</v>
      </c>
      <c r="BE203" s="162">
        <f t="shared" si="1210"/>
        <v>61991.060013660855</v>
      </c>
      <c r="BF203" s="162">
        <f t="shared" si="1210"/>
        <v>64167.76999999999</v>
      </c>
      <c r="BG203" s="162">
        <f t="shared" si="1210"/>
        <v>60574.219485375303</v>
      </c>
      <c r="BH203" s="162">
        <f t="shared" si="1210"/>
        <v>64747.838000000003</v>
      </c>
      <c r="BI203" s="162">
        <f t="shared" si="1210"/>
        <v>62972.830202346944</v>
      </c>
      <c r="BJ203" s="162">
        <f t="shared" si="1210"/>
        <v>64543.975999999995</v>
      </c>
      <c r="BK203" s="162">
        <f t="shared" si="1210"/>
        <v>63472.633811226806</v>
      </c>
      <c r="BL203" s="162">
        <f t="shared" si="1210"/>
        <v>59022.184000000001</v>
      </c>
      <c r="BM203" s="162">
        <f t="shared" si="1210"/>
        <v>58826.323259969628</v>
      </c>
      <c r="BN203" s="162">
        <f t="shared" si="1210"/>
        <v>51748.038</v>
      </c>
      <c r="BO203" s="162">
        <f t="shared" si="1210"/>
        <v>50118.761741738148</v>
      </c>
      <c r="BP203" s="162">
        <f t="shared" si="1210"/>
        <v>48492.577999999994</v>
      </c>
      <c r="BQ203" s="162">
        <f t="shared" si="1210"/>
        <v>50511.865195154052</v>
      </c>
      <c r="BR203" s="162">
        <f t="shared" si="1210"/>
        <v>60607.65</v>
      </c>
      <c r="BS203" s="162">
        <f t="shared" si="1210"/>
        <v>65154.24994424179</v>
      </c>
      <c r="BT203" s="162">
        <f t="shared" si="1210"/>
        <v>78530.774000000005</v>
      </c>
      <c r="BU203" s="162">
        <f t="shared" si="1210"/>
        <v>90649.340650864091</v>
      </c>
      <c r="BV203" s="162">
        <f t="shared" si="1210"/>
        <v>105505.32800000001</v>
      </c>
      <c r="BW203" s="162">
        <f t="shared" si="1210"/>
        <v>100892.47420446223</v>
      </c>
      <c r="BX203" s="162">
        <f t="shared" si="1210"/>
        <v>105371.63800000001</v>
      </c>
      <c r="BY203" s="162">
        <f t="shared" si="1210"/>
        <v>102516.14493208047</v>
      </c>
      <c r="BZ203" s="162">
        <f t="shared" si="1210"/>
        <v>94922.021999999997</v>
      </c>
      <c r="CA203" s="162">
        <f t="shared" si="1210"/>
        <v>98334.511516544415</v>
      </c>
      <c r="CB203" s="162">
        <f t="shared" si="1210"/>
        <v>106913.17199999999</v>
      </c>
      <c r="CC203" s="162">
        <f t="shared" si="1210"/>
        <v>110061.27819894229</v>
      </c>
      <c r="CD203" s="162">
        <f t="shared" si="1210"/>
        <v>141045.29800000001</v>
      </c>
      <c r="CE203" s="162">
        <f t="shared" ref="CE203:CF203" si="1211">+CE200+CE201</f>
        <v>158928.12556124793</v>
      </c>
      <c r="CF203" s="162">
        <f t="shared" si="1211"/>
        <v>172159.76</v>
      </c>
      <c r="CG203" s="162">
        <f t="shared" ref="CG203:CH203" si="1212">+CG200+CG201</f>
        <v>166437.06873129835</v>
      </c>
      <c r="CH203" s="162">
        <f t="shared" si="1212"/>
        <v>149348.60999999999</v>
      </c>
      <c r="CI203" s="162">
        <f t="shared" ref="CI203:CJ203" si="1213">+CI200+CI201</f>
        <v>148184.33112438084</v>
      </c>
      <c r="CJ203" s="162">
        <f t="shared" si="1213"/>
        <v>171806.62400000001</v>
      </c>
      <c r="CK203" s="162">
        <f t="shared" ref="CK203:DB203" si="1214">+CK200+CK201</f>
        <v>173397.59689741529</v>
      </c>
      <c r="CL203" s="162">
        <f t="shared" si="1214"/>
        <v>165523.636</v>
      </c>
      <c r="CM203" s="21">
        <f t="shared" si="1214"/>
        <v>138472.27092246647</v>
      </c>
      <c r="CN203" s="21">
        <f t="shared" si="1214"/>
        <v>143296.21152594674</v>
      </c>
      <c r="CO203" s="21">
        <f t="shared" si="1214"/>
        <v>147887.39048926029</v>
      </c>
      <c r="CP203" s="21">
        <f t="shared" si="1214"/>
        <v>152820.17993592969</v>
      </c>
      <c r="CQ203" s="21">
        <f t="shared" si="1214"/>
        <v>156522.74562577286</v>
      </c>
      <c r="CR203" s="21">
        <f t="shared" si="1214"/>
        <v>160709.50728240804</v>
      </c>
      <c r="CS203" s="21">
        <f t="shared" si="1214"/>
        <v>162938.73214514783</v>
      </c>
      <c r="CT203" s="21">
        <f t="shared" si="1214"/>
        <v>166823.42147320276</v>
      </c>
      <c r="CU203" s="21">
        <f t="shared" si="1214"/>
        <v>169681.24207637916</v>
      </c>
      <c r="CV203" s="21">
        <f t="shared" si="1214"/>
        <v>172763.56958280102</v>
      </c>
      <c r="CW203" s="21">
        <f t="shared" si="1214"/>
        <v>173405.66601386003</v>
      </c>
      <c r="CX203" s="21">
        <f t="shared" si="1214"/>
        <v>176171.39859646757</v>
      </c>
      <c r="CY203" s="21">
        <f t="shared" si="1214"/>
        <v>179343.83174015465</v>
      </c>
      <c r="CZ203" s="21">
        <f t="shared" si="1214"/>
        <v>182710.94381004767</v>
      </c>
      <c r="DA203" s="21">
        <f t="shared" si="1214"/>
        <v>183479.06280582206</v>
      </c>
      <c r="DB203" s="21">
        <f t="shared" si="1214"/>
        <v>186532.09057068863</v>
      </c>
      <c r="DE203" s="22"/>
      <c r="DF203" s="162">
        <v>172609.57744401172</v>
      </c>
    </row>
    <row r="204" spans="1:110" s="162" customFormat="1" hidden="1" outlineLevel="1" x14ac:dyDescent="0.2">
      <c r="A204" s="49" t="s">
        <v>13</v>
      </c>
      <c r="B204" s="162">
        <f t="shared" ref="B204:AE204" si="1215">+B120</f>
        <v>689.63502930000004</v>
      </c>
      <c r="C204" s="162">
        <f t="shared" si="1215"/>
        <v>960.34000000000015</v>
      </c>
      <c r="D204" s="162">
        <f t="shared" si="1215"/>
        <v>1249.9699999999998</v>
      </c>
      <c r="E204" s="162">
        <f t="shared" si="1215"/>
        <v>1324.3900000000003</v>
      </c>
      <c r="F204" s="162">
        <f t="shared" si="1215"/>
        <v>1104.7400000000002</v>
      </c>
      <c r="G204" s="162">
        <f t="shared" si="1215"/>
        <v>976.88000000000011</v>
      </c>
      <c r="H204" s="162">
        <f t="shared" si="1215"/>
        <v>1084.6899999999996</v>
      </c>
      <c r="I204" s="162">
        <f t="shared" si="1215"/>
        <v>2122.1200000000008</v>
      </c>
      <c r="J204" s="162">
        <f t="shared" si="1215"/>
        <v>3648.4100000000017</v>
      </c>
      <c r="K204" s="162">
        <f t="shared" si="1215"/>
        <v>3557.9500000000007</v>
      </c>
      <c r="L204" s="162">
        <f t="shared" si="1215"/>
        <v>4098.0500000000029</v>
      </c>
      <c r="M204" s="162">
        <f t="shared" si="1215"/>
        <v>4645.7700000000041</v>
      </c>
      <c r="N204" s="162">
        <f t="shared" si="1215"/>
        <v>6289.0099999999984</v>
      </c>
      <c r="O204" s="162">
        <f t="shared" si="1215"/>
        <v>6887.0200000000041</v>
      </c>
      <c r="P204" s="162">
        <f t="shared" si="1215"/>
        <v>6278.5400000000009</v>
      </c>
      <c r="Q204" s="162">
        <f t="shared" si="1215"/>
        <v>6484.2400000000016</v>
      </c>
      <c r="R204" s="162">
        <f t="shared" si="1215"/>
        <v>5798.8699999999953</v>
      </c>
      <c r="S204" s="162">
        <f t="shared" si="1215"/>
        <v>6272.1100000000042</v>
      </c>
      <c r="T204" s="162">
        <f t="shared" si="1215"/>
        <v>6712.6100000000079</v>
      </c>
      <c r="U204" s="162">
        <f t="shared" si="1215"/>
        <v>9298.5799999999981</v>
      </c>
      <c r="V204" s="162">
        <f t="shared" si="1215"/>
        <v>7688.7000000000007</v>
      </c>
      <c r="W204" s="162">
        <f t="shared" si="1215"/>
        <v>7470.0799999999945</v>
      </c>
      <c r="X204" s="162">
        <f t="shared" si="1215"/>
        <v>8600.3499999999985</v>
      </c>
      <c r="Y204" s="162">
        <f t="shared" si="1215"/>
        <v>10877.259999999995</v>
      </c>
      <c r="Z204" s="162">
        <f t="shared" si="1215"/>
        <v>12931.14</v>
      </c>
      <c r="AA204" s="162">
        <f t="shared" ref="AA204" si="1216">+AA120</f>
        <v>12119.05999999999</v>
      </c>
      <c r="AB204" s="21">
        <f t="shared" si="1215"/>
        <v>17890.61599666797</v>
      </c>
      <c r="AC204" s="21">
        <f t="shared" si="1215"/>
        <v>19399.567129363757</v>
      </c>
      <c r="AD204" s="21">
        <f t="shared" si="1215"/>
        <v>20584.783443481356</v>
      </c>
      <c r="AE204" s="21">
        <f t="shared" si="1215"/>
        <v>21910.441678926305</v>
      </c>
      <c r="AL204" s="162">
        <f t="shared" ref="AL204:BQ204" si="1217">+SUM(AI120:AL120)</f>
        <v>6450.4299999999967</v>
      </c>
      <c r="AM204" s="162">
        <f t="shared" si="1217"/>
        <v>6856.5099999999975</v>
      </c>
      <c r="AN204" s="162">
        <f t="shared" si="1217"/>
        <v>7053.9699999999984</v>
      </c>
      <c r="AO204" s="162">
        <f t="shared" si="1217"/>
        <v>6910.5599999999986</v>
      </c>
      <c r="AP204" s="162">
        <f t="shared" si="1217"/>
        <v>6899.4799999999968</v>
      </c>
      <c r="AQ204" s="162">
        <f t="shared" si="1217"/>
        <v>6651.9799999999977</v>
      </c>
      <c r="AR204" s="162">
        <f t="shared" si="1217"/>
        <v>6682.7199999999975</v>
      </c>
      <c r="AS204" s="162">
        <f t="shared" si="1217"/>
        <v>6235.4899999999971</v>
      </c>
      <c r="AT204" s="162">
        <f t="shared" si="1217"/>
        <v>5944.5800000000008</v>
      </c>
      <c r="AU204" s="162">
        <f t="shared" si="1217"/>
        <v>6089.7299999999987</v>
      </c>
      <c r="AV204" s="162">
        <f t="shared" si="1217"/>
        <v>6131.03</v>
      </c>
      <c r="AW204" s="162">
        <f t="shared" si="1217"/>
        <v>6132.8800000000019</v>
      </c>
      <c r="AX204" s="162">
        <f t="shared" si="1217"/>
        <v>5895.5099999999993</v>
      </c>
      <c r="AY204" s="162">
        <f t="shared" si="1217"/>
        <v>5858.38</v>
      </c>
      <c r="AZ204" s="162">
        <f t="shared" si="1217"/>
        <v>5634.3399999999992</v>
      </c>
      <c r="BA204" s="162">
        <f t="shared" si="1217"/>
        <v>5962.0099999999993</v>
      </c>
      <c r="BB204" s="162">
        <f t="shared" si="1217"/>
        <v>5890.0000000000018</v>
      </c>
      <c r="BC204" s="162">
        <f t="shared" si="1217"/>
        <v>5939.6500000000015</v>
      </c>
      <c r="BD204" s="162">
        <f t="shared" si="1217"/>
        <v>5958.420000000001</v>
      </c>
      <c r="BE204" s="162">
        <f t="shared" si="1217"/>
        <v>5782.97</v>
      </c>
      <c r="BF204" s="162">
        <f t="shared" si="1217"/>
        <v>5888.59</v>
      </c>
      <c r="BG204" s="162">
        <f t="shared" si="1217"/>
        <v>5859.380000000001</v>
      </c>
      <c r="BH204" s="162">
        <f t="shared" si="1217"/>
        <v>5989.0000000000027</v>
      </c>
      <c r="BI204" s="162">
        <f t="shared" si="1217"/>
        <v>6460.9000000000024</v>
      </c>
      <c r="BJ204" s="162">
        <f t="shared" si="1217"/>
        <v>6848.4100000000017</v>
      </c>
      <c r="BK204" s="162">
        <f t="shared" si="1217"/>
        <v>7294.5300000000007</v>
      </c>
      <c r="BL204" s="162">
        <f t="shared" si="1217"/>
        <v>7529.0199999999977</v>
      </c>
      <c r="BM204" s="162">
        <f t="shared" si="1217"/>
        <v>7628.6699999999973</v>
      </c>
      <c r="BN204" s="162">
        <f t="shared" si="1217"/>
        <v>7754.1299999999983</v>
      </c>
      <c r="BO204" s="162">
        <f t="shared" si="1217"/>
        <v>7601.8499999999985</v>
      </c>
      <c r="BP204" s="162">
        <f t="shared" si="1217"/>
        <v>7818.8099999999986</v>
      </c>
      <c r="BQ204" s="162">
        <f t="shared" si="1217"/>
        <v>7805.4699999999984</v>
      </c>
      <c r="BR204" s="162">
        <f t="shared" ref="BR204:CL204" si="1218">+SUM(BO120:BR120)</f>
        <v>7538.7199999999975</v>
      </c>
      <c r="BS204" s="162">
        <f t="shared" si="1218"/>
        <v>7775.9599999999982</v>
      </c>
      <c r="BT204" s="162">
        <f t="shared" si="1218"/>
        <v>7007.2999999999984</v>
      </c>
      <c r="BU204" s="162">
        <f t="shared" si="1218"/>
        <v>6851.0099999999984</v>
      </c>
      <c r="BV204" s="162">
        <f t="shared" si="1218"/>
        <v>7271.6999999999989</v>
      </c>
      <c r="BW204" s="162">
        <f t="shared" si="1218"/>
        <v>7048.489999999998</v>
      </c>
      <c r="BX204" s="162">
        <f t="shared" si="1218"/>
        <v>7585.630000000001</v>
      </c>
      <c r="BY204" s="162">
        <f t="shared" si="1218"/>
        <v>8394.8600000000024</v>
      </c>
      <c r="BZ204" s="162">
        <f t="shared" si="1218"/>
        <v>8630.3700000000008</v>
      </c>
      <c r="CA204" s="162">
        <f t="shared" si="1218"/>
        <v>9400.1900000000023</v>
      </c>
      <c r="CB204" s="162">
        <f t="shared" si="1218"/>
        <v>10303.070000000002</v>
      </c>
      <c r="CC204" s="162">
        <f t="shared" si="1218"/>
        <v>10365.420000000002</v>
      </c>
      <c r="CD204" s="162">
        <f t="shared" si="1218"/>
        <v>10877.260000000004</v>
      </c>
      <c r="CE204" s="162">
        <f t="shared" si="1218"/>
        <v>11246.460000000001</v>
      </c>
      <c r="CF204" s="162">
        <f t="shared" si="1218"/>
        <v>11745.539999999999</v>
      </c>
      <c r="CG204" s="162">
        <f t="shared" si="1218"/>
        <v>12217.429999999998</v>
      </c>
      <c r="CH204" s="162">
        <f t="shared" si="1218"/>
        <v>12953.819999999998</v>
      </c>
      <c r="CI204" s="162">
        <f t="shared" si="1218"/>
        <v>13420.050000000001</v>
      </c>
      <c r="CJ204" s="162">
        <f t="shared" si="1218"/>
        <v>13651.710000000003</v>
      </c>
      <c r="CK204" s="162">
        <f t="shared" si="1218"/>
        <v>14164.510000000002</v>
      </c>
      <c r="CL204" s="162">
        <f t="shared" si="1218"/>
        <v>14347.910000000002</v>
      </c>
      <c r="CM204" s="21">
        <f t="shared" ref="CM204" si="1219">+SUM(CJ120:CM120)</f>
        <v>14691.592034332545</v>
      </c>
      <c r="CN204" s="21">
        <f t="shared" ref="CN204" si="1220">+SUM(CK120:CN120)</f>
        <v>16107.752272953945</v>
      </c>
      <c r="CO204" s="21">
        <f t="shared" ref="CO204" si="1221">+SUM(CL120:CO120)</f>
        <v>16985.177065398944</v>
      </c>
      <c r="CP204" s="21">
        <f t="shared" ref="CP204" si="1222">+SUM(CM120:CP120)</f>
        <v>17890.615996667977</v>
      </c>
      <c r="CQ204" s="21">
        <f t="shared" ref="CQ204" si="1223">+SUM(CN120:CQ120)</f>
        <v>18798.115289179565</v>
      </c>
      <c r="CR204" s="21">
        <f t="shared" ref="CR204" si="1224">+SUM(CO120:CR120)</f>
        <v>18993.027727678131</v>
      </c>
      <c r="CS204" s="21">
        <f t="shared" ref="CS204" si="1225">+SUM(CP120:CS120)</f>
        <v>19134.423810711807</v>
      </c>
      <c r="CT204" s="21">
        <f t="shared" ref="CT204" si="1226">+SUM(CQ120:CT120)</f>
        <v>19399.567129363772</v>
      </c>
      <c r="CU204" s="21">
        <f t="shared" ref="CU204" si="1227">+SUM(CR120:CU120)</f>
        <v>19712.469361706502</v>
      </c>
      <c r="CV204" s="21">
        <f t="shared" ref="CV204" si="1228">+SUM(CS120:CV120)</f>
        <v>20008.48415406069</v>
      </c>
      <c r="CW204" s="21">
        <f t="shared" ref="CW204" si="1229">+SUM(CT120:CW120)</f>
        <v>20280.978943977912</v>
      </c>
      <c r="CX204" s="21">
        <f t="shared" ref="CX204" si="1230">+SUM(CU120:CX120)</f>
        <v>20584.783443481378</v>
      </c>
      <c r="CY204" s="21">
        <f t="shared" ref="CY204" si="1231">+SUM(CV120:CY120)</f>
        <v>20916.665339727922</v>
      </c>
      <c r="CZ204" s="21">
        <f t="shared" ref="CZ204" si="1232">+SUM(CW120:CZ120)</f>
        <v>21265.037530505022</v>
      </c>
      <c r="DA204" s="21">
        <f t="shared" ref="DA204" si="1233">+SUM(CX120:DA120)</f>
        <v>21577.341246222848</v>
      </c>
      <c r="DB204" s="21">
        <f t="shared" ref="DB204" si="1234">+SUM(CY120:DB120)</f>
        <v>21910.441678926294</v>
      </c>
      <c r="DE204" s="22"/>
      <c r="DF204" s="162">
        <v>14170.318331337636</v>
      </c>
    </row>
    <row r="205" spans="1:110" s="162" customFormat="1" hidden="1" outlineLevel="1" x14ac:dyDescent="0.2">
      <c r="A205" s="49" t="s">
        <v>343</v>
      </c>
      <c r="B205" s="162">
        <f>+B202/B204</f>
        <v>2.730353307830244</v>
      </c>
      <c r="C205" s="162">
        <f t="shared" ref="C205:W205" si="1235">+C202/C204</f>
        <v>2.6765799598288114</v>
      </c>
      <c r="D205" s="162">
        <f t="shared" si="1235"/>
        <v>2.2176335407718408</v>
      </c>
      <c r="E205" s="162" t="e">
        <f t="shared" ca="1" si="1235"/>
        <v>#DIV/0!</v>
      </c>
      <c r="F205" s="162" t="e">
        <f t="shared" ca="1" si="1235"/>
        <v>#DIV/0!</v>
      </c>
      <c r="G205" s="162" t="e">
        <f t="shared" ca="1" si="1235"/>
        <v>#DIV/0!</v>
      </c>
      <c r="H205" s="162" t="e">
        <f t="shared" ca="1" si="1235"/>
        <v>#DIV/0!</v>
      </c>
      <c r="I205" s="162" t="e">
        <f t="shared" ca="1" si="1235"/>
        <v>#DIV/0!</v>
      </c>
      <c r="J205" s="162" t="e">
        <f t="shared" ca="1" si="1235"/>
        <v>#DIV/0!</v>
      </c>
      <c r="K205" s="162" t="e">
        <f t="shared" ca="1" si="1235"/>
        <v>#DIV/0!</v>
      </c>
      <c r="L205" s="162" t="e">
        <f t="shared" ca="1" si="1235"/>
        <v>#DIV/0!</v>
      </c>
      <c r="M205" s="162" t="e">
        <f t="shared" ca="1" si="1235"/>
        <v>#DIV/0!</v>
      </c>
      <c r="N205" s="162" t="e">
        <f t="shared" ca="1" si="1235"/>
        <v>#DIV/0!</v>
      </c>
      <c r="O205" s="162" t="e">
        <f t="shared" ca="1" si="1235"/>
        <v>#DIV/0!</v>
      </c>
      <c r="P205" s="162" t="e">
        <f t="shared" ca="1" si="1235"/>
        <v>#DIV/0!</v>
      </c>
      <c r="Q205" s="162" t="e">
        <f t="shared" ca="1" si="1235"/>
        <v>#DIV/0!</v>
      </c>
      <c r="R205" s="162" t="e">
        <f t="shared" ca="1" si="1235"/>
        <v>#DIV/0!</v>
      </c>
      <c r="S205" s="162" t="e">
        <f t="shared" ca="1" si="1235"/>
        <v>#DIV/0!</v>
      </c>
      <c r="T205" s="162" t="e">
        <f t="shared" ca="1" si="1235"/>
        <v>#DIV/0!</v>
      </c>
      <c r="U205" s="162" t="e">
        <f t="shared" ca="1" si="1235"/>
        <v>#DIV/0!</v>
      </c>
      <c r="V205" s="162" t="e">
        <f t="shared" ca="1" si="1235"/>
        <v>#DIV/0!</v>
      </c>
      <c r="W205" s="162" t="e">
        <f t="shared" ca="1" si="1235"/>
        <v>#DIV/0!</v>
      </c>
      <c r="X205" s="162" t="e">
        <f t="shared" ref="X205:Y205" ca="1" si="1236">+X202/X204</f>
        <v>#DIV/0!</v>
      </c>
      <c r="Y205" s="162" t="e">
        <f t="shared" ca="1" si="1236"/>
        <v>#DIV/0!</v>
      </c>
      <c r="Z205" s="162" t="e">
        <f t="shared" ref="Z205:AA205" ca="1" si="1237">+Z202/Z204</f>
        <v>#DIV/0!</v>
      </c>
      <c r="AA205" s="162" t="e">
        <f t="shared" ca="1" si="1237"/>
        <v>#DIV/0!</v>
      </c>
      <c r="AB205" s="21" t="e">
        <f t="shared" ref="AA205:AD205" ca="1" si="1238">+AB202/AB204</f>
        <v>#DIV/0!</v>
      </c>
      <c r="AC205" s="21" t="e">
        <f t="shared" ca="1" si="1238"/>
        <v>#DIV/0!</v>
      </c>
      <c r="AD205" s="21" t="e">
        <f t="shared" ca="1" si="1238"/>
        <v>#DIV/0!</v>
      </c>
      <c r="AE205" s="21" t="e">
        <f t="shared" ref="AE205" ca="1" si="1239">+AE202/AE204</f>
        <v>#DIV/0!</v>
      </c>
      <c r="AL205" s="162">
        <f t="shared" ref="AL205" si="1240">+AL202/AL204</f>
        <v>10.677128137401578</v>
      </c>
      <c r="AM205" s="162">
        <f t="shared" ref="AM205:AO205" si="1241">+AM202/AM204</f>
        <v>9.5604251970188567</v>
      </c>
      <c r="AN205" s="162">
        <f t="shared" si="1241"/>
        <v>9.4568833059333972</v>
      </c>
      <c r="AO205" s="162">
        <f t="shared" si="1241"/>
        <v>9.532815383862685</v>
      </c>
      <c r="AP205" s="162">
        <f t="shared" ref="AP205:CD205" si="1242">+AP202/AP204</f>
        <v>9.1442435550929773</v>
      </c>
      <c r="AQ205" s="162">
        <f t="shared" si="1242"/>
        <v>10.770601982776222</v>
      </c>
      <c r="AR205" s="162">
        <f t="shared" si="1242"/>
        <v>10.835241638135374</v>
      </c>
      <c r="AS205" s="162">
        <f t="shared" si="1242"/>
        <v>10.69655452220896</v>
      </c>
      <c r="AT205" s="162">
        <f t="shared" si="1242"/>
        <v>11.088758835779817</v>
      </c>
      <c r="AU205" s="162">
        <f t="shared" si="1242"/>
        <v>10.196424375264995</v>
      </c>
      <c r="AV205" s="162">
        <f t="shared" si="1242"/>
        <v>9.6931657486588705</v>
      </c>
      <c r="AW205" s="162">
        <f t="shared" si="1242"/>
        <v>9.3784358866773925</v>
      </c>
      <c r="AX205" s="162">
        <f t="shared" si="1242"/>
        <v>9.9418964601875004</v>
      </c>
      <c r="AY205" s="162">
        <f t="shared" si="1242"/>
        <v>10.370190860646531</v>
      </c>
      <c r="AZ205" s="162">
        <f t="shared" si="1242"/>
        <v>11.745701537358414</v>
      </c>
      <c r="BA205" s="162">
        <f t="shared" si="1242"/>
        <v>11.184535392804866</v>
      </c>
      <c r="BB205" s="162">
        <f t="shared" si="1242"/>
        <v>11.6269246179966</v>
      </c>
      <c r="BC205" s="162">
        <f t="shared" si="1242"/>
        <v>11.464562916624248</v>
      </c>
      <c r="BD205" s="162">
        <f t="shared" si="1242"/>
        <v>11.075153815944494</v>
      </c>
      <c r="BE205" s="162">
        <f t="shared" si="1242"/>
        <v>11.82200184570573</v>
      </c>
      <c r="BF205" s="162">
        <f t="shared" si="1242"/>
        <v>12.240091431055649</v>
      </c>
      <c r="BG205" s="162">
        <f t="shared" si="1242"/>
        <v>11.34694788277519</v>
      </c>
      <c r="BH205" s="162">
        <f t="shared" si="1242"/>
        <v>11.526121556186338</v>
      </c>
      <c r="BI205" s="162">
        <f t="shared" si="1242"/>
        <v>11.045099011336953</v>
      </c>
      <c r="BJ205" s="162">
        <f t="shared" si="1242"/>
        <v>10.068600448863311</v>
      </c>
      <c r="BK205" s="162">
        <f t="shared" si="1242"/>
        <v>9.4023321326016625</v>
      </c>
      <c r="BL205" s="162">
        <f t="shared" si="1242"/>
        <v>8.8430868824893558</v>
      </c>
      <c r="BM205" s="162">
        <f t="shared" si="1242"/>
        <v>8.2096993656783752</v>
      </c>
      <c r="BN205" s="162">
        <f t="shared" si="1242"/>
        <v>7.9429266726247834</v>
      </c>
      <c r="BO205" s="162">
        <f t="shared" si="1242"/>
        <v>7.4484247573601365</v>
      </c>
      <c r="BP205" s="162">
        <f t="shared" si="1242"/>
        <v>6.9949317095568269</v>
      </c>
      <c r="BQ205" s="162">
        <f t="shared" si="1242"/>
        <v>7.5910651370326274</v>
      </c>
      <c r="BR205" s="162">
        <f t="shared" si="1242"/>
        <v>9.7541561432179495</v>
      </c>
      <c r="BS205" s="162">
        <f t="shared" si="1242"/>
        <v>10.127563406221457</v>
      </c>
      <c r="BT205" s="162">
        <f t="shared" si="1242"/>
        <v>13.156560158691654</v>
      </c>
      <c r="BU205" s="162">
        <f t="shared" si="1242"/>
        <v>18.506990451169116</v>
      </c>
      <c r="BV205" s="162">
        <f t="shared" si="1242"/>
        <v>16.906270335684919</v>
      </c>
      <c r="BW205" s="162">
        <f t="shared" si="1242"/>
        <v>19.210491070351562</v>
      </c>
      <c r="BX205" s="162">
        <f t="shared" si="1242"/>
        <v>16.016262327585181</v>
      </c>
      <c r="BY205" s="162">
        <f t="shared" si="1242"/>
        <v>13.736324719182981</v>
      </c>
      <c r="BZ205" s="162">
        <f t="shared" si="1242"/>
        <v>12.220507579628681</v>
      </c>
      <c r="CA205" s="162">
        <f t="shared" si="1242"/>
        <v>11.623537770677441</v>
      </c>
      <c r="CB205" s="162">
        <f t="shared" si="1242"/>
        <v>12.223829402304361</v>
      </c>
      <c r="CC205" s="162">
        <f t="shared" si="1242"/>
        <v>14.198958865047654</v>
      </c>
      <c r="CD205" s="162">
        <f t="shared" si="1242"/>
        <v>16.298534925155778</v>
      </c>
      <c r="CE205" s="162">
        <f t="shared" ref="CE205:CF205" si="1243">+CE202/CE204</f>
        <v>16.606274468699301</v>
      </c>
      <c r="CF205" s="162">
        <f t="shared" si="1243"/>
        <v>17.238034692317257</v>
      </c>
      <c r="CG205" s="162">
        <f t="shared" ref="CG205:CH205" si="1244">+CG202/CG204</f>
        <v>16.390232375491276</v>
      </c>
      <c r="CH205" s="162">
        <f t="shared" si="1244"/>
        <v>13.420202226061503</v>
      </c>
      <c r="CI205" s="162">
        <f t="shared" ref="CI205:CJ205" si="1245">+CI202/CI204</f>
        <v>13.056516713751499</v>
      </c>
      <c r="CJ205" s="162">
        <f t="shared" si="1245"/>
        <v>13.709746398070276</v>
      </c>
      <c r="CK205" s="162">
        <f t="shared" ref="CK205:DB205" si="1246">+CK202/CK204</f>
        <v>13.221952534709304</v>
      </c>
      <c r="CL205" s="162">
        <f t="shared" si="1246"/>
        <v>13.230231720159939</v>
      </c>
      <c r="CM205" s="21">
        <f t="shared" si="1246"/>
        <v>13.255877789431787</v>
      </c>
      <c r="CN205" s="21">
        <f t="shared" si="1246"/>
        <v>12.545317796834889</v>
      </c>
      <c r="CO205" s="21">
        <f t="shared" si="1246"/>
        <v>12.285450881757464</v>
      </c>
      <c r="CP205" s="21">
        <f t="shared" si="1246"/>
        <v>12.054239989366659</v>
      </c>
      <c r="CQ205" s="21">
        <f t="shared" si="1246"/>
        <v>11.776276918330851</v>
      </c>
      <c r="CR205" s="21">
        <f t="shared" si="1246"/>
        <v>11.996732638628496</v>
      </c>
      <c r="CS205" s="21">
        <f t="shared" si="1246"/>
        <v>12.11536807396975</v>
      </c>
      <c r="CT205" s="21">
        <f t="shared" si="1246"/>
        <v>12.250332345121461</v>
      </c>
      <c r="CU205" s="21">
        <f t="shared" si="1246"/>
        <v>12.313860476766907</v>
      </c>
      <c r="CV205" s="21">
        <f t="shared" si="1246"/>
        <v>12.411788052583951</v>
      </c>
      <c r="CW205" s="21">
        <f t="shared" si="1246"/>
        <v>12.373918777742393</v>
      </c>
      <c r="CX205" s="21">
        <f t="shared" si="1246"/>
        <v>12.43526624923264</v>
      </c>
      <c r="CY205" s="21">
        <f t="shared" si="1246"/>
        <v>12.513358436306786</v>
      </c>
      <c r="CZ205" s="21">
        <f t="shared" si="1246"/>
        <v>12.603330495320584</v>
      </c>
      <c r="DA205" s="21">
        <f t="shared" si="1246"/>
        <v>12.564317397543402</v>
      </c>
      <c r="DB205" s="21">
        <f t="shared" si="1246"/>
        <v>12.633121962922514</v>
      </c>
      <c r="DE205" s="22"/>
      <c r="DF205" s="162">
        <v>13.89609681587328</v>
      </c>
    </row>
    <row r="206" spans="1:110" s="162" customFormat="1" hidden="1" outlineLevel="1" x14ac:dyDescent="0.2">
      <c r="A206" s="49" t="s">
        <v>344</v>
      </c>
      <c r="B206" s="162">
        <f>+B203/B204</f>
        <v>2.3525956600939839</v>
      </c>
      <c r="C206" s="162">
        <f t="shared" ref="C206:W206" si="1247">+C203/C204</f>
        <v>2.5479736153291386</v>
      </c>
      <c r="D206" s="162">
        <f t="shared" si="1247"/>
        <v>2.1470025531328938</v>
      </c>
      <c r="E206" s="162" t="e">
        <f t="shared" ca="1" si="1247"/>
        <v>#DIV/0!</v>
      </c>
      <c r="F206" s="162" t="e">
        <f t="shared" ca="1" si="1247"/>
        <v>#DIV/0!</v>
      </c>
      <c r="G206" s="162" t="e">
        <f t="shared" ca="1" si="1247"/>
        <v>#DIV/0!</v>
      </c>
      <c r="H206" s="162" t="e">
        <f t="shared" ca="1" si="1247"/>
        <v>#DIV/0!</v>
      </c>
      <c r="I206" s="162" t="e">
        <f t="shared" ca="1" si="1247"/>
        <v>#DIV/0!</v>
      </c>
      <c r="J206" s="162" t="e">
        <f t="shared" ca="1" si="1247"/>
        <v>#DIV/0!</v>
      </c>
      <c r="K206" s="162" t="e">
        <f t="shared" ca="1" si="1247"/>
        <v>#DIV/0!</v>
      </c>
      <c r="L206" s="162" t="e">
        <f t="shared" ca="1" si="1247"/>
        <v>#DIV/0!</v>
      </c>
      <c r="M206" s="162" t="e">
        <f t="shared" ca="1" si="1247"/>
        <v>#DIV/0!</v>
      </c>
      <c r="N206" s="162" t="e">
        <f t="shared" ca="1" si="1247"/>
        <v>#DIV/0!</v>
      </c>
      <c r="O206" s="162" t="e">
        <f t="shared" ca="1" si="1247"/>
        <v>#DIV/0!</v>
      </c>
      <c r="P206" s="162" t="e">
        <f t="shared" ca="1" si="1247"/>
        <v>#DIV/0!</v>
      </c>
      <c r="Q206" s="162" t="e">
        <f t="shared" ca="1" si="1247"/>
        <v>#DIV/0!</v>
      </c>
      <c r="R206" s="162" t="e">
        <f t="shared" ca="1" si="1247"/>
        <v>#DIV/0!</v>
      </c>
      <c r="S206" s="162" t="e">
        <f t="shared" ca="1" si="1247"/>
        <v>#DIV/0!</v>
      </c>
      <c r="T206" s="162" t="e">
        <f t="shared" ca="1" si="1247"/>
        <v>#DIV/0!</v>
      </c>
      <c r="U206" s="162" t="e">
        <f t="shared" ca="1" si="1247"/>
        <v>#DIV/0!</v>
      </c>
      <c r="V206" s="162" t="e">
        <f t="shared" ca="1" si="1247"/>
        <v>#DIV/0!</v>
      </c>
      <c r="W206" s="162" t="e">
        <f t="shared" ca="1" si="1247"/>
        <v>#DIV/0!</v>
      </c>
      <c r="X206" s="162" t="e">
        <f t="shared" ref="X206:Y206" ca="1" si="1248">+X203/X204</f>
        <v>#DIV/0!</v>
      </c>
      <c r="Y206" s="162" t="e">
        <f t="shared" ca="1" si="1248"/>
        <v>#DIV/0!</v>
      </c>
      <c r="Z206" s="162" t="e">
        <f t="shared" ref="Z206:AA206" ca="1" si="1249">+Z203/Z204</f>
        <v>#DIV/0!</v>
      </c>
      <c r="AA206" s="162" t="e">
        <f t="shared" ca="1" si="1249"/>
        <v>#DIV/0!</v>
      </c>
      <c r="AB206" s="21" t="e">
        <f t="shared" ref="AA206:AD206" ca="1" si="1250">+AB203/AB204</f>
        <v>#DIV/0!</v>
      </c>
      <c r="AC206" s="21" t="e">
        <f t="shared" ca="1" si="1250"/>
        <v>#DIV/0!</v>
      </c>
      <c r="AD206" s="21" t="e">
        <f t="shared" ca="1" si="1250"/>
        <v>#DIV/0!</v>
      </c>
      <c r="AE206" s="21" t="e">
        <f t="shared" ref="AE206" ca="1" si="1251">+AE203/AE204</f>
        <v>#DIV/0!</v>
      </c>
      <c r="AL206" s="162">
        <f t="shared" ref="AL206:AM206" si="1252">+AL203/AL204</f>
        <v>9.7400955254964749</v>
      </c>
      <c r="AM206" s="162">
        <f t="shared" si="1252"/>
        <v>8.4764952126879525</v>
      </c>
      <c r="AN206" s="162">
        <f t="shared" ref="AN206:AO206" si="1253">+AN203/AN204</f>
        <v>8.2808869580032063</v>
      </c>
      <c r="AO206" s="162">
        <f t="shared" si="1253"/>
        <v>8.8255159249042485</v>
      </c>
      <c r="AP206" s="162">
        <f t="shared" ref="AP206:CD206" si="1254">+AP203/AP204</f>
        <v>8.2346751738304214</v>
      </c>
      <c r="AQ206" s="162">
        <f t="shared" si="1254"/>
        <v>8.8778326118520727</v>
      </c>
      <c r="AR206" s="162">
        <f t="shared" si="1254"/>
        <v>9.3958941867981949</v>
      </c>
      <c r="AS206" s="162">
        <f t="shared" si="1254"/>
        <v>9.7689552477333361</v>
      </c>
      <c r="AT206" s="162">
        <f t="shared" si="1254"/>
        <v>10.078136049981662</v>
      </c>
      <c r="AU206" s="162">
        <f t="shared" si="1254"/>
        <v>9.4748899229986385</v>
      </c>
      <c r="AV206" s="162">
        <f t="shared" si="1254"/>
        <v>8.5881846932733996</v>
      </c>
      <c r="AW206" s="162">
        <f t="shared" si="1254"/>
        <v>8.7818218978173466</v>
      </c>
      <c r="AX206" s="162">
        <f t="shared" si="1254"/>
        <v>9.0881840587158713</v>
      </c>
      <c r="AY206" s="162">
        <f t="shared" si="1254"/>
        <v>9.4237916854479256</v>
      </c>
      <c r="AZ206" s="162">
        <f t="shared" si="1254"/>
        <v>11.141670896680003</v>
      </c>
      <c r="BA206" s="162">
        <f t="shared" si="1254"/>
        <v>10.254586264910078</v>
      </c>
      <c r="BB206" s="162">
        <f t="shared" si="1254"/>
        <v>10.758849915110353</v>
      </c>
      <c r="BC206" s="162">
        <f t="shared" si="1254"/>
        <v>10.68175618558791</v>
      </c>
      <c r="BD206" s="162">
        <f t="shared" si="1254"/>
        <v>10.463752806952177</v>
      </c>
      <c r="BE206" s="162">
        <f t="shared" si="1254"/>
        <v>10.719588725803671</v>
      </c>
      <c r="BF206" s="162">
        <f t="shared" si="1254"/>
        <v>10.896966846053127</v>
      </c>
      <c r="BG206" s="162">
        <f t="shared" si="1254"/>
        <v>10.337991303751471</v>
      </c>
      <c r="BH206" s="162">
        <f t="shared" si="1254"/>
        <v>10.811126732342624</v>
      </c>
      <c r="BI206" s="162">
        <f t="shared" si="1254"/>
        <v>9.7467582229019047</v>
      </c>
      <c r="BJ206" s="162">
        <f t="shared" si="1254"/>
        <v>9.4246658713482372</v>
      </c>
      <c r="BK206" s="162">
        <f t="shared" si="1254"/>
        <v>8.701401435216086</v>
      </c>
      <c r="BL206" s="162">
        <f t="shared" si="1254"/>
        <v>7.8392917006463021</v>
      </c>
      <c r="BM206" s="162">
        <f t="shared" si="1254"/>
        <v>7.711216143832365</v>
      </c>
      <c r="BN206" s="162">
        <f t="shared" si="1254"/>
        <v>6.6736098053553414</v>
      </c>
      <c r="BO206" s="162">
        <f t="shared" si="1254"/>
        <v>6.5929690459214738</v>
      </c>
      <c r="BP206" s="162">
        <f t="shared" si="1254"/>
        <v>6.2020407197514711</v>
      </c>
      <c r="BQ206" s="162">
        <f t="shared" si="1254"/>
        <v>6.4713419172905748</v>
      </c>
      <c r="BR206" s="162">
        <f t="shared" si="1254"/>
        <v>8.039514665619631</v>
      </c>
      <c r="BS206" s="162">
        <f t="shared" si="1254"/>
        <v>8.3789332692351568</v>
      </c>
      <c r="BT206" s="162">
        <f t="shared" si="1254"/>
        <v>11.206994705521389</v>
      </c>
      <c r="BU206" s="162">
        <f t="shared" si="1254"/>
        <v>13.231529460745804</v>
      </c>
      <c r="BV206" s="162">
        <f t="shared" si="1254"/>
        <v>14.509032000770112</v>
      </c>
      <c r="BW206" s="162">
        <f t="shared" si="1254"/>
        <v>14.314055096121617</v>
      </c>
      <c r="BX206" s="162">
        <f t="shared" si="1254"/>
        <v>13.890954080280741</v>
      </c>
      <c r="BY206" s="162">
        <f t="shared" si="1254"/>
        <v>12.211775411630502</v>
      </c>
      <c r="BZ206" s="162">
        <f t="shared" si="1254"/>
        <v>10.998603999596771</v>
      </c>
      <c r="CA206" s="162">
        <f t="shared" si="1254"/>
        <v>10.46090680257999</v>
      </c>
      <c r="CB206" s="162">
        <f t="shared" si="1254"/>
        <v>10.376826712814722</v>
      </c>
      <c r="CC206" s="162">
        <f t="shared" si="1254"/>
        <v>10.618120461972817</v>
      </c>
      <c r="CD206" s="162">
        <f t="shared" si="1254"/>
        <v>12.966987825978229</v>
      </c>
      <c r="CE206" s="162">
        <f t="shared" ref="CE206:CF206" si="1255">+CE203/CE204</f>
        <v>14.131391172088632</v>
      </c>
      <c r="CF206" s="162">
        <f t="shared" si="1255"/>
        <v>14.657458064933586</v>
      </c>
      <c r="CG206" s="162">
        <f t="shared" ref="CG206:CH206" si="1256">+CG203/CG204</f>
        <v>13.622919773741152</v>
      </c>
      <c r="CH206" s="162">
        <f t="shared" si="1256"/>
        <v>11.529310272954234</v>
      </c>
      <c r="CI206" s="162">
        <f t="shared" ref="CI206:CJ206" si="1257">+CI203/CI204</f>
        <v>11.042010359453268</v>
      </c>
      <c r="CJ206" s="162">
        <f t="shared" si="1257"/>
        <v>12.584989279731255</v>
      </c>
      <c r="CK206" s="162">
        <f t="shared" ref="CK206:DB206" si="1258">+CK203/CK204</f>
        <v>12.241693987113939</v>
      </c>
      <c r="CL206" s="162">
        <f t="shared" si="1258"/>
        <v>11.536428371797703</v>
      </c>
      <c r="CM206" s="21">
        <f t="shared" si="1258"/>
        <v>9.4252733535530293</v>
      </c>
      <c r="CN206" s="21">
        <f t="shared" si="1258"/>
        <v>8.8961022678844657</v>
      </c>
      <c r="CO206" s="21">
        <f t="shared" si="1258"/>
        <v>8.7068500916912139</v>
      </c>
      <c r="CP206" s="21">
        <f t="shared" si="1258"/>
        <v>8.5419182863458456</v>
      </c>
      <c r="CQ206" s="21">
        <f t="shared" si="1258"/>
        <v>8.3265126965078977</v>
      </c>
      <c r="CR206" s="21">
        <f t="shared" si="1258"/>
        <v>8.461500166622173</v>
      </c>
      <c r="CS206" s="21">
        <f t="shared" si="1258"/>
        <v>8.515476282799364</v>
      </c>
      <c r="CT206" s="21">
        <f t="shared" si="1258"/>
        <v>8.5993373130833302</v>
      </c>
      <c r="CU206" s="21">
        <f t="shared" si="1258"/>
        <v>8.6078125963255729</v>
      </c>
      <c r="CV206" s="21">
        <f t="shared" si="1258"/>
        <v>8.6345156510888863</v>
      </c>
      <c r="CW206" s="21">
        <f t="shared" si="1258"/>
        <v>8.5501625189226811</v>
      </c>
      <c r="CX206" s="21">
        <f t="shared" si="1258"/>
        <v>8.5583314043683121</v>
      </c>
      <c r="CY206" s="21">
        <f t="shared" si="1258"/>
        <v>8.5742076390885877</v>
      </c>
      <c r="CZ206" s="21">
        <f t="shared" si="1258"/>
        <v>8.5920818878380079</v>
      </c>
      <c r="DA206" s="21">
        <f t="shared" si="1258"/>
        <v>8.5033211790141383</v>
      </c>
      <c r="DB206" s="21">
        <f t="shared" si="1258"/>
        <v>8.5133879683537952</v>
      </c>
      <c r="DE206" s="22"/>
      <c r="DF206" s="162">
        <v>12.181065619555344</v>
      </c>
    </row>
    <row r="207" spans="1:110" s="10" customFormat="1" collapsed="1" x14ac:dyDescent="0.2">
      <c r="A207" s="149" t="s">
        <v>490</v>
      </c>
      <c r="AB207" s="20"/>
      <c r="AC207" s="20"/>
      <c r="AD207" s="20"/>
      <c r="AE207" s="20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E207" s="126"/>
    </row>
    <row r="208" spans="1:110" x14ac:dyDescent="0.2">
      <c r="A208" s="152" t="s">
        <v>491</v>
      </c>
      <c r="AA208" s="2"/>
      <c r="CL208" s="2"/>
    </row>
    <row r="209" spans="1:110" s="23" customFormat="1" outlineLevel="1" x14ac:dyDescent="0.2">
      <c r="A209" s="23" t="s">
        <v>41</v>
      </c>
      <c r="B209" s="23">
        <f>'Annual Raw'!C41</f>
        <v>197.91345190000001</v>
      </c>
      <c r="C209" s="23">
        <f>'Annual Raw'!D41</f>
        <v>197.87</v>
      </c>
      <c r="D209" s="23">
        <f>'Annual Raw'!E41</f>
        <v>197.87</v>
      </c>
      <c r="E209" s="23">
        <f>'Annual Raw'!F41</f>
        <v>197.88</v>
      </c>
      <c r="F209" s="23">
        <f>'Annual Raw'!G41</f>
        <v>197.88</v>
      </c>
      <c r="G209" s="23">
        <f>'Annual Raw'!H41</f>
        <v>197.88</v>
      </c>
      <c r="H209" s="23">
        <f>'Annual Raw'!I41</f>
        <v>197.88</v>
      </c>
      <c r="I209" s="23">
        <f>'Annual Raw'!J41</f>
        <v>220.68</v>
      </c>
      <c r="J209" s="23">
        <f>'Annual Raw'!K41</f>
        <v>221.4</v>
      </c>
      <c r="K209" s="23">
        <f>'Annual Raw'!L41</f>
        <v>237.29</v>
      </c>
      <c r="L209" s="23">
        <f>'Annual Raw'!M41</f>
        <v>237.29</v>
      </c>
      <c r="M209" s="23">
        <f>'Annual Raw'!N41</f>
        <v>237.29</v>
      </c>
      <c r="N209" s="23">
        <f>'Annual Raw'!O41</f>
        <v>237.29</v>
      </c>
      <c r="O209" s="23">
        <f>'Annual Raw'!P41</f>
        <v>237.29</v>
      </c>
      <c r="P209" s="23">
        <f>'Annual Raw'!Q41</f>
        <v>270.48</v>
      </c>
      <c r="Q209" s="23">
        <f>'Annual Raw'!R41</f>
        <v>270.48</v>
      </c>
      <c r="R209" s="23">
        <f>'Annual Raw'!S41</f>
        <v>270.5</v>
      </c>
      <c r="S209" s="23">
        <f>'Annual Raw'!T41</f>
        <v>270.5</v>
      </c>
      <c r="T209" s="23">
        <f>'Annual Raw'!U41</f>
        <v>270.5</v>
      </c>
      <c r="U209" s="23">
        <f>'Annual Raw'!V41</f>
        <v>270.5</v>
      </c>
      <c r="V209" s="23">
        <f>'Annual Raw'!W41</f>
        <v>319.56</v>
      </c>
      <c r="W209" s="23">
        <f>'Annual Raw'!X41</f>
        <v>319.56</v>
      </c>
      <c r="X209" s="23">
        <f>'Annual Raw'!Y41</f>
        <v>319.56</v>
      </c>
      <c r="Y209" s="23">
        <f>'Annual Raw'!Z41</f>
        <v>319.56</v>
      </c>
      <c r="Z209" s="23">
        <f>'Annual Raw'!AA41</f>
        <v>319.56</v>
      </c>
      <c r="AA209" s="23">
        <f>'Annual Raw'!AB41</f>
        <v>319.56</v>
      </c>
      <c r="AB209" s="24">
        <f>+CP209</f>
        <v>319.56</v>
      </c>
      <c r="AC209" s="24">
        <f>+CT209</f>
        <v>319.56</v>
      </c>
      <c r="AD209" s="24">
        <f>+CX209</f>
        <v>319.56</v>
      </c>
      <c r="AE209" s="24">
        <f>+DB209</f>
        <v>319.56</v>
      </c>
      <c r="AJ209" s="23">
        <f>+'QTR Raw'!D56</f>
        <v>237.33</v>
      </c>
      <c r="AK209" s="23">
        <f t="shared" ref="AK209:CE209" si="1259">+AJ209</f>
        <v>237.33</v>
      </c>
      <c r="AL209" s="23">
        <f>+'QTR Raw'!F56</f>
        <v>237.29</v>
      </c>
      <c r="AM209" s="23">
        <f t="shared" si="1259"/>
        <v>237.29</v>
      </c>
      <c r="AN209" s="23">
        <f>+'QTR Raw'!H56</f>
        <v>237.29</v>
      </c>
      <c r="AO209" s="23">
        <f t="shared" si="1259"/>
        <v>237.29</v>
      </c>
      <c r="AP209" s="23">
        <f>+'QTR Raw'!J56</f>
        <v>237.29</v>
      </c>
      <c r="AQ209" s="23">
        <f t="shared" si="1259"/>
        <v>237.29</v>
      </c>
      <c r="AR209" s="23">
        <f>+'QTR Raw'!L56</f>
        <v>270.44</v>
      </c>
      <c r="AS209" s="23">
        <f t="shared" si="1259"/>
        <v>270.44</v>
      </c>
      <c r="AT209" s="23">
        <f>+'QTR Raw'!N56</f>
        <v>270.48</v>
      </c>
      <c r="AU209" s="23">
        <f t="shared" si="1259"/>
        <v>270.48</v>
      </c>
      <c r="AV209" s="23">
        <f>+'QTR Raw'!P56</f>
        <v>270.48</v>
      </c>
      <c r="AW209" s="23">
        <f t="shared" si="1259"/>
        <v>270.48</v>
      </c>
      <c r="AX209" s="23">
        <f>+'QTR Raw'!R56</f>
        <v>270.48</v>
      </c>
      <c r="AY209" s="23">
        <f t="shared" si="1259"/>
        <v>270.48</v>
      </c>
      <c r="AZ209" s="23">
        <f>+'QTR Raw'!T56</f>
        <v>270.48</v>
      </c>
      <c r="BA209" s="23">
        <f t="shared" si="1259"/>
        <v>270.48</v>
      </c>
      <c r="BB209" s="23">
        <f>+'QTR Raw'!V56</f>
        <v>270.5</v>
      </c>
      <c r="BC209" s="23">
        <f t="shared" si="1259"/>
        <v>270.5</v>
      </c>
      <c r="BD209" s="23">
        <f>+'QTR Raw'!X56</f>
        <v>270.5</v>
      </c>
      <c r="BE209" s="23">
        <f t="shared" si="1259"/>
        <v>270.5</v>
      </c>
      <c r="BF209" s="23">
        <f>+'QTR Raw'!Z56</f>
        <v>270.5</v>
      </c>
      <c r="BG209" s="23">
        <f t="shared" si="1259"/>
        <v>270.5</v>
      </c>
      <c r="BH209" s="23">
        <f>+'QTR Raw'!AB56</f>
        <v>270.5</v>
      </c>
      <c r="BI209" s="23">
        <f t="shared" si="1259"/>
        <v>270.5</v>
      </c>
      <c r="BJ209" s="23">
        <f>+'QTR Raw'!AD56</f>
        <v>270.5</v>
      </c>
      <c r="BK209" s="23">
        <f t="shared" si="1259"/>
        <v>270.5</v>
      </c>
      <c r="BL209" s="23">
        <f>+'QTR Raw'!AF56</f>
        <v>270.5</v>
      </c>
      <c r="BM209" s="23">
        <f t="shared" si="1259"/>
        <v>270.5</v>
      </c>
      <c r="BN209" s="23">
        <f>+'QTR Raw'!AH56</f>
        <v>270.5</v>
      </c>
      <c r="BO209" s="23">
        <f t="shared" si="1259"/>
        <v>270.5</v>
      </c>
      <c r="BP209" s="23">
        <f>+'QTR Raw'!AJ56</f>
        <v>319.56</v>
      </c>
      <c r="BQ209" s="23">
        <f t="shared" si="1259"/>
        <v>319.56</v>
      </c>
      <c r="BR209" s="23">
        <f>+'QTR Raw'!AL56</f>
        <v>319.56</v>
      </c>
      <c r="BS209" s="23">
        <f t="shared" si="1259"/>
        <v>319.56</v>
      </c>
      <c r="BT209" s="23">
        <f>+'QTR Raw'!AN56</f>
        <v>319.56</v>
      </c>
      <c r="BU209" s="23">
        <f t="shared" si="1259"/>
        <v>319.56</v>
      </c>
      <c r="BV209" s="23">
        <f>+'QTR Raw'!AP56</f>
        <v>319.56</v>
      </c>
      <c r="BW209" s="23">
        <f t="shared" si="1259"/>
        <v>319.56</v>
      </c>
      <c r="BX209" s="23">
        <f>+'QTR Raw'!AR56</f>
        <v>319.56</v>
      </c>
      <c r="BY209" s="23">
        <f t="shared" si="1259"/>
        <v>319.56</v>
      </c>
      <c r="BZ209" s="23">
        <f>+'QTR Raw'!AT56</f>
        <v>319.56</v>
      </c>
      <c r="CA209" s="23">
        <f t="shared" si="1259"/>
        <v>319.56</v>
      </c>
      <c r="CB209" s="23">
        <f>+'QTR Raw'!AV56</f>
        <v>319.56</v>
      </c>
      <c r="CC209" s="23">
        <f t="shared" si="1259"/>
        <v>319.56</v>
      </c>
      <c r="CD209" s="23">
        <f>+'QTR Raw'!AX56</f>
        <v>319.56</v>
      </c>
      <c r="CE209" s="23">
        <f t="shared" si="1259"/>
        <v>319.56</v>
      </c>
      <c r="CF209" s="23">
        <f>+'QTR Raw'!AZ56</f>
        <v>319.56</v>
      </c>
      <c r="CG209" s="23">
        <f t="shared" ref="CG209:CG210" si="1260">+CF209</f>
        <v>319.56</v>
      </c>
      <c r="CH209" s="23">
        <f>Z209</f>
        <v>319.56</v>
      </c>
      <c r="CI209" s="23">
        <f>CH209</f>
        <v>319.56</v>
      </c>
      <c r="CJ209" s="23">
        <f>+'QTR Raw'!BD56</f>
        <v>319.56</v>
      </c>
      <c r="CK209" s="23">
        <f t="shared" ref="CK209:DB209" si="1261">CJ209</f>
        <v>319.56</v>
      </c>
      <c r="CL209" s="23">
        <f>+'QTR Raw'!BF56</f>
        <v>319.56</v>
      </c>
      <c r="CM209" s="24">
        <f t="shared" si="1261"/>
        <v>319.56</v>
      </c>
      <c r="CN209" s="24">
        <f t="shared" si="1261"/>
        <v>319.56</v>
      </c>
      <c r="CO209" s="24">
        <f t="shared" si="1261"/>
        <v>319.56</v>
      </c>
      <c r="CP209" s="24">
        <f t="shared" si="1261"/>
        <v>319.56</v>
      </c>
      <c r="CQ209" s="24">
        <f t="shared" si="1261"/>
        <v>319.56</v>
      </c>
      <c r="CR209" s="24">
        <f t="shared" si="1261"/>
        <v>319.56</v>
      </c>
      <c r="CS209" s="24">
        <f t="shared" si="1261"/>
        <v>319.56</v>
      </c>
      <c r="CT209" s="24">
        <f t="shared" si="1261"/>
        <v>319.56</v>
      </c>
      <c r="CU209" s="24">
        <f t="shared" si="1261"/>
        <v>319.56</v>
      </c>
      <c r="CV209" s="24">
        <f t="shared" si="1261"/>
        <v>319.56</v>
      </c>
      <c r="CW209" s="24">
        <f t="shared" si="1261"/>
        <v>319.56</v>
      </c>
      <c r="CX209" s="24">
        <f t="shared" si="1261"/>
        <v>319.56</v>
      </c>
      <c r="CY209" s="24">
        <f t="shared" si="1261"/>
        <v>319.56</v>
      </c>
      <c r="CZ209" s="24">
        <f t="shared" si="1261"/>
        <v>319.56</v>
      </c>
      <c r="DA209" s="24">
        <f t="shared" si="1261"/>
        <v>319.56</v>
      </c>
      <c r="DB209" s="24">
        <f t="shared" si="1261"/>
        <v>319.56</v>
      </c>
      <c r="DE209" s="123"/>
      <c r="DF209" s="23">
        <v>319.56</v>
      </c>
    </row>
    <row r="210" spans="1:110" s="23" customFormat="1" outlineLevel="1" x14ac:dyDescent="0.2">
      <c r="A210" s="23" t="s">
        <v>42</v>
      </c>
      <c r="B210" s="23">
        <f>'Annual Raw'!C42</f>
        <v>0</v>
      </c>
      <c r="C210" s="23">
        <f>'Annual Raw'!D42</f>
        <v>0</v>
      </c>
      <c r="D210" s="23">
        <f>'Annual Raw'!E42</f>
        <v>0</v>
      </c>
      <c r="E210" s="23">
        <f>'Annual Raw'!F42</f>
        <v>0</v>
      </c>
      <c r="F210" s="23">
        <f>'Annual Raw'!G42</f>
        <v>0</v>
      </c>
      <c r="G210" s="23">
        <f>'Annual Raw'!H42</f>
        <v>0</v>
      </c>
      <c r="H210" s="23">
        <f>'Annual Raw'!I42</f>
        <v>0</v>
      </c>
      <c r="I210" s="23">
        <f>'Annual Raw'!J42</f>
        <v>60.99</v>
      </c>
      <c r="J210" s="23">
        <f>'Annual Raw'!K42</f>
        <v>0</v>
      </c>
      <c r="K210" s="23">
        <f>'Annual Raw'!L42</f>
        <v>0</v>
      </c>
      <c r="L210" s="23">
        <f>'Annual Raw'!M42</f>
        <v>0</v>
      </c>
      <c r="M210" s="23">
        <f>'Annual Raw'!N42</f>
        <v>0</v>
      </c>
      <c r="N210" s="23">
        <f>'Annual Raw'!O42</f>
        <v>0</v>
      </c>
      <c r="O210" s="23">
        <f>'Annual Raw'!P42</f>
        <v>0</v>
      </c>
      <c r="P210" s="23">
        <f>'Annual Raw'!Q42</f>
        <v>0</v>
      </c>
      <c r="Q210" s="23">
        <f>'Annual Raw'!R42</f>
        <v>0</v>
      </c>
      <c r="R210" s="23">
        <f>'Annual Raw'!S42</f>
        <v>0</v>
      </c>
      <c r="S210" s="23">
        <f>'Annual Raw'!T42</f>
        <v>0</v>
      </c>
      <c r="T210" s="23">
        <f>'Annual Raw'!U42</f>
        <v>0</v>
      </c>
      <c r="U210" s="23">
        <f>'Annual Raw'!V42</f>
        <v>0</v>
      </c>
      <c r="V210" s="23">
        <f>'Annual Raw'!W42</f>
        <v>0</v>
      </c>
      <c r="W210" s="23">
        <f>'Annual Raw'!X42</f>
        <v>0</v>
      </c>
      <c r="X210" s="23">
        <f>'Annual Raw'!Y42</f>
        <v>0</v>
      </c>
      <c r="Y210" s="23">
        <f>'Annual Raw'!Z42</f>
        <v>8.3000000000000007</v>
      </c>
      <c r="Z210" s="23">
        <f>'Annual Raw'!AA42</f>
        <v>35.200000000000003</v>
      </c>
      <c r="AA210" s="23">
        <f>'Annual Raw'!AB42</f>
        <v>80.84</v>
      </c>
      <c r="AB210" s="24">
        <f t="shared" ref="AB210:AB211" si="1262">+CP210</f>
        <v>0</v>
      </c>
      <c r="AC210" s="24">
        <f t="shared" ref="AC210:AC211" si="1263">+CT210</f>
        <v>0</v>
      </c>
      <c r="AD210" s="24">
        <f t="shared" ref="AD210:AD211" si="1264">+CX210</f>
        <v>0</v>
      </c>
      <c r="AE210" s="24">
        <f t="shared" ref="AE210:AE211" si="1265">+DB210</f>
        <v>0</v>
      </c>
      <c r="AJ210" s="23">
        <f>+'QTR Raw'!D57</f>
        <v>0</v>
      </c>
      <c r="AK210" s="23">
        <f t="shared" ref="AK210:CE210" si="1266">+AJ210</f>
        <v>0</v>
      </c>
      <c r="AL210" s="23">
        <f>+'QTR Raw'!F57</f>
        <v>0</v>
      </c>
      <c r="AM210" s="23">
        <f t="shared" si="1266"/>
        <v>0</v>
      </c>
      <c r="AN210" s="23">
        <f>+'QTR Raw'!H57</f>
        <v>0</v>
      </c>
      <c r="AO210" s="23">
        <f t="shared" si="1266"/>
        <v>0</v>
      </c>
      <c r="AP210" s="23">
        <f>+'QTR Raw'!J57</f>
        <v>0</v>
      </c>
      <c r="AQ210" s="23">
        <f t="shared" si="1266"/>
        <v>0</v>
      </c>
      <c r="AR210" s="23">
        <f>+'QTR Raw'!L57</f>
        <v>0</v>
      </c>
      <c r="AS210" s="23">
        <f t="shared" si="1266"/>
        <v>0</v>
      </c>
      <c r="AT210" s="23">
        <f>+'QTR Raw'!N57</f>
        <v>0</v>
      </c>
      <c r="AU210" s="23">
        <f t="shared" si="1266"/>
        <v>0</v>
      </c>
      <c r="AV210" s="23">
        <f>+'QTR Raw'!P57</f>
        <v>0</v>
      </c>
      <c r="AW210" s="23">
        <f t="shared" si="1266"/>
        <v>0</v>
      </c>
      <c r="AX210" s="23">
        <f>+'QTR Raw'!R57</f>
        <v>0</v>
      </c>
      <c r="AY210" s="23">
        <f t="shared" si="1266"/>
        <v>0</v>
      </c>
      <c r="AZ210" s="23">
        <f>+'QTR Raw'!T57</f>
        <v>0.86</v>
      </c>
      <c r="BA210" s="23">
        <f t="shared" si="1266"/>
        <v>0.86</v>
      </c>
      <c r="BB210" s="23">
        <f>+'QTR Raw'!V57</f>
        <v>0</v>
      </c>
      <c r="BC210" s="23">
        <f t="shared" si="1266"/>
        <v>0</v>
      </c>
      <c r="BD210" s="23">
        <f>+'QTR Raw'!X57</f>
        <v>0</v>
      </c>
      <c r="BE210" s="23">
        <f t="shared" si="1266"/>
        <v>0</v>
      </c>
      <c r="BF210" s="23">
        <f>+'QTR Raw'!Z57</f>
        <v>0</v>
      </c>
      <c r="BG210" s="23">
        <f t="shared" si="1266"/>
        <v>0</v>
      </c>
      <c r="BH210" s="23">
        <f>+'QTR Raw'!AB57</f>
        <v>0</v>
      </c>
      <c r="BI210" s="23">
        <f t="shared" si="1266"/>
        <v>0</v>
      </c>
      <c r="BJ210" s="23">
        <f>+'QTR Raw'!AD57</f>
        <v>0</v>
      </c>
      <c r="BK210" s="23">
        <f t="shared" si="1266"/>
        <v>0</v>
      </c>
      <c r="BL210" s="23">
        <f>+'QTR Raw'!AF57</f>
        <v>0</v>
      </c>
      <c r="BM210" s="23">
        <f t="shared" si="1266"/>
        <v>0</v>
      </c>
      <c r="BN210" s="23">
        <f>+'QTR Raw'!AH57</f>
        <v>0</v>
      </c>
      <c r="BO210" s="23">
        <f t="shared" si="1266"/>
        <v>0</v>
      </c>
      <c r="BP210" s="23">
        <f>+'QTR Raw'!AJ57</f>
        <v>0</v>
      </c>
      <c r="BQ210" s="23">
        <f t="shared" si="1266"/>
        <v>0</v>
      </c>
      <c r="BR210" s="23">
        <f>+'QTR Raw'!AL57</f>
        <v>0</v>
      </c>
      <c r="BS210" s="23">
        <f t="shared" si="1266"/>
        <v>0</v>
      </c>
      <c r="BT210" s="23">
        <f>+'QTR Raw'!AN57</f>
        <v>0</v>
      </c>
      <c r="BU210" s="23">
        <f t="shared" si="1266"/>
        <v>0</v>
      </c>
      <c r="BV210" s="23">
        <f>+'QTR Raw'!AP57</f>
        <v>0</v>
      </c>
      <c r="BW210" s="23">
        <f t="shared" si="1266"/>
        <v>0</v>
      </c>
      <c r="BX210" s="23">
        <f>+'QTR Raw'!AR57</f>
        <v>0</v>
      </c>
      <c r="BY210" s="23">
        <f t="shared" si="1266"/>
        <v>0</v>
      </c>
      <c r="BZ210" s="23">
        <f>+'QTR Raw'!AT57</f>
        <v>0</v>
      </c>
      <c r="CA210" s="23">
        <f t="shared" si="1266"/>
        <v>0</v>
      </c>
      <c r="CB210" s="23">
        <f>+'QTR Raw'!AV57</f>
        <v>0</v>
      </c>
      <c r="CC210" s="23">
        <f t="shared" si="1266"/>
        <v>0</v>
      </c>
      <c r="CD210" s="23">
        <f>+'QTR Raw'!AX57</f>
        <v>0</v>
      </c>
      <c r="CE210" s="23">
        <f t="shared" si="1266"/>
        <v>0</v>
      </c>
      <c r="CF210" s="23">
        <f>+'QTR Raw'!AZ57</f>
        <v>0</v>
      </c>
      <c r="CG210" s="23">
        <f t="shared" si="1260"/>
        <v>0</v>
      </c>
      <c r="CH210" s="23">
        <f t="shared" ref="CH210:CH211" si="1267">Z210</f>
        <v>35.200000000000003</v>
      </c>
      <c r="CI210" s="23">
        <f>CH210</f>
        <v>35.200000000000003</v>
      </c>
      <c r="CJ210" s="23">
        <f>+'QTR Raw'!BD57</f>
        <v>0</v>
      </c>
      <c r="CK210" s="23">
        <f t="shared" ref="CK210:DB210" si="1268">CJ210</f>
        <v>0</v>
      </c>
      <c r="CL210" s="23">
        <f>+'QTR Raw'!BF57</f>
        <v>0</v>
      </c>
      <c r="CM210" s="24">
        <f t="shared" si="1268"/>
        <v>0</v>
      </c>
      <c r="CN210" s="24">
        <f t="shared" si="1268"/>
        <v>0</v>
      </c>
      <c r="CO210" s="24">
        <f t="shared" si="1268"/>
        <v>0</v>
      </c>
      <c r="CP210" s="24">
        <f t="shared" si="1268"/>
        <v>0</v>
      </c>
      <c r="CQ210" s="24">
        <f t="shared" si="1268"/>
        <v>0</v>
      </c>
      <c r="CR210" s="24">
        <f t="shared" si="1268"/>
        <v>0</v>
      </c>
      <c r="CS210" s="24">
        <f t="shared" si="1268"/>
        <v>0</v>
      </c>
      <c r="CT210" s="24">
        <f t="shared" si="1268"/>
        <v>0</v>
      </c>
      <c r="CU210" s="24">
        <f t="shared" si="1268"/>
        <v>0</v>
      </c>
      <c r="CV210" s="24">
        <f t="shared" si="1268"/>
        <v>0</v>
      </c>
      <c r="CW210" s="24">
        <f t="shared" si="1268"/>
        <v>0</v>
      </c>
      <c r="CX210" s="24">
        <f t="shared" si="1268"/>
        <v>0</v>
      </c>
      <c r="CY210" s="24">
        <f t="shared" si="1268"/>
        <v>0</v>
      </c>
      <c r="CZ210" s="24">
        <f t="shared" si="1268"/>
        <v>0</v>
      </c>
      <c r="DA210" s="24">
        <f t="shared" si="1268"/>
        <v>0</v>
      </c>
      <c r="DB210" s="24">
        <f t="shared" si="1268"/>
        <v>0</v>
      </c>
      <c r="DE210" s="123"/>
      <c r="DF210" s="23">
        <v>0</v>
      </c>
    </row>
    <row r="211" spans="1:110" s="23" customFormat="1" outlineLevel="1" x14ac:dyDescent="0.2">
      <c r="A211" s="23" t="s">
        <v>43</v>
      </c>
      <c r="B211" s="23">
        <f>'Annual Raw'!C43</f>
        <v>3670.1512628999999</v>
      </c>
      <c r="C211" s="23">
        <f>'Annual Raw'!D43</f>
        <v>4027.96</v>
      </c>
      <c r="D211" s="23">
        <f>'Annual Raw'!E43</f>
        <v>4270.37</v>
      </c>
      <c r="E211" s="23">
        <f>'Annual Raw'!F43</f>
        <v>4592.28</v>
      </c>
      <c r="F211" s="23">
        <f>'Annual Raw'!G43</f>
        <v>4723.34</v>
      </c>
      <c r="G211" s="23">
        <f>'Annual Raw'!H43</f>
        <v>5284.03</v>
      </c>
      <c r="H211" s="23">
        <f>'Annual Raw'!I43</f>
        <v>5825.76</v>
      </c>
      <c r="I211" s="23">
        <f>'Annual Raw'!J43</f>
        <v>8063.15</v>
      </c>
      <c r="J211" s="23">
        <f>'Annual Raw'!K43</f>
        <v>9141.48</v>
      </c>
      <c r="K211" s="23">
        <f>'Annual Raw'!L43</f>
        <v>12070.61</v>
      </c>
      <c r="L211" s="23">
        <f>'Annual Raw'!M43</f>
        <v>13789.48</v>
      </c>
      <c r="M211" s="23">
        <f>'Annual Raw'!N43</f>
        <v>12437.09</v>
      </c>
      <c r="N211" s="23">
        <f>'Annual Raw'!O43</f>
        <v>12098.5</v>
      </c>
      <c r="O211" s="23">
        <f>'Annual Raw'!P43</f>
        <v>12163.78</v>
      </c>
      <c r="P211" s="23">
        <f>'Annual Raw'!Q43</f>
        <v>14048.41</v>
      </c>
      <c r="Q211" s="23">
        <f>'Annual Raw'!R43</f>
        <v>11362.9</v>
      </c>
      <c r="R211" s="23">
        <f>'Annual Raw'!S43</f>
        <v>12944.05</v>
      </c>
      <c r="S211" s="23">
        <f>'Annual Raw'!T43</f>
        <v>14629.38</v>
      </c>
      <c r="T211" s="23">
        <f>'Annual Raw'!U43</f>
        <v>16535.009999999998</v>
      </c>
      <c r="U211" s="23">
        <f>'Annual Raw'!V43</f>
        <v>17795.52</v>
      </c>
      <c r="V211" s="23">
        <f>'Annual Raw'!W43</f>
        <v>20502.7</v>
      </c>
      <c r="W211" s="23">
        <f>'Annual Raw'!X43</f>
        <v>22122</v>
      </c>
      <c r="X211" s="23">
        <f>'Annual Raw'!Y43</f>
        <v>28467.87</v>
      </c>
      <c r="Y211" s="23">
        <f>'Annual Raw'!Z43</f>
        <v>32027.43</v>
      </c>
      <c r="Z211" s="23">
        <f>'Annual Raw'!AA43</f>
        <v>35485.910000000003</v>
      </c>
      <c r="AA211" s="23">
        <f>'Annual Raw'!AB43</f>
        <v>39066.81</v>
      </c>
      <c r="AB211" s="24">
        <f t="shared" si="1262"/>
        <v>44961.580671901036</v>
      </c>
      <c r="AC211" s="24">
        <f t="shared" si="1263"/>
        <v>50719.310949911473</v>
      </c>
      <c r="AD211" s="24">
        <f t="shared" si="1264"/>
        <v>57189.011777861662</v>
      </c>
      <c r="AE211" s="24">
        <f t="shared" si="1265"/>
        <v>64726.064046603948</v>
      </c>
      <c r="AJ211" s="23">
        <f>+'QTR Raw'!D58</f>
        <v>12164.02</v>
      </c>
      <c r="AK211" s="23">
        <f>+AJ211+AK140</f>
        <v>11835.1</v>
      </c>
      <c r="AL211" s="23">
        <f>+'QTR Raw'!F58</f>
        <v>12098.5</v>
      </c>
      <c r="AM211" s="23">
        <f>+AL211+AM140</f>
        <v>11983.800000000001</v>
      </c>
      <c r="AN211" s="23">
        <f>+'QTR Raw'!H58</f>
        <v>12811.78</v>
      </c>
      <c r="AO211" s="23">
        <f>+AN211+AO140</f>
        <v>12736.869999999999</v>
      </c>
      <c r="AP211" s="23">
        <f>+'QTR Raw'!J58</f>
        <v>12163.78</v>
      </c>
      <c r="AQ211" s="23">
        <f>+AP211+AQ140</f>
        <v>12052.480000000001</v>
      </c>
      <c r="AR211" s="23">
        <f>+'QTR Raw'!L58</f>
        <v>12375.68</v>
      </c>
      <c r="AS211" s="23">
        <f>+AR211+AS140</f>
        <v>12573.419999999998</v>
      </c>
      <c r="AT211" s="23">
        <f>+'QTR Raw'!N58</f>
        <v>14048.41</v>
      </c>
      <c r="AU211" s="23">
        <f>+AT211+AU140</f>
        <v>14351.55</v>
      </c>
      <c r="AV211" s="23">
        <f>+'QTR Raw'!P58</f>
        <v>14675.4</v>
      </c>
      <c r="AW211" s="23">
        <f>+AV211+AW140</f>
        <v>15108.650000000001</v>
      </c>
      <c r="AX211" s="23">
        <f>+'QTR Raw'!R58</f>
        <v>12862.9</v>
      </c>
      <c r="AY211" s="23">
        <f>+AX211+AY140</f>
        <v>12935.39</v>
      </c>
      <c r="AZ211" s="23">
        <f>+'QTR Raw'!T58</f>
        <v>16179.96</v>
      </c>
      <c r="BA211" s="23">
        <f>+AZ211+BA140</f>
        <v>16799.189999999999</v>
      </c>
      <c r="BB211" s="23">
        <f>+'QTR Raw'!V58</f>
        <v>14444.05</v>
      </c>
      <c r="BC211" s="23">
        <f>+BB211+BC140</f>
        <v>14792.82</v>
      </c>
      <c r="BD211" s="23">
        <f>+'QTR Raw'!X58</f>
        <v>14180.93</v>
      </c>
      <c r="BE211" s="23">
        <f>+BD211+BE140</f>
        <v>14771.740000000002</v>
      </c>
      <c r="BF211" s="23">
        <f>+'QTR Raw'!Z58</f>
        <v>16129.38</v>
      </c>
      <c r="BG211" s="23">
        <f>+BF211+BG140</f>
        <v>17800.29</v>
      </c>
      <c r="BH211" s="23">
        <f>+'QTR Raw'!AB58</f>
        <v>18255.57</v>
      </c>
      <c r="BI211" s="23">
        <f>+BH211+BI140</f>
        <v>18397.43</v>
      </c>
      <c r="BJ211" s="23">
        <f>+'QTR Raw'!AD58</f>
        <v>18035.009999999998</v>
      </c>
      <c r="BK211" s="23">
        <f>+BJ211+BK140</f>
        <v>18198.559999999998</v>
      </c>
      <c r="BL211" s="23">
        <f>+'QTR Raw'!AF58</f>
        <v>18018.55</v>
      </c>
      <c r="BM211" s="23">
        <f>+BL211+BM140</f>
        <v>18211.87</v>
      </c>
      <c r="BN211" s="23">
        <f>+'QTR Raw'!AH58</f>
        <v>19295.52</v>
      </c>
      <c r="BO211" s="23">
        <f>+BN211+BO140</f>
        <v>19502.14</v>
      </c>
      <c r="BP211" s="23">
        <f>+'QTR Raw'!AJ58</f>
        <v>21442.36</v>
      </c>
      <c r="BQ211" s="23">
        <f>+BP211+BQ140</f>
        <v>21690.57</v>
      </c>
      <c r="BR211" s="23">
        <f>+'QTR Raw'!AL58</f>
        <v>22002.7</v>
      </c>
      <c r="BS211" s="23">
        <f>+BR211+BS140</f>
        <v>22393.73</v>
      </c>
      <c r="BT211" s="23">
        <f>+'QTR Raw'!AN58</f>
        <v>20957.64</v>
      </c>
      <c r="BU211" s="23">
        <f>+BT211+BU140</f>
        <v>21383.449999999997</v>
      </c>
      <c r="BV211" s="23">
        <f>+'QTR Raw'!AP58</f>
        <v>22122</v>
      </c>
      <c r="BW211" s="23">
        <f>+BV211+BW140</f>
        <v>22916.6</v>
      </c>
      <c r="BX211" s="23">
        <f>+'QTR Raw'!AR58</f>
        <v>25362.65</v>
      </c>
      <c r="BY211" s="23">
        <f>+BX211+BY140</f>
        <v>26307.670000000002</v>
      </c>
      <c r="BZ211" s="23">
        <f>+'QTR Raw'!AT58</f>
        <v>28467.87</v>
      </c>
      <c r="CA211" s="23">
        <f>+BZ211+CA140</f>
        <v>29440.36</v>
      </c>
      <c r="CB211" s="23">
        <f>+'QTR Raw'!AV58</f>
        <v>29816.75</v>
      </c>
      <c r="CC211" s="23">
        <f>+CB211+CC140</f>
        <v>30769.760000000002</v>
      </c>
      <c r="CD211" s="23">
        <f>+'QTR Raw'!AX58</f>
        <v>32035.73</v>
      </c>
      <c r="CE211" s="23">
        <f>+CD211+CE140</f>
        <v>33006.769999999997</v>
      </c>
      <c r="CF211" s="23">
        <f>+'QTR Raw'!AZ58</f>
        <v>33359.54</v>
      </c>
      <c r="CG211" s="23">
        <f>+CF211+CG140</f>
        <v>34390.240000000005</v>
      </c>
      <c r="CH211" s="23">
        <f t="shared" si="1267"/>
        <v>35485.910000000003</v>
      </c>
      <c r="CI211" s="23">
        <f>CH211+CI140</f>
        <v>36546.58</v>
      </c>
      <c r="CJ211" s="23">
        <f>+'QTR Raw'!BD58</f>
        <v>37369.97</v>
      </c>
      <c r="CK211" s="23">
        <f t="shared" ref="CK211:DB211" si="1269">CJ211+CK140</f>
        <v>38141.950000000004</v>
      </c>
      <c r="CL211" s="23">
        <f>+'QTR Raw'!BF58</f>
        <v>39147.65</v>
      </c>
      <c r="CM211" s="24">
        <f t="shared" si="1269"/>
        <v>40234.4631274762</v>
      </c>
      <c r="CN211" s="24">
        <f t="shared" si="1269"/>
        <v>42038.126655217508</v>
      </c>
      <c r="CO211" s="24">
        <f t="shared" si="1269"/>
        <v>43481.145854967974</v>
      </c>
      <c r="CP211" s="24">
        <f t="shared" si="1269"/>
        <v>44961.580671901036</v>
      </c>
      <c r="CQ211" s="24">
        <f t="shared" si="1269"/>
        <v>46411.055334109093</v>
      </c>
      <c r="CR211" s="24">
        <f t="shared" si="1269"/>
        <v>48065.352179329464</v>
      </c>
      <c r="CS211" s="24">
        <f t="shared" si="1269"/>
        <v>49317.107100307432</v>
      </c>
      <c r="CT211" s="24">
        <f t="shared" si="1269"/>
        <v>50719.310949911473</v>
      </c>
      <c r="CU211" s="24">
        <f t="shared" si="1269"/>
        <v>52324.555637467267</v>
      </c>
      <c r="CV211" s="24">
        <f t="shared" si="1269"/>
        <v>54142.024229626761</v>
      </c>
      <c r="CW211" s="24">
        <f t="shared" si="1269"/>
        <v>55563.077090913619</v>
      </c>
      <c r="CX211" s="24">
        <f t="shared" si="1269"/>
        <v>57189.011777861662</v>
      </c>
      <c r="CY211" s="24">
        <f t="shared" si="1269"/>
        <v>59053.964726010607</v>
      </c>
      <c r="CZ211" s="24">
        <f t="shared" si="1269"/>
        <v>61147.651293115538</v>
      </c>
      <c r="DA211" s="24">
        <f t="shared" si="1269"/>
        <v>62823.88786387023</v>
      </c>
      <c r="DB211" s="24">
        <f t="shared" si="1269"/>
        <v>64726.064046603948</v>
      </c>
      <c r="DE211" s="123"/>
      <c r="DF211" s="23">
        <v>39333.248560585445</v>
      </c>
    </row>
    <row r="212" spans="1:110" s="22" customFormat="1" x14ac:dyDescent="0.2">
      <c r="A212" s="22" t="s">
        <v>44</v>
      </c>
      <c r="B212" s="22">
        <f>B209+B210+B211</f>
        <v>3868.0647147999998</v>
      </c>
      <c r="C212" s="22">
        <f t="shared" ref="C212:V212" si="1270">C209+C210+C211</f>
        <v>4225.83</v>
      </c>
      <c r="D212" s="22">
        <f t="shared" si="1270"/>
        <v>4468.24</v>
      </c>
      <c r="E212" s="22">
        <f t="shared" si="1270"/>
        <v>4790.16</v>
      </c>
      <c r="F212" s="22">
        <f t="shared" si="1270"/>
        <v>4921.22</v>
      </c>
      <c r="G212" s="22">
        <f t="shared" si="1270"/>
        <v>5481.91</v>
      </c>
      <c r="H212" s="22">
        <f t="shared" si="1270"/>
        <v>6023.64</v>
      </c>
      <c r="I212" s="22">
        <f t="shared" si="1270"/>
        <v>8344.82</v>
      </c>
      <c r="J212" s="22">
        <f t="shared" si="1270"/>
        <v>9362.8799999999992</v>
      </c>
      <c r="K212" s="22">
        <f t="shared" si="1270"/>
        <v>12307.900000000001</v>
      </c>
      <c r="L212" s="22">
        <f t="shared" si="1270"/>
        <v>14026.77</v>
      </c>
      <c r="M212" s="22">
        <f>M209+M210+M211</f>
        <v>12674.380000000001</v>
      </c>
      <c r="N212" s="22">
        <f t="shared" si="1270"/>
        <v>12335.79</v>
      </c>
      <c r="O212" s="22">
        <f t="shared" si="1270"/>
        <v>12401.070000000002</v>
      </c>
      <c r="P212" s="22">
        <f t="shared" si="1270"/>
        <v>14318.89</v>
      </c>
      <c r="Q212" s="22">
        <f t="shared" si="1270"/>
        <v>11633.38</v>
      </c>
      <c r="R212" s="22">
        <f t="shared" si="1270"/>
        <v>13214.55</v>
      </c>
      <c r="S212" s="22">
        <f t="shared" si="1270"/>
        <v>14899.88</v>
      </c>
      <c r="T212" s="22">
        <f t="shared" si="1270"/>
        <v>16805.509999999998</v>
      </c>
      <c r="U212" s="22">
        <f t="shared" si="1270"/>
        <v>18066.02</v>
      </c>
      <c r="V212" s="22">
        <f t="shared" si="1270"/>
        <v>20822.260000000002</v>
      </c>
      <c r="W212" s="22">
        <f t="shared" ref="W212" si="1271">W209+W210+W211</f>
        <v>22441.56</v>
      </c>
      <c r="X212" s="22">
        <f t="shared" ref="X212:Y212" si="1272">X209+X210+X211</f>
        <v>28787.43</v>
      </c>
      <c r="Y212" s="22">
        <f t="shared" si="1272"/>
        <v>32355.29</v>
      </c>
      <c r="Z212" s="22">
        <f t="shared" ref="Z212:AA212" si="1273">Z209+Z210+Z211</f>
        <v>35840.670000000006</v>
      </c>
      <c r="AA212" s="22">
        <f t="shared" si="1273"/>
        <v>39467.21</v>
      </c>
      <c r="AB212" s="21">
        <f t="shared" ref="AA212:AD212" si="1274">AB209+AB210+AB211</f>
        <v>45281.140671901034</v>
      </c>
      <c r="AC212" s="21">
        <f t="shared" si="1274"/>
        <v>51038.87094991147</v>
      </c>
      <c r="AD212" s="21">
        <f t="shared" si="1274"/>
        <v>57508.57177786166</v>
      </c>
      <c r="AE212" s="21">
        <f t="shared" ref="AE212" si="1275">AE209+AE210+AE211</f>
        <v>65045.624046603945</v>
      </c>
      <c r="AJ212" s="22">
        <f t="shared" ref="AJ212" si="1276">AJ209+AJ210+AJ211</f>
        <v>12401.35</v>
      </c>
      <c r="AK212" s="22">
        <f t="shared" ref="AK212" si="1277">AK209+AK210+AK211</f>
        <v>12072.43</v>
      </c>
      <c r="AL212" s="22">
        <f t="shared" ref="AL212:AM212" si="1278">AL209+AL210+AL211</f>
        <v>12335.79</v>
      </c>
      <c r="AM212" s="22">
        <f t="shared" si="1278"/>
        <v>12221.090000000002</v>
      </c>
      <c r="AN212" s="22">
        <f t="shared" ref="AN212:AO212" si="1279">AN209+AN210+AN211</f>
        <v>13049.070000000002</v>
      </c>
      <c r="AO212" s="22">
        <f t="shared" si="1279"/>
        <v>12974.16</v>
      </c>
      <c r="AP212" s="22">
        <f t="shared" ref="AP212:CE212" si="1280">AP209+AP210+AP211</f>
        <v>12401.070000000002</v>
      </c>
      <c r="AQ212" s="22">
        <f t="shared" si="1280"/>
        <v>12289.770000000002</v>
      </c>
      <c r="AR212" s="22">
        <f t="shared" si="1280"/>
        <v>12646.12</v>
      </c>
      <c r="AS212" s="22">
        <f t="shared" si="1280"/>
        <v>12843.859999999999</v>
      </c>
      <c r="AT212" s="22">
        <f t="shared" si="1280"/>
        <v>14318.89</v>
      </c>
      <c r="AU212" s="22">
        <f t="shared" si="1280"/>
        <v>14622.029999999999</v>
      </c>
      <c r="AV212" s="22">
        <f t="shared" si="1280"/>
        <v>14945.88</v>
      </c>
      <c r="AW212" s="22">
        <f t="shared" si="1280"/>
        <v>15379.130000000001</v>
      </c>
      <c r="AX212" s="22">
        <f t="shared" si="1280"/>
        <v>13133.38</v>
      </c>
      <c r="AY212" s="22">
        <f t="shared" si="1280"/>
        <v>13205.869999999999</v>
      </c>
      <c r="AZ212" s="22">
        <f t="shared" si="1280"/>
        <v>16451.3</v>
      </c>
      <c r="BA212" s="22">
        <f t="shared" si="1280"/>
        <v>17070.53</v>
      </c>
      <c r="BB212" s="22">
        <f t="shared" si="1280"/>
        <v>14714.55</v>
      </c>
      <c r="BC212" s="22">
        <f t="shared" si="1280"/>
        <v>15063.32</v>
      </c>
      <c r="BD212" s="22">
        <f t="shared" si="1280"/>
        <v>14451.43</v>
      </c>
      <c r="BE212" s="22">
        <f t="shared" si="1280"/>
        <v>15042.240000000002</v>
      </c>
      <c r="BF212" s="22">
        <f t="shared" si="1280"/>
        <v>16399.879999999997</v>
      </c>
      <c r="BG212" s="22">
        <f t="shared" si="1280"/>
        <v>18070.79</v>
      </c>
      <c r="BH212" s="22">
        <f t="shared" si="1280"/>
        <v>18526.07</v>
      </c>
      <c r="BI212" s="22">
        <f t="shared" si="1280"/>
        <v>18667.93</v>
      </c>
      <c r="BJ212" s="22">
        <f t="shared" si="1280"/>
        <v>18305.509999999998</v>
      </c>
      <c r="BK212" s="22">
        <f t="shared" si="1280"/>
        <v>18469.059999999998</v>
      </c>
      <c r="BL212" s="22">
        <f t="shared" si="1280"/>
        <v>18289.05</v>
      </c>
      <c r="BM212" s="22">
        <f t="shared" si="1280"/>
        <v>18482.37</v>
      </c>
      <c r="BN212" s="22">
        <f t="shared" si="1280"/>
        <v>19566.02</v>
      </c>
      <c r="BO212" s="22">
        <f t="shared" si="1280"/>
        <v>19772.64</v>
      </c>
      <c r="BP212" s="22">
        <f t="shared" si="1280"/>
        <v>21761.920000000002</v>
      </c>
      <c r="BQ212" s="22">
        <f t="shared" si="1280"/>
        <v>22010.13</v>
      </c>
      <c r="BR212" s="22">
        <f t="shared" si="1280"/>
        <v>22322.260000000002</v>
      </c>
      <c r="BS212" s="22">
        <f t="shared" si="1280"/>
        <v>22713.29</v>
      </c>
      <c r="BT212" s="22">
        <f t="shared" si="1280"/>
        <v>21277.200000000001</v>
      </c>
      <c r="BU212" s="22">
        <f t="shared" si="1280"/>
        <v>21703.01</v>
      </c>
      <c r="BV212" s="22">
        <f t="shared" si="1280"/>
        <v>22441.56</v>
      </c>
      <c r="BW212" s="22">
        <f t="shared" si="1280"/>
        <v>23236.16</v>
      </c>
      <c r="BX212" s="22">
        <f t="shared" si="1280"/>
        <v>25682.210000000003</v>
      </c>
      <c r="BY212" s="22">
        <f t="shared" si="1280"/>
        <v>26627.230000000003</v>
      </c>
      <c r="BZ212" s="22">
        <f t="shared" si="1280"/>
        <v>28787.43</v>
      </c>
      <c r="CA212" s="22">
        <f t="shared" si="1280"/>
        <v>29759.920000000002</v>
      </c>
      <c r="CB212" s="22">
        <f t="shared" si="1280"/>
        <v>30136.31</v>
      </c>
      <c r="CC212" s="22">
        <f t="shared" si="1280"/>
        <v>31089.320000000003</v>
      </c>
      <c r="CD212" s="22">
        <f t="shared" si="1280"/>
        <v>32355.29</v>
      </c>
      <c r="CE212" s="22">
        <f t="shared" si="1280"/>
        <v>33326.329999999994</v>
      </c>
      <c r="CF212" s="22">
        <f t="shared" ref="CF212:CG212" si="1281">CF209+CF210+CF211</f>
        <v>33679.1</v>
      </c>
      <c r="CG212" s="22">
        <f t="shared" si="1281"/>
        <v>34709.800000000003</v>
      </c>
      <c r="CH212" s="22">
        <f t="shared" ref="CH212:CI212" si="1282">CH209+CH210+CH211</f>
        <v>35840.670000000006</v>
      </c>
      <c r="CI212" s="22">
        <f t="shared" si="1282"/>
        <v>36901.340000000004</v>
      </c>
      <c r="CJ212" s="22">
        <f t="shared" ref="CJ212:DB212" si="1283">CJ209+CJ210+CJ211</f>
        <v>37689.53</v>
      </c>
      <c r="CK212" s="22">
        <f t="shared" si="1283"/>
        <v>38461.51</v>
      </c>
      <c r="CL212" s="22">
        <f t="shared" ref="CL212" si="1284">CL209+CL210+CL211</f>
        <v>39467.21</v>
      </c>
      <c r="CM212" s="21">
        <f t="shared" si="1283"/>
        <v>40554.023127476197</v>
      </c>
      <c r="CN212" s="21">
        <f t="shared" si="1283"/>
        <v>42357.686655217505</v>
      </c>
      <c r="CO212" s="21">
        <f t="shared" si="1283"/>
        <v>43800.705854967971</v>
      </c>
      <c r="CP212" s="21">
        <f t="shared" si="1283"/>
        <v>45281.140671901034</v>
      </c>
      <c r="CQ212" s="21">
        <f t="shared" si="1283"/>
        <v>46730.61533410909</v>
      </c>
      <c r="CR212" s="21">
        <f t="shared" si="1283"/>
        <v>48384.912179329462</v>
      </c>
      <c r="CS212" s="21">
        <f t="shared" si="1283"/>
        <v>49636.66710030743</v>
      </c>
      <c r="CT212" s="21">
        <f t="shared" si="1283"/>
        <v>51038.87094991147</v>
      </c>
      <c r="CU212" s="21">
        <f t="shared" si="1283"/>
        <v>52644.115637467265</v>
      </c>
      <c r="CV212" s="21">
        <f t="shared" si="1283"/>
        <v>54461.584229626758</v>
      </c>
      <c r="CW212" s="21">
        <f t="shared" si="1283"/>
        <v>55882.637090913617</v>
      </c>
      <c r="CX212" s="21">
        <f t="shared" si="1283"/>
        <v>57508.57177786166</v>
      </c>
      <c r="CY212" s="21">
        <f t="shared" si="1283"/>
        <v>59373.524726010604</v>
      </c>
      <c r="CZ212" s="21">
        <f t="shared" si="1283"/>
        <v>61467.211293115535</v>
      </c>
      <c r="DA212" s="21">
        <f t="shared" si="1283"/>
        <v>63143.447863870228</v>
      </c>
      <c r="DB212" s="21">
        <f t="shared" si="1283"/>
        <v>65045.624046603945</v>
      </c>
      <c r="DE212" s="126"/>
      <c r="DF212" s="22">
        <v>39652.808560585443</v>
      </c>
    </row>
    <row r="213" spans="1:110" s="22" customFormat="1" x14ac:dyDescent="0.2">
      <c r="AB213" s="21"/>
      <c r="AC213" s="21"/>
      <c r="AD213" s="21"/>
      <c r="AE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E213" s="126"/>
    </row>
    <row r="214" spans="1:110" s="23" customFormat="1" x14ac:dyDescent="0.2">
      <c r="A214" s="23" t="s">
        <v>23</v>
      </c>
      <c r="B214" s="23">
        <f>'Annual Raw'!C45</f>
        <v>0</v>
      </c>
      <c r="C214" s="23">
        <f>'Annual Raw'!D45</f>
        <v>9.57</v>
      </c>
      <c r="D214" s="23">
        <f>'Annual Raw'!E45</f>
        <v>10</v>
      </c>
      <c r="E214" s="23">
        <f>'Annual Raw'!F45</f>
        <v>10.1</v>
      </c>
      <c r="F214" s="23">
        <f>'Annual Raw'!G45</f>
        <v>95.6</v>
      </c>
      <c r="G214" s="23">
        <f>'Annual Raw'!H45</f>
        <v>206.75</v>
      </c>
      <c r="H214" s="23">
        <f>'Annual Raw'!I45</f>
        <v>249.62</v>
      </c>
      <c r="I214" s="23">
        <f>'Annual Raw'!J45</f>
        <v>806.17</v>
      </c>
      <c r="J214" s="23">
        <f>'Annual Raw'!K45</f>
        <v>944.37</v>
      </c>
      <c r="K214" s="23">
        <f>'Annual Raw'!L45</f>
        <v>1209.71</v>
      </c>
      <c r="L214" s="23">
        <f>'Annual Raw'!M45</f>
        <v>1414.26</v>
      </c>
      <c r="M214" s="23">
        <f>'Annual Raw'!N45</f>
        <v>1631.27</v>
      </c>
      <c r="N214" s="23">
        <f>'Annual Raw'!O45</f>
        <v>2064.6</v>
      </c>
      <c r="O214" s="23">
        <f>'Annual Raw'!P45</f>
        <v>2273.31</v>
      </c>
      <c r="P214" s="23">
        <f>'Annual Raw'!Q45</f>
        <v>2492.59</v>
      </c>
      <c r="Q214" s="23">
        <f>'Annual Raw'!R45</f>
        <v>1749.81</v>
      </c>
      <c r="R214" s="23">
        <f>'Annual Raw'!S45</f>
        <v>1868.99</v>
      </c>
      <c r="S214" s="23">
        <f>'Annual Raw'!T45</f>
        <v>2015.29</v>
      </c>
      <c r="T214" s="23">
        <f>'Annual Raw'!U45</f>
        <v>2166.66</v>
      </c>
      <c r="U214" s="23">
        <f>'Annual Raw'!V45</f>
        <v>2332.04</v>
      </c>
      <c r="V214" s="23">
        <f>'Annual Raw'!W45</f>
        <v>2927.3</v>
      </c>
      <c r="W214" s="23">
        <f>'Annual Raw'!X45</f>
        <v>3586.9</v>
      </c>
      <c r="X214" s="23">
        <f>'Annual Raw'!Y45</f>
        <v>5416.69</v>
      </c>
      <c r="Y214" s="23">
        <f>'Annual Raw'!Z45</f>
        <v>5977.48</v>
      </c>
      <c r="Z214" s="23">
        <f>'Annual Raw'!AA45</f>
        <v>6765.37</v>
      </c>
      <c r="AA214" s="23">
        <f>'Annual Raw'!AB45</f>
        <v>8070.86</v>
      </c>
      <c r="AB214" s="24">
        <f>+CP214</f>
        <v>8070.86</v>
      </c>
      <c r="AC214" s="24">
        <f>+CT214</f>
        <v>8070.86</v>
      </c>
      <c r="AD214" s="24">
        <f>+CX214</f>
        <v>8070.86</v>
      </c>
      <c r="AE214" s="24">
        <f>+DB214</f>
        <v>8070.86</v>
      </c>
      <c r="AJ214" s="23">
        <f>+'QTR Raw'!D60</f>
        <v>0</v>
      </c>
      <c r="AK214" s="23">
        <f t="shared" ref="AK214:CE214" si="1285">+AJ214</f>
        <v>0</v>
      </c>
      <c r="AL214" s="23">
        <f>+'QTR Raw'!F60</f>
        <v>2064.6</v>
      </c>
      <c r="AM214" s="23">
        <f t="shared" si="1285"/>
        <v>2064.6</v>
      </c>
      <c r="AN214" s="23">
        <f>+'QTR Raw'!H60</f>
        <v>2163.7800000000002</v>
      </c>
      <c r="AO214" s="23">
        <f t="shared" si="1285"/>
        <v>2163.7800000000002</v>
      </c>
      <c r="AP214" s="23">
        <f>+'QTR Raw'!J60</f>
        <v>2273.31</v>
      </c>
      <c r="AQ214" s="23">
        <f t="shared" si="1285"/>
        <v>2273.31</v>
      </c>
      <c r="AR214" s="23">
        <f>+'QTR Raw'!L60</f>
        <v>2385.5700000000002</v>
      </c>
      <c r="AS214" s="23">
        <f t="shared" si="1285"/>
        <v>2385.5700000000002</v>
      </c>
      <c r="AT214" s="23">
        <f>+'QTR Raw'!N60</f>
        <v>2492.59</v>
      </c>
      <c r="AU214" s="23">
        <f t="shared" si="1285"/>
        <v>2492.59</v>
      </c>
      <c r="AV214" s="23">
        <f>+'QTR Raw'!P60</f>
        <v>2563.91</v>
      </c>
      <c r="AW214" s="23">
        <f t="shared" si="1285"/>
        <v>2563.91</v>
      </c>
      <c r="AX214" s="23">
        <f>+'QTR Raw'!R60</f>
        <v>1749.81</v>
      </c>
      <c r="AY214" s="23">
        <f t="shared" si="1285"/>
        <v>1749.81</v>
      </c>
      <c r="AZ214" s="23">
        <f>+'QTR Raw'!T60</f>
        <v>1795.01</v>
      </c>
      <c r="BA214" s="23">
        <f t="shared" si="1285"/>
        <v>1795.01</v>
      </c>
      <c r="BB214" s="23">
        <f>+'QTR Raw'!V60</f>
        <v>1868.99</v>
      </c>
      <c r="BC214" s="23">
        <f t="shared" si="1285"/>
        <v>1868.99</v>
      </c>
      <c r="BD214" s="23">
        <f>+'QTR Raw'!X60</f>
        <v>1926.04</v>
      </c>
      <c r="BE214" s="23">
        <f t="shared" si="1285"/>
        <v>1926.04</v>
      </c>
      <c r="BF214" s="23">
        <f>+'QTR Raw'!Z60</f>
        <v>2015.29</v>
      </c>
      <c r="BG214" s="23">
        <f t="shared" si="1285"/>
        <v>2015.29</v>
      </c>
      <c r="BH214" s="22">
        <f>+'QTR Raw'!AB60</f>
        <v>2066.46</v>
      </c>
      <c r="BI214" s="23">
        <f t="shared" si="1285"/>
        <v>2066.46</v>
      </c>
      <c r="BJ214" s="23">
        <f>+'QTR Raw'!AD60</f>
        <v>2166.66</v>
      </c>
      <c r="BK214" s="23">
        <f t="shared" si="1285"/>
        <v>2166.66</v>
      </c>
      <c r="BL214" s="23">
        <f>+'QTR Raw'!AF60</f>
        <v>2193.4299999999998</v>
      </c>
      <c r="BM214" s="23">
        <f t="shared" si="1285"/>
        <v>2193.4299999999998</v>
      </c>
      <c r="BN214" s="23">
        <f>+'QTR Raw'!AH60</f>
        <v>2332.04</v>
      </c>
      <c r="BO214" s="23">
        <f t="shared" si="1285"/>
        <v>2332.04</v>
      </c>
      <c r="BP214" s="23">
        <f>+'QTR Raw'!AJ60</f>
        <v>2534.46</v>
      </c>
      <c r="BQ214" s="23">
        <f t="shared" si="1285"/>
        <v>2534.46</v>
      </c>
      <c r="BR214" s="23">
        <f>+'QTR Raw'!AL60</f>
        <v>2927.3</v>
      </c>
      <c r="BS214" s="23">
        <f t="shared" si="1285"/>
        <v>2927.3</v>
      </c>
      <c r="BT214" s="23">
        <f>+'QTR Raw'!AN60</f>
        <v>3148.14</v>
      </c>
      <c r="BU214" s="23">
        <f t="shared" si="1285"/>
        <v>3148.14</v>
      </c>
      <c r="BV214" s="23">
        <f>+'QTR Raw'!AP60</f>
        <v>3586.9</v>
      </c>
      <c r="BW214" s="23">
        <f t="shared" si="1285"/>
        <v>3586.9</v>
      </c>
      <c r="BX214" s="23">
        <f>+'QTR Raw'!AR60</f>
        <v>4198.83</v>
      </c>
      <c r="BY214" s="23">
        <f t="shared" si="1285"/>
        <v>4198.83</v>
      </c>
      <c r="BZ214" s="23">
        <f>+'QTR Raw'!AT60</f>
        <v>5416.69</v>
      </c>
      <c r="CA214" s="23">
        <f t="shared" si="1285"/>
        <v>5416.69</v>
      </c>
      <c r="CB214" s="23">
        <f>+'QTR Raw'!AV60</f>
        <v>5677.72</v>
      </c>
      <c r="CC214" s="23">
        <f t="shared" si="1285"/>
        <v>5677.72</v>
      </c>
      <c r="CD214" s="23">
        <f>+'QTR Raw'!AX60</f>
        <v>5977.48</v>
      </c>
      <c r="CE214" s="23">
        <f t="shared" si="1285"/>
        <v>5977.48</v>
      </c>
      <c r="CF214" s="23">
        <f>+'QTR Raw'!AZ60</f>
        <v>6233.77</v>
      </c>
      <c r="CG214" s="23">
        <f t="shared" ref="CG214:CI214" si="1286">+CF214</f>
        <v>6233.77</v>
      </c>
      <c r="CH214" s="23">
        <f t="shared" ref="CH214:CH219" si="1287">Z214</f>
        <v>6765.37</v>
      </c>
      <c r="CI214" s="23">
        <f t="shared" si="1286"/>
        <v>6765.37</v>
      </c>
      <c r="CJ214" s="23">
        <f>+'QTR Raw'!BD60</f>
        <v>7054.01</v>
      </c>
      <c r="CK214" s="23">
        <f t="shared" ref="CK214" si="1288">+CJ214</f>
        <v>7054.01</v>
      </c>
      <c r="CL214" s="23">
        <f>+'QTR Raw'!BF60</f>
        <v>8070.86</v>
      </c>
      <c r="CM214" s="24">
        <f t="shared" ref="CM214" si="1289">+CL214</f>
        <v>8070.86</v>
      </c>
      <c r="CN214" s="24">
        <f t="shared" ref="CN214" si="1290">+CM214</f>
        <v>8070.86</v>
      </c>
      <c r="CO214" s="24">
        <f t="shared" ref="CO214" si="1291">+CN214</f>
        <v>8070.86</v>
      </c>
      <c r="CP214" s="24">
        <f t="shared" ref="CP214" si="1292">+CO214</f>
        <v>8070.86</v>
      </c>
      <c r="CQ214" s="24">
        <f t="shared" ref="CQ214" si="1293">+CP214</f>
        <v>8070.86</v>
      </c>
      <c r="CR214" s="24">
        <f t="shared" ref="CR214" si="1294">+CQ214</f>
        <v>8070.86</v>
      </c>
      <c r="CS214" s="24">
        <f t="shared" ref="CS214" si="1295">+CR214</f>
        <v>8070.86</v>
      </c>
      <c r="CT214" s="24">
        <f t="shared" ref="CT214" si="1296">+CS214</f>
        <v>8070.86</v>
      </c>
      <c r="CU214" s="24">
        <f t="shared" ref="CU214" si="1297">+CT214</f>
        <v>8070.86</v>
      </c>
      <c r="CV214" s="24">
        <f t="shared" ref="CV214" si="1298">+CU214</f>
        <v>8070.86</v>
      </c>
      <c r="CW214" s="24">
        <f t="shared" ref="CW214" si="1299">+CV214</f>
        <v>8070.86</v>
      </c>
      <c r="CX214" s="24">
        <f t="shared" ref="CX214" si="1300">+CW214</f>
        <v>8070.86</v>
      </c>
      <c r="CY214" s="24">
        <f t="shared" ref="CY214" si="1301">+CX214</f>
        <v>8070.86</v>
      </c>
      <c r="CZ214" s="24">
        <f t="shared" ref="CZ214" si="1302">+CY214</f>
        <v>8070.86</v>
      </c>
      <c r="DA214" s="24">
        <f t="shared" ref="DA214" si="1303">+CZ214</f>
        <v>8070.86</v>
      </c>
      <c r="DB214" s="24">
        <f t="shared" ref="DB214" si="1304">+DA214</f>
        <v>8070.86</v>
      </c>
      <c r="DE214" s="123"/>
      <c r="DF214" s="23">
        <v>7054.01</v>
      </c>
    </row>
    <row r="215" spans="1:110" s="23" customFormat="1" x14ac:dyDescent="0.2">
      <c r="AB215" s="24"/>
      <c r="AC215" s="24"/>
      <c r="AD215" s="24"/>
      <c r="AE215" s="24"/>
      <c r="BH215" s="22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23"/>
    </row>
    <row r="216" spans="1:110" s="23" customFormat="1" outlineLevel="1" x14ac:dyDescent="0.2">
      <c r="A216" s="23" t="s">
        <v>45</v>
      </c>
      <c r="B216" s="23">
        <f>'Annual Raw'!C47</f>
        <v>1337.9599330999999</v>
      </c>
      <c r="C216" s="23">
        <f>'Annual Raw'!D47</f>
        <v>1516.3</v>
      </c>
      <c r="D216" s="23">
        <f>'Annual Raw'!E47</f>
        <v>1691.54</v>
      </c>
      <c r="E216" s="23">
        <f>'Annual Raw'!F47</f>
        <v>1090.93</v>
      </c>
      <c r="F216" s="23">
        <f>'Annual Raw'!G47</f>
        <v>1949.47</v>
      </c>
      <c r="G216" s="23">
        <f>'Annual Raw'!H47</f>
        <v>2363.9299999999998</v>
      </c>
      <c r="H216" s="23">
        <f>'Annual Raw'!I47</f>
        <v>2822.83</v>
      </c>
      <c r="I216" s="23">
        <f>'Annual Raw'!J47</f>
        <v>8208.08</v>
      </c>
      <c r="J216" s="23">
        <f>'Annual Raw'!K47</f>
        <v>11050.67</v>
      </c>
      <c r="K216" s="23">
        <f>'Annual Raw'!L47</f>
        <v>14700.13</v>
      </c>
      <c r="L216" s="23">
        <f>'Annual Raw'!M47</f>
        <v>17549.16</v>
      </c>
      <c r="M216" s="23">
        <f>'Annual Raw'!N47</f>
        <v>22579.96</v>
      </c>
      <c r="N216" s="23">
        <f>'Annual Raw'!O47</f>
        <v>23200.16</v>
      </c>
      <c r="O216" s="23">
        <f>'Annual Raw'!P47</f>
        <v>23874.32</v>
      </c>
      <c r="P216" s="23">
        <f>'Annual Raw'!Q47</f>
        <v>23436.45</v>
      </c>
      <c r="Q216" s="23">
        <f>'Annual Raw'!R47</f>
        <v>11057.42</v>
      </c>
      <c r="R216" s="23">
        <f>'Annual Raw'!S47</f>
        <v>13807.29</v>
      </c>
      <c r="S216" s="23">
        <f>'Annual Raw'!T47</f>
        <v>12397.71</v>
      </c>
      <c r="T216" s="23">
        <f>'Annual Raw'!U47</f>
        <v>20084.57</v>
      </c>
      <c r="U216" s="23">
        <f>'Annual Raw'!V47</f>
        <v>21083.53</v>
      </c>
      <c r="V216" s="23">
        <f>'Annual Raw'!W47</f>
        <v>16765.830000000002</v>
      </c>
      <c r="W216" s="23">
        <f>'Annual Raw'!X47</f>
        <v>19360.48</v>
      </c>
      <c r="X216" s="23">
        <f>'Annual Raw'!Y47</f>
        <v>23062.22</v>
      </c>
      <c r="Y216" s="23">
        <f>'Annual Raw'!Z47</f>
        <v>23273.87</v>
      </c>
      <c r="Z216" s="23">
        <f>'Annual Raw'!AA47</f>
        <v>29892.25</v>
      </c>
      <c r="AA216" s="23">
        <f>'Annual Raw'!AB47</f>
        <v>35969.96</v>
      </c>
      <c r="AB216" s="24">
        <f t="shared" ref="AB216:AB219" si="1305">+CP216</f>
        <v>0</v>
      </c>
      <c r="AC216" s="24">
        <f t="shared" ref="AC216:AC219" si="1306">+CT216</f>
        <v>0</v>
      </c>
      <c r="AD216" s="24">
        <f t="shared" ref="AD216:AD219" si="1307">+CX216</f>
        <v>0</v>
      </c>
      <c r="AE216" s="24">
        <f t="shared" ref="AE216:AE219" si="1308">+DB216</f>
        <v>0</v>
      </c>
      <c r="AJ216" s="23">
        <f>+'QTR Raw'!D62</f>
        <v>0</v>
      </c>
      <c r="AK216" s="23">
        <f t="shared" ref="AK216:CC219" si="1309">+AJ216</f>
        <v>0</v>
      </c>
      <c r="AL216" s="23">
        <f>+'QTR Raw'!F62</f>
        <v>0</v>
      </c>
      <c r="AM216" s="23">
        <f t="shared" si="1309"/>
        <v>0</v>
      </c>
      <c r="AN216" s="23">
        <f>+'QTR Raw'!H62</f>
        <v>0</v>
      </c>
      <c r="AO216" s="23">
        <f t="shared" si="1309"/>
        <v>0</v>
      </c>
      <c r="AP216" s="23">
        <f>+'QTR Raw'!J62</f>
        <v>0</v>
      </c>
      <c r="AQ216" s="23">
        <f t="shared" si="1309"/>
        <v>0</v>
      </c>
      <c r="AR216" s="23">
        <f>+'QTR Raw'!L62</f>
        <v>0</v>
      </c>
      <c r="AS216" s="23">
        <f t="shared" si="1309"/>
        <v>0</v>
      </c>
      <c r="AT216" s="23">
        <f>+'QTR Raw'!N62</f>
        <v>0</v>
      </c>
      <c r="AU216" s="23">
        <f t="shared" si="1309"/>
        <v>0</v>
      </c>
      <c r="AV216" s="23">
        <f>+'QTR Raw'!P62</f>
        <v>0</v>
      </c>
      <c r="AW216" s="23">
        <f t="shared" si="1309"/>
        <v>0</v>
      </c>
      <c r="AX216" s="23">
        <f>+'QTR Raw'!R62</f>
        <v>0</v>
      </c>
      <c r="AY216" s="23">
        <f t="shared" si="1309"/>
        <v>0</v>
      </c>
      <c r="AZ216" s="23">
        <f>+'QTR Raw'!T62</f>
        <v>0</v>
      </c>
      <c r="BA216" s="23">
        <f t="shared" si="1309"/>
        <v>0</v>
      </c>
      <c r="BB216" s="23">
        <f>+'QTR Raw'!V62</f>
        <v>0</v>
      </c>
      <c r="BC216" s="23">
        <f t="shared" si="1309"/>
        <v>0</v>
      </c>
      <c r="BD216" s="23">
        <f>+'QTR Raw'!X62</f>
        <v>0</v>
      </c>
      <c r="BE216" s="23">
        <f t="shared" si="1309"/>
        <v>0</v>
      </c>
      <c r="BF216" s="23">
        <f>+'QTR Raw'!Z62</f>
        <v>0</v>
      </c>
      <c r="BG216" s="23">
        <f t="shared" si="1309"/>
        <v>0</v>
      </c>
      <c r="BH216" s="22">
        <f>+'QTR Raw'!AB62</f>
        <v>0</v>
      </c>
      <c r="BI216" s="23">
        <f t="shared" si="1309"/>
        <v>0</v>
      </c>
      <c r="BJ216" s="23">
        <f>+'QTR Raw'!AD62</f>
        <v>0</v>
      </c>
      <c r="BK216" s="23">
        <f t="shared" si="1309"/>
        <v>0</v>
      </c>
      <c r="BL216" s="23">
        <f>+'QTR Raw'!AF62</f>
        <v>0</v>
      </c>
      <c r="BM216" s="23">
        <f t="shared" si="1309"/>
        <v>0</v>
      </c>
      <c r="BN216" s="23">
        <f>+'QTR Raw'!AH62</f>
        <v>0</v>
      </c>
      <c r="BO216" s="23">
        <f t="shared" si="1309"/>
        <v>0</v>
      </c>
      <c r="BP216" s="23">
        <f>+'QTR Raw'!AJ62</f>
        <v>0</v>
      </c>
      <c r="BQ216" s="23">
        <f t="shared" si="1309"/>
        <v>0</v>
      </c>
      <c r="BR216" s="23">
        <f>+'QTR Raw'!AL62</f>
        <v>0</v>
      </c>
      <c r="BS216" s="23">
        <f t="shared" si="1309"/>
        <v>0</v>
      </c>
      <c r="BT216" s="23">
        <f>+'QTR Raw'!AN62</f>
        <v>0</v>
      </c>
      <c r="BU216" s="23">
        <f t="shared" si="1309"/>
        <v>0</v>
      </c>
      <c r="BV216" s="23">
        <f>+'QTR Raw'!AP62</f>
        <v>0</v>
      </c>
      <c r="BW216" s="23">
        <f t="shared" si="1309"/>
        <v>0</v>
      </c>
      <c r="BX216" s="23">
        <f>+'QTR Raw'!AR62</f>
        <v>0</v>
      </c>
      <c r="BY216" s="23">
        <f t="shared" si="1309"/>
        <v>0</v>
      </c>
      <c r="BZ216" s="23">
        <f>+'QTR Raw'!AT62</f>
        <v>0</v>
      </c>
      <c r="CA216" s="23">
        <f t="shared" si="1309"/>
        <v>0</v>
      </c>
      <c r="CB216" s="23">
        <f>+'QTR Raw'!AV62</f>
        <v>0</v>
      </c>
      <c r="CC216" s="23">
        <f t="shared" si="1309"/>
        <v>0</v>
      </c>
      <c r="CD216" s="23">
        <f>+'QTR Raw'!AX62</f>
        <v>0</v>
      </c>
      <c r="CE216" s="23">
        <f t="shared" ref="CE216:CE219" si="1310">+CD216</f>
        <v>0</v>
      </c>
      <c r="CF216" s="23">
        <f>+'QTR Raw'!AZ62</f>
        <v>0</v>
      </c>
      <c r="CG216" s="23">
        <f t="shared" ref="CG216:CI219" si="1311">+CF216</f>
        <v>0</v>
      </c>
      <c r="CH216" s="23">
        <f t="shared" si="1287"/>
        <v>29892.25</v>
      </c>
      <c r="CI216" s="23">
        <f t="shared" si="1311"/>
        <v>29892.25</v>
      </c>
      <c r="CJ216" s="23">
        <f>+'QTR Raw'!BD62</f>
        <v>0</v>
      </c>
      <c r="CK216" s="23">
        <f t="shared" ref="CK216:CK219" si="1312">+CJ216</f>
        <v>0</v>
      </c>
      <c r="CL216" s="23">
        <f>+'QTR Raw'!BF62</f>
        <v>0</v>
      </c>
      <c r="CM216" s="24">
        <f t="shared" ref="CM216:CM219" si="1313">+CL216</f>
        <v>0</v>
      </c>
      <c r="CN216" s="24">
        <f t="shared" ref="CN216:CN219" si="1314">+CM216</f>
        <v>0</v>
      </c>
      <c r="CO216" s="24">
        <f t="shared" ref="CO216:CO219" si="1315">+CN216</f>
        <v>0</v>
      </c>
      <c r="CP216" s="24">
        <f t="shared" ref="CP216:CP219" si="1316">+CO216</f>
        <v>0</v>
      </c>
      <c r="CQ216" s="24">
        <f t="shared" ref="CQ216:CQ219" si="1317">+CP216</f>
        <v>0</v>
      </c>
      <c r="CR216" s="24">
        <f t="shared" ref="CR216:CR219" si="1318">+CQ216</f>
        <v>0</v>
      </c>
      <c r="CS216" s="24">
        <f t="shared" ref="CS216:CS219" si="1319">+CR216</f>
        <v>0</v>
      </c>
      <c r="CT216" s="24">
        <f t="shared" ref="CT216:CT219" si="1320">+CS216</f>
        <v>0</v>
      </c>
      <c r="CU216" s="24">
        <f t="shared" ref="CU216:CU219" si="1321">+CT216</f>
        <v>0</v>
      </c>
      <c r="CV216" s="24">
        <f t="shared" ref="CV216:CV219" si="1322">+CU216</f>
        <v>0</v>
      </c>
      <c r="CW216" s="24">
        <f t="shared" ref="CW216:CW219" si="1323">+CV216</f>
        <v>0</v>
      </c>
      <c r="CX216" s="24">
        <f t="shared" ref="CX216:CX219" si="1324">+CW216</f>
        <v>0</v>
      </c>
      <c r="CY216" s="24">
        <f t="shared" ref="CY216:CY219" si="1325">+CX216</f>
        <v>0</v>
      </c>
      <c r="CZ216" s="24">
        <f t="shared" ref="CZ216:CZ219" si="1326">+CY216</f>
        <v>0</v>
      </c>
      <c r="DA216" s="24">
        <f t="shared" ref="DA216:DA219" si="1327">+CZ216</f>
        <v>0</v>
      </c>
      <c r="DB216" s="24">
        <f t="shared" ref="DB216:DB219" si="1328">+DA216</f>
        <v>0</v>
      </c>
      <c r="DE216" s="123"/>
      <c r="DF216" s="23">
        <v>0</v>
      </c>
    </row>
    <row r="217" spans="1:110" s="23" customFormat="1" outlineLevel="1" x14ac:dyDescent="0.2">
      <c r="A217" s="23" t="s">
        <v>46</v>
      </c>
      <c r="B217" s="23">
        <f>'Annual Raw'!C48</f>
        <v>1259.9256418</v>
      </c>
      <c r="C217" s="23">
        <f>'Annual Raw'!D48</f>
        <v>1290.45</v>
      </c>
      <c r="D217" s="23">
        <f>'Annual Raw'!E48</f>
        <v>1059.1500000000001</v>
      </c>
      <c r="E217" s="23">
        <f>'Annual Raw'!F48</f>
        <v>1003.36</v>
      </c>
      <c r="F217" s="23">
        <f>'Annual Raw'!G48</f>
        <v>1806.3</v>
      </c>
      <c r="G217" s="23">
        <f>'Annual Raw'!H48</f>
        <v>1864.54</v>
      </c>
      <c r="H217" s="23">
        <f>'Annual Raw'!I48</f>
        <v>2355.61</v>
      </c>
      <c r="I217" s="23">
        <f>'Annual Raw'!J48</f>
        <v>952.08</v>
      </c>
      <c r="J217" s="23">
        <f>'Annual Raw'!K48</f>
        <v>3190.51</v>
      </c>
      <c r="K217" s="23">
        <f>'Annual Raw'!L48</f>
        <v>3845.54</v>
      </c>
      <c r="L217" s="23">
        <f>'Annual Raw'!M48</f>
        <v>4430.67</v>
      </c>
      <c r="M217" s="23">
        <f>'Annual Raw'!N48</f>
        <v>8653.15</v>
      </c>
      <c r="N217" s="23">
        <f>'Annual Raw'!O48</f>
        <v>9899.18</v>
      </c>
      <c r="O217" s="23">
        <f>'Annual Raw'!P48</f>
        <v>8095.62</v>
      </c>
      <c r="P217" s="23">
        <f>'Annual Raw'!Q48</f>
        <v>10456.68</v>
      </c>
      <c r="Q217" s="23">
        <f>'Annual Raw'!R48</f>
        <v>12856.46</v>
      </c>
      <c r="R217" s="23">
        <f>'Annual Raw'!S48</f>
        <v>12835.67</v>
      </c>
      <c r="S217" s="23">
        <f>'Annual Raw'!T48</f>
        <v>11458.6</v>
      </c>
      <c r="T217" s="23">
        <f>'Annual Raw'!U48</f>
        <v>12554.66</v>
      </c>
      <c r="U217" s="23">
        <f>'Annual Raw'!V48</f>
        <v>13111.61</v>
      </c>
      <c r="V217" s="23">
        <f>'Annual Raw'!W48</f>
        <v>14779.02</v>
      </c>
      <c r="W217" s="23">
        <f>'Annual Raw'!X48</f>
        <v>13369.22</v>
      </c>
      <c r="X217" s="23">
        <f>'Annual Raw'!Y48</f>
        <v>7646.27</v>
      </c>
      <c r="Y217" s="23">
        <f>'Annual Raw'!Z48</f>
        <v>14118.38</v>
      </c>
      <c r="Z217" s="23">
        <f>'Annual Raw'!AA48</f>
        <v>14237.47</v>
      </c>
      <c r="AA217" s="23">
        <f>'Annual Raw'!AB48</f>
        <v>25638.61</v>
      </c>
      <c r="AB217" s="24">
        <f t="shared" si="1305"/>
        <v>61608.57</v>
      </c>
      <c r="AC217" s="24">
        <f t="shared" si="1306"/>
        <v>61608.57</v>
      </c>
      <c r="AD217" s="24">
        <f t="shared" si="1307"/>
        <v>61608.57</v>
      </c>
      <c r="AE217" s="24">
        <f t="shared" si="1308"/>
        <v>61608.57</v>
      </c>
      <c r="AJ217" s="23">
        <f>+'QTR Raw'!D63</f>
        <v>9940.7099999999991</v>
      </c>
      <c r="AK217" s="23">
        <f t="shared" si="1309"/>
        <v>9940.7099999999991</v>
      </c>
      <c r="AL217" s="23">
        <f>+'QTR Raw'!F63</f>
        <v>33099.339999999997</v>
      </c>
      <c r="AM217" s="23">
        <f t="shared" si="1309"/>
        <v>33099.339999999997</v>
      </c>
      <c r="AN217" s="23">
        <f>+'QTR Raw'!H63</f>
        <v>34342.239999999998</v>
      </c>
      <c r="AO217" s="23">
        <f t="shared" si="1309"/>
        <v>34342.239999999998</v>
      </c>
      <c r="AP217" s="23">
        <f>+'QTR Raw'!J63</f>
        <v>31969.94</v>
      </c>
      <c r="AQ217" s="23">
        <f t="shared" si="1309"/>
        <v>31969.94</v>
      </c>
      <c r="AR217" s="23">
        <f>+'QTR Raw'!L63</f>
        <v>35016.6</v>
      </c>
      <c r="AS217" s="23">
        <f t="shared" si="1309"/>
        <v>35016.6</v>
      </c>
      <c r="AT217" s="23">
        <f>+'QTR Raw'!N63</f>
        <v>33893.129999999997</v>
      </c>
      <c r="AU217" s="23">
        <f t="shared" si="1309"/>
        <v>33893.129999999997</v>
      </c>
      <c r="AV217" s="23">
        <f>+'QTR Raw'!P63</f>
        <v>32414.66</v>
      </c>
      <c r="AW217" s="23">
        <f t="shared" si="1309"/>
        <v>32414.66</v>
      </c>
      <c r="AX217" s="23">
        <f>+'QTR Raw'!R63</f>
        <v>22413.88</v>
      </c>
      <c r="AY217" s="23">
        <f t="shared" si="1309"/>
        <v>22413.88</v>
      </c>
      <c r="AZ217" s="23">
        <f>+'QTR Raw'!T63</f>
        <v>26611.7</v>
      </c>
      <c r="BA217" s="23">
        <f t="shared" si="1309"/>
        <v>26611.7</v>
      </c>
      <c r="BB217" s="23">
        <f>+'QTR Raw'!V63</f>
        <v>25142.959999999999</v>
      </c>
      <c r="BC217" s="23">
        <f t="shared" si="1309"/>
        <v>25142.959999999999</v>
      </c>
      <c r="BD217" s="23">
        <f>+'QTR Raw'!X63</f>
        <v>19541.96</v>
      </c>
      <c r="BE217" s="23">
        <f t="shared" si="1309"/>
        <v>19541.96</v>
      </c>
      <c r="BF217" s="23">
        <f>+'QTR Raw'!Z63</f>
        <v>22356.31</v>
      </c>
      <c r="BG217" s="23">
        <f t="shared" si="1309"/>
        <v>22356.31</v>
      </c>
      <c r="BH217" s="23">
        <f>+'QTR Raw'!AB63</f>
        <v>28051.84</v>
      </c>
      <c r="BI217" s="23">
        <f t="shared" si="1309"/>
        <v>28051.84</v>
      </c>
      <c r="BJ217" s="23">
        <f>+'QTR Raw'!AD63</f>
        <v>31139.23</v>
      </c>
      <c r="BK217" s="23">
        <f t="shared" si="1309"/>
        <v>31139.23</v>
      </c>
      <c r="BL217" s="23">
        <f>+'QTR Raw'!AF63</f>
        <v>32155.79</v>
      </c>
      <c r="BM217" s="23">
        <f t="shared" si="1309"/>
        <v>32155.79</v>
      </c>
      <c r="BN217" s="23">
        <f>+'QTR Raw'!AH63</f>
        <v>32695.14</v>
      </c>
      <c r="BO217" s="23">
        <f t="shared" si="1309"/>
        <v>32695.14</v>
      </c>
      <c r="BP217" s="23">
        <f>+'QTR Raw'!AJ63</f>
        <v>32736.959999999999</v>
      </c>
      <c r="BQ217" s="23">
        <f t="shared" si="1309"/>
        <v>32736.959999999999</v>
      </c>
      <c r="BR217" s="23">
        <f>+'QTR Raw'!AL63</f>
        <v>30044.85</v>
      </c>
      <c r="BS217" s="23">
        <f t="shared" si="1309"/>
        <v>30044.85</v>
      </c>
      <c r="BT217" s="23">
        <f>+'QTR Raw'!AN63</f>
        <v>27853.74</v>
      </c>
      <c r="BU217" s="23">
        <f t="shared" si="1309"/>
        <v>27853.74</v>
      </c>
      <c r="BV217" s="23">
        <f>+'QTR Raw'!AP63</f>
        <v>32729.7</v>
      </c>
      <c r="BW217" s="23">
        <f t="shared" si="1309"/>
        <v>32729.7</v>
      </c>
      <c r="BX217" s="23">
        <f>+'QTR Raw'!AR63</f>
        <v>29601.03</v>
      </c>
      <c r="BY217" s="23">
        <f t="shared" si="1309"/>
        <v>29601.03</v>
      </c>
      <c r="BZ217" s="23">
        <f>+'QTR Raw'!AT63</f>
        <v>30708.49</v>
      </c>
      <c r="CA217" s="23">
        <f t="shared" si="1309"/>
        <v>30708.49</v>
      </c>
      <c r="CB217" s="23">
        <f>+'QTR Raw'!AV63</f>
        <v>33129.24</v>
      </c>
      <c r="CC217" s="23">
        <f t="shared" si="1309"/>
        <v>33129.24</v>
      </c>
      <c r="CD217" s="23">
        <f>+'QTR Raw'!AX63</f>
        <v>37392.25</v>
      </c>
      <c r="CE217" s="23">
        <f t="shared" si="1310"/>
        <v>37392.25</v>
      </c>
      <c r="CF217" s="23">
        <f>+'QTR Raw'!AZ63</f>
        <v>39232.19</v>
      </c>
      <c r="CG217" s="23">
        <f t="shared" si="1311"/>
        <v>39232.19</v>
      </c>
      <c r="CH217" s="23">
        <f t="shared" si="1287"/>
        <v>14237.47</v>
      </c>
      <c r="CI217" s="23">
        <f t="shared" si="1311"/>
        <v>14237.47</v>
      </c>
      <c r="CJ217" s="23">
        <f>+'QTR Raw'!BD63</f>
        <v>52360.08</v>
      </c>
      <c r="CK217" s="23">
        <f t="shared" si="1312"/>
        <v>52360.08</v>
      </c>
      <c r="CL217" s="23">
        <f>+'QTR Raw'!BF63</f>
        <v>61608.57</v>
      </c>
      <c r="CM217" s="24">
        <f t="shared" si="1313"/>
        <v>61608.57</v>
      </c>
      <c r="CN217" s="24">
        <f t="shared" si="1314"/>
        <v>61608.57</v>
      </c>
      <c r="CO217" s="24">
        <f t="shared" si="1315"/>
        <v>61608.57</v>
      </c>
      <c r="CP217" s="24">
        <f t="shared" si="1316"/>
        <v>61608.57</v>
      </c>
      <c r="CQ217" s="24">
        <f t="shared" si="1317"/>
        <v>61608.57</v>
      </c>
      <c r="CR217" s="24">
        <f t="shared" si="1318"/>
        <v>61608.57</v>
      </c>
      <c r="CS217" s="24">
        <f t="shared" si="1319"/>
        <v>61608.57</v>
      </c>
      <c r="CT217" s="24">
        <f t="shared" si="1320"/>
        <v>61608.57</v>
      </c>
      <c r="CU217" s="24">
        <f t="shared" si="1321"/>
        <v>61608.57</v>
      </c>
      <c r="CV217" s="24">
        <f t="shared" si="1322"/>
        <v>61608.57</v>
      </c>
      <c r="CW217" s="24">
        <f t="shared" si="1323"/>
        <v>61608.57</v>
      </c>
      <c r="CX217" s="24">
        <f t="shared" si="1324"/>
        <v>61608.57</v>
      </c>
      <c r="CY217" s="24">
        <f t="shared" si="1325"/>
        <v>61608.57</v>
      </c>
      <c r="CZ217" s="24">
        <f t="shared" si="1326"/>
        <v>61608.57</v>
      </c>
      <c r="DA217" s="24">
        <f t="shared" si="1327"/>
        <v>61608.57</v>
      </c>
      <c r="DB217" s="24">
        <f t="shared" si="1328"/>
        <v>61608.57</v>
      </c>
      <c r="DE217" s="123"/>
      <c r="DF217" s="23">
        <v>52360.08</v>
      </c>
    </row>
    <row r="218" spans="1:110" s="23" customFormat="1" outlineLevel="1" x14ac:dyDescent="0.2">
      <c r="A218" s="23" t="s">
        <v>47</v>
      </c>
      <c r="B218" s="23">
        <f>'Annual Raw'!C87+'Annual Raw'!C88+'Annual Raw'!C89+'Annual Raw'!C90</f>
        <v>0</v>
      </c>
      <c r="C218" s="23">
        <f>'Annual Raw'!D87+'Annual Raw'!D88+'Annual Raw'!D89+'Annual Raw'!D90</f>
        <v>0</v>
      </c>
      <c r="D218" s="23">
        <f>'Annual Raw'!E87+'Annual Raw'!E88+'Annual Raw'!E89+'Annual Raw'!E90</f>
        <v>0</v>
      </c>
      <c r="E218" s="23">
        <f>'Annual Raw'!F87+'Annual Raw'!F88+'Annual Raw'!F89+'Annual Raw'!F90</f>
        <v>0</v>
      </c>
      <c r="F218" s="23">
        <f>'Annual Raw'!G87+'Annual Raw'!G88+'Annual Raw'!G89+'Annual Raw'!G90</f>
        <v>0</v>
      </c>
      <c r="G218" s="23">
        <f>'Annual Raw'!H87+'Annual Raw'!H88+'Annual Raw'!H89+'Annual Raw'!H90</f>
        <v>0</v>
      </c>
      <c r="H218" s="23">
        <f>'Annual Raw'!I87+'Annual Raw'!I88+'Annual Raw'!I89+'Annual Raw'!I90</f>
        <v>0</v>
      </c>
      <c r="I218" s="23">
        <f>'Annual Raw'!J87+'Annual Raw'!J88+'Annual Raw'!J89+'Annual Raw'!J90</f>
        <v>0</v>
      </c>
      <c r="J218" s="23">
        <f>'Annual Raw'!K87+'Annual Raw'!K88+'Annual Raw'!K89+'Annual Raw'!K90</f>
        <v>0</v>
      </c>
      <c r="K218" s="23">
        <f>'Annual Raw'!L87+'Annual Raw'!L88+'Annual Raw'!L89+'Annual Raw'!L90</f>
        <v>0</v>
      </c>
      <c r="L218" s="23">
        <f>'Annual Raw'!M87+'Annual Raw'!M88+'Annual Raw'!M89+'Annual Raw'!M90</f>
        <v>1142.99</v>
      </c>
      <c r="M218" s="23">
        <f>'Annual Raw'!N87+'Annual Raw'!N88+'Annual Raw'!N89+'Annual Raw'!N90</f>
        <v>1939.9699999999998</v>
      </c>
      <c r="N218" s="23">
        <f>'Annual Raw'!O87+'Annual Raw'!O88+'Annual Raw'!O89+'Annual Raw'!O90</f>
        <v>2735.77</v>
      </c>
      <c r="O218" s="23">
        <f>'Annual Raw'!P87+'Annual Raw'!P88+'Annual Raw'!P89+'Annual Raw'!P90</f>
        <v>4995.8200000000006</v>
      </c>
      <c r="P218" s="23">
        <f>'Annual Raw'!Q87+'Annual Raw'!Q88+'Annual Raw'!Q89+'Annual Raw'!Q90</f>
        <v>3627.01</v>
      </c>
      <c r="Q218" s="23">
        <f>'Annual Raw'!R87+'Annual Raw'!R88+'Annual Raw'!R89+'Annual Raw'!R90</f>
        <v>1845.8</v>
      </c>
      <c r="R218" s="23">
        <f>'Annual Raw'!S87+'Annual Raw'!S88+'Annual Raw'!S89+'Annual Raw'!S90</f>
        <v>7392.66</v>
      </c>
      <c r="S218" s="23">
        <f>'Annual Raw'!T87+'Annual Raw'!T88+'Annual Raw'!T89+'Annual Raw'!T90</f>
        <v>7405.65</v>
      </c>
      <c r="T218" s="23">
        <f>'Annual Raw'!U87+'Annual Raw'!U88+'Annual Raw'!U89+'Annual Raw'!U90</f>
        <v>3491.43</v>
      </c>
      <c r="U218" s="23">
        <f>'Annual Raw'!V87+'Annual Raw'!V88+'Annual Raw'!V89+'Annual Raw'!V90</f>
        <v>3836.43</v>
      </c>
      <c r="V218" s="23">
        <f>'Annual Raw'!W87+'Annual Raw'!W88+'Annual Raw'!W89+'Annual Raw'!W90</f>
        <v>4689.67</v>
      </c>
      <c r="W218" s="23">
        <f>'Annual Raw'!X87+'Annual Raw'!X88+'Annual Raw'!X89+'Annual Raw'!X90</f>
        <v>7885.2800000000007</v>
      </c>
      <c r="X218" s="23">
        <f>'Annual Raw'!Y87+'Annual Raw'!Y88+'Annual Raw'!Y89+'Annual Raw'!Y90</f>
        <v>9064.7900000000009</v>
      </c>
      <c r="Y218" s="23">
        <f>'Annual Raw'!Z87+'Annual Raw'!Z88+'Annual Raw'!Z89+'Annual Raw'!Z90</f>
        <v>7088.3499999999995</v>
      </c>
      <c r="Z218" s="23">
        <f>'Annual Raw'!AA87+'Annual Raw'!AA88+'Annual Raw'!AA89+'Annual Raw'!AA90</f>
        <v>9519.6</v>
      </c>
      <c r="AA218" s="23">
        <f>'Annual Raw'!AB87+'Annual Raw'!AB88+'Annual Raw'!AB89+'Annual Raw'!AB90</f>
        <v>6005.46</v>
      </c>
      <c r="AB218" s="24">
        <f t="shared" si="1305"/>
        <v>0</v>
      </c>
      <c r="AC218" s="24">
        <f t="shared" si="1306"/>
        <v>0</v>
      </c>
      <c r="AD218" s="24">
        <f t="shared" si="1307"/>
        <v>0</v>
      </c>
      <c r="AE218" s="24">
        <f t="shared" si="1308"/>
        <v>0</v>
      </c>
      <c r="AJ218" s="23">
        <f>+'QTR Raw'!D90</f>
        <v>0</v>
      </c>
      <c r="AK218" s="23">
        <f t="shared" si="1309"/>
        <v>0</v>
      </c>
      <c r="AL218" s="23">
        <f>+'QTR Raw'!F90</f>
        <v>0</v>
      </c>
      <c r="AM218" s="23">
        <f t="shared" si="1309"/>
        <v>0</v>
      </c>
      <c r="AN218" s="23">
        <f>+'QTR Raw'!H90</f>
        <v>0</v>
      </c>
      <c r="AO218" s="23">
        <f t="shared" si="1309"/>
        <v>0</v>
      </c>
      <c r="AP218" s="23">
        <f>+'QTR Raw'!J90</f>
        <v>0</v>
      </c>
      <c r="AQ218" s="23">
        <f t="shared" si="1309"/>
        <v>0</v>
      </c>
      <c r="AR218" s="23">
        <f>+'QTR Raw'!L90</f>
        <v>0</v>
      </c>
      <c r="AS218" s="23">
        <f t="shared" si="1309"/>
        <v>0</v>
      </c>
      <c r="AT218" s="23">
        <f>+'QTR Raw'!N90</f>
        <v>0</v>
      </c>
      <c r="AU218" s="23">
        <f t="shared" si="1309"/>
        <v>0</v>
      </c>
      <c r="AV218" s="23">
        <f>+'QTR Raw'!P90</f>
        <v>0</v>
      </c>
      <c r="AW218" s="23">
        <f t="shared" si="1309"/>
        <v>0</v>
      </c>
      <c r="AX218" s="23">
        <f>+'QTR Raw'!R90</f>
        <v>0</v>
      </c>
      <c r="AY218" s="23">
        <f t="shared" si="1309"/>
        <v>0</v>
      </c>
      <c r="AZ218" s="23">
        <f>+'QTR Raw'!T90</f>
        <v>0</v>
      </c>
      <c r="BA218" s="23">
        <f t="shared" si="1309"/>
        <v>0</v>
      </c>
      <c r="BB218" s="23">
        <f>+'QTR Raw'!V90</f>
        <v>0</v>
      </c>
      <c r="BC218" s="23">
        <f t="shared" si="1309"/>
        <v>0</v>
      </c>
      <c r="BD218" s="23">
        <f>+'QTR Raw'!X90</f>
        <v>0</v>
      </c>
      <c r="BE218" s="23">
        <f t="shared" si="1309"/>
        <v>0</v>
      </c>
      <c r="BF218" s="23">
        <f>+'QTR Raw'!Z90</f>
        <v>0</v>
      </c>
      <c r="BG218" s="23">
        <f t="shared" si="1309"/>
        <v>0</v>
      </c>
      <c r="BH218" s="22">
        <f>+'QTR Raw'!AB90</f>
        <v>0</v>
      </c>
      <c r="BI218" s="23">
        <f t="shared" si="1309"/>
        <v>0</v>
      </c>
      <c r="BJ218" s="23">
        <f>+'QTR Raw'!AD90</f>
        <v>0</v>
      </c>
      <c r="BK218" s="23">
        <f t="shared" si="1309"/>
        <v>0</v>
      </c>
      <c r="BL218" s="23">
        <f>+'QTR Raw'!AF90</f>
        <v>0</v>
      </c>
      <c r="BM218" s="23">
        <f t="shared" si="1309"/>
        <v>0</v>
      </c>
      <c r="BN218" s="23">
        <f>+'QTR Raw'!AH90</f>
        <v>0</v>
      </c>
      <c r="BO218" s="23">
        <f t="shared" si="1309"/>
        <v>0</v>
      </c>
      <c r="BP218" s="23">
        <f>+'QTR Raw'!AJ90</f>
        <v>0</v>
      </c>
      <c r="BQ218" s="23">
        <f t="shared" si="1309"/>
        <v>0</v>
      </c>
      <c r="BR218" s="23">
        <f>+'QTR Raw'!AL90</f>
        <v>0</v>
      </c>
      <c r="BS218" s="23">
        <f t="shared" si="1309"/>
        <v>0</v>
      </c>
      <c r="BT218" s="23">
        <f>+'QTR Raw'!AN90</f>
        <v>0</v>
      </c>
      <c r="BU218" s="23">
        <f t="shared" si="1309"/>
        <v>0</v>
      </c>
      <c r="BV218" s="23">
        <f>+'QTR Raw'!AP90</f>
        <v>0</v>
      </c>
      <c r="BW218" s="23">
        <f t="shared" si="1309"/>
        <v>0</v>
      </c>
      <c r="BX218" s="23">
        <f>+'QTR Raw'!AR90</f>
        <v>0</v>
      </c>
      <c r="BY218" s="23">
        <f t="shared" si="1309"/>
        <v>0</v>
      </c>
      <c r="BZ218" s="23">
        <f>+'QTR Raw'!AT90</f>
        <v>0</v>
      </c>
      <c r="CA218" s="23">
        <f t="shared" si="1309"/>
        <v>0</v>
      </c>
      <c r="CB218" s="23">
        <f>+'QTR Raw'!AV90</f>
        <v>0</v>
      </c>
      <c r="CC218" s="23">
        <f t="shared" si="1309"/>
        <v>0</v>
      </c>
      <c r="CD218" s="23">
        <f>+'QTR Raw'!AX90</f>
        <v>0</v>
      </c>
      <c r="CE218" s="23">
        <f t="shared" si="1310"/>
        <v>0</v>
      </c>
      <c r="CF218" s="23">
        <f>+'QTR Raw'!AZ90</f>
        <v>0</v>
      </c>
      <c r="CG218" s="23">
        <f t="shared" si="1311"/>
        <v>0</v>
      </c>
      <c r="CH218" s="23">
        <f>+Z218</f>
        <v>9519.6</v>
      </c>
      <c r="CI218" s="23">
        <f t="shared" si="1311"/>
        <v>9519.6</v>
      </c>
      <c r="CJ218" s="23">
        <f>+'QTR Raw'!BD90</f>
        <v>0</v>
      </c>
      <c r="CK218" s="23">
        <f t="shared" si="1312"/>
        <v>0</v>
      </c>
      <c r="CL218" s="23">
        <f>+'QTR Raw'!BF90</f>
        <v>0</v>
      </c>
      <c r="CM218" s="24">
        <f t="shared" si="1313"/>
        <v>0</v>
      </c>
      <c r="CN218" s="24">
        <f t="shared" si="1314"/>
        <v>0</v>
      </c>
      <c r="CO218" s="24">
        <f t="shared" si="1315"/>
        <v>0</v>
      </c>
      <c r="CP218" s="24">
        <f t="shared" si="1316"/>
        <v>0</v>
      </c>
      <c r="CQ218" s="24">
        <f t="shared" si="1317"/>
        <v>0</v>
      </c>
      <c r="CR218" s="24">
        <f t="shared" si="1318"/>
        <v>0</v>
      </c>
      <c r="CS218" s="24">
        <f t="shared" si="1319"/>
        <v>0</v>
      </c>
      <c r="CT218" s="24">
        <f t="shared" si="1320"/>
        <v>0</v>
      </c>
      <c r="CU218" s="24">
        <f t="shared" si="1321"/>
        <v>0</v>
      </c>
      <c r="CV218" s="24">
        <f t="shared" si="1322"/>
        <v>0</v>
      </c>
      <c r="CW218" s="24">
        <f t="shared" si="1323"/>
        <v>0</v>
      </c>
      <c r="CX218" s="24">
        <f t="shared" si="1324"/>
        <v>0</v>
      </c>
      <c r="CY218" s="24">
        <f t="shared" si="1325"/>
        <v>0</v>
      </c>
      <c r="CZ218" s="24">
        <f t="shared" si="1326"/>
        <v>0</v>
      </c>
      <c r="DA218" s="24">
        <f t="shared" si="1327"/>
        <v>0</v>
      </c>
      <c r="DB218" s="24">
        <f t="shared" si="1328"/>
        <v>0</v>
      </c>
      <c r="DE218" s="123"/>
      <c r="DF218" s="23">
        <v>0</v>
      </c>
    </row>
    <row r="219" spans="1:110" s="23" customFormat="1" outlineLevel="1" x14ac:dyDescent="0.2">
      <c r="A219" s="23" t="s">
        <v>48</v>
      </c>
      <c r="B219" s="23">
        <f>'Annual Raw'!C56</f>
        <v>0</v>
      </c>
      <c r="C219" s="23">
        <f>'Annual Raw'!D56</f>
        <v>0</v>
      </c>
      <c r="D219" s="23">
        <f>'Annual Raw'!E56</f>
        <v>0</v>
      </c>
      <c r="E219" s="23">
        <f>'Annual Raw'!F56</f>
        <v>0</v>
      </c>
      <c r="F219" s="23">
        <f>'Annual Raw'!G56</f>
        <v>0</v>
      </c>
      <c r="G219" s="23">
        <f>'Annual Raw'!H56</f>
        <v>0</v>
      </c>
      <c r="H219" s="23">
        <f>'Annual Raw'!I56</f>
        <v>0</v>
      </c>
      <c r="I219" s="23">
        <f>'Annual Raw'!J56</f>
        <v>0</v>
      </c>
      <c r="J219" s="23">
        <f>'Annual Raw'!K56</f>
        <v>0</v>
      </c>
      <c r="K219" s="23">
        <f>'Annual Raw'!L56</f>
        <v>0</v>
      </c>
      <c r="L219" s="23">
        <f>'Annual Raw'!M56</f>
        <v>1619.32</v>
      </c>
      <c r="M219" s="23">
        <f>'Annual Raw'!N56</f>
        <v>2186.7399999999998</v>
      </c>
      <c r="N219" s="23">
        <f>'Annual Raw'!O56</f>
        <v>3547.18</v>
      </c>
      <c r="O219" s="23">
        <f>'Annual Raw'!P56</f>
        <v>4706.78</v>
      </c>
      <c r="P219" s="23">
        <f>'Annual Raw'!Q56</f>
        <v>4586.5600000000004</v>
      </c>
      <c r="Q219" s="23">
        <f>'Annual Raw'!R56</f>
        <v>14588.91</v>
      </c>
      <c r="R219" s="23">
        <f>'Annual Raw'!S56</f>
        <v>16279.79</v>
      </c>
      <c r="S219" s="23">
        <f>'Annual Raw'!T56</f>
        <v>18827.28</v>
      </c>
      <c r="T219" s="23">
        <f>'Annual Raw'!U56</f>
        <v>13875.38</v>
      </c>
      <c r="U219" s="23">
        <f>'Annual Raw'!V56</f>
        <v>11844.36</v>
      </c>
      <c r="V219" s="23">
        <f>'Annual Raw'!W56</f>
        <v>8436.1200000000008</v>
      </c>
      <c r="W219" s="23">
        <f>'Annual Raw'!X56</f>
        <v>6975.02</v>
      </c>
      <c r="X219" s="23">
        <f>'Annual Raw'!Y56</f>
        <v>9201.15</v>
      </c>
      <c r="Y219" s="23">
        <f>'Annual Raw'!Z56</f>
        <v>4999.21</v>
      </c>
      <c r="Z219" s="23">
        <f>'Annual Raw'!AA56</f>
        <v>4496.24</v>
      </c>
      <c r="AA219" s="23">
        <f>'Annual Raw'!AB56</f>
        <v>3508.37</v>
      </c>
      <c r="AB219" s="24">
        <f t="shared" si="1305"/>
        <v>9513.82</v>
      </c>
      <c r="AC219" s="24">
        <f t="shared" si="1306"/>
        <v>9513.82</v>
      </c>
      <c r="AD219" s="24">
        <f t="shared" si="1307"/>
        <v>9513.82</v>
      </c>
      <c r="AE219" s="24">
        <f t="shared" si="1308"/>
        <v>9513.82</v>
      </c>
      <c r="AJ219" s="23">
        <f>+'QTR Raw'!D88</f>
        <v>803.92</v>
      </c>
      <c r="AK219" s="23">
        <f t="shared" si="1309"/>
        <v>803.92</v>
      </c>
      <c r="AL219" s="23">
        <f>+'QTR Raw'!F88</f>
        <v>3547.18</v>
      </c>
      <c r="AM219" s="23">
        <f t="shared" si="1309"/>
        <v>3547.18</v>
      </c>
      <c r="AN219" s="23">
        <f>+'QTR Raw'!H88</f>
        <v>5204.92</v>
      </c>
      <c r="AO219" s="23">
        <f t="shared" si="1309"/>
        <v>5204.92</v>
      </c>
      <c r="AP219" s="23">
        <f>+'QTR Raw'!J88</f>
        <v>4706.78</v>
      </c>
      <c r="AQ219" s="23">
        <f t="shared" si="1309"/>
        <v>4706.78</v>
      </c>
      <c r="AR219" s="23">
        <f>+'QTR Raw'!L88</f>
        <v>4040.01</v>
      </c>
      <c r="AS219" s="23">
        <f t="shared" si="1309"/>
        <v>4040.01</v>
      </c>
      <c r="AT219" s="23">
        <f>+'QTR Raw'!N88</f>
        <v>4586.5600000000004</v>
      </c>
      <c r="AU219" s="23">
        <f t="shared" si="1309"/>
        <v>4586.5600000000004</v>
      </c>
      <c r="AV219" s="23">
        <f>+'QTR Raw'!P88</f>
        <v>3899.64</v>
      </c>
      <c r="AW219" s="23">
        <f t="shared" si="1309"/>
        <v>3899.64</v>
      </c>
      <c r="AX219" s="23">
        <f>+'QTR Raw'!R88</f>
        <v>14588.91</v>
      </c>
      <c r="AY219" s="23">
        <f t="shared" si="1309"/>
        <v>14588.91</v>
      </c>
      <c r="AZ219" s="23">
        <f>+'QTR Raw'!T88</f>
        <v>15536.97</v>
      </c>
      <c r="BA219" s="23">
        <f t="shared" si="1309"/>
        <v>15536.97</v>
      </c>
      <c r="BB219" s="23">
        <f>+'QTR Raw'!V88</f>
        <v>16279.79</v>
      </c>
      <c r="BC219" s="23">
        <f t="shared" si="1309"/>
        <v>16279.79</v>
      </c>
      <c r="BD219" s="23">
        <f>+'QTR Raw'!X88</f>
        <v>20071.75</v>
      </c>
      <c r="BE219" s="23">
        <f t="shared" si="1309"/>
        <v>20071.75</v>
      </c>
      <c r="BF219" s="23">
        <f>+'QTR Raw'!Z88</f>
        <v>18827.28</v>
      </c>
      <c r="BG219" s="23">
        <f t="shared" si="1309"/>
        <v>18827.28</v>
      </c>
      <c r="BH219" s="23">
        <f>+'QTR Raw'!AB88</f>
        <v>17000.990000000002</v>
      </c>
      <c r="BI219" s="23">
        <f t="shared" si="1309"/>
        <v>17000.990000000002</v>
      </c>
      <c r="BJ219" s="23">
        <f>+'QTR Raw'!AD88</f>
        <v>13875.38</v>
      </c>
      <c r="BK219" s="23">
        <f t="shared" si="1309"/>
        <v>13875.38</v>
      </c>
      <c r="BL219" s="23">
        <f>+'QTR Raw'!AF88</f>
        <v>12751.46</v>
      </c>
      <c r="BM219" s="23">
        <f t="shared" si="1309"/>
        <v>12751.46</v>
      </c>
      <c r="BN219" s="23">
        <f>+'QTR Raw'!AH88</f>
        <v>11844.36</v>
      </c>
      <c r="BO219" s="23">
        <f t="shared" si="1309"/>
        <v>11844.36</v>
      </c>
      <c r="BP219" s="23">
        <f>+'QTR Raw'!AJ88</f>
        <v>7745.75</v>
      </c>
      <c r="BQ219" s="23">
        <f t="shared" si="1309"/>
        <v>7745.75</v>
      </c>
      <c r="BR219" s="23">
        <f>+'QTR Raw'!AL88</f>
        <v>13125.79</v>
      </c>
      <c r="BS219" s="23">
        <f t="shared" si="1309"/>
        <v>13125.79</v>
      </c>
      <c r="BT219" s="23">
        <f>+'QTR Raw'!AN88</f>
        <v>17658.29</v>
      </c>
      <c r="BU219" s="23">
        <f t="shared" si="1309"/>
        <v>17658.29</v>
      </c>
      <c r="BV219" s="23">
        <f>+'QTR Raw'!AP88</f>
        <v>14860.3</v>
      </c>
      <c r="BW219" s="23">
        <f t="shared" si="1309"/>
        <v>14860.3</v>
      </c>
      <c r="BX219" s="23">
        <f>+'QTR Raw'!AR88</f>
        <v>19934.27</v>
      </c>
      <c r="BY219" s="23">
        <f t="shared" si="1309"/>
        <v>19934.27</v>
      </c>
      <c r="BZ219" s="23">
        <f>+'QTR Raw'!AT88</f>
        <v>18265.939999999999</v>
      </c>
      <c r="CA219" s="23">
        <f t="shared" si="1309"/>
        <v>18265.939999999999</v>
      </c>
      <c r="CB219" s="23">
        <f>+'QTR Raw'!AV88</f>
        <v>15228.85</v>
      </c>
      <c r="CC219" s="23">
        <f t="shared" si="1309"/>
        <v>15228.85</v>
      </c>
      <c r="CD219" s="23">
        <f>+'QTR Raw'!AX88</f>
        <v>12087.56</v>
      </c>
      <c r="CE219" s="23">
        <f t="shared" si="1310"/>
        <v>12087.56</v>
      </c>
      <c r="CF219" s="23">
        <f>+'QTR Raw'!AZ88</f>
        <v>14759.49</v>
      </c>
      <c r="CG219" s="23">
        <f t="shared" si="1311"/>
        <v>14759.49</v>
      </c>
      <c r="CH219" s="23">
        <f t="shared" si="1287"/>
        <v>4496.24</v>
      </c>
      <c r="CI219" s="23">
        <f t="shared" si="1311"/>
        <v>4496.24</v>
      </c>
      <c r="CJ219" s="23">
        <f>+'QTR Raw'!BD88</f>
        <v>12783.42</v>
      </c>
      <c r="CK219" s="23">
        <f t="shared" si="1312"/>
        <v>12783.42</v>
      </c>
      <c r="CL219" s="23">
        <f>+'QTR Raw'!BF88</f>
        <v>9513.82</v>
      </c>
      <c r="CM219" s="24">
        <f t="shared" si="1313"/>
        <v>9513.82</v>
      </c>
      <c r="CN219" s="24">
        <f t="shared" si="1314"/>
        <v>9513.82</v>
      </c>
      <c r="CO219" s="24">
        <f t="shared" si="1315"/>
        <v>9513.82</v>
      </c>
      <c r="CP219" s="24">
        <f t="shared" si="1316"/>
        <v>9513.82</v>
      </c>
      <c r="CQ219" s="24">
        <f t="shared" si="1317"/>
        <v>9513.82</v>
      </c>
      <c r="CR219" s="24">
        <f t="shared" si="1318"/>
        <v>9513.82</v>
      </c>
      <c r="CS219" s="24">
        <f t="shared" si="1319"/>
        <v>9513.82</v>
      </c>
      <c r="CT219" s="24">
        <f t="shared" si="1320"/>
        <v>9513.82</v>
      </c>
      <c r="CU219" s="24">
        <f t="shared" si="1321"/>
        <v>9513.82</v>
      </c>
      <c r="CV219" s="24">
        <f t="shared" si="1322"/>
        <v>9513.82</v>
      </c>
      <c r="CW219" s="24">
        <f t="shared" si="1323"/>
        <v>9513.82</v>
      </c>
      <c r="CX219" s="24">
        <f t="shared" si="1324"/>
        <v>9513.82</v>
      </c>
      <c r="CY219" s="24">
        <f t="shared" si="1325"/>
        <v>9513.82</v>
      </c>
      <c r="CZ219" s="24">
        <f t="shared" si="1326"/>
        <v>9513.82</v>
      </c>
      <c r="DA219" s="24">
        <f t="shared" si="1327"/>
        <v>9513.82</v>
      </c>
      <c r="DB219" s="24">
        <f t="shared" si="1328"/>
        <v>9513.82</v>
      </c>
      <c r="DE219" s="123"/>
      <c r="DF219" s="23">
        <v>12783.42</v>
      </c>
    </row>
    <row r="220" spans="1:110" s="22" customFormat="1" x14ac:dyDescent="0.2">
      <c r="A220" s="22" t="s">
        <v>49</v>
      </c>
      <c r="B220" s="22">
        <f>SUM(B216:B219)</f>
        <v>2597.8855748999999</v>
      </c>
      <c r="C220" s="22">
        <f t="shared" ref="C220:V220" si="1329">SUM(C216:C219)</f>
        <v>2806.75</v>
      </c>
      <c r="D220" s="22">
        <f t="shared" si="1329"/>
        <v>2750.69</v>
      </c>
      <c r="E220" s="22">
        <f t="shared" si="1329"/>
        <v>2094.29</v>
      </c>
      <c r="F220" s="22">
        <f t="shared" si="1329"/>
        <v>3755.77</v>
      </c>
      <c r="G220" s="22">
        <f t="shared" si="1329"/>
        <v>4228.4699999999993</v>
      </c>
      <c r="H220" s="22">
        <f t="shared" si="1329"/>
        <v>5178.4400000000005</v>
      </c>
      <c r="I220" s="22">
        <f t="shared" si="1329"/>
        <v>9160.16</v>
      </c>
      <c r="J220" s="22">
        <f t="shared" si="1329"/>
        <v>14241.18</v>
      </c>
      <c r="K220" s="22">
        <f t="shared" si="1329"/>
        <v>18545.669999999998</v>
      </c>
      <c r="L220" s="22">
        <f t="shared" si="1329"/>
        <v>24742.140000000003</v>
      </c>
      <c r="M220" s="22">
        <f t="shared" si="1329"/>
        <v>35359.82</v>
      </c>
      <c r="N220" s="22">
        <f t="shared" si="1329"/>
        <v>39382.289999999994</v>
      </c>
      <c r="O220" s="22">
        <f t="shared" si="1329"/>
        <v>41672.54</v>
      </c>
      <c r="P220" s="22">
        <f t="shared" si="1329"/>
        <v>42106.700000000004</v>
      </c>
      <c r="Q220" s="22">
        <f t="shared" si="1329"/>
        <v>40348.589999999997</v>
      </c>
      <c r="R220" s="22">
        <f t="shared" si="1329"/>
        <v>50315.409999999996</v>
      </c>
      <c r="S220" s="22">
        <f t="shared" si="1329"/>
        <v>50089.24</v>
      </c>
      <c r="T220" s="22">
        <f t="shared" si="1329"/>
        <v>50006.039999999994</v>
      </c>
      <c r="U220" s="22">
        <f t="shared" si="1329"/>
        <v>49875.93</v>
      </c>
      <c r="V220" s="22">
        <f t="shared" si="1329"/>
        <v>44670.640000000007</v>
      </c>
      <c r="W220" s="22">
        <f t="shared" ref="W220" si="1330">SUM(W216:W219)</f>
        <v>47590</v>
      </c>
      <c r="X220" s="22">
        <f t="shared" ref="X220:Y220" si="1331">SUM(X216:X219)</f>
        <v>48974.43</v>
      </c>
      <c r="Y220" s="22">
        <f t="shared" si="1331"/>
        <v>49479.81</v>
      </c>
      <c r="Z220" s="22">
        <f t="shared" ref="Z220:AA220" si="1332">SUM(Z216:Z219)</f>
        <v>58145.56</v>
      </c>
      <c r="AA220" s="22">
        <f t="shared" si="1332"/>
        <v>71122.399999999994</v>
      </c>
      <c r="AB220" s="21">
        <f t="shared" ref="AA220:AD220" si="1333">SUM(AB216:AB219)</f>
        <v>71122.39</v>
      </c>
      <c r="AC220" s="21">
        <f t="shared" si="1333"/>
        <v>71122.39</v>
      </c>
      <c r="AD220" s="21">
        <f t="shared" si="1333"/>
        <v>71122.39</v>
      </c>
      <c r="AE220" s="21">
        <f t="shared" ref="AE220" si="1334">SUM(AE216:AE219)</f>
        <v>71122.39</v>
      </c>
      <c r="AJ220" s="22">
        <f t="shared" ref="AJ220" si="1335">SUM(AJ216:AJ219)</f>
        <v>10744.63</v>
      </c>
      <c r="AK220" s="22">
        <f t="shared" ref="AK220" si="1336">SUM(AK216:AK219)</f>
        <v>10744.63</v>
      </c>
      <c r="AL220" s="22">
        <f t="shared" ref="AL220:AM220" si="1337">SUM(AL216:AL219)</f>
        <v>36646.519999999997</v>
      </c>
      <c r="AM220" s="22">
        <f t="shared" si="1337"/>
        <v>36646.519999999997</v>
      </c>
      <c r="AN220" s="22">
        <f t="shared" ref="AN220:AO220" si="1338">SUM(AN216:AN219)</f>
        <v>39547.159999999996</v>
      </c>
      <c r="AO220" s="22">
        <f t="shared" si="1338"/>
        <v>39547.159999999996</v>
      </c>
      <c r="AP220" s="22">
        <f t="shared" ref="AP220:CE220" si="1339">SUM(AP216:AP219)</f>
        <v>36676.720000000001</v>
      </c>
      <c r="AQ220" s="22">
        <f t="shared" si="1339"/>
        <v>36676.720000000001</v>
      </c>
      <c r="AR220" s="22">
        <f t="shared" si="1339"/>
        <v>39056.61</v>
      </c>
      <c r="AS220" s="22">
        <f t="shared" si="1339"/>
        <v>39056.61</v>
      </c>
      <c r="AT220" s="22">
        <f t="shared" si="1339"/>
        <v>38479.689999999995</v>
      </c>
      <c r="AU220" s="22">
        <f t="shared" si="1339"/>
        <v>38479.689999999995</v>
      </c>
      <c r="AV220" s="22">
        <f t="shared" si="1339"/>
        <v>36314.300000000003</v>
      </c>
      <c r="AW220" s="22">
        <f t="shared" si="1339"/>
        <v>36314.300000000003</v>
      </c>
      <c r="AX220" s="22">
        <f t="shared" si="1339"/>
        <v>37002.79</v>
      </c>
      <c r="AY220" s="22">
        <f t="shared" si="1339"/>
        <v>37002.79</v>
      </c>
      <c r="AZ220" s="22">
        <f t="shared" si="1339"/>
        <v>42148.67</v>
      </c>
      <c r="BA220" s="22">
        <f t="shared" si="1339"/>
        <v>42148.67</v>
      </c>
      <c r="BB220" s="22">
        <f t="shared" si="1339"/>
        <v>41422.75</v>
      </c>
      <c r="BC220" s="22">
        <f t="shared" si="1339"/>
        <v>41422.75</v>
      </c>
      <c r="BD220" s="22">
        <f t="shared" si="1339"/>
        <v>39613.71</v>
      </c>
      <c r="BE220" s="22">
        <f t="shared" si="1339"/>
        <v>39613.71</v>
      </c>
      <c r="BF220" s="22">
        <f t="shared" si="1339"/>
        <v>41183.589999999997</v>
      </c>
      <c r="BG220" s="22">
        <f t="shared" si="1339"/>
        <v>41183.589999999997</v>
      </c>
      <c r="BH220" s="22">
        <f t="shared" ref="BH220" si="1340">SUM(BH216:BH219)</f>
        <v>45052.83</v>
      </c>
      <c r="BI220" s="22">
        <f t="shared" si="1339"/>
        <v>45052.83</v>
      </c>
      <c r="BJ220" s="22">
        <f t="shared" si="1339"/>
        <v>45014.61</v>
      </c>
      <c r="BK220" s="22">
        <f t="shared" si="1339"/>
        <v>45014.61</v>
      </c>
      <c r="BL220" s="22">
        <f t="shared" si="1339"/>
        <v>44907.25</v>
      </c>
      <c r="BM220" s="22">
        <f t="shared" si="1339"/>
        <v>44907.25</v>
      </c>
      <c r="BN220" s="22">
        <f t="shared" si="1339"/>
        <v>44539.5</v>
      </c>
      <c r="BO220" s="22">
        <f t="shared" si="1339"/>
        <v>44539.5</v>
      </c>
      <c r="BP220" s="22">
        <f t="shared" si="1339"/>
        <v>40482.71</v>
      </c>
      <c r="BQ220" s="22">
        <f t="shared" si="1339"/>
        <v>40482.71</v>
      </c>
      <c r="BR220" s="22">
        <f t="shared" si="1339"/>
        <v>43170.64</v>
      </c>
      <c r="BS220" s="22">
        <f t="shared" si="1339"/>
        <v>43170.64</v>
      </c>
      <c r="BT220" s="22">
        <f t="shared" si="1339"/>
        <v>45512.03</v>
      </c>
      <c r="BU220" s="22">
        <f t="shared" si="1339"/>
        <v>45512.03</v>
      </c>
      <c r="BV220" s="22">
        <f t="shared" si="1339"/>
        <v>47590</v>
      </c>
      <c r="BW220" s="22">
        <f t="shared" si="1339"/>
        <v>47590</v>
      </c>
      <c r="BX220" s="22">
        <f t="shared" si="1339"/>
        <v>49535.3</v>
      </c>
      <c r="BY220" s="22">
        <f t="shared" si="1339"/>
        <v>49535.3</v>
      </c>
      <c r="BZ220" s="22">
        <f t="shared" si="1339"/>
        <v>48974.43</v>
      </c>
      <c r="CA220" s="22">
        <f t="shared" si="1339"/>
        <v>48974.43</v>
      </c>
      <c r="CB220" s="22">
        <f t="shared" si="1339"/>
        <v>48358.09</v>
      </c>
      <c r="CC220" s="22">
        <f t="shared" si="1339"/>
        <v>48358.09</v>
      </c>
      <c r="CD220" s="22">
        <f t="shared" si="1339"/>
        <v>49479.81</v>
      </c>
      <c r="CE220" s="22">
        <f t="shared" si="1339"/>
        <v>49479.81</v>
      </c>
      <c r="CF220" s="22">
        <f t="shared" ref="CF220:CG220" si="1341">SUM(CF216:CF219)</f>
        <v>53991.68</v>
      </c>
      <c r="CG220" s="22">
        <f t="shared" si="1341"/>
        <v>53991.68</v>
      </c>
      <c r="CH220" s="22">
        <f t="shared" ref="CH220:CI220" si="1342">SUM(CH216:CH219)</f>
        <v>58145.56</v>
      </c>
      <c r="CI220" s="22">
        <f t="shared" si="1342"/>
        <v>58145.56</v>
      </c>
      <c r="CJ220" s="22">
        <f t="shared" ref="CJ220:DB220" si="1343">SUM(CJ216:CJ219)</f>
        <v>65143.5</v>
      </c>
      <c r="CK220" s="22">
        <f t="shared" si="1343"/>
        <v>65143.5</v>
      </c>
      <c r="CL220" s="22">
        <f t="shared" ref="CL220" si="1344">SUM(CL216:CL219)</f>
        <v>71122.39</v>
      </c>
      <c r="CM220" s="21">
        <f t="shared" si="1343"/>
        <v>71122.39</v>
      </c>
      <c r="CN220" s="21">
        <f t="shared" si="1343"/>
        <v>71122.39</v>
      </c>
      <c r="CO220" s="21">
        <f t="shared" si="1343"/>
        <v>71122.39</v>
      </c>
      <c r="CP220" s="21">
        <f t="shared" si="1343"/>
        <v>71122.39</v>
      </c>
      <c r="CQ220" s="21">
        <f t="shared" si="1343"/>
        <v>71122.39</v>
      </c>
      <c r="CR220" s="21">
        <f t="shared" si="1343"/>
        <v>71122.39</v>
      </c>
      <c r="CS220" s="21">
        <f t="shared" si="1343"/>
        <v>71122.39</v>
      </c>
      <c r="CT220" s="21">
        <f t="shared" si="1343"/>
        <v>71122.39</v>
      </c>
      <c r="CU220" s="21">
        <f t="shared" si="1343"/>
        <v>71122.39</v>
      </c>
      <c r="CV220" s="21">
        <f t="shared" si="1343"/>
        <v>71122.39</v>
      </c>
      <c r="CW220" s="21">
        <f t="shared" si="1343"/>
        <v>71122.39</v>
      </c>
      <c r="CX220" s="21">
        <f t="shared" si="1343"/>
        <v>71122.39</v>
      </c>
      <c r="CY220" s="21">
        <f t="shared" si="1343"/>
        <v>71122.39</v>
      </c>
      <c r="CZ220" s="21">
        <f t="shared" si="1343"/>
        <v>71122.39</v>
      </c>
      <c r="DA220" s="21">
        <f t="shared" si="1343"/>
        <v>71122.39</v>
      </c>
      <c r="DB220" s="21">
        <f t="shared" si="1343"/>
        <v>71122.39</v>
      </c>
      <c r="DE220" s="126"/>
      <c r="DF220" s="22">
        <v>65143.5</v>
      </c>
    </row>
    <row r="221" spans="1:110" s="26" customFormat="1" x14ac:dyDescent="0.2">
      <c r="A221" s="26" t="s">
        <v>437</v>
      </c>
      <c r="B221" s="26">
        <f>B220+B212+B214</f>
        <v>6465.9502897000002</v>
      </c>
      <c r="C221" s="26">
        <f t="shared" ref="C221:V221" si="1345">C220+C212+C214</f>
        <v>7042.15</v>
      </c>
      <c r="D221" s="26">
        <f>D220+D212+D214</f>
        <v>7228.93</v>
      </c>
      <c r="E221" s="26">
        <f t="shared" si="1345"/>
        <v>6894.55</v>
      </c>
      <c r="F221" s="26">
        <f t="shared" si="1345"/>
        <v>8772.59</v>
      </c>
      <c r="G221" s="26">
        <f t="shared" si="1345"/>
        <v>9917.1299999999992</v>
      </c>
      <c r="H221" s="26">
        <f t="shared" si="1345"/>
        <v>11451.700000000003</v>
      </c>
      <c r="I221" s="26">
        <f t="shared" si="1345"/>
        <v>18311.149999999998</v>
      </c>
      <c r="J221" s="26">
        <f t="shared" si="1345"/>
        <v>24548.429999999997</v>
      </c>
      <c r="K221" s="26">
        <f t="shared" si="1345"/>
        <v>32063.279999999999</v>
      </c>
      <c r="L221" s="26">
        <f t="shared" si="1345"/>
        <v>40183.170000000006</v>
      </c>
      <c r="M221" s="26">
        <f t="shared" si="1345"/>
        <v>49665.469999999994</v>
      </c>
      <c r="N221" s="26">
        <f t="shared" si="1345"/>
        <v>53782.679999999993</v>
      </c>
      <c r="O221" s="26">
        <f t="shared" si="1345"/>
        <v>56346.92</v>
      </c>
      <c r="P221" s="26">
        <f t="shared" si="1345"/>
        <v>58918.180000000008</v>
      </c>
      <c r="Q221" s="26">
        <f t="shared" si="1345"/>
        <v>53731.779999999992</v>
      </c>
      <c r="R221" s="26">
        <f t="shared" si="1345"/>
        <v>65398.94999999999</v>
      </c>
      <c r="S221" s="26">
        <f t="shared" si="1345"/>
        <v>67004.409999999989</v>
      </c>
      <c r="T221" s="26">
        <f t="shared" si="1345"/>
        <v>68978.209999999992</v>
      </c>
      <c r="U221" s="26">
        <f t="shared" si="1345"/>
        <v>70273.989999999991</v>
      </c>
      <c r="V221" s="26">
        <f t="shared" si="1345"/>
        <v>68420.200000000012</v>
      </c>
      <c r="W221" s="26">
        <f t="shared" ref="W221" si="1346">W220+W212+W214</f>
        <v>73618.459999999992</v>
      </c>
      <c r="X221" s="26">
        <f t="shared" ref="X221:Y221" si="1347">X220+X212+X214</f>
        <v>83178.55</v>
      </c>
      <c r="Y221" s="26">
        <f t="shared" si="1347"/>
        <v>87812.58</v>
      </c>
      <c r="Z221" s="26">
        <f t="shared" ref="Z221:AA221" si="1348">Z220+Z212+Z214</f>
        <v>100751.6</v>
      </c>
      <c r="AA221" s="26">
        <f t="shared" si="1348"/>
        <v>118660.46999999999</v>
      </c>
      <c r="AB221" s="27">
        <f t="shared" ref="AA221:AD221" si="1349">AB220+AB212+AB214</f>
        <v>124474.39067190104</v>
      </c>
      <c r="AC221" s="27">
        <f t="shared" si="1349"/>
        <v>130232.12094991146</v>
      </c>
      <c r="AD221" s="27">
        <f t="shared" si="1349"/>
        <v>136701.82177786165</v>
      </c>
      <c r="AE221" s="27">
        <f t="shared" ref="AE221" si="1350">AE220+AE212+AE214</f>
        <v>144238.87404660392</v>
      </c>
      <c r="AJ221" s="26">
        <f t="shared" ref="AJ221" si="1351">AJ220+AJ212+AJ214</f>
        <v>23145.98</v>
      </c>
      <c r="AK221" s="26">
        <f t="shared" ref="AK221" si="1352">AK220+AK212+AK214</f>
        <v>22817.059999999998</v>
      </c>
      <c r="AL221" s="26">
        <f t="shared" ref="AL221" si="1353">AL220+AL212+AL214</f>
        <v>51046.909999999996</v>
      </c>
      <c r="AM221" s="26">
        <f t="shared" ref="AM221:AO221" si="1354">AM220+AM212+AM214</f>
        <v>50932.21</v>
      </c>
      <c r="AN221" s="26">
        <f t="shared" si="1354"/>
        <v>54760.009999999995</v>
      </c>
      <c r="AO221" s="26">
        <f t="shared" si="1354"/>
        <v>54685.099999999991</v>
      </c>
      <c r="AP221" s="26">
        <f t="shared" ref="AP221:CE221" si="1355">AP220+AP212+AP214</f>
        <v>51351.1</v>
      </c>
      <c r="AQ221" s="26">
        <f t="shared" si="1355"/>
        <v>51239.8</v>
      </c>
      <c r="AR221" s="26">
        <f t="shared" si="1355"/>
        <v>54088.3</v>
      </c>
      <c r="AS221" s="26">
        <f t="shared" si="1355"/>
        <v>54286.04</v>
      </c>
      <c r="AT221" s="26">
        <f t="shared" si="1355"/>
        <v>55291.17</v>
      </c>
      <c r="AU221" s="26">
        <f t="shared" si="1355"/>
        <v>55594.31</v>
      </c>
      <c r="AV221" s="26">
        <f t="shared" si="1355"/>
        <v>53824.09</v>
      </c>
      <c r="AW221" s="26">
        <f t="shared" si="1355"/>
        <v>54257.340000000011</v>
      </c>
      <c r="AX221" s="26">
        <f t="shared" si="1355"/>
        <v>51885.979999999996</v>
      </c>
      <c r="AY221" s="26">
        <f t="shared" si="1355"/>
        <v>51958.47</v>
      </c>
      <c r="AZ221" s="26">
        <f t="shared" si="1355"/>
        <v>60394.98</v>
      </c>
      <c r="BA221" s="26">
        <f t="shared" si="1355"/>
        <v>61014.21</v>
      </c>
      <c r="BB221" s="26">
        <f t="shared" si="1355"/>
        <v>58006.29</v>
      </c>
      <c r="BC221" s="26">
        <f t="shared" si="1355"/>
        <v>58355.06</v>
      </c>
      <c r="BD221" s="26">
        <f t="shared" si="1355"/>
        <v>55991.18</v>
      </c>
      <c r="BE221" s="26">
        <f t="shared" si="1355"/>
        <v>56581.99</v>
      </c>
      <c r="BF221" s="26">
        <f t="shared" si="1355"/>
        <v>59598.759999999995</v>
      </c>
      <c r="BG221" s="26">
        <f t="shared" si="1355"/>
        <v>61269.67</v>
      </c>
      <c r="BH221" s="26">
        <f t="shared" ref="BH221" si="1356">BH220+BH212+BH214</f>
        <v>65645.36</v>
      </c>
      <c r="BI221" s="26">
        <f t="shared" si="1355"/>
        <v>65787.22</v>
      </c>
      <c r="BJ221" s="26">
        <f t="shared" si="1355"/>
        <v>65486.78</v>
      </c>
      <c r="BK221" s="26">
        <f t="shared" si="1355"/>
        <v>65650.33</v>
      </c>
      <c r="BL221" s="26">
        <f t="shared" si="1355"/>
        <v>65389.73</v>
      </c>
      <c r="BM221" s="26">
        <f t="shared" si="1355"/>
        <v>65583.049999999988</v>
      </c>
      <c r="BN221" s="26">
        <f t="shared" si="1355"/>
        <v>66437.56</v>
      </c>
      <c r="BO221" s="26">
        <f t="shared" si="1355"/>
        <v>66644.179999999993</v>
      </c>
      <c r="BP221" s="26">
        <f t="shared" si="1355"/>
        <v>64779.090000000004</v>
      </c>
      <c r="BQ221" s="26">
        <f t="shared" si="1355"/>
        <v>65027.299999999996</v>
      </c>
      <c r="BR221" s="26">
        <f t="shared" si="1355"/>
        <v>68420.2</v>
      </c>
      <c r="BS221" s="26">
        <f t="shared" si="1355"/>
        <v>68811.23</v>
      </c>
      <c r="BT221" s="26">
        <f t="shared" si="1355"/>
        <v>69937.37</v>
      </c>
      <c r="BU221" s="26">
        <f t="shared" si="1355"/>
        <v>70363.179999999993</v>
      </c>
      <c r="BV221" s="26">
        <f t="shared" si="1355"/>
        <v>73618.459999999992</v>
      </c>
      <c r="BW221" s="26">
        <f t="shared" si="1355"/>
        <v>74413.06</v>
      </c>
      <c r="BX221" s="26">
        <f t="shared" si="1355"/>
        <v>79416.340000000011</v>
      </c>
      <c r="BY221" s="26">
        <f t="shared" si="1355"/>
        <v>80361.36</v>
      </c>
      <c r="BZ221" s="26">
        <f t="shared" si="1355"/>
        <v>83178.55</v>
      </c>
      <c r="CA221" s="26">
        <f t="shared" si="1355"/>
        <v>84151.040000000008</v>
      </c>
      <c r="CB221" s="26">
        <f t="shared" si="1355"/>
        <v>84172.12</v>
      </c>
      <c r="CC221" s="26">
        <f t="shared" si="1355"/>
        <v>85125.13</v>
      </c>
      <c r="CD221" s="26">
        <f t="shared" si="1355"/>
        <v>87812.58</v>
      </c>
      <c r="CE221" s="26">
        <f t="shared" si="1355"/>
        <v>88783.619999999981</v>
      </c>
      <c r="CF221" s="26">
        <f t="shared" ref="CF221:CG221" si="1357">CF220+CF212+CF214</f>
        <v>93904.55</v>
      </c>
      <c r="CG221" s="26">
        <f t="shared" si="1357"/>
        <v>94935.250000000015</v>
      </c>
      <c r="CH221" s="26">
        <f t="shared" ref="CH221:CI221" si="1358">CH220+CH212+CH214</f>
        <v>100751.6</v>
      </c>
      <c r="CI221" s="26">
        <f t="shared" si="1358"/>
        <v>101812.26999999999</v>
      </c>
      <c r="CJ221" s="26">
        <f t="shared" ref="CJ221:DB221" si="1359">CJ220+CJ212+CJ214</f>
        <v>109887.03999999999</v>
      </c>
      <c r="CK221" s="26">
        <f t="shared" si="1359"/>
        <v>110659.02</v>
      </c>
      <c r="CL221" s="26">
        <f t="shared" ref="CL221" si="1360">CL220+CL212+CL214</f>
        <v>118660.46</v>
      </c>
      <c r="CM221" s="27">
        <f t="shared" si="1359"/>
        <v>119747.2731274762</v>
      </c>
      <c r="CN221" s="27">
        <f t="shared" si="1359"/>
        <v>121550.93665521751</v>
      </c>
      <c r="CO221" s="27">
        <f t="shared" si="1359"/>
        <v>122993.95585496798</v>
      </c>
      <c r="CP221" s="27">
        <f t="shared" si="1359"/>
        <v>124474.39067190104</v>
      </c>
      <c r="CQ221" s="27">
        <f t="shared" si="1359"/>
        <v>125923.8653341091</v>
      </c>
      <c r="CR221" s="27">
        <f t="shared" si="1359"/>
        <v>127578.16217932946</v>
      </c>
      <c r="CS221" s="27">
        <f t="shared" si="1359"/>
        <v>128829.91710030743</v>
      </c>
      <c r="CT221" s="27">
        <f t="shared" si="1359"/>
        <v>130232.12094991146</v>
      </c>
      <c r="CU221" s="27">
        <f t="shared" si="1359"/>
        <v>131837.36563746724</v>
      </c>
      <c r="CV221" s="27">
        <f t="shared" si="1359"/>
        <v>133654.83422962675</v>
      </c>
      <c r="CW221" s="27">
        <f t="shared" si="1359"/>
        <v>135075.8870909136</v>
      </c>
      <c r="CX221" s="27">
        <f t="shared" si="1359"/>
        <v>136701.82177786165</v>
      </c>
      <c r="CY221" s="27">
        <f t="shared" si="1359"/>
        <v>138566.7747260106</v>
      </c>
      <c r="CZ221" s="27">
        <f t="shared" si="1359"/>
        <v>140660.46129311551</v>
      </c>
      <c r="DA221" s="27">
        <f t="shared" si="1359"/>
        <v>142336.69786387021</v>
      </c>
      <c r="DB221" s="27">
        <f t="shared" si="1359"/>
        <v>144238.87404660392</v>
      </c>
      <c r="DE221" s="121"/>
      <c r="DF221" s="26">
        <v>111850.31856058544</v>
      </c>
    </row>
    <row r="222" spans="1:110" s="23" customFormat="1" x14ac:dyDescent="0.2">
      <c r="AB222" s="24"/>
      <c r="AC222" s="24"/>
      <c r="AD222" s="24"/>
      <c r="AE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E222" s="123"/>
    </row>
    <row r="223" spans="1:110" s="23" customFormat="1" outlineLevel="1" x14ac:dyDescent="0.2">
      <c r="A223" s="23" t="s">
        <v>50</v>
      </c>
      <c r="B223" s="23">
        <f>'Annual Raw'!C62</f>
        <v>4397.4233486000003</v>
      </c>
      <c r="C223" s="23">
        <f>'Annual Raw'!D62</f>
        <v>5205.3999999999996</v>
      </c>
      <c r="D223" s="23">
        <f>'Annual Raw'!E62</f>
        <v>6285.34</v>
      </c>
      <c r="E223" s="23">
        <f>'Annual Raw'!F62-E227</f>
        <v>6471.7000000000007</v>
      </c>
      <c r="F223" s="23">
        <f>'Annual Raw'!G62-F227</f>
        <v>6408.82</v>
      </c>
      <c r="G223" s="23">
        <f>'Annual Raw'!H62-G227</f>
        <v>6920.18</v>
      </c>
      <c r="H223" s="23">
        <f>'Annual Raw'!I62-H227</f>
        <v>8881.52</v>
      </c>
      <c r="I223" s="23">
        <f>'Annual Raw'!J62-I227</f>
        <v>12344.929999999998</v>
      </c>
      <c r="J223" s="23">
        <f>'Annual Raw'!K62-J227</f>
        <v>16208.26</v>
      </c>
      <c r="K223" s="23">
        <f>'Annual Raw'!L62-K227</f>
        <v>18228.009999999998</v>
      </c>
      <c r="L223" s="23">
        <f>'Annual Raw'!M62-L227</f>
        <v>20138.809999999998</v>
      </c>
      <c r="M223" s="23">
        <f>'Annual Raw'!N62-M227</f>
        <v>33411.83</v>
      </c>
      <c r="N223" s="23">
        <f>'Annual Raw'!O62-N227</f>
        <v>50468.71</v>
      </c>
      <c r="O223" s="23">
        <f>'Annual Raw'!P62-O227</f>
        <v>55034.52</v>
      </c>
      <c r="P223" s="23">
        <f>'Annual Raw'!Q62-P227</f>
        <v>58298.82</v>
      </c>
      <c r="Q223" s="23">
        <f>'Annual Raw'!R62-Q227</f>
        <v>47661.74</v>
      </c>
      <c r="R223" s="23">
        <f>'Annual Raw'!S62-R227</f>
        <v>57975.16</v>
      </c>
      <c r="S223" s="23">
        <f>'Annual Raw'!T62-S227</f>
        <v>58354.400000000001</v>
      </c>
      <c r="T223" s="23">
        <f>'Annual Raw'!U62-T227</f>
        <v>59971.39</v>
      </c>
      <c r="U223" s="23">
        <f>'Annual Raw'!V62-U227</f>
        <v>65422.799999999996</v>
      </c>
      <c r="V223" s="23">
        <f>'Annual Raw'!W62-V227</f>
        <v>72360.969999999987</v>
      </c>
      <c r="W223" s="23">
        <f>'Annual Raw'!X62-W227</f>
        <v>80442.28</v>
      </c>
      <c r="X223" s="23">
        <f>'Annual Raw'!Y62-X227</f>
        <v>88038.790000000008</v>
      </c>
      <c r="Y223" s="23">
        <f>'Annual Raw'!Z62-Y227</f>
        <v>96922.26999999999</v>
      </c>
      <c r="Z223" s="23">
        <f>'Annual Raw'!AA62-Z227</f>
        <v>111928.28</v>
      </c>
      <c r="AA223" s="23">
        <f>'Annual Raw'!AB62-AA227</f>
        <v>125261.46999999999</v>
      </c>
      <c r="AB223" s="24">
        <f t="shared" ref="AB223:AB229" si="1361">+CP223</f>
        <v>128132.19</v>
      </c>
      <c r="AC223" s="24">
        <f t="shared" ref="AC223:AC229" si="1362">+CT223</f>
        <v>136132.19</v>
      </c>
      <c r="AD223" s="24">
        <f t="shared" ref="AD223:AD229" si="1363">+CX223</f>
        <v>144132.19</v>
      </c>
      <c r="AE223" s="24">
        <f t="shared" ref="AE223:AE229" si="1364">+DB223</f>
        <v>152132.19</v>
      </c>
      <c r="AJ223" s="23">
        <f>+'QTR Raw'!D68</f>
        <v>7783.97</v>
      </c>
      <c r="AL223" s="23">
        <f>+'QTR Raw'!F68</f>
        <v>37986.720000000001</v>
      </c>
      <c r="AN223" s="23">
        <f>+'QTR Raw'!H68</f>
        <v>40051.89</v>
      </c>
      <c r="AP223" s="23">
        <f>+'QTR Raw'!J68</f>
        <v>40450.230000000003</v>
      </c>
      <c r="AR223" s="23">
        <f>+'QTR Raw'!L68</f>
        <v>41079.120000000003</v>
      </c>
      <c r="AT223" s="23">
        <f>+'QTR Raw'!N68</f>
        <v>41423.129999999997</v>
      </c>
      <c r="AV223" s="23">
        <f>+'QTR Raw'!P68</f>
        <v>42903.94</v>
      </c>
      <c r="AX223" s="23">
        <f>+'QTR Raw'!R68</f>
        <v>36618.93</v>
      </c>
      <c r="AZ223" s="23">
        <f>+'QTR Raw'!T68</f>
        <v>41650.519999999997</v>
      </c>
      <c r="BB223" s="23">
        <f>+'QTR Raw'!V68</f>
        <v>45193.41</v>
      </c>
      <c r="BD223" s="23">
        <f>+'QTR Raw'!X68</f>
        <v>44770.01</v>
      </c>
      <c r="BF223" s="23">
        <f>+'QTR Raw'!Z68</f>
        <v>43014.69</v>
      </c>
      <c r="BH223" s="23">
        <f>+'QTR Raw'!AB68</f>
        <v>44788.7</v>
      </c>
      <c r="BJ223" s="23">
        <f>+'QTR Raw'!AD68</f>
        <v>42663.32</v>
      </c>
      <c r="BL223" s="23">
        <f>+'QTR Raw'!AF68</f>
        <v>47061.93</v>
      </c>
      <c r="BN223" s="23">
        <f>+'QTR Raw'!AH68</f>
        <v>46024.79</v>
      </c>
      <c r="BP223" s="23">
        <f>+'QTR Raw'!AJ68</f>
        <v>47079.1</v>
      </c>
      <c r="BR223" s="23">
        <f>+'QTR Raw'!AL68</f>
        <v>46702.31</v>
      </c>
      <c r="BT223" s="23">
        <f>+'QTR Raw'!AN68</f>
        <v>52418.39</v>
      </c>
      <c r="BV223" s="23">
        <f>+'QTR Raw'!AP68</f>
        <v>51869.14</v>
      </c>
      <c r="BX223" s="23">
        <f>+'QTR Raw'!AR68</f>
        <v>53695.35</v>
      </c>
      <c r="BZ223" s="23">
        <f>+'QTR Raw'!AT68</f>
        <v>55906.3</v>
      </c>
      <c r="CB223" s="23">
        <f>+'QTR Raw'!AV68</f>
        <v>56626.17</v>
      </c>
      <c r="CD223" s="23">
        <f>+'QTR Raw'!AX68</f>
        <v>61083.35</v>
      </c>
      <c r="CF223" s="23">
        <f>+'QTR Raw'!AZ68</f>
        <v>63898.62</v>
      </c>
      <c r="CH223" s="23">
        <f t="shared" ref="CH223:CH229" si="1365">Z223</f>
        <v>111928.28</v>
      </c>
      <c r="CI223" s="23">
        <f>CH223</f>
        <v>111928.28</v>
      </c>
      <c r="CJ223" s="23">
        <f>+CJ224+CJ226</f>
        <v>109693.92</v>
      </c>
      <c r="CK223" s="23">
        <f>+CJ223+2989</f>
        <v>112682.92</v>
      </c>
      <c r="CL223" s="23">
        <f>+CL224+CL226</f>
        <v>120132.19</v>
      </c>
      <c r="CM223" s="24">
        <f t="shared" ref="CM223:DB223" si="1366">+CL223+2000</f>
        <v>122132.19</v>
      </c>
      <c r="CN223" s="24">
        <f t="shared" si="1366"/>
        <v>124132.19</v>
      </c>
      <c r="CO223" s="24">
        <f t="shared" si="1366"/>
        <v>126132.19</v>
      </c>
      <c r="CP223" s="24">
        <f t="shared" si="1366"/>
        <v>128132.19</v>
      </c>
      <c r="CQ223" s="24">
        <f t="shared" si="1366"/>
        <v>130132.19</v>
      </c>
      <c r="CR223" s="24">
        <f t="shared" si="1366"/>
        <v>132132.19</v>
      </c>
      <c r="CS223" s="24">
        <f t="shared" si="1366"/>
        <v>134132.19</v>
      </c>
      <c r="CT223" s="24">
        <f t="shared" si="1366"/>
        <v>136132.19</v>
      </c>
      <c r="CU223" s="24">
        <f t="shared" si="1366"/>
        <v>138132.19</v>
      </c>
      <c r="CV223" s="24">
        <f t="shared" si="1366"/>
        <v>140132.19</v>
      </c>
      <c r="CW223" s="24">
        <f t="shared" si="1366"/>
        <v>142132.19</v>
      </c>
      <c r="CX223" s="24">
        <f t="shared" si="1366"/>
        <v>144132.19</v>
      </c>
      <c r="CY223" s="24">
        <f t="shared" si="1366"/>
        <v>146132.19</v>
      </c>
      <c r="CZ223" s="24">
        <f t="shared" si="1366"/>
        <v>148132.19</v>
      </c>
      <c r="DA223" s="24">
        <f t="shared" si="1366"/>
        <v>150132.19</v>
      </c>
      <c r="DB223" s="24">
        <f t="shared" si="1366"/>
        <v>152132.19</v>
      </c>
      <c r="DE223" s="123"/>
      <c r="DF223" s="23">
        <v>114644.92</v>
      </c>
    </row>
    <row r="224" spans="1:110" s="23" customFormat="1" outlineLevel="1" x14ac:dyDescent="0.2">
      <c r="A224" s="23" t="s">
        <v>51</v>
      </c>
      <c r="B224" s="23">
        <f>'Annual Raw'!C63</f>
        <v>1446.8826839999999</v>
      </c>
      <c r="C224" s="23">
        <f>'Annual Raw'!D63</f>
        <v>1836.47</v>
      </c>
      <c r="D224" s="23">
        <f>'Annual Raw'!E63</f>
        <v>2355.61</v>
      </c>
      <c r="E224" s="23">
        <f>'Annual Raw'!F63</f>
        <v>2762</v>
      </c>
      <c r="F224" s="23">
        <f>'Annual Raw'!G63</f>
        <v>2952.32</v>
      </c>
      <c r="G224" s="23">
        <f>'Annual Raw'!H63</f>
        <v>3277.34</v>
      </c>
      <c r="H224" s="23">
        <f>'Annual Raw'!I63</f>
        <v>3676.32</v>
      </c>
      <c r="I224" s="23">
        <f>'Annual Raw'!J63</f>
        <v>5825.48</v>
      </c>
      <c r="J224" s="23">
        <f>'Annual Raw'!K63</f>
        <v>6807.89</v>
      </c>
      <c r="K224" s="23">
        <f>'Annual Raw'!L63</f>
        <v>7454.93</v>
      </c>
      <c r="L224" s="23">
        <f>'Annual Raw'!M63</f>
        <v>8329.51</v>
      </c>
      <c r="M224" s="23">
        <f>'Annual Raw'!N63</f>
        <v>9960.36</v>
      </c>
      <c r="N224" s="23">
        <f>'Annual Raw'!O63</f>
        <v>13682.01</v>
      </c>
      <c r="O224" s="23">
        <f>'Annual Raw'!P63</f>
        <v>17972.96</v>
      </c>
      <c r="P224" s="23">
        <f>'Annual Raw'!Q63</f>
        <v>20198.88</v>
      </c>
      <c r="Q224" s="23">
        <f>'Annual Raw'!R63</f>
        <v>11253.56</v>
      </c>
      <c r="R224" s="23">
        <f>'Annual Raw'!S63</f>
        <v>13036.43</v>
      </c>
      <c r="S224" s="23">
        <f>'Annual Raw'!T63</f>
        <v>15339.71</v>
      </c>
      <c r="T224" s="23">
        <f>'Annual Raw'!U63</f>
        <v>17308.07</v>
      </c>
      <c r="U224" s="23">
        <f>'Annual Raw'!V63</f>
        <v>19398.009999999998</v>
      </c>
      <c r="V224" s="23">
        <f>'Annual Raw'!W63</f>
        <v>21976.39</v>
      </c>
      <c r="W224" s="23">
        <f>'Annual Raw'!X63</f>
        <v>24911.15</v>
      </c>
      <c r="X224" s="23">
        <f>'Annual Raw'!Y63</f>
        <v>28150.44</v>
      </c>
      <c r="Y224" s="23">
        <f>'Annual Raw'!Z63</f>
        <v>31470.17</v>
      </c>
      <c r="Z224" s="23">
        <f>'Annual Raw'!AA63</f>
        <v>35205.31</v>
      </c>
      <c r="AA224" s="23">
        <f>'Annual Raw'!AB63</f>
        <v>39620.239999999998</v>
      </c>
      <c r="AB224" s="24">
        <f t="shared" si="1361"/>
        <v>45528.618510294189</v>
      </c>
      <c r="AC224" s="24">
        <f t="shared" si="1362"/>
        <v>51205.741030885052</v>
      </c>
      <c r="AD224" s="24">
        <f t="shared" si="1363"/>
        <v>57036.836805705614</v>
      </c>
      <c r="AE224" s="24">
        <f t="shared" si="1364"/>
        <v>63011.69963006871</v>
      </c>
      <c r="AJ224" s="23">
        <f>+'QTR Raw'!D69</f>
        <v>0</v>
      </c>
      <c r="AL224" s="23">
        <f>+'QTR Raw'!F69</f>
        <v>0</v>
      </c>
      <c r="AN224" s="23">
        <f>+'QTR Raw'!H69</f>
        <v>0</v>
      </c>
      <c r="AP224" s="23">
        <f>+'QTR Raw'!J69</f>
        <v>0</v>
      </c>
      <c r="AR224" s="23">
        <f>+'QTR Raw'!L69</f>
        <v>0</v>
      </c>
      <c r="AT224" s="23">
        <f>+'QTR Raw'!N69</f>
        <v>0</v>
      </c>
      <c r="AV224" s="23">
        <f>+'QTR Raw'!P69</f>
        <v>0</v>
      </c>
      <c r="AX224" s="23">
        <f>+'QTR Raw'!R69</f>
        <v>0</v>
      </c>
      <c r="AZ224" s="23">
        <f>+'QTR Raw'!T69</f>
        <v>0</v>
      </c>
      <c r="BB224" s="23">
        <f>+'QTR Raw'!V69</f>
        <v>0</v>
      </c>
      <c r="BD224" s="23">
        <f>+'QTR Raw'!X69</f>
        <v>0</v>
      </c>
      <c r="BF224" s="23">
        <f>+'QTR Raw'!Z69</f>
        <v>0</v>
      </c>
      <c r="BH224" s="23">
        <f>+'QTR Raw'!AB69</f>
        <v>0</v>
      </c>
      <c r="BJ224" s="23">
        <f>+'QTR Raw'!AD69</f>
        <v>0</v>
      </c>
      <c r="BL224" s="23">
        <f>+'QTR Raw'!AF69</f>
        <v>0</v>
      </c>
      <c r="BN224" s="23">
        <f>+'QTR Raw'!AH69</f>
        <v>0</v>
      </c>
      <c r="BP224" s="23">
        <f>+'QTR Raw'!AJ69</f>
        <v>0</v>
      </c>
      <c r="BR224" s="23">
        <f>+'QTR Raw'!AL69</f>
        <v>0</v>
      </c>
      <c r="BT224" s="23">
        <f>+'QTR Raw'!AN69</f>
        <v>0</v>
      </c>
      <c r="BV224" s="23">
        <f>+'QTR Raw'!AP69</f>
        <v>0</v>
      </c>
      <c r="BX224" s="23">
        <f>+'QTR Raw'!AR69</f>
        <v>0</v>
      </c>
      <c r="BZ224" s="23">
        <f>+'QTR Raw'!AT69</f>
        <v>0</v>
      </c>
      <c r="CB224" s="23">
        <f>+'QTR Raw'!AV69</f>
        <v>0</v>
      </c>
      <c r="CD224" s="23">
        <f>+'QTR Raw'!AX69</f>
        <v>0</v>
      </c>
      <c r="CF224" s="23">
        <f>+'QTR Raw'!AZ69</f>
        <v>0</v>
      </c>
      <c r="CH224" s="23">
        <f t="shared" si="1365"/>
        <v>35205.31</v>
      </c>
      <c r="CI224" s="23">
        <f t="shared" ref="CI224:DB224" si="1367">CH224+CI124</f>
        <v>36366.22</v>
      </c>
      <c r="CJ224" s="23">
        <f t="shared" si="1367"/>
        <v>37528.270000000004</v>
      </c>
      <c r="CK224" s="23">
        <f t="shared" si="1367"/>
        <v>38736.170000000006</v>
      </c>
      <c r="CL224" s="23">
        <f t="shared" si="1367"/>
        <v>40016.400000000009</v>
      </c>
      <c r="CM224" s="24">
        <f t="shared" si="1367"/>
        <v>41378.36843000001</v>
      </c>
      <c r="CN224" s="24">
        <f t="shared" si="1367"/>
        <v>42751.183396690009</v>
      </c>
      <c r="CO224" s="24">
        <f t="shared" si="1367"/>
        <v>44134.660508946276</v>
      </c>
      <c r="CP224" s="24">
        <f t="shared" si="1367"/>
        <v>45528.618510294189</v>
      </c>
      <c r="CQ224" s="24">
        <f t="shared" si="1367"/>
        <v>46932.879225619188</v>
      </c>
      <c r="CR224" s="24">
        <f t="shared" si="1367"/>
        <v>48347.267508783661</v>
      </c>
      <c r="CS224" s="24">
        <f t="shared" si="1367"/>
        <v>49771.61119113434</v>
      </c>
      <c r="CT224" s="24">
        <f t="shared" si="1367"/>
        <v>51205.741030885052</v>
      </c>
      <c r="CU224" s="24">
        <f t="shared" si="1367"/>
        <v>52649.490663360004</v>
      </c>
      <c r="CV224" s="24">
        <f t="shared" si="1367"/>
        <v>54102.696552082882</v>
      </c>
      <c r="CW224" s="24">
        <f t="shared" si="1367"/>
        <v>55565.197940697471</v>
      </c>
      <c r="CX224" s="24">
        <f t="shared" si="1367"/>
        <v>57036.836805705614</v>
      </c>
      <c r="CY224" s="24">
        <f t="shared" si="1367"/>
        <v>58517.457810008622</v>
      </c>
      <c r="CZ224" s="24">
        <f t="shared" si="1367"/>
        <v>60006.908257238472</v>
      </c>
      <c r="DA224" s="24">
        <f t="shared" si="1367"/>
        <v>61505.038046865418</v>
      </c>
      <c r="DB224" s="24">
        <f t="shared" si="1367"/>
        <v>63011.69963006871</v>
      </c>
      <c r="DE224" s="123"/>
      <c r="DF224" s="23">
        <v>39807.371250000004</v>
      </c>
    </row>
    <row r="225" spans="1:110" s="23" customFormat="1" outlineLevel="1" x14ac:dyDescent="0.2">
      <c r="A225" s="23" t="s">
        <v>52</v>
      </c>
      <c r="B225" s="23">
        <f>'Annual Raw'!C64</f>
        <v>0</v>
      </c>
      <c r="C225" s="23">
        <f>'Annual Raw'!D64</f>
        <v>0</v>
      </c>
      <c r="D225" s="23">
        <f>'Annual Raw'!E64</f>
        <v>0</v>
      </c>
      <c r="E225" s="23">
        <f>'Annual Raw'!F64</f>
        <v>0</v>
      </c>
      <c r="F225" s="23">
        <f>'Annual Raw'!G64</f>
        <v>0</v>
      </c>
      <c r="G225" s="23">
        <f>'Annual Raw'!H64</f>
        <v>0</v>
      </c>
      <c r="H225" s="23">
        <f>'Annual Raw'!I64</f>
        <v>0</v>
      </c>
      <c r="I225" s="23">
        <f>'Annual Raw'!J64</f>
        <v>0</v>
      </c>
      <c r="J225" s="23">
        <f>'Annual Raw'!K64</f>
        <v>0</v>
      </c>
      <c r="K225" s="23">
        <f>'Annual Raw'!L64</f>
        <v>0</v>
      </c>
      <c r="L225" s="23">
        <f>'Annual Raw'!M64</f>
        <v>0</v>
      </c>
      <c r="M225" s="23">
        <f>'Annual Raw'!N64</f>
        <v>642.41</v>
      </c>
      <c r="N225" s="23">
        <f>'Annual Raw'!O64</f>
        <v>1157.5899999999999</v>
      </c>
      <c r="O225" s="23">
        <f>'Annual Raw'!P64</f>
        <v>0</v>
      </c>
      <c r="P225" s="23">
        <f>'Annual Raw'!Q64</f>
        <v>0</v>
      </c>
      <c r="Q225" s="23">
        <f>'Annual Raw'!R64</f>
        <v>0</v>
      </c>
      <c r="R225" s="23">
        <f>'Annual Raw'!S64</f>
        <v>0</v>
      </c>
      <c r="S225" s="23">
        <f>'Annual Raw'!T64</f>
        <v>0</v>
      </c>
      <c r="T225" s="23">
        <f>'Annual Raw'!U64</f>
        <v>0</v>
      </c>
      <c r="U225" s="23">
        <f>'Annual Raw'!V64</f>
        <v>0</v>
      </c>
      <c r="V225" s="23">
        <f>'Annual Raw'!W64</f>
        <v>0</v>
      </c>
      <c r="W225" s="23">
        <f>'Annual Raw'!X64</f>
        <v>0</v>
      </c>
      <c r="X225" s="23">
        <f>'Annual Raw'!Y64</f>
        <v>0</v>
      </c>
      <c r="Y225" s="23">
        <f>'Annual Raw'!Z64</f>
        <v>0</v>
      </c>
      <c r="Z225" s="23">
        <f>'Annual Raw'!AA64</f>
        <v>0</v>
      </c>
      <c r="AA225" s="23">
        <f>'Annual Raw'!AB64</f>
        <v>0</v>
      </c>
      <c r="AB225" s="24">
        <f t="shared" si="1361"/>
        <v>0</v>
      </c>
      <c r="AC225" s="24">
        <f t="shared" si="1362"/>
        <v>0</v>
      </c>
      <c r="AD225" s="24">
        <f t="shared" si="1363"/>
        <v>0</v>
      </c>
      <c r="AE225" s="24">
        <f t="shared" si="1364"/>
        <v>0</v>
      </c>
      <c r="AJ225" s="23">
        <f>+'QTR Raw'!D70</f>
        <v>0</v>
      </c>
      <c r="AL225" s="23">
        <f>+'QTR Raw'!F70</f>
        <v>0</v>
      </c>
      <c r="AN225" s="23">
        <f>+'QTR Raw'!H70</f>
        <v>0</v>
      </c>
      <c r="AP225" s="23">
        <f>+'QTR Raw'!J70</f>
        <v>0</v>
      </c>
      <c r="AR225" s="23">
        <f>+'QTR Raw'!L70</f>
        <v>0</v>
      </c>
      <c r="AT225" s="23">
        <f>+'QTR Raw'!N70</f>
        <v>0</v>
      </c>
      <c r="AV225" s="23">
        <f>+'QTR Raw'!P70</f>
        <v>0</v>
      </c>
      <c r="AX225" s="23">
        <f>+'QTR Raw'!R70</f>
        <v>0</v>
      </c>
      <c r="AZ225" s="23">
        <f>+'QTR Raw'!T70</f>
        <v>0</v>
      </c>
      <c r="BB225" s="23">
        <f>+'QTR Raw'!V70</f>
        <v>0</v>
      </c>
      <c r="BD225" s="23">
        <f>+'QTR Raw'!X70</f>
        <v>0</v>
      </c>
      <c r="BF225" s="23">
        <f>+'QTR Raw'!Z70</f>
        <v>0</v>
      </c>
      <c r="BH225" s="23">
        <f>+'QTR Raw'!AB70</f>
        <v>0</v>
      </c>
      <c r="BJ225" s="23">
        <f>+'QTR Raw'!AD70</f>
        <v>0</v>
      </c>
      <c r="BL225" s="23">
        <f>+'QTR Raw'!AF70</f>
        <v>0</v>
      </c>
      <c r="BN225" s="23">
        <f>+'QTR Raw'!AH70</f>
        <v>0</v>
      </c>
      <c r="BP225" s="23">
        <f>+'QTR Raw'!AJ70</f>
        <v>0</v>
      </c>
      <c r="BR225" s="23">
        <f>+'QTR Raw'!AL70</f>
        <v>0</v>
      </c>
      <c r="BT225" s="23">
        <f>+'QTR Raw'!AN70</f>
        <v>0</v>
      </c>
      <c r="BV225" s="23">
        <f>+'QTR Raw'!AP70</f>
        <v>0</v>
      </c>
      <c r="BX225" s="23">
        <f>+'QTR Raw'!AR70</f>
        <v>0</v>
      </c>
      <c r="BZ225" s="23">
        <f>+'QTR Raw'!AT70</f>
        <v>0</v>
      </c>
      <c r="CB225" s="23">
        <f>+'QTR Raw'!AV70</f>
        <v>0</v>
      </c>
      <c r="CD225" s="23">
        <f>+'QTR Raw'!AX70</f>
        <v>0</v>
      </c>
      <c r="CF225" s="23">
        <f>+'QTR Raw'!AZ70</f>
        <v>0</v>
      </c>
      <c r="CH225" s="23">
        <f t="shared" si="1365"/>
        <v>0</v>
      </c>
      <c r="CI225" s="23">
        <f>CH225</f>
        <v>0</v>
      </c>
      <c r="CJ225" s="23">
        <f>+'QTR Raw'!BD70</f>
        <v>0</v>
      </c>
      <c r="CK225" s="23">
        <f t="shared" ref="CK225:DB225" si="1368">CJ225</f>
        <v>0</v>
      </c>
      <c r="CL225" s="23">
        <f>+'QTR Raw'!BF70</f>
        <v>0</v>
      </c>
      <c r="CM225" s="24">
        <f t="shared" si="1368"/>
        <v>0</v>
      </c>
      <c r="CN225" s="24">
        <f t="shared" si="1368"/>
        <v>0</v>
      </c>
      <c r="CO225" s="24">
        <f t="shared" si="1368"/>
        <v>0</v>
      </c>
      <c r="CP225" s="24">
        <f t="shared" si="1368"/>
        <v>0</v>
      </c>
      <c r="CQ225" s="24">
        <f t="shared" si="1368"/>
        <v>0</v>
      </c>
      <c r="CR225" s="24">
        <f t="shared" si="1368"/>
        <v>0</v>
      </c>
      <c r="CS225" s="24">
        <f t="shared" si="1368"/>
        <v>0</v>
      </c>
      <c r="CT225" s="24">
        <f t="shared" si="1368"/>
        <v>0</v>
      </c>
      <c r="CU225" s="24">
        <f t="shared" si="1368"/>
        <v>0</v>
      </c>
      <c r="CV225" s="24">
        <f t="shared" si="1368"/>
        <v>0</v>
      </c>
      <c r="CW225" s="24">
        <f t="shared" si="1368"/>
        <v>0</v>
      </c>
      <c r="CX225" s="24">
        <f t="shared" si="1368"/>
        <v>0</v>
      </c>
      <c r="CY225" s="24">
        <f t="shared" si="1368"/>
        <v>0</v>
      </c>
      <c r="CZ225" s="24">
        <f t="shared" si="1368"/>
        <v>0</v>
      </c>
      <c r="DA225" s="24">
        <f t="shared" si="1368"/>
        <v>0</v>
      </c>
      <c r="DB225" s="24">
        <f t="shared" si="1368"/>
        <v>0</v>
      </c>
      <c r="DE225" s="123"/>
      <c r="DF225" s="23">
        <v>0</v>
      </c>
    </row>
    <row r="226" spans="1:110" s="22" customFormat="1" outlineLevel="1" x14ac:dyDescent="0.2">
      <c r="A226" s="22" t="s">
        <v>53</v>
      </c>
      <c r="B226" s="22">
        <f>+B223-B224-B225</f>
        <v>2950.5406646000001</v>
      </c>
      <c r="C226" s="22">
        <f t="shared" ref="C226:W226" si="1369">+C223-C224-C225</f>
        <v>3368.9299999999994</v>
      </c>
      <c r="D226" s="22">
        <f t="shared" si="1369"/>
        <v>3929.73</v>
      </c>
      <c r="E226" s="22">
        <f t="shared" si="1369"/>
        <v>3709.7000000000007</v>
      </c>
      <c r="F226" s="22">
        <f t="shared" si="1369"/>
        <v>3456.4999999999995</v>
      </c>
      <c r="G226" s="22">
        <f t="shared" si="1369"/>
        <v>3642.84</v>
      </c>
      <c r="H226" s="22">
        <f t="shared" si="1369"/>
        <v>5205.2000000000007</v>
      </c>
      <c r="I226" s="22">
        <f t="shared" si="1369"/>
        <v>6519.4499999999989</v>
      </c>
      <c r="J226" s="22">
        <f t="shared" si="1369"/>
        <v>9400.369999999999</v>
      </c>
      <c r="K226" s="22">
        <f t="shared" si="1369"/>
        <v>10773.079999999998</v>
      </c>
      <c r="L226" s="22">
        <f t="shared" si="1369"/>
        <v>11809.299999999997</v>
      </c>
      <c r="M226" s="22">
        <f t="shared" si="1369"/>
        <v>22809.06</v>
      </c>
      <c r="N226" s="22">
        <f t="shared" si="1369"/>
        <v>35629.11</v>
      </c>
      <c r="O226" s="22">
        <f t="shared" si="1369"/>
        <v>37061.56</v>
      </c>
      <c r="P226" s="22">
        <f t="shared" si="1369"/>
        <v>38099.94</v>
      </c>
      <c r="Q226" s="22">
        <f t="shared" si="1369"/>
        <v>36408.18</v>
      </c>
      <c r="R226" s="22">
        <f t="shared" si="1369"/>
        <v>44938.73</v>
      </c>
      <c r="S226" s="22">
        <f t="shared" si="1369"/>
        <v>43014.69</v>
      </c>
      <c r="T226" s="22">
        <f t="shared" si="1369"/>
        <v>42663.32</v>
      </c>
      <c r="U226" s="22">
        <f t="shared" si="1369"/>
        <v>46024.789999999994</v>
      </c>
      <c r="V226" s="22">
        <f t="shared" si="1369"/>
        <v>50384.579999999987</v>
      </c>
      <c r="W226" s="22">
        <f t="shared" si="1369"/>
        <v>55531.13</v>
      </c>
      <c r="X226" s="22">
        <f t="shared" ref="X226:Y226" si="1370">+X223-X224-X225</f>
        <v>59888.350000000006</v>
      </c>
      <c r="Y226" s="22">
        <f t="shared" si="1370"/>
        <v>65452.099999999991</v>
      </c>
      <c r="Z226" s="22">
        <f t="shared" ref="Z226:AE226" si="1371">+Z223-Z224-Z225</f>
        <v>76722.97</v>
      </c>
      <c r="AA226" s="22">
        <f t="shared" ref="AA226" si="1372">+AA223-AA224-AA225</f>
        <v>85641.229999999981</v>
      </c>
      <c r="AB226" s="21">
        <f t="shared" si="1371"/>
        <v>82603.571489705821</v>
      </c>
      <c r="AC226" s="21">
        <f t="shared" si="1371"/>
        <v>84926.44896911495</v>
      </c>
      <c r="AD226" s="21">
        <f t="shared" si="1371"/>
        <v>87095.353194294381</v>
      </c>
      <c r="AE226" s="21">
        <f t="shared" si="1371"/>
        <v>89120.4903699313</v>
      </c>
      <c r="AJ226" s="22">
        <f t="shared" ref="AJ226:AL226" si="1373">+AJ223-AJ224-AJ225</f>
        <v>7783.97</v>
      </c>
      <c r="AK226" s="22">
        <f t="shared" ref="AK226:CE226" si="1374">+AJ226</f>
        <v>7783.97</v>
      </c>
      <c r="AL226" s="22">
        <f t="shared" si="1373"/>
        <v>37986.720000000001</v>
      </c>
      <c r="AM226" s="22">
        <f t="shared" si="1374"/>
        <v>37986.720000000001</v>
      </c>
      <c r="AN226" s="22">
        <f t="shared" ref="AN226" si="1375">+AN223-AN224-AN225</f>
        <v>40051.89</v>
      </c>
      <c r="AO226" s="22">
        <f t="shared" si="1374"/>
        <v>40051.89</v>
      </c>
      <c r="AP226" s="22">
        <f t="shared" ref="AP226:CD226" si="1376">+AP223-AP224-AP225</f>
        <v>40450.230000000003</v>
      </c>
      <c r="AQ226" s="22">
        <f t="shared" si="1374"/>
        <v>40450.230000000003</v>
      </c>
      <c r="AR226" s="22">
        <f t="shared" si="1376"/>
        <v>41079.120000000003</v>
      </c>
      <c r="AS226" s="22">
        <f t="shared" si="1374"/>
        <v>41079.120000000003</v>
      </c>
      <c r="AT226" s="22">
        <f t="shared" si="1376"/>
        <v>41423.129999999997</v>
      </c>
      <c r="AU226" s="22">
        <f t="shared" si="1374"/>
        <v>41423.129999999997</v>
      </c>
      <c r="AV226" s="22">
        <f t="shared" si="1376"/>
        <v>42903.94</v>
      </c>
      <c r="AW226" s="22">
        <f t="shared" si="1374"/>
        <v>42903.94</v>
      </c>
      <c r="AX226" s="22">
        <f t="shared" si="1376"/>
        <v>36618.93</v>
      </c>
      <c r="AY226" s="22">
        <f t="shared" si="1374"/>
        <v>36618.93</v>
      </c>
      <c r="AZ226" s="22">
        <f t="shared" si="1376"/>
        <v>41650.519999999997</v>
      </c>
      <c r="BA226" s="22">
        <f t="shared" si="1374"/>
        <v>41650.519999999997</v>
      </c>
      <c r="BB226" s="22">
        <f t="shared" si="1376"/>
        <v>45193.41</v>
      </c>
      <c r="BC226" s="22">
        <f t="shared" si="1374"/>
        <v>45193.41</v>
      </c>
      <c r="BD226" s="22">
        <f t="shared" si="1376"/>
        <v>44770.01</v>
      </c>
      <c r="BE226" s="22">
        <f t="shared" si="1374"/>
        <v>44770.01</v>
      </c>
      <c r="BF226" s="22">
        <f t="shared" si="1376"/>
        <v>43014.69</v>
      </c>
      <c r="BG226" s="22">
        <f t="shared" si="1374"/>
        <v>43014.69</v>
      </c>
      <c r="BH226" s="22">
        <f t="shared" si="1376"/>
        <v>44788.7</v>
      </c>
      <c r="BI226" s="22">
        <f t="shared" si="1374"/>
        <v>44788.7</v>
      </c>
      <c r="BJ226" s="22">
        <f t="shared" si="1376"/>
        <v>42663.32</v>
      </c>
      <c r="BK226" s="22">
        <f t="shared" si="1374"/>
        <v>42663.32</v>
      </c>
      <c r="BL226" s="22">
        <f t="shared" si="1376"/>
        <v>47061.93</v>
      </c>
      <c r="BM226" s="22">
        <f t="shared" si="1374"/>
        <v>47061.93</v>
      </c>
      <c r="BN226" s="22">
        <f t="shared" si="1376"/>
        <v>46024.79</v>
      </c>
      <c r="BO226" s="22">
        <f t="shared" si="1374"/>
        <v>46024.79</v>
      </c>
      <c r="BP226" s="22">
        <f t="shared" si="1376"/>
        <v>47079.1</v>
      </c>
      <c r="BQ226" s="22">
        <f t="shared" si="1374"/>
        <v>47079.1</v>
      </c>
      <c r="BR226" s="22">
        <f t="shared" si="1376"/>
        <v>46702.31</v>
      </c>
      <c r="BS226" s="22">
        <f t="shared" si="1374"/>
        <v>46702.31</v>
      </c>
      <c r="BT226" s="22">
        <f t="shared" si="1376"/>
        <v>52418.39</v>
      </c>
      <c r="BU226" s="22">
        <f t="shared" si="1374"/>
        <v>52418.39</v>
      </c>
      <c r="BV226" s="22">
        <f t="shared" si="1376"/>
        <v>51869.14</v>
      </c>
      <c r="BW226" s="22">
        <f t="shared" si="1374"/>
        <v>51869.14</v>
      </c>
      <c r="BX226" s="22">
        <f t="shared" si="1376"/>
        <v>53695.35</v>
      </c>
      <c r="BY226" s="22">
        <f t="shared" si="1374"/>
        <v>53695.35</v>
      </c>
      <c r="BZ226" s="22">
        <f t="shared" si="1376"/>
        <v>55906.3</v>
      </c>
      <c r="CA226" s="22">
        <f t="shared" si="1374"/>
        <v>55906.3</v>
      </c>
      <c r="CB226" s="22">
        <f t="shared" si="1376"/>
        <v>56626.17</v>
      </c>
      <c r="CC226" s="22">
        <f t="shared" si="1374"/>
        <v>56626.17</v>
      </c>
      <c r="CD226" s="22">
        <f t="shared" si="1376"/>
        <v>61083.35</v>
      </c>
      <c r="CE226" s="22">
        <f t="shared" si="1374"/>
        <v>61083.35</v>
      </c>
      <c r="CF226" s="22">
        <f t="shared" ref="CF226:CI226" si="1377">+CF223-CF224-CF225</f>
        <v>63898.62</v>
      </c>
      <c r="CG226" s="22">
        <f t="shared" ref="CG226:CI229" si="1378">+CF226</f>
        <v>63898.62</v>
      </c>
      <c r="CH226" s="22">
        <f t="shared" si="1377"/>
        <v>76722.97</v>
      </c>
      <c r="CI226" s="22">
        <f t="shared" si="1377"/>
        <v>75562.06</v>
      </c>
      <c r="CJ226" s="23">
        <f>+'QTR Raw'!BD68</f>
        <v>72165.649999999994</v>
      </c>
      <c r="CK226" s="23">
        <f t="shared" ref="CK226:DB226" si="1379">+CK223-CK224-CK225</f>
        <v>73946.75</v>
      </c>
      <c r="CL226" s="23">
        <f>+'QTR Raw'!BF68</f>
        <v>80115.789999999994</v>
      </c>
      <c r="CM226" s="21">
        <f t="shared" si="1379"/>
        <v>80753.82157</v>
      </c>
      <c r="CN226" s="21">
        <f t="shared" si="1379"/>
        <v>81381.006603310001</v>
      </c>
      <c r="CO226" s="21">
        <f t="shared" si="1379"/>
        <v>81997.52949105372</v>
      </c>
      <c r="CP226" s="21">
        <f t="shared" si="1379"/>
        <v>82603.571489705821</v>
      </c>
      <c r="CQ226" s="21">
        <f t="shared" si="1379"/>
        <v>83199.310774380807</v>
      </c>
      <c r="CR226" s="21">
        <f t="shared" si="1379"/>
        <v>83784.922491216334</v>
      </c>
      <c r="CS226" s="21">
        <f t="shared" si="1379"/>
        <v>84360.578808865655</v>
      </c>
      <c r="CT226" s="21">
        <f t="shared" si="1379"/>
        <v>84926.44896911495</v>
      </c>
      <c r="CU226" s="21">
        <f t="shared" si="1379"/>
        <v>85482.699336639998</v>
      </c>
      <c r="CV226" s="21">
        <f t="shared" si="1379"/>
        <v>86029.493447917121</v>
      </c>
      <c r="CW226" s="21">
        <f t="shared" si="1379"/>
        <v>86566.992059302531</v>
      </c>
      <c r="CX226" s="21">
        <f t="shared" si="1379"/>
        <v>87095.353194294381</v>
      </c>
      <c r="CY226" s="21">
        <f t="shared" si="1379"/>
        <v>87614.73218999138</v>
      </c>
      <c r="CZ226" s="21">
        <f t="shared" si="1379"/>
        <v>88125.281742761523</v>
      </c>
      <c r="DA226" s="21">
        <f t="shared" si="1379"/>
        <v>88627.151953134584</v>
      </c>
      <c r="DB226" s="21">
        <f t="shared" si="1379"/>
        <v>89120.4903699313</v>
      </c>
      <c r="DE226" s="126"/>
      <c r="DF226" s="22">
        <v>74837.548749999987</v>
      </c>
    </row>
    <row r="227" spans="1:110" s="23" customFormat="1" outlineLevel="1" x14ac:dyDescent="0.2">
      <c r="A227" s="23" t="s">
        <v>54</v>
      </c>
      <c r="B227" s="23">
        <f>'Annual Raw'!C86</f>
        <v>0</v>
      </c>
      <c r="C227" s="23">
        <f>'Annual Raw'!D86</f>
        <v>91.99</v>
      </c>
      <c r="D227" s="23">
        <f>'Annual Raw'!E86</f>
        <v>67.86</v>
      </c>
      <c r="E227" s="23">
        <f>'Annual Raw'!F86</f>
        <v>43.73</v>
      </c>
      <c r="F227" s="23">
        <f>'Annual Raw'!G86</f>
        <v>6.46</v>
      </c>
      <c r="G227" s="23">
        <f>'Annual Raw'!H86</f>
        <v>5.75</v>
      </c>
      <c r="H227" s="23">
        <f>'Annual Raw'!I86</f>
        <v>4.1500000000000004</v>
      </c>
      <c r="I227" s="23">
        <f>'Annual Raw'!J86</f>
        <v>4214.49</v>
      </c>
      <c r="J227" s="23">
        <f>'Annual Raw'!K86</f>
        <v>4831.6000000000004</v>
      </c>
      <c r="K227" s="23">
        <f>'Annual Raw'!L86</f>
        <v>4274.41</v>
      </c>
      <c r="L227" s="23">
        <f>'Annual Raw'!M86</f>
        <v>4228.08</v>
      </c>
      <c r="M227" s="23">
        <f>'Annual Raw'!N86</f>
        <v>4844.3999999999996</v>
      </c>
      <c r="N227" s="23">
        <f>'Annual Raw'!O86</f>
        <v>5724.14</v>
      </c>
      <c r="O227" s="23">
        <f>'Annual Raw'!P86</f>
        <v>6332.04</v>
      </c>
      <c r="P227" s="23">
        <f>'Annual Raw'!Q86</f>
        <v>6625.76</v>
      </c>
      <c r="Q227" s="23">
        <f>'Annual Raw'!R86</f>
        <v>5.54</v>
      </c>
      <c r="R227" s="23">
        <f>'Annual Raw'!S86</f>
        <v>1653.57</v>
      </c>
      <c r="S227" s="23">
        <f>'Annual Raw'!T86</f>
        <v>1641.57</v>
      </c>
      <c r="T227" s="23">
        <f>'Annual Raw'!U86</f>
        <v>1641.57</v>
      </c>
      <c r="U227" s="23">
        <f>'Annual Raw'!V86</f>
        <v>1641.57</v>
      </c>
      <c r="V227" s="23">
        <f>'Annual Raw'!W86</f>
        <v>1794.57</v>
      </c>
      <c r="W227" s="23">
        <f>'Annual Raw'!X86</f>
        <v>1858.31</v>
      </c>
      <c r="X227" s="23">
        <f>'Annual Raw'!Y86</f>
        <v>1858.31</v>
      </c>
      <c r="Y227" s="23">
        <f>'Annual Raw'!Z86</f>
        <v>1757.46</v>
      </c>
      <c r="Z227" s="23">
        <f>'Annual Raw'!AA86</f>
        <v>1651.46</v>
      </c>
      <c r="AA227" s="23">
        <f>'Annual Raw'!AB86</f>
        <v>1651.46</v>
      </c>
      <c r="AB227" s="24">
        <f t="shared" si="1361"/>
        <v>1651.46</v>
      </c>
      <c r="AC227" s="24">
        <f t="shared" si="1362"/>
        <v>1651.46</v>
      </c>
      <c r="AD227" s="24">
        <f t="shared" si="1363"/>
        <v>1651.46</v>
      </c>
      <c r="AE227" s="24">
        <f t="shared" si="1364"/>
        <v>1651.46</v>
      </c>
      <c r="AJ227" s="23">
        <f>+'QTR Raw'!D72</f>
        <v>0</v>
      </c>
      <c r="AK227" s="23">
        <f>+AJ227</f>
        <v>0</v>
      </c>
      <c r="AL227" s="23">
        <f>+'QTR Raw'!F72</f>
        <v>5724.14</v>
      </c>
      <c r="AM227" s="23">
        <f t="shared" ref="AK227:CE229" si="1380">+AL227</f>
        <v>5724.14</v>
      </c>
      <c r="AN227" s="23">
        <f>+'QTR Raw'!H72</f>
        <v>6605.38</v>
      </c>
      <c r="AO227" s="23">
        <f t="shared" si="1380"/>
        <v>6605.38</v>
      </c>
      <c r="AP227" s="23">
        <f>+'QTR Raw'!J72</f>
        <v>6332.04</v>
      </c>
      <c r="AQ227" s="23">
        <f t="shared" si="1380"/>
        <v>6332.04</v>
      </c>
      <c r="AR227" s="23">
        <f>+'QTR Raw'!L72</f>
        <v>6534.11</v>
      </c>
      <c r="AS227" s="23">
        <f t="shared" si="1380"/>
        <v>6534.11</v>
      </c>
      <c r="AT227" s="23">
        <f>+'QTR Raw'!N72</f>
        <v>6625.76</v>
      </c>
      <c r="AU227" s="23">
        <f t="shared" si="1380"/>
        <v>6625.76</v>
      </c>
      <c r="AV227" s="23">
        <f>+'QTR Raw'!P72</f>
        <v>7187.42</v>
      </c>
      <c r="AW227" s="23">
        <f t="shared" si="1380"/>
        <v>7187.42</v>
      </c>
      <c r="AX227" s="23">
        <f>+'QTR Raw'!R72</f>
        <v>5.54</v>
      </c>
      <c r="AY227" s="23">
        <f t="shared" si="1380"/>
        <v>5.54</v>
      </c>
      <c r="AZ227" s="23">
        <f>+'QTR Raw'!T72</f>
        <v>1698.23</v>
      </c>
      <c r="BA227" s="23">
        <f t="shared" si="1380"/>
        <v>1698.23</v>
      </c>
      <c r="BB227" s="23">
        <f>+'QTR Raw'!V72</f>
        <v>1653.57</v>
      </c>
      <c r="BC227" s="23">
        <f t="shared" si="1380"/>
        <v>1653.57</v>
      </c>
      <c r="BD227" s="23">
        <f>+'QTR Raw'!X72</f>
        <v>1654.69</v>
      </c>
      <c r="BE227" s="23">
        <f t="shared" si="1380"/>
        <v>1654.69</v>
      </c>
      <c r="BF227" s="23">
        <f>+'QTR Raw'!Z72</f>
        <v>1641.57</v>
      </c>
      <c r="BG227" s="23">
        <f t="shared" si="1380"/>
        <v>1641.57</v>
      </c>
      <c r="BH227" s="23">
        <f>+'QTR Raw'!AB72</f>
        <v>1641.57</v>
      </c>
      <c r="BI227" s="23">
        <f t="shared" si="1380"/>
        <v>1641.57</v>
      </c>
      <c r="BJ227" s="23">
        <f>+'QTR Raw'!AD72</f>
        <v>1641.57</v>
      </c>
      <c r="BK227" s="23">
        <f t="shared" si="1380"/>
        <v>1641.57</v>
      </c>
      <c r="BL227" s="23">
        <f>+'QTR Raw'!AF72</f>
        <v>1641.57</v>
      </c>
      <c r="BM227" s="23">
        <f t="shared" si="1380"/>
        <v>1641.57</v>
      </c>
      <c r="BN227" s="23">
        <f>+'QTR Raw'!AH72</f>
        <v>1641.57</v>
      </c>
      <c r="BO227" s="23">
        <f t="shared" si="1380"/>
        <v>1641.57</v>
      </c>
      <c r="BP227" s="23">
        <f>+'QTR Raw'!AJ72</f>
        <v>1667.52</v>
      </c>
      <c r="BQ227" s="23">
        <f t="shared" si="1380"/>
        <v>1667.52</v>
      </c>
      <c r="BR227" s="23">
        <f>+'QTR Raw'!AL72</f>
        <v>1794.57</v>
      </c>
      <c r="BS227" s="23">
        <f t="shared" si="1380"/>
        <v>1794.57</v>
      </c>
      <c r="BT227" s="23">
        <f>+'QTR Raw'!AN72</f>
        <v>1858.31</v>
      </c>
      <c r="BU227" s="23">
        <f t="shared" si="1380"/>
        <v>1858.31</v>
      </c>
      <c r="BV227" s="23">
        <f>+'QTR Raw'!AP72</f>
        <v>1858.31</v>
      </c>
      <c r="BW227" s="23">
        <f t="shared" si="1380"/>
        <v>1858.31</v>
      </c>
      <c r="BX227" s="23">
        <f>+'QTR Raw'!AR72</f>
        <v>1858.31</v>
      </c>
      <c r="BY227" s="23">
        <f t="shared" si="1380"/>
        <v>1858.31</v>
      </c>
      <c r="BZ227" s="23">
        <f>+'QTR Raw'!AT72</f>
        <v>1858.31</v>
      </c>
      <c r="CA227" s="23">
        <f t="shared" si="1380"/>
        <v>1858.31</v>
      </c>
      <c r="CB227" s="23">
        <f>+'QTR Raw'!AV72</f>
        <v>1858.31</v>
      </c>
      <c r="CC227" s="23">
        <f t="shared" si="1380"/>
        <v>1858.31</v>
      </c>
      <c r="CD227" s="23">
        <f>+'QTR Raw'!AX72</f>
        <v>1757.46</v>
      </c>
      <c r="CE227" s="23">
        <f t="shared" si="1380"/>
        <v>1757.46</v>
      </c>
      <c r="CF227" s="23">
        <f>+'QTR Raw'!AZ72</f>
        <v>1757.46</v>
      </c>
      <c r="CG227" s="23">
        <f t="shared" si="1378"/>
        <v>1757.46</v>
      </c>
      <c r="CH227" s="23">
        <f t="shared" si="1365"/>
        <v>1651.46</v>
      </c>
      <c r="CI227" s="23">
        <f t="shared" si="1378"/>
        <v>1651.46</v>
      </c>
      <c r="CJ227" s="23">
        <f>+'QTR Raw'!BD72</f>
        <v>1651.46</v>
      </c>
      <c r="CK227" s="23">
        <f t="shared" ref="CK227:CK229" si="1381">+CJ227</f>
        <v>1651.46</v>
      </c>
      <c r="CL227" s="23">
        <f>+'QTR Raw'!BF72</f>
        <v>1651.46</v>
      </c>
      <c r="CM227" s="24">
        <f t="shared" ref="CM227:CM229" si="1382">+CL227</f>
        <v>1651.46</v>
      </c>
      <c r="CN227" s="24">
        <f t="shared" ref="CN227:CN229" si="1383">+CM227</f>
        <v>1651.46</v>
      </c>
      <c r="CO227" s="24">
        <f t="shared" ref="CO227:CO229" si="1384">+CN227</f>
        <v>1651.46</v>
      </c>
      <c r="CP227" s="24">
        <f t="shared" ref="CP227:CP229" si="1385">+CO227</f>
        <v>1651.46</v>
      </c>
      <c r="CQ227" s="24">
        <f t="shared" ref="CQ227:CQ229" si="1386">+CP227</f>
        <v>1651.46</v>
      </c>
      <c r="CR227" s="24">
        <f t="shared" ref="CR227:CR229" si="1387">+CQ227</f>
        <v>1651.46</v>
      </c>
      <c r="CS227" s="24">
        <f t="shared" ref="CS227:CS229" si="1388">+CR227</f>
        <v>1651.46</v>
      </c>
      <c r="CT227" s="24">
        <f t="shared" ref="CT227:CT229" si="1389">+CS227</f>
        <v>1651.46</v>
      </c>
      <c r="CU227" s="24">
        <f t="shared" ref="CU227:CU229" si="1390">+CT227</f>
        <v>1651.46</v>
      </c>
      <c r="CV227" s="24">
        <f t="shared" ref="CV227:CV229" si="1391">+CU227</f>
        <v>1651.46</v>
      </c>
      <c r="CW227" s="24">
        <f t="shared" ref="CW227:CW229" si="1392">+CV227</f>
        <v>1651.46</v>
      </c>
      <c r="CX227" s="24">
        <f t="shared" ref="CX227:CX229" si="1393">+CW227</f>
        <v>1651.46</v>
      </c>
      <c r="CY227" s="24">
        <f t="shared" ref="CY227:CY229" si="1394">+CX227</f>
        <v>1651.46</v>
      </c>
      <c r="CZ227" s="24">
        <f t="shared" ref="CZ227:CZ229" si="1395">+CY227</f>
        <v>1651.46</v>
      </c>
      <c r="DA227" s="24">
        <f t="shared" ref="DA227:DA229" si="1396">+CZ227</f>
        <v>1651.46</v>
      </c>
      <c r="DB227" s="24">
        <f t="shared" ref="DB227:DB229" si="1397">+DA227</f>
        <v>1651.46</v>
      </c>
      <c r="DE227" s="123"/>
      <c r="DF227" s="23">
        <v>1651.46</v>
      </c>
    </row>
    <row r="228" spans="1:110" s="23" customFormat="1" outlineLevel="1" x14ac:dyDescent="0.2">
      <c r="A228" s="23" t="s">
        <v>55</v>
      </c>
      <c r="B228" s="23">
        <f>'Annual Raw'!C68</f>
        <v>0</v>
      </c>
      <c r="C228" s="23">
        <f>'Annual Raw'!D68</f>
        <v>0</v>
      </c>
      <c r="D228" s="23">
        <f>'Annual Raw'!E68</f>
        <v>0</v>
      </c>
      <c r="E228" s="23">
        <f>'Annual Raw'!F68</f>
        <v>0</v>
      </c>
      <c r="F228" s="23">
        <f>'Annual Raw'!G68</f>
        <v>0</v>
      </c>
      <c r="G228" s="23">
        <f>'Annual Raw'!H68</f>
        <v>0</v>
      </c>
      <c r="H228" s="23">
        <f>'Annual Raw'!I68</f>
        <v>0</v>
      </c>
      <c r="I228" s="23">
        <f>'Annual Raw'!J68</f>
        <v>0</v>
      </c>
      <c r="J228" s="23">
        <f>'Annual Raw'!K68</f>
        <v>0</v>
      </c>
      <c r="K228" s="23">
        <f>'Annual Raw'!L68</f>
        <v>0</v>
      </c>
      <c r="L228" s="23">
        <f>'Annual Raw'!M68</f>
        <v>11.96</v>
      </c>
      <c r="M228" s="23">
        <f>'Annual Raw'!N68</f>
        <v>24.9</v>
      </c>
      <c r="N228" s="23">
        <f>'Annual Raw'!O68</f>
        <v>73.34</v>
      </c>
      <c r="O228" s="23">
        <f>'Annual Raw'!P68</f>
        <v>90.6</v>
      </c>
      <c r="P228" s="23">
        <f>'Annual Raw'!Q68</f>
        <v>78.75</v>
      </c>
      <c r="Q228" s="23">
        <f>'Annual Raw'!R68</f>
        <v>210.75</v>
      </c>
      <c r="R228" s="23">
        <f>'Annual Raw'!S68</f>
        <v>254.68</v>
      </c>
      <c r="S228" s="23">
        <f>'Annual Raw'!T68</f>
        <v>0</v>
      </c>
      <c r="T228" s="23">
        <f>'Annual Raw'!U68</f>
        <v>0</v>
      </c>
      <c r="U228" s="23">
        <f>'Annual Raw'!V68</f>
        <v>0</v>
      </c>
      <c r="V228" s="23">
        <f>'Annual Raw'!W68</f>
        <v>0</v>
      </c>
      <c r="W228" s="23">
        <f>'Annual Raw'!X68</f>
        <v>0</v>
      </c>
      <c r="X228" s="23">
        <f>'Annual Raw'!Y68</f>
        <v>0</v>
      </c>
      <c r="Y228" s="23">
        <f>'Annual Raw'!Z68</f>
        <v>0</v>
      </c>
      <c r="Z228" s="23">
        <f>'Annual Raw'!AA68</f>
        <v>0</v>
      </c>
      <c r="AA228" s="23">
        <f>'Annual Raw'!AB68</f>
        <v>0</v>
      </c>
      <c r="AB228" s="24">
        <f t="shared" si="1361"/>
        <v>0</v>
      </c>
      <c r="AC228" s="24">
        <f t="shared" si="1362"/>
        <v>0</v>
      </c>
      <c r="AD228" s="24">
        <f t="shared" si="1363"/>
        <v>0</v>
      </c>
      <c r="AE228" s="24">
        <f t="shared" si="1364"/>
        <v>0</v>
      </c>
      <c r="AK228" s="23">
        <f t="shared" si="1380"/>
        <v>0</v>
      </c>
      <c r="AM228" s="23">
        <f t="shared" si="1380"/>
        <v>0</v>
      </c>
      <c r="AO228" s="23">
        <f t="shared" si="1380"/>
        <v>0</v>
      </c>
      <c r="AQ228" s="23">
        <f t="shared" si="1380"/>
        <v>0</v>
      </c>
      <c r="AS228" s="23">
        <f t="shared" si="1380"/>
        <v>0</v>
      </c>
      <c r="AU228" s="23">
        <f t="shared" si="1380"/>
        <v>0</v>
      </c>
      <c r="AW228" s="23">
        <f t="shared" si="1380"/>
        <v>0</v>
      </c>
      <c r="AY228" s="23">
        <f t="shared" si="1380"/>
        <v>0</v>
      </c>
      <c r="BA228" s="23">
        <f t="shared" si="1380"/>
        <v>0</v>
      </c>
      <c r="BC228" s="23">
        <f t="shared" si="1380"/>
        <v>0</v>
      </c>
      <c r="BE228" s="23">
        <f t="shared" si="1380"/>
        <v>0</v>
      </c>
      <c r="BG228" s="23">
        <f t="shared" si="1380"/>
        <v>0</v>
      </c>
      <c r="BI228" s="23">
        <f t="shared" si="1380"/>
        <v>0</v>
      </c>
      <c r="BK228" s="23">
        <f t="shared" si="1380"/>
        <v>0</v>
      </c>
      <c r="BM228" s="23">
        <f t="shared" si="1380"/>
        <v>0</v>
      </c>
      <c r="BO228" s="23">
        <f t="shared" si="1380"/>
        <v>0</v>
      </c>
      <c r="BQ228" s="23">
        <f t="shared" si="1380"/>
        <v>0</v>
      </c>
      <c r="BS228" s="23">
        <f t="shared" si="1380"/>
        <v>0</v>
      </c>
      <c r="BU228" s="23">
        <f t="shared" si="1380"/>
        <v>0</v>
      </c>
      <c r="BW228" s="23">
        <f t="shared" si="1380"/>
        <v>0</v>
      </c>
      <c r="BY228" s="23">
        <f t="shared" si="1380"/>
        <v>0</v>
      </c>
      <c r="CA228" s="23">
        <f t="shared" si="1380"/>
        <v>0</v>
      </c>
      <c r="CC228" s="23">
        <f t="shared" si="1380"/>
        <v>0</v>
      </c>
      <c r="CE228" s="23">
        <f t="shared" si="1380"/>
        <v>0</v>
      </c>
      <c r="CG228" s="23">
        <f t="shared" si="1378"/>
        <v>0</v>
      </c>
      <c r="CH228" s="23">
        <f t="shared" si="1365"/>
        <v>0</v>
      </c>
      <c r="CI228" s="23">
        <f t="shared" si="1378"/>
        <v>0</v>
      </c>
      <c r="CK228" s="23">
        <f t="shared" si="1381"/>
        <v>0</v>
      </c>
      <c r="CM228" s="24">
        <f t="shared" si="1382"/>
        <v>0</v>
      </c>
      <c r="CN228" s="24">
        <f t="shared" si="1383"/>
        <v>0</v>
      </c>
      <c r="CO228" s="24">
        <f t="shared" si="1384"/>
        <v>0</v>
      </c>
      <c r="CP228" s="24">
        <f t="shared" si="1385"/>
        <v>0</v>
      </c>
      <c r="CQ228" s="24">
        <f t="shared" si="1386"/>
        <v>0</v>
      </c>
      <c r="CR228" s="24">
        <f t="shared" si="1387"/>
        <v>0</v>
      </c>
      <c r="CS228" s="24">
        <f t="shared" si="1388"/>
        <v>0</v>
      </c>
      <c r="CT228" s="24">
        <f t="shared" si="1389"/>
        <v>0</v>
      </c>
      <c r="CU228" s="24">
        <f t="shared" si="1390"/>
        <v>0</v>
      </c>
      <c r="CV228" s="24">
        <f t="shared" si="1391"/>
        <v>0</v>
      </c>
      <c r="CW228" s="24">
        <f t="shared" si="1392"/>
        <v>0</v>
      </c>
      <c r="CX228" s="24">
        <f t="shared" si="1393"/>
        <v>0</v>
      </c>
      <c r="CY228" s="24">
        <f t="shared" si="1394"/>
        <v>0</v>
      </c>
      <c r="CZ228" s="24">
        <f t="shared" si="1395"/>
        <v>0</v>
      </c>
      <c r="DA228" s="24">
        <f t="shared" si="1396"/>
        <v>0</v>
      </c>
      <c r="DB228" s="24">
        <f t="shared" si="1397"/>
        <v>0</v>
      </c>
      <c r="DE228" s="123"/>
      <c r="DF228" s="23">
        <v>0</v>
      </c>
    </row>
    <row r="229" spans="1:110" s="23" customFormat="1" outlineLevel="1" x14ac:dyDescent="0.2">
      <c r="A229" s="23" t="s">
        <v>56</v>
      </c>
      <c r="B229" s="23">
        <f>'Annual Raw'!C67+'Annual Raw'!C66+'Annual Raw'!C69+'Annual Raw'!C70</f>
        <v>649.46961799999997</v>
      </c>
      <c r="C229" s="23">
        <f>'Annual Raw'!D67+'Annual Raw'!D66+'Annual Raw'!D69+'Annual Raw'!D70</f>
        <v>661.3</v>
      </c>
      <c r="D229" s="23">
        <f>'Annual Raw'!E67+'Annual Raw'!E66+'Annual Raw'!E69+'Annual Raw'!E70</f>
        <v>411.56</v>
      </c>
      <c r="E229" s="23">
        <f>'Annual Raw'!F67+'Annual Raw'!F66+'Annual Raw'!F69+'Annual Raw'!F70</f>
        <v>505.73999999999995</v>
      </c>
      <c r="F229" s="23">
        <f>'Annual Raw'!G67+'Annual Raw'!G66+'Annual Raw'!G69+'Annual Raw'!G70</f>
        <v>1211.55</v>
      </c>
      <c r="G229" s="23">
        <f>'Annual Raw'!H67+'Annual Raw'!H66+'Annual Raw'!H69+'Annual Raw'!H70</f>
        <v>1830.2</v>
      </c>
      <c r="H229" s="23">
        <f>'Annual Raw'!I67+'Annual Raw'!I66+'Annual Raw'!I69+'Annual Raw'!I70</f>
        <v>1090.75</v>
      </c>
      <c r="I229" s="23">
        <f>'Annual Raw'!J67+'Annual Raw'!J66+'Annual Raw'!J69+'Annual Raw'!J70</f>
        <v>3356.19</v>
      </c>
      <c r="J229" s="23">
        <f>'Annual Raw'!K67+'Annual Raw'!K66+'Annual Raw'!K69+'Annual Raw'!K70</f>
        <v>6346.05</v>
      </c>
      <c r="K229" s="23">
        <f>'Annual Raw'!L67+'Annual Raw'!L66+'Annual Raw'!L69+'Annual Raw'!L70</f>
        <v>11692.67</v>
      </c>
      <c r="L229" s="23">
        <f>'Annual Raw'!M67+'Annual Raw'!M66+'Annual Raw'!M69+'Annual Raw'!M70</f>
        <v>18670.25</v>
      </c>
      <c r="M229" s="23">
        <f>'Annual Raw'!N67+'Annual Raw'!N66+'Annual Raw'!N69+'Annual Raw'!N70</f>
        <v>12634.31</v>
      </c>
      <c r="N229" s="23">
        <f>'Annual Raw'!O67+'Annual Raw'!O66+'Annual Raw'!O69+'Annual Raw'!O70</f>
        <v>2284.27</v>
      </c>
      <c r="O229" s="23">
        <f>'Annual Raw'!P67+'Annual Raw'!P66+'Annual Raw'!P69+'Annual Raw'!P70</f>
        <v>3298.07</v>
      </c>
      <c r="P229" s="23">
        <f>'Annual Raw'!Q67+'Annual Raw'!Q66+'Annual Raw'!Q69+'Annual Raw'!Q70</f>
        <v>3244.44</v>
      </c>
      <c r="Q229" s="23">
        <f>'Annual Raw'!R67+'Annual Raw'!R66+'Annual Raw'!R69+'Annual Raw'!R70</f>
        <v>1136.73</v>
      </c>
      <c r="R229" s="23">
        <f>'Annual Raw'!S67+'Annual Raw'!S66+'Annual Raw'!S69+'Annual Raw'!S70</f>
        <v>1925.73</v>
      </c>
      <c r="S229" s="23">
        <f>'Annual Raw'!T67+'Annual Raw'!T66+'Annual Raw'!T69+'Annual Raw'!T70</f>
        <v>1652.6</v>
      </c>
      <c r="T229" s="23">
        <f>'Annual Raw'!U67+'Annual Raw'!U66+'Annual Raw'!U69+'Annual Raw'!U70</f>
        <v>2575.6999999999998</v>
      </c>
      <c r="U229" s="23">
        <f>'Annual Raw'!V67+'Annual Raw'!V66+'Annual Raw'!V69+'Annual Raw'!V70</f>
        <v>1611.52</v>
      </c>
      <c r="V229" s="23">
        <f>'Annual Raw'!W67+'Annual Raw'!W66+'Annual Raw'!W69+'Annual Raw'!W70</f>
        <v>3270.26</v>
      </c>
      <c r="W229" s="23">
        <f>'Annual Raw'!X67+'Annual Raw'!X66+'Annual Raw'!X69+'Annual Raw'!X70</f>
        <v>4635.1000000000004</v>
      </c>
      <c r="X229" s="23">
        <f>'Annual Raw'!Y67+'Annual Raw'!Y66+'Annual Raw'!Y69+'Annual Raw'!Y70</f>
        <v>5376.36</v>
      </c>
      <c r="Y229" s="23">
        <f>'Annual Raw'!Z67+'Annual Raw'!Z66+'Annual Raw'!Z69+'Annual Raw'!Z70</f>
        <v>11561.31</v>
      </c>
      <c r="Z229" s="23">
        <f>'Annual Raw'!AA67+'Annual Raw'!AA66+'Annual Raw'!AA69+'Annual Raw'!AA70</f>
        <v>12678.87</v>
      </c>
      <c r="AA229" s="23">
        <f>'Annual Raw'!AB67+'Annual Raw'!AB66+'Annual Raw'!AB69+'Annual Raw'!AB70</f>
        <v>14595.13</v>
      </c>
      <c r="AB229" s="24">
        <f t="shared" si="1361"/>
        <v>14595.13</v>
      </c>
      <c r="AC229" s="24">
        <f t="shared" si="1362"/>
        <v>14595.13</v>
      </c>
      <c r="AD229" s="24">
        <f t="shared" si="1363"/>
        <v>14595.13</v>
      </c>
      <c r="AE229" s="24">
        <f t="shared" si="1364"/>
        <v>14595.13</v>
      </c>
      <c r="AJ229" s="23">
        <f>+'QTR Raw'!D74+'QTR Raw'!D75</f>
        <v>0</v>
      </c>
      <c r="AK229" s="23">
        <f t="shared" si="1380"/>
        <v>0</v>
      </c>
      <c r="AL229" s="23">
        <f>+'QTR Raw'!F74+'QTR Raw'!F75</f>
        <v>0</v>
      </c>
      <c r="AM229" s="23">
        <f t="shared" si="1380"/>
        <v>0</v>
      </c>
      <c r="AN229" s="23">
        <f>+'QTR Raw'!H74+'QTR Raw'!H75</f>
        <v>0</v>
      </c>
      <c r="AO229" s="23">
        <f t="shared" si="1380"/>
        <v>0</v>
      </c>
      <c r="AP229" s="23">
        <f>+'QTR Raw'!J74+'QTR Raw'!J75</f>
        <v>0</v>
      </c>
      <c r="AQ229" s="23">
        <f t="shared" si="1380"/>
        <v>0</v>
      </c>
      <c r="AR229" s="23">
        <f>+'QTR Raw'!L74+'QTR Raw'!L75</f>
        <v>0</v>
      </c>
      <c r="AS229" s="23">
        <f t="shared" si="1380"/>
        <v>0</v>
      </c>
      <c r="AT229" s="23">
        <f>+'QTR Raw'!N74+'QTR Raw'!N75</f>
        <v>0</v>
      </c>
      <c r="AU229" s="23">
        <f t="shared" si="1380"/>
        <v>0</v>
      </c>
      <c r="AV229" s="23">
        <f>+'QTR Raw'!P74+'QTR Raw'!P75</f>
        <v>0</v>
      </c>
      <c r="AW229" s="23">
        <f t="shared" si="1380"/>
        <v>0</v>
      </c>
      <c r="AX229" s="23">
        <f>+'QTR Raw'!R74+'QTR Raw'!R75</f>
        <v>1134.1600000000001</v>
      </c>
      <c r="AY229" s="23">
        <f t="shared" si="1380"/>
        <v>1134.1600000000001</v>
      </c>
      <c r="AZ229" s="23">
        <f>+'QTR Raw'!T74+'QTR Raw'!T75</f>
        <v>1912.18</v>
      </c>
      <c r="BA229" s="23">
        <f t="shared" si="1380"/>
        <v>1912.18</v>
      </c>
      <c r="BB229" s="23">
        <f>+'QTR Raw'!V74+'QTR Raw'!V75</f>
        <v>1923.24</v>
      </c>
      <c r="BC229" s="23">
        <f t="shared" si="1380"/>
        <v>1923.24</v>
      </c>
      <c r="BD229" s="23">
        <f>+'QTR Raw'!X74+'QTR Raw'!X75</f>
        <v>2761.41</v>
      </c>
      <c r="BE229" s="23">
        <f t="shared" si="1380"/>
        <v>2761.41</v>
      </c>
      <c r="BF229" s="23">
        <f>+'QTR Raw'!Z74+'QTR Raw'!Z75</f>
        <v>1652.6</v>
      </c>
      <c r="BG229" s="23">
        <f t="shared" si="1380"/>
        <v>1652.6</v>
      </c>
      <c r="BH229" s="23">
        <f>+'QTR Raw'!AB74+'QTR Raw'!AB75</f>
        <v>1166.01</v>
      </c>
      <c r="BI229" s="23">
        <f t="shared" si="1380"/>
        <v>1166.01</v>
      </c>
      <c r="BJ229" s="23">
        <f>+'QTR Raw'!AD74+'QTR Raw'!AD75</f>
        <v>2575.6999999999998</v>
      </c>
      <c r="BK229" s="23">
        <f t="shared" si="1380"/>
        <v>2575.6999999999998</v>
      </c>
      <c r="BL229" s="23">
        <f>+'QTR Raw'!AF74+'QTR Raw'!AF75</f>
        <v>1294.06</v>
      </c>
      <c r="BM229" s="23">
        <f t="shared" si="1380"/>
        <v>1294.06</v>
      </c>
      <c r="BN229" s="23">
        <f>+'QTR Raw'!AH74+'QTR Raw'!AH75</f>
        <v>1611.52</v>
      </c>
      <c r="BO229" s="23">
        <f t="shared" si="1380"/>
        <v>1611.52</v>
      </c>
      <c r="BP229" s="23">
        <f>+'QTR Raw'!AJ74+'QTR Raw'!AJ75</f>
        <v>2941.61</v>
      </c>
      <c r="BQ229" s="23">
        <f t="shared" si="1380"/>
        <v>2941.61</v>
      </c>
      <c r="BR229" s="23">
        <f>+'QTR Raw'!AL74+'QTR Raw'!AL75</f>
        <v>3270.26</v>
      </c>
      <c r="BS229" s="23">
        <f t="shared" si="1380"/>
        <v>3270.26</v>
      </c>
      <c r="BT229" s="23">
        <f>+'QTR Raw'!AN74+'QTR Raw'!AN75</f>
        <v>4318.16</v>
      </c>
      <c r="BU229" s="23">
        <f t="shared" si="1380"/>
        <v>4318.16</v>
      </c>
      <c r="BV229" s="23">
        <f>+'QTR Raw'!AP74+'QTR Raw'!AP75</f>
        <v>4635.1000000000004</v>
      </c>
      <c r="BW229" s="23">
        <f t="shared" si="1380"/>
        <v>4635.1000000000004</v>
      </c>
      <c r="BX229" s="23">
        <f>+'QTR Raw'!AR74+'QTR Raw'!AR75</f>
        <v>3667.82</v>
      </c>
      <c r="BY229" s="23">
        <f t="shared" si="1380"/>
        <v>3667.82</v>
      </c>
      <c r="BZ229" s="23">
        <f>+'QTR Raw'!AT74+'QTR Raw'!AT75</f>
        <v>5376.36</v>
      </c>
      <c r="CA229" s="23">
        <f t="shared" si="1380"/>
        <v>5376.36</v>
      </c>
      <c r="CB229" s="23">
        <f>+'QTR Raw'!AV74+'QTR Raw'!AV75</f>
        <v>7199.24</v>
      </c>
      <c r="CC229" s="23">
        <f t="shared" si="1380"/>
        <v>7199.24</v>
      </c>
      <c r="CD229" s="23">
        <f>+'QTR Raw'!AX74+'QTR Raw'!AX75</f>
        <v>11561.31</v>
      </c>
      <c r="CE229" s="23">
        <f t="shared" si="1380"/>
        <v>11561.31</v>
      </c>
      <c r="CF229" s="23">
        <f>+'QTR Raw'!AZ74+'QTR Raw'!AZ75</f>
        <v>14305.77</v>
      </c>
      <c r="CG229" s="23">
        <f t="shared" si="1378"/>
        <v>14305.77</v>
      </c>
      <c r="CH229" s="23">
        <f t="shared" si="1365"/>
        <v>12678.87</v>
      </c>
      <c r="CI229" s="23">
        <f t="shared" si="1378"/>
        <v>12678.87</v>
      </c>
      <c r="CJ229" s="23">
        <f>+'QTR Raw'!BD74+'QTR Raw'!BD75</f>
        <v>15943.12</v>
      </c>
      <c r="CK229" s="23">
        <f t="shared" si="1381"/>
        <v>15943.12</v>
      </c>
      <c r="CL229" s="23">
        <f>+'QTR Raw'!BF74+'QTR Raw'!BF75</f>
        <v>14595.13</v>
      </c>
      <c r="CM229" s="24">
        <f t="shared" si="1382"/>
        <v>14595.13</v>
      </c>
      <c r="CN229" s="24">
        <f t="shared" si="1383"/>
        <v>14595.13</v>
      </c>
      <c r="CO229" s="24">
        <f t="shared" si="1384"/>
        <v>14595.13</v>
      </c>
      <c r="CP229" s="24">
        <f t="shared" si="1385"/>
        <v>14595.13</v>
      </c>
      <c r="CQ229" s="24">
        <f t="shared" si="1386"/>
        <v>14595.13</v>
      </c>
      <c r="CR229" s="24">
        <f t="shared" si="1387"/>
        <v>14595.13</v>
      </c>
      <c r="CS229" s="24">
        <f t="shared" si="1388"/>
        <v>14595.13</v>
      </c>
      <c r="CT229" s="24">
        <f t="shared" si="1389"/>
        <v>14595.13</v>
      </c>
      <c r="CU229" s="24">
        <f t="shared" si="1390"/>
        <v>14595.13</v>
      </c>
      <c r="CV229" s="24">
        <f t="shared" si="1391"/>
        <v>14595.13</v>
      </c>
      <c r="CW229" s="24">
        <f t="shared" si="1392"/>
        <v>14595.13</v>
      </c>
      <c r="CX229" s="24">
        <f t="shared" si="1393"/>
        <v>14595.13</v>
      </c>
      <c r="CY229" s="24">
        <f t="shared" si="1394"/>
        <v>14595.13</v>
      </c>
      <c r="CZ229" s="24">
        <f t="shared" si="1395"/>
        <v>14595.13</v>
      </c>
      <c r="DA229" s="24">
        <f t="shared" si="1396"/>
        <v>14595.13</v>
      </c>
      <c r="DB229" s="24">
        <f t="shared" si="1397"/>
        <v>14595.13</v>
      </c>
      <c r="DE229" s="123"/>
      <c r="DF229" s="23">
        <v>15943.12</v>
      </c>
    </row>
    <row r="230" spans="1:110" s="22" customFormat="1" x14ac:dyDescent="0.2">
      <c r="A230" s="22" t="s">
        <v>57</v>
      </c>
      <c r="B230" s="22">
        <f>B226+B229+B228</f>
        <v>3600.0102826000002</v>
      </c>
      <c r="C230" s="22">
        <f t="shared" ref="C230:D230" si="1398">C226+C229+C228</f>
        <v>4030.2299999999996</v>
      </c>
      <c r="D230" s="22">
        <f t="shared" si="1398"/>
        <v>4341.29</v>
      </c>
      <c r="E230" s="22">
        <f t="shared" ref="E230:Y230" si="1399">E226+E229+E228+E227</f>
        <v>4259.17</v>
      </c>
      <c r="F230" s="22">
        <f t="shared" si="1399"/>
        <v>4674.5099999999993</v>
      </c>
      <c r="G230" s="22">
        <f t="shared" si="1399"/>
        <v>5478.79</v>
      </c>
      <c r="H230" s="22">
        <f t="shared" si="1399"/>
        <v>6300.1</v>
      </c>
      <c r="I230" s="22">
        <f t="shared" si="1399"/>
        <v>14090.13</v>
      </c>
      <c r="J230" s="22">
        <f t="shared" si="1399"/>
        <v>20578.019999999997</v>
      </c>
      <c r="K230" s="22">
        <f t="shared" si="1399"/>
        <v>26740.16</v>
      </c>
      <c r="L230" s="22">
        <f t="shared" si="1399"/>
        <v>34719.589999999997</v>
      </c>
      <c r="M230" s="22">
        <f t="shared" si="1399"/>
        <v>40312.670000000006</v>
      </c>
      <c r="N230" s="22">
        <f t="shared" si="1399"/>
        <v>43710.859999999993</v>
      </c>
      <c r="O230" s="22">
        <f t="shared" si="1399"/>
        <v>46782.27</v>
      </c>
      <c r="P230" s="22">
        <f t="shared" si="1399"/>
        <v>48048.890000000007</v>
      </c>
      <c r="Q230" s="22">
        <f t="shared" si="1399"/>
        <v>37761.200000000004</v>
      </c>
      <c r="R230" s="22">
        <f t="shared" si="1399"/>
        <v>48772.710000000006</v>
      </c>
      <c r="S230" s="22">
        <f t="shared" si="1399"/>
        <v>46308.86</v>
      </c>
      <c r="T230" s="22">
        <f t="shared" si="1399"/>
        <v>46880.59</v>
      </c>
      <c r="U230" s="22">
        <f t="shared" si="1399"/>
        <v>49277.87999999999</v>
      </c>
      <c r="V230" s="22">
        <f t="shared" si="1399"/>
        <v>55449.409999999989</v>
      </c>
      <c r="W230" s="22">
        <f t="shared" si="1399"/>
        <v>62024.539999999994</v>
      </c>
      <c r="X230" s="22">
        <f t="shared" si="1399"/>
        <v>67123.02</v>
      </c>
      <c r="Y230" s="22">
        <f t="shared" si="1399"/>
        <v>78770.87</v>
      </c>
      <c r="Z230" s="22">
        <f>Z226+Z229+Z228+Z227</f>
        <v>91053.3</v>
      </c>
      <c r="AA230" s="22">
        <f>AA226+AA229+AA228+AA227</f>
        <v>101887.81999999999</v>
      </c>
      <c r="AB230" s="161">
        <f t="shared" ref="AB230:AE230" si="1400">AB226+AB229+AB228+AB227</f>
        <v>98850.161489705832</v>
      </c>
      <c r="AC230" s="161">
        <f t="shared" si="1400"/>
        <v>101173.03896911496</v>
      </c>
      <c r="AD230" s="161">
        <f t="shared" si="1400"/>
        <v>103341.94319429439</v>
      </c>
      <c r="AE230" s="161">
        <f t="shared" si="1400"/>
        <v>105367.08036993131</v>
      </c>
      <c r="AJ230" s="22">
        <f t="shared" ref="AJ230" si="1401">AJ226+AJ229+AJ227+AJ228</f>
        <v>7783.97</v>
      </c>
      <c r="AK230" s="22">
        <f t="shared" ref="AK230" si="1402">AK226+AK229+AK227+AK228</f>
        <v>7783.97</v>
      </c>
      <c r="AL230" s="22">
        <f t="shared" ref="AL230:AM230" si="1403">AL226+AL229+AL227+AL228</f>
        <v>43710.86</v>
      </c>
      <c r="AM230" s="22">
        <f t="shared" si="1403"/>
        <v>43710.86</v>
      </c>
      <c r="AN230" s="22">
        <f t="shared" ref="AN230:AO230" si="1404">AN226+AN229+AN227+AN228</f>
        <v>46657.27</v>
      </c>
      <c r="AO230" s="22">
        <f t="shared" si="1404"/>
        <v>46657.27</v>
      </c>
      <c r="AP230" s="22">
        <f t="shared" ref="AP230:CE230" si="1405">AP226+AP229+AP227+AP228</f>
        <v>46782.270000000004</v>
      </c>
      <c r="AQ230" s="22">
        <f t="shared" si="1405"/>
        <v>46782.270000000004</v>
      </c>
      <c r="AR230" s="22">
        <f t="shared" si="1405"/>
        <v>47613.23</v>
      </c>
      <c r="AS230" s="22">
        <f t="shared" si="1405"/>
        <v>47613.23</v>
      </c>
      <c r="AT230" s="22">
        <f t="shared" si="1405"/>
        <v>48048.89</v>
      </c>
      <c r="AU230" s="22">
        <f t="shared" si="1405"/>
        <v>48048.89</v>
      </c>
      <c r="AV230" s="22">
        <f t="shared" si="1405"/>
        <v>50091.360000000001</v>
      </c>
      <c r="AW230" s="22">
        <f t="shared" si="1405"/>
        <v>50091.360000000001</v>
      </c>
      <c r="AX230" s="22">
        <f t="shared" si="1405"/>
        <v>37758.630000000005</v>
      </c>
      <c r="AY230" s="22">
        <f t="shared" si="1405"/>
        <v>37758.630000000005</v>
      </c>
      <c r="AZ230" s="22">
        <f t="shared" si="1405"/>
        <v>45260.93</v>
      </c>
      <c r="BA230" s="22">
        <f t="shared" si="1405"/>
        <v>45260.93</v>
      </c>
      <c r="BB230" s="22">
        <f t="shared" si="1405"/>
        <v>48770.22</v>
      </c>
      <c r="BC230" s="22">
        <f t="shared" si="1405"/>
        <v>48770.22</v>
      </c>
      <c r="BD230" s="22">
        <f t="shared" si="1405"/>
        <v>49186.11</v>
      </c>
      <c r="BE230" s="22">
        <f t="shared" si="1405"/>
        <v>49186.11</v>
      </c>
      <c r="BF230" s="22">
        <f t="shared" si="1405"/>
        <v>46308.86</v>
      </c>
      <c r="BG230" s="22">
        <f t="shared" si="1405"/>
        <v>46308.86</v>
      </c>
      <c r="BH230" s="22">
        <f t="shared" si="1405"/>
        <v>47596.28</v>
      </c>
      <c r="BI230" s="22">
        <f t="shared" si="1405"/>
        <v>47596.28</v>
      </c>
      <c r="BJ230" s="22">
        <f t="shared" si="1405"/>
        <v>46880.59</v>
      </c>
      <c r="BK230" s="22">
        <f t="shared" si="1405"/>
        <v>46880.59</v>
      </c>
      <c r="BL230" s="22">
        <f t="shared" si="1405"/>
        <v>49997.56</v>
      </c>
      <c r="BM230" s="22">
        <f t="shared" si="1405"/>
        <v>49997.56</v>
      </c>
      <c r="BN230" s="22">
        <f t="shared" si="1405"/>
        <v>49277.88</v>
      </c>
      <c r="BO230" s="22">
        <f t="shared" si="1405"/>
        <v>49277.88</v>
      </c>
      <c r="BP230" s="22">
        <f t="shared" si="1405"/>
        <v>51688.229999999996</v>
      </c>
      <c r="BQ230" s="22">
        <f t="shared" si="1405"/>
        <v>51688.229999999996</v>
      </c>
      <c r="BR230" s="22">
        <f t="shared" si="1405"/>
        <v>51767.14</v>
      </c>
      <c r="BS230" s="22">
        <f t="shared" si="1405"/>
        <v>51767.14</v>
      </c>
      <c r="BT230" s="22">
        <f t="shared" si="1405"/>
        <v>58594.86</v>
      </c>
      <c r="BU230" s="22">
        <f t="shared" si="1405"/>
        <v>58594.86</v>
      </c>
      <c r="BV230" s="22">
        <f t="shared" si="1405"/>
        <v>58362.549999999996</v>
      </c>
      <c r="BW230" s="22">
        <f t="shared" si="1405"/>
        <v>58362.549999999996</v>
      </c>
      <c r="BX230" s="22">
        <f t="shared" si="1405"/>
        <v>59221.479999999996</v>
      </c>
      <c r="BY230" s="22">
        <f t="shared" si="1405"/>
        <v>59221.479999999996</v>
      </c>
      <c r="BZ230" s="22">
        <f t="shared" si="1405"/>
        <v>63140.97</v>
      </c>
      <c r="CA230" s="22">
        <f t="shared" si="1405"/>
        <v>63140.97</v>
      </c>
      <c r="CB230" s="22">
        <f t="shared" si="1405"/>
        <v>65683.72</v>
      </c>
      <c r="CC230" s="22">
        <f t="shared" si="1405"/>
        <v>65683.72</v>
      </c>
      <c r="CD230" s="22">
        <f t="shared" si="1405"/>
        <v>74402.12000000001</v>
      </c>
      <c r="CE230" s="22">
        <f t="shared" si="1405"/>
        <v>74402.12000000001</v>
      </c>
      <c r="CF230" s="22">
        <f t="shared" ref="CF230:CG230" si="1406">CF226+CF229+CF227+CF228</f>
        <v>79961.850000000006</v>
      </c>
      <c r="CG230" s="22">
        <f t="shared" si="1406"/>
        <v>79961.850000000006</v>
      </c>
      <c r="CH230" s="22">
        <f t="shared" ref="CH230:CJ230" si="1407">CH226+CH229+CH227+CH228</f>
        <v>91053.3</v>
      </c>
      <c r="CI230" s="22">
        <f t="shared" si="1407"/>
        <v>89892.39</v>
      </c>
      <c r="CJ230" s="22">
        <f t="shared" si="1407"/>
        <v>89760.23</v>
      </c>
      <c r="CK230" s="22">
        <f t="shared" ref="CK230:DB230" si="1408">CK226+CK229+CK227+CK228</f>
        <v>91541.33</v>
      </c>
      <c r="CL230" s="22">
        <f t="shared" si="1408"/>
        <v>96362.38</v>
      </c>
      <c r="CM230" s="21">
        <f t="shared" si="1408"/>
        <v>97000.411570000011</v>
      </c>
      <c r="CN230" s="21">
        <f t="shared" si="1408"/>
        <v>97627.596603310012</v>
      </c>
      <c r="CO230" s="21">
        <f t="shared" si="1408"/>
        <v>98244.119491053731</v>
      </c>
      <c r="CP230" s="21">
        <f t="shared" si="1408"/>
        <v>98850.161489705832</v>
      </c>
      <c r="CQ230" s="21">
        <f t="shared" si="1408"/>
        <v>99445.900774380818</v>
      </c>
      <c r="CR230" s="21">
        <f t="shared" si="1408"/>
        <v>100031.51249121634</v>
      </c>
      <c r="CS230" s="21">
        <f t="shared" si="1408"/>
        <v>100607.16880886567</v>
      </c>
      <c r="CT230" s="21">
        <f t="shared" si="1408"/>
        <v>101173.03896911496</v>
      </c>
      <c r="CU230" s="21">
        <f t="shared" si="1408"/>
        <v>101729.28933664001</v>
      </c>
      <c r="CV230" s="21">
        <f t="shared" si="1408"/>
        <v>102276.08344791713</v>
      </c>
      <c r="CW230" s="21">
        <f t="shared" si="1408"/>
        <v>102813.58205930254</v>
      </c>
      <c r="CX230" s="21">
        <f t="shared" si="1408"/>
        <v>103341.94319429439</v>
      </c>
      <c r="CY230" s="21">
        <f t="shared" si="1408"/>
        <v>103861.32218999139</v>
      </c>
      <c r="CZ230" s="21">
        <f t="shared" si="1408"/>
        <v>104371.87174276153</v>
      </c>
      <c r="DA230" s="21">
        <f t="shared" si="1408"/>
        <v>104873.74195313459</v>
      </c>
      <c r="DB230" s="21">
        <f t="shared" si="1408"/>
        <v>105367.08036993131</v>
      </c>
      <c r="DE230" s="126"/>
      <c r="DF230" s="22">
        <v>92432.128749999989</v>
      </c>
    </row>
    <row r="231" spans="1:110" s="23" customFormat="1" x14ac:dyDescent="0.2">
      <c r="AB231" s="24"/>
      <c r="AC231" s="24"/>
      <c r="AD231" s="24"/>
      <c r="AE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E231" s="123"/>
    </row>
    <row r="232" spans="1:110" s="23" customFormat="1" x14ac:dyDescent="0.2">
      <c r="A232" s="23" t="s">
        <v>58</v>
      </c>
      <c r="B232" s="23">
        <f>'Annual Raw'!C71</f>
        <v>1481.5302544000001</v>
      </c>
      <c r="C232" s="23">
        <f>'Annual Raw'!D71</f>
        <v>1683.69</v>
      </c>
      <c r="D232" s="23">
        <f>'Annual Raw'!E71</f>
        <v>1934.5</v>
      </c>
      <c r="E232" s="23">
        <f>'Annual Raw'!F71</f>
        <v>2033.25</v>
      </c>
      <c r="F232" s="23">
        <f>'Annual Raw'!G71</f>
        <v>1906.65</v>
      </c>
      <c r="G232" s="23">
        <f>'Annual Raw'!H71</f>
        <v>2287.21</v>
      </c>
      <c r="H232" s="23">
        <f>'Annual Raw'!I71</f>
        <v>2647.63</v>
      </c>
      <c r="I232" s="23">
        <f>'Annual Raw'!J71</f>
        <v>2946.88</v>
      </c>
      <c r="J232" s="23">
        <f>'Annual Raw'!K71</f>
        <v>2698.1</v>
      </c>
      <c r="K232" s="23">
        <f>'Annual Raw'!L71</f>
        <v>2713.23</v>
      </c>
      <c r="L232" s="23">
        <f>'Annual Raw'!M71</f>
        <v>2609.2199999999998</v>
      </c>
      <c r="M232" s="23">
        <f>'Annual Raw'!N71</f>
        <v>2645.42</v>
      </c>
      <c r="N232" s="23">
        <f>'Annual Raw'!O71</f>
        <v>2642.71</v>
      </c>
      <c r="O232" s="23">
        <f>'Annual Raw'!P71</f>
        <v>2678.72</v>
      </c>
      <c r="P232" s="23">
        <f>'Annual Raw'!Q71</f>
        <v>2839</v>
      </c>
      <c r="Q232" s="23">
        <f>'Annual Raw'!R71</f>
        <v>11446.83</v>
      </c>
      <c r="R232" s="23">
        <f>'Annual Raw'!S71</f>
        <v>10775.23</v>
      </c>
      <c r="S232" s="23">
        <f>'Annual Raw'!T71</f>
        <v>11992.77</v>
      </c>
      <c r="T232" s="23">
        <f>'Annual Raw'!U71</f>
        <v>13374.89</v>
      </c>
      <c r="U232" s="23">
        <f>'Annual Raw'!V71</f>
        <v>13835.33</v>
      </c>
      <c r="V232" s="23">
        <f>'Annual Raw'!W71</f>
        <v>12649.51</v>
      </c>
      <c r="W232" s="23">
        <f>'Annual Raw'!X71</f>
        <v>13749.81</v>
      </c>
      <c r="X232" s="23">
        <f>'Annual Raw'!Y71</f>
        <v>15520.09</v>
      </c>
      <c r="Y232" s="23">
        <f>'Annual Raw'!Z71</f>
        <v>14838.1</v>
      </c>
      <c r="Z232" s="23">
        <f>'Annual Raw'!AA71</f>
        <v>15013.97</v>
      </c>
      <c r="AA232" s="23">
        <f>'Annual Raw'!AB71</f>
        <v>15218.42</v>
      </c>
      <c r="AB232" s="24">
        <f>+CP232</f>
        <v>15218.42</v>
      </c>
      <c r="AC232" s="24">
        <f>+CT232</f>
        <v>15218.42</v>
      </c>
      <c r="AD232" s="24">
        <f>+CX232</f>
        <v>15218.42</v>
      </c>
      <c r="AE232" s="24">
        <f>+DB232</f>
        <v>15218.42</v>
      </c>
      <c r="AJ232" s="23">
        <f>+'QTR Raw'!D77</f>
        <v>9282.83</v>
      </c>
      <c r="AK232" s="23">
        <f t="shared" ref="AK232:CE232" si="1409">+AJ232</f>
        <v>9282.83</v>
      </c>
      <c r="AL232" s="23">
        <f>+'QTR Raw'!F77</f>
        <v>2642.71</v>
      </c>
      <c r="AM232" s="23">
        <f t="shared" si="1409"/>
        <v>2642.71</v>
      </c>
      <c r="AN232" s="23">
        <f>+'QTR Raw'!H77</f>
        <v>2810.98</v>
      </c>
      <c r="AO232" s="23">
        <f t="shared" si="1409"/>
        <v>2810.98</v>
      </c>
      <c r="AP232" s="23">
        <f>+'QTR Raw'!J77</f>
        <v>2678.72</v>
      </c>
      <c r="AQ232" s="23">
        <f t="shared" si="1409"/>
        <v>2678.72</v>
      </c>
      <c r="AR232" s="23">
        <f>+'QTR Raw'!L77</f>
        <v>2708.3</v>
      </c>
      <c r="AS232" s="23">
        <f t="shared" si="1409"/>
        <v>2708.3</v>
      </c>
      <c r="AT232" s="23">
        <f>+'QTR Raw'!N77</f>
        <v>2839</v>
      </c>
      <c r="AU232" s="23">
        <f t="shared" si="1409"/>
        <v>2839</v>
      </c>
      <c r="AV232" s="23">
        <f>+'QTR Raw'!P77</f>
        <v>2762.84</v>
      </c>
      <c r="AW232" s="23">
        <f t="shared" si="1409"/>
        <v>2762.84</v>
      </c>
      <c r="AX232" s="23">
        <f>+'QTR Raw'!R77</f>
        <v>11449.4</v>
      </c>
      <c r="AY232" s="23">
        <f t="shared" si="1409"/>
        <v>11449.4</v>
      </c>
      <c r="AZ232" s="23">
        <f>+'QTR Raw'!T77</f>
        <v>15897.43</v>
      </c>
      <c r="BA232" s="23">
        <f t="shared" si="1409"/>
        <v>15897.43</v>
      </c>
      <c r="BB232" s="23">
        <f>+'QTR Raw'!V77</f>
        <v>10777.72</v>
      </c>
      <c r="BC232" s="23">
        <f t="shared" si="1409"/>
        <v>10777.72</v>
      </c>
      <c r="BD232" s="23">
        <f>+'QTR Raw'!X77</f>
        <v>10500.7</v>
      </c>
      <c r="BE232" s="23">
        <f t="shared" si="1409"/>
        <v>10500.7</v>
      </c>
      <c r="BF232" s="23">
        <f>+'QTR Raw'!Z77</f>
        <v>11992.77</v>
      </c>
      <c r="BG232" s="23">
        <f t="shared" si="1409"/>
        <v>11992.77</v>
      </c>
      <c r="BH232" s="23">
        <f>+'QTR Raw'!AB77</f>
        <v>13793.01</v>
      </c>
      <c r="BI232" s="23">
        <f t="shared" si="1409"/>
        <v>13793.01</v>
      </c>
      <c r="BJ232" s="23">
        <f>+'QTR Raw'!AD77</f>
        <v>13374.89</v>
      </c>
      <c r="BK232" s="23">
        <f t="shared" si="1409"/>
        <v>13374.89</v>
      </c>
      <c r="BL232" s="23">
        <f>+'QTR Raw'!AF77</f>
        <v>12072.28</v>
      </c>
      <c r="BM232" s="23">
        <f t="shared" si="1409"/>
        <v>12072.28</v>
      </c>
      <c r="BN232" s="23">
        <f>+'QTR Raw'!AH77</f>
        <v>13835.33</v>
      </c>
      <c r="BO232" s="23">
        <f t="shared" si="1409"/>
        <v>13835.33</v>
      </c>
      <c r="BP232" s="23">
        <f>+'QTR Raw'!AJ77</f>
        <v>13467.03</v>
      </c>
      <c r="BQ232" s="23">
        <f t="shared" si="1409"/>
        <v>13467.03</v>
      </c>
      <c r="BR232" s="23">
        <f>+'QTR Raw'!AL77</f>
        <v>12649.51</v>
      </c>
      <c r="BS232" s="23">
        <f t="shared" si="1409"/>
        <v>12649.51</v>
      </c>
      <c r="BT232" s="23">
        <f>+'QTR Raw'!AN77</f>
        <v>12907.35</v>
      </c>
      <c r="BU232" s="23">
        <f t="shared" si="1409"/>
        <v>12907.35</v>
      </c>
      <c r="BV232" s="23">
        <f>+'QTR Raw'!AP77</f>
        <v>13749.81</v>
      </c>
      <c r="BW232" s="23">
        <f t="shared" si="1409"/>
        <v>13749.81</v>
      </c>
      <c r="BX232" s="23">
        <f>+'QTR Raw'!AR77</f>
        <v>15815.07</v>
      </c>
      <c r="BY232" s="23">
        <f t="shared" si="1409"/>
        <v>15815.07</v>
      </c>
      <c r="BZ232" s="23">
        <f>+'QTR Raw'!AT77</f>
        <v>15520.09</v>
      </c>
      <c r="CA232" s="23">
        <f t="shared" si="1409"/>
        <v>15520.09</v>
      </c>
      <c r="CB232" s="23">
        <f>+'QTR Raw'!AV77</f>
        <v>15585.86</v>
      </c>
      <c r="CC232" s="23">
        <f t="shared" si="1409"/>
        <v>15585.86</v>
      </c>
      <c r="CD232" s="23">
        <f>+'QTR Raw'!AX77</f>
        <v>14838.1</v>
      </c>
      <c r="CE232" s="23">
        <f t="shared" si="1409"/>
        <v>14838.1</v>
      </c>
      <c r="CF232" s="23">
        <f>+'QTR Raw'!AZ77</f>
        <v>15003.92</v>
      </c>
      <c r="CG232" s="23">
        <f t="shared" ref="CG232:CI235" si="1410">+CF232</f>
        <v>15003.92</v>
      </c>
      <c r="CH232" s="23">
        <f t="shared" ref="CH232:CH247" si="1411">Z232</f>
        <v>15013.97</v>
      </c>
      <c r="CI232" s="23">
        <f t="shared" si="1410"/>
        <v>15013.97</v>
      </c>
      <c r="CJ232" s="23">
        <f>+'QTR Raw'!BD77</f>
        <v>15282.08</v>
      </c>
      <c r="CK232" s="23">
        <f t="shared" ref="CK232" si="1412">+CJ232</f>
        <v>15282.08</v>
      </c>
      <c r="CL232" s="23">
        <f>+'QTR Raw'!BF77</f>
        <v>15218.42</v>
      </c>
      <c r="CM232" s="24">
        <f t="shared" ref="CM232" si="1413">+CL232</f>
        <v>15218.42</v>
      </c>
      <c r="CN232" s="24">
        <f t="shared" ref="CN232" si="1414">+CM232</f>
        <v>15218.42</v>
      </c>
      <c r="CO232" s="24">
        <f t="shared" ref="CO232" si="1415">+CN232</f>
        <v>15218.42</v>
      </c>
      <c r="CP232" s="24">
        <f t="shared" ref="CP232" si="1416">+CO232</f>
        <v>15218.42</v>
      </c>
      <c r="CQ232" s="24">
        <f t="shared" ref="CQ232" si="1417">+CP232</f>
        <v>15218.42</v>
      </c>
      <c r="CR232" s="24">
        <f t="shared" ref="CR232" si="1418">+CQ232</f>
        <v>15218.42</v>
      </c>
      <c r="CS232" s="24">
        <f t="shared" ref="CS232" si="1419">+CR232</f>
        <v>15218.42</v>
      </c>
      <c r="CT232" s="24">
        <f t="shared" ref="CT232" si="1420">+CS232</f>
        <v>15218.42</v>
      </c>
      <c r="CU232" s="24">
        <f t="shared" ref="CU232" si="1421">+CT232</f>
        <v>15218.42</v>
      </c>
      <c r="CV232" s="24">
        <f t="shared" ref="CV232" si="1422">+CU232</f>
        <v>15218.42</v>
      </c>
      <c r="CW232" s="24">
        <f t="shared" ref="CW232" si="1423">+CV232</f>
        <v>15218.42</v>
      </c>
      <c r="CX232" s="24">
        <f t="shared" ref="CX232" si="1424">+CW232</f>
        <v>15218.42</v>
      </c>
      <c r="CY232" s="24">
        <f t="shared" ref="CY232" si="1425">+CX232</f>
        <v>15218.42</v>
      </c>
      <c r="CZ232" s="24">
        <f t="shared" ref="CZ232" si="1426">+CY232</f>
        <v>15218.42</v>
      </c>
      <c r="DA232" s="24">
        <f t="shared" ref="DA232" si="1427">+CZ232</f>
        <v>15218.42</v>
      </c>
      <c r="DB232" s="24">
        <f t="shared" ref="DB232" si="1428">+DA232</f>
        <v>15218.42</v>
      </c>
      <c r="DE232" s="123"/>
      <c r="DF232" s="23">
        <v>15282.08</v>
      </c>
    </row>
    <row r="233" spans="1:110" s="23" customFormat="1" x14ac:dyDescent="0.2">
      <c r="AB233" s="24"/>
      <c r="AC233" s="24"/>
      <c r="AD233" s="24"/>
      <c r="AE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E233" s="123"/>
    </row>
    <row r="234" spans="1:110" s="23" customFormat="1" outlineLevel="1" x14ac:dyDescent="0.2">
      <c r="A234" s="23" t="s">
        <v>59</v>
      </c>
      <c r="B234" s="23">
        <f>'Annual Raw'!C72</f>
        <v>0</v>
      </c>
      <c r="C234" s="23">
        <f>'Annual Raw'!D72</f>
        <v>0</v>
      </c>
      <c r="D234" s="23">
        <f>'Annual Raw'!E72</f>
        <v>0</v>
      </c>
      <c r="E234" s="23">
        <f>'Annual Raw'!F72+'Annual Raw'!F61</f>
        <v>0</v>
      </c>
      <c r="F234" s="23">
        <f>'Annual Raw'!G72+'Annual Raw'!G61</f>
        <v>0</v>
      </c>
      <c r="G234" s="23">
        <f>'Annual Raw'!H72+'Annual Raw'!H61</f>
        <v>0</v>
      </c>
      <c r="H234" s="23">
        <f>'Annual Raw'!I72+'Annual Raw'!I61</f>
        <v>0</v>
      </c>
      <c r="I234" s="23">
        <f>'Annual Raw'!J72+'Annual Raw'!J61</f>
        <v>0</v>
      </c>
      <c r="J234" s="23">
        <f>'Annual Raw'!K72+'Annual Raw'!K61</f>
        <v>0</v>
      </c>
      <c r="K234" s="23">
        <f>'Annual Raw'!L72+'Annual Raw'!L61</f>
        <v>0</v>
      </c>
      <c r="L234" s="23">
        <f>'Annual Raw'!M72+'Annual Raw'!M61</f>
        <v>4861.58</v>
      </c>
      <c r="M234" s="23">
        <f>'Annual Raw'!N72+'Annual Raw'!N61</f>
        <v>7039.6</v>
      </c>
      <c r="N234" s="23">
        <f>'Annual Raw'!O72+'Annual Raw'!O61</f>
        <v>8618.4</v>
      </c>
      <c r="O234" s="23">
        <f>'Annual Raw'!P72+'Annual Raw'!P61</f>
        <v>8392.86</v>
      </c>
      <c r="P234" s="23">
        <f>'Annual Raw'!Q72+'Annual Raw'!Q61</f>
        <v>9230.24</v>
      </c>
      <c r="Q234" s="23">
        <f>'Annual Raw'!R72+'Annual Raw'!R61</f>
        <v>2397.2399999999998</v>
      </c>
      <c r="R234" s="23">
        <f>'Annual Raw'!S72+'Annual Raw'!S61</f>
        <v>2388.63</v>
      </c>
      <c r="S234" s="23">
        <f>'Annual Raw'!T72+'Annual Raw'!T61</f>
        <v>1337.93</v>
      </c>
      <c r="T234" s="23">
        <f>'Annual Raw'!U72+'Annual Raw'!U61</f>
        <v>1394.81</v>
      </c>
      <c r="U234" s="23">
        <f>'Annual Raw'!V72+'Annual Raw'!V61</f>
        <v>948</v>
      </c>
      <c r="V234" s="23">
        <f>'Annual Raw'!W72+'Annual Raw'!W61</f>
        <v>1571.46</v>
      </c>
      <c r="W234" s="23">
        <f>'Annual Raw'!X72+'Annual Raw'!X61</f>
        <v>1760.89</v>
      </c>
      <c r="X234" s="23">
        <f>'Annual Raw'!Y72+'Annual Raw'!Y61</f>
        <v>2112.88</v>
      </c>
      <c r="Y234" s="23">
        <f>'Annual Raw'!Z72+'Annual Raw'!Z61</f>
        <v>3902.84</v>
      </c>
      <c r="Z234" s="23">
        <f>'Annual Raw'!AA72+'Annual Raw'!AA61</f>
        <v>5777.07</v>
      </c>
      <c r="AA234" s="23">
        <f>'Annual Raw'!AB72+'Annual Raw'!AB61</f>
        <v>6097.62</v>
      </c>
      <c r="AB234" s="24">
        <f t="shared" ref="AB234:AB239" si="1429">+CP234</f>
        <v>0</v>
      </c>
      <c r="AC234" s="24">
        <f t="shared" ref="AC234:AC239" si="1430">+CT234</f>
        <v>0</v>
      </c>
      <c r="AD234" s="24">
        <f t="shared" ref="AD234:AD239" si="1431">+CX234</f>
        <v>0</v>
      </c>
      <c r="AE234" s="24">
        <f t="shared" ref="AE234:AE239" si="1432">+DB234</f>
        <v>0</v>
      </c>
      <c r="AJ234" s="23">
        <f>+'QTR Raw'!D78</f>
        <v>2203.4499999999998</v>
      </c>
      <c r="AK234" s="23">
        <f t="shared" ref="AK234:CE239" si="1433">+AJ234</f>
        <v>2203.4499999999998</v>
      </c>
      <c r="AL234" s="23">
        <f>+'QTR Raw'!F78</f>
        <v>1603.85</v>
      </c>
      <c r="AM234" s="23">
        <f t="shared" si="1433"/>
        <v>1603.85</v>
      </c>
      <c r="AN234" s="23">
        <f>+'QTR Raw'!H78</f>
        <v>1647.88</v>
      </c>
      <c r="AO234" s="23">
        <f t="shared" si="1433"/>
        <v>1647.88</v>
      </c>
      <c r="AP234" s="23">
        <f>+'QTR Raw'!J78</f>
        <v>1512.38</v>
      </c>
      <c r="AQ234" s="23">
        <f t="shared" si="1433"/>
        <v>1512.38</v>
      </c>
      <c r="AR234" s="23">
        <f>+'QTR Raw'!L78</f>
        <v>1893.96</v>
      </c>
      <c r="AS234" s="23">
        <f t="shared" si="1433"/>
        <v>1893.96</v>
      </c>
      <c r="AT234" s="23">
        <f>+'QTR Raw'!N78</f>
        <v>1776.01</v>
      </c>
      <c r="AU234" s="23">
        <f t="shared" si="1433"/>
        <v>1776.01</v>
      </c>
      <c r="AV234" s="23">
        <f>+'QTR Raw'!P78</f>
        <v>1746.33</v>
      </c>
      <c r="AW234" s="23">
        <f t="shared" si="1433"/>
        <v>1746.33</v>
      </c>
      <c r="AX234" s="23">
        <f>+'QTR Raw'!R78</f>
        <v>390.37</v>
      </c>
      <c r="AY234" s="23">
        <f t="shared" si="1433"/>
        <v>390.37</v>
      </c>
      <c r="AZ234" s="23">
        <f>+'QTR Raw'!T78</f>
        <v>431.56</v>
      </c>
      <c r="BA234" s="23">
        <f t="shared" si="1433"/>
        <v>431.56</v>
      </c>
      <c r="BB234" s="23">
        <f>+'QTR Raw'!V78</f>
        <v>77.16</v>
      </c>
      <c r="BC234" s="23">
        <f t="shared" si="1433"/>
        <v>77.16</v>
      </c>
      <c r="BD234" s="23">
        <f>+'QTR Raw'!X78</f>
        <v>76.8</v>
      </c>
      <c r="BE234" s="23">
        <f t="shared" si="1433"/>
        <v>76.8</v>
      </c>
      <c r="BF234" s="23">
        <f>+'QTR Raw'!Z78</f>
        <v>131.72999999999999</v>
      </c>
      <c r="BG234" s="23">
        <f t="shared" si="1433"/>
        <v>131.72999999999999</v>
      </c>
      <c r="BH234" s="23">
        <f>+'QTR Raw'!AB78</f>
        <v>78.19</v>
      </c>
      <c r="BI234" s="23">
        <f t="shared" si="1433"/>
        <v>78.19</v>
      </c>
      <c r="BJ234" s="23">
        <f>+'QTR Raw'!AD78</f>
        <v>90.56</v>
      </c>
      <c r="BK234" s="23">
        <f t="shared" si="1433"/>
        <v>90.56</v>
      </c>
      <c r="BL234" s="23">
        <f>+'QTR Raw'!AF78</f>
        <v>88.48</v>
      </c>
      <c r="BM234" s="23">
        <f t="shared" si="1433"/>
        <v>88.48</v>
      </c>
      <c r="BN234" s="23">
        <f>+'QTR Raw'!AH78</f>
        <v>80.88</v>
      </c>
      <c r="BO234" s="23">
        <f t="shared" si="1433"/>
        <v>80.88</v>
      </c>
      <c r="BP234" s="23">
        <f>+'QTR Raw'!AJ78</f>
        <v>79.72</v>
      </c>
      <c r="BQ234" s="23">
        <f t="shared" si="1433"/>
        <v>79.72</v>
      </c>
      <c r="BR234" s="23">
        <f>+'QTR Raw'!AL78</f>
        <v>4.5999999999999996</v>
      </c>
      <c r="BS234" s="23">
        <f t="shared" si="1433"/>
        <v>4.5999999999999996</v>
      </c>
      <c r="BT234" s="23">
        <f>+'QTR Raw'!AN78</f>
        <v>3.97</v>
      </c>
      <c r="BU234" s="23">
        <f t="shared" si="1433"/>
        <v>3.97</v>
      </c>
      <c r="BV234" s="23">
        <f>+'QTR Raw'!AP78</f>
        <v>3.45</v>
      </c>
      <c r="BW234" s="23">
        <f t="shared" si="1433"/>
        <v>3.45</v>
      </c>
      <c r="BX234" s="23">
        <f>+'QTR Raw'!AR78</f>
        <v>3.28</v>
      </c>
      <c r="BY234" s="23">
        <f t="shared" si="1433"/>
        <v>3.28</v>
      </c>
      <c r="BZ234" s="23">
        <f>+'QTR Raw'!AT78</f>
        <v>2.99</v>
      </c>
      <c r="CA234" s="23">
        <f t="shared" si="1433"/>
        <v>2.99</v>
      </c>
      <c r="CB234" s="23">
        <f>+'QTR Raw'!AV78</f>
        <v>2.8</v>
      </c>
      <c r="CC234" s="23">
        <f t="shared" si="1433"/>
        <v>2.8</v>
      </c>
      <c r="CD234" s="23">
        <f>+'QTR Raw'!AX78</f>
        <v>2.48</v>
      </c>
      <c r="CE234" s="23">
        <f t="shared" si="1433"/>
        <v>2.48</v>
      </c>
      <c r="CF234" s="23">
        <f>+'QTR Raw'!AZ78</f>
        <v>2.25</v>
      </c>
      <c r="CG234" s="23">
        <f t="shared" si="1410"/>
        <v>2.25</v>
      </c>
      <c r="CH234" s="23">
        <f t="shared" si="1411"/>
        <v>5777.07</v>
      </c>
      <c r="CJ234" s="23">
        <f>+'QTR Raw'!BD78</f>
        <v>1.77</v>
      </c>
      <c r="CL234" s="23">
        <f>+'QTR Raw'!BF78</f>
        <v>37.14</v>
      </c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E234" s="123"/>
      <c r="DF234" s="23">
        <v>37.14</v>
      </c>
    </row>
    <row r="235" spans="1:110" s="23" customFormat="1" outlineLevel="1" x14ac:dyDescent="0.2">
      <c r="A235" s="23" t="s">
        <v>60</v>
      </c>
      <c r="B235" s="23">
        <f>'Annual Raw'!C73+'Annual Raw'!C81</f>
        <v>0</v>
      </c>
      <c r="C235" s="23">
        <f>'Annual Raw'!D73+'Annual Raw'!D81</f>
        <v>0</v>
      </c>
      <c r="D235" s="23">
        <f>'Annual Raw'!E73+'Annual Raw'!E81</f>
        <v>0</v>
      </c>
      <c r="E235" s="23">
        <f>'Annual Raw'!F73+'Annual Raw'!F81</f>
        <v>0</v>
      </c>
      <c r="F235" s="23">
        <f>'Annual Raw'!G73+'Annual Raw'!G81</f>
        <v>0</v>
      </c>
      <c r="G235" s="23">
        <f>'Annual Raw'!H73+'Annual Raw'!H81</f>
        <v>0</v>
      </c>
      <c r="H235" s="23">
        <f>'Annual Raw'!I73+'Annual Raw'!I81</f>
        <v>0</v>
      </c>
      <c r="I235" s="23">
        <f>'Annual Raw'!J73+'Annual Raw'!J81</f>
        <v>0</v>
      </c>
      <c r="J235" s="23">
        <f>'Annual Raw'!K73+'Annual Raw'!K81</f>
        <v>0</v>
      </c>
      <c r="K235" s="23">
        <f>'Annual Raw'!L73+'Annual Raw'!L81</f>
        <v>0</v>
      </c>
      <c r="L235" s="23">
        <f>'Annual Raw'!M73+'Annual Raw'!M81</f>
        <v>912.07</v>
      </c>
      <c r="M235" s="23">
        <f>'Annual Raw'!N73+'Annual Raw'!N81</f>
        <v>136</v>
      </c>
      <c r="N235" s="23">
        <f>'Annual Raw'!O73+'Annual Raw'!O81</f>
        <v>134.44</v>
      </c>
      <c r="O235" s="23">
        <f>'Annual Raw'!P73+'Annual Raw'!P81</f>
        <v>168.57</v>
      </c>
      <c r="P235" s="23">
        <f>'Annual Raw'!Q73+'Annual Raw'!Q81</f>
        <v>168.25</v>
      </c>
      <c r="Q235" s="23">
        <f>'Annual Raw'!R73+'Annual Raw'!R81</f>
        <v>9789.27</v>
      </c>
      <c r="R235" s="23">
        <f>'Annual Raw'!S73+'Annual Raw'!S81</f>
        <v>2986.66</v>
      </c>
      <c r="S235" s="23">
        <f>'Annual Raw'!T73+'Annual Raw'!T81</f>
        <v>6355.8899999999994</v>
      </c>
      <c r="T235" s="23">
        <f>'Annual Raw'!U73+'Annual Raw'!U81</f>
        <v>6469.8700000000008</v>
      </c>
      <c r="U235" s="23">
        <f>'Annual Raw'!V73+'Annual Raw'!V81</f>
        <v>8111.05</v>
      </c>
      <c r="V235" s="23">
        <f>'Annual Raw'!W73+'Annual Raw'!W81</f>
        <v>6422.24</v>
      </c>
      <c r="W235" s="23">
        <f>'Annual Raw'!X73+'Annual Raw'!X81</f>
        <v>6618.75</v>
      </c>
      <c r="X235" s="23">
        <f>'Annual Raw'!Y73+'Annual Raw'!Y81</f>
        <v>7115.09</v>
      </c>
      <c r="Y235" s="23">
        <f>'Annual Raw'!Z73+'Annual Raw'!Z81</f>
        <v>5979.54</v>
      </c>
      <c r="Z235" s="23">
        <f>'Annual Raw'!AA73+'Annual Raw'!AA81</f>
        <v>8428.7000000000007</v>
      </c>
      <c r="AA235" s="23">
        <f>'Annual Raw'!AB73+'Annual Raw'!AB81</f>
        <v>12649.88</v>
      </c>
      <c r="AB235" s="24">
        <f t="shared" si="1429"/>
        <v>0</v>
      </c>
      <c r="AC235" s="24">
        <f t="shared" si="1430"/>
        <v>0</v>
      </c>
      <c r="AD235" s="24">
        <f t="shared" si="1431"/>
        <v>0</v>
      </c>
      <c r="AE235" s="24">
        <f t="shared" si="1432"/>
        <v>0</v>
      </c>
      <c r="AJ235" s="23">
        <f>+'QTR Raw'!D79+'QTR Raw'!D76</f>
        <v>2068.73</v>
      </c>
      <c r="AK235" s="23">
        <f t="shared" si="1433"/>
        <v>2068.73</v>
      </c>
      <c r="AL235" s="23">
        <f>+'QTR Raw'!F79+'QTR Raw'!F76</f>
        <v>7148.99</v>
      </c>
      <c r="AM235" s="23">
        <f t="shared" si="1433"/>
        <v>7148.99</v>
      </c>
      <c r="AN235" s="23">
        <f>+'QTR Raw'!H79+'QTR Raw'!H76</f>
        <v>6313.87</v>
      </c>
      <c r="AO235" s="23">
        <f t="shared" si="1433"/>
        <v>6313.87</v>
      </c>
      <c r="AP235" s="23">
        <f>+'QTR Raw'!J79+'QTR Raw'!J76</f>
        <v>7049.05</v>
      </c>
      <c r="AQ235" s="23">
        <f t="shared" si="1433"/>
        <v>7049.05</v>
      </c>
      <c r="AR235" s="23">
        <f>+'QTR Raw'!L79+'QTR Raw'!L76</f>
        <v>6976.49</v>
      </c>
      <c r="AS235" s="23">
        <f t="shared" si="1433"/>
        <v>6976.49</v>
      </c>
      <c r="AT235" s="23">
        <f>+'QTR Raw'!N79+'QTR Raw'!N76</f>
        <v>7622.48</v>
      </c>
      <c r="AU235" s="23">
        <f t="shared" si="1433"/>
        <v>7622.48</v>
      </c>
      <c r="AV235" s="23">
        <f>+'QTR Raw'!P79+'QTR Raw'!P76</f>
        <v>6385</v>
      </c>
      <c r="AW235" s="23">
        <f t="shared" si="1433"/>
        <v>6385</v>
      </c>
      <c r="AX235" s="23">
        <f>+'QTR Raw'!R79+'QTR Raw'!R76</f>
        <v>3290.82</v>
      </c>
      <c r="AY235" s="23">
        <f t="shared" si="1433"/>
        <v>3290.82</v>
      </c>
      <c r="AZ235" s="23">
        <f>+'QTR Raw'!T79+'QTR Raw'!T76</f>
        <v>3948.97</v>
      </c>
      <c r="BA235" s="23">
        <f t="shared" si="1433"/>
        <v>3948.97</v>
      </c>
      <c r="BB235" s="23">
        <f>+'QTR Raw'!V79+'QTR Raw'!V76</f>
        <v>3339.5</v>
      </c>
      <c r="BC235" s="23">
        <f t="shared" si="1433"/>
        <v>3339.5</v>
      </c>
      <c r="BD235" s="23">
        <f>+'QTR Raw'!X79+'QTR Raw'!X76</f>
        <v>8133.3</v>
      </c>
      <c r="BE235" s="23">
        <f t="shared" si="1433"/>
        <v>8133.3</v>
      </c>
      <c r="BF235" s="23">
        <f>+'QTR Raw'!Z79+'QTR Raw'!Z76</f>
        <v>2783.39</v>
      </c>
      <c r="BG235" s="23">
        <f t="shared" si="1433"/>
        <v>2783.39</v>
      </c>
      <c r="BH235" s="23">
        <f>+'QTR Raw'!AB79+'QTR Raw'!AB76</f>
        <v>1743.28</v>
      </c>
      <c r="BI235" s="23">
        <f t="shared" si="1433"/>
        <v>1743.28</v>
      </c>
      <c r="BJ235" s="23">
        <f>+'QTR Raw'!AD79+'QTR Raw'!AD76</f>
        <v>13532.25</v>
      </c>
      <c r="BK235" s="23">
        <f t="shared" si="1433"/>
        <v>13532.25</v>
      </c>
      <c r="BL235" s="23">
        <f>+'QTR Raw'!AF79+'QTR Raw'!AF76</f>
        <v>13073.72</v>
      </c>
      <c r="BM235" s="23">
        <f t="shared" si="1433"/>
        <v>13073.72</v>
      </c>
      <c r="BN235" s="23">
        <f>+'QTR Raw'!AH79+'QTR Raw'!AH76</f>
        <v>14458.34</v>
      </c>
      <c r="BO235" s="23">
        <f t="shared" si="1433"/>
        <v>14458.34</v>
      </c>
      <c r="BP235" s="23">
        <f>+'QTR Raw'!AJ79+'QTR Raw'!AJ76</f>
        <v>14109</v>
      </c>
      <c r="BQ235" s="23">
        <f t="shared" si="1433"/>
        <v>14109</v>
      </c>
      <c r="BR235" s="23">
        <f>+'QTR Raw'!AL79+'QTR Raw'!AL76</f>
        <v>17893.810000000001</v>
      </c>
      <c r="BS235" s="23">
        <f t="shared" si="1433"/>
        <v>17893.810000000001</v>
      </c>
      <c r="BT235" s="23">
        <f>+'QTR Raw'!AN79+'QTR Raw'!AN76</f>
        <v>15742.06</v>
      </c>
      <c r="BU235" s="23">
        <f t="shared" si="1433"/>
        <v>15742.06</v>
      </c>
      <c r="BV235" s="23">
        <f>+'QTR Raw'!AP79+'QTR Raw'!AP76</f>
        <v>18848.75</v>
      </c>
      <c r="BW235" s="23">
        <f t="shared" si="1433"/>
        <v>18848.75</v>
      </c>
      <c r="BX235" s="23">
        <f>+'QTR Raw'!AR79+'QTR Raw'!AR76</f>
        <v>19827.04</v>
      </c>
      <c r="BY235" s="23">
        <f t="shared" si="1433"/>
        <v>19827.04</v>
      </c>
      <c r="BZ235" s="23">
        <f>+'QTR Raw'!AT79+'QTR Raw'!AT76</f>
        <v>21640.46</v>
      </c>
      <c r="CA235" s="23">
        <f t="shared" si="1433"/>
        <v>21640.46</v>
      </c>
      <c r="CB235" s="23">
        <f>+'QTR Raw'!AV79+'QTR Raw'!AV76</f>
        <v>14979.61</v>
      </c>
      <c r="CC235" s="23">
        <f t="shared" si="1433"/>
        <v>14979.61</v>
      </c>
      <c r="CD235" s="23">
        <f>+'QTR Raw'!AX79+'QTR Raw'!AX76</f>
        <v>22547.31</v>
      </c>
      <c r="CE235" s="23">
        <f t="shared" si="1433"/>
        <v>22547.31</v>
      </c>
      <c r="CF235" s="23">
        <f>+'QTR Raw'!AZ79+'QTR Raw'!AZ76</f>
        <v>15549.61</v>
      </c>
      <c r="CG235" s="23">
        <f t="shared" si="1410"/>
        <v>15549.61</v>
      </c>
      <c r="CH235" s="23">
        <f t="shared" si="1411"/>
        <v>8428.7000000000007</v>
      </c>
      <c r="CJ235" s="23">
        <f>+'QTR Raw'!BD79+'QTR Raw'!BD76</f>
        <v>28985.89</v>
      </c>
      <c r="CL235" s="23">
        <f>+'QTR Raw'!BF79+'QTR Raw'!BF76</f>
        <v>32375.25</v>
      </c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E235" s="123"/>
      <c r="DF235" s="23">
        <v>32375.25</v>
      </c>
    </row>
    <row r="236" spans="1:110" s="23" customFormat="1" outlineLevel="1" x14ac:dyDescent="0.2">
      <c r="A236" s="23" t="s">
        <v>61</v>
      </c>
      <c r="B236" s="23">
        <f>'Annual Raw'!C76</f>
        <v>311.48144819999999</v>
      </c>
      <c r="C236" s="23">
        <f>'Annual Raw'!D76</f>
        <v>344.5</v>
      </c>
      <c r="D236" s="23">
        <f>'Annual Raw'!E76</f>
        <v>353.5</v>
      </c>
      <c r="E236" s="23">
        <f>'Annual Raw'!F76</f>
        <v>339.37</v>
      </c>
      <c r="F236" s="23">
        <f>'Annual Raw'!G76</f>
        <v>323.76</v>
      </c>
      <c r="G236" s="23">
        <f>'Annual Raw'!H76</f>
        <v>496.55</v>
      </c>
      <c r="H236" s="23">
        <f>'Annual Raw'!I76</f>
        <v>466.19</v>
      </c>
      <c r="I236" s="23">
        <f>'Annual Raw'!J76</f>
        <v>652.92999999999995</v>
      </c>
      <c r="J236" s="23">
        <f>'Annual Raw'!K76</f>
        <v>1014.64</v>
      </c>
      <c r="K236" s="23">
        <f>'Annual Raw'!L76</f>
        <v>953.91</v>
      </c>
      <c r="L236" s="23">
        <f>'Annual Raw'!M76</f>
        <v>1128.74</v>
      </c>
      <c r="M236" s="23">
        <f>'Annual Raw'!N76</f>
        <v>1684.69</v>
      </c>
      <c r="N236" s="23">
        <f>'Annual Raw'!O76</f>
        <v>2026.51</v>
      </c>
      <c r="O236" s="23">
        <f>'Annual Raw'!P76</f>
        <v>2073.27</v>
      </c>
      <c r="P236" s="23">
        <f>'Annual Raw'!Q76</f>
        <v>1844.17</v>
      </c>
      <c r="Q236" s="23">
        <f>'Annual Raw'!R76</f>
        <v>1373.4</v>
      </c>
      <c r="R236" s="23">
        <f>'Annual Raw'!S76</f>
        <v>1599.56</v>
      </c>
      <c r="S236" s="23">
        <f>'Annual Raw'!T76</f>
        <v>1623.08</v>
      </c>
      <c r="T236" s="23">
        <f>'Annual Raw'!U76</f>
        <v>1706.42</v>
      </c>
      <c r="U236" s="23">
        <f>'Annual Raw'!V76</f>
        <v>1752.35</v>
      </c>
      <c r="V236" s="23">
        <f>'Annual Raw'!W76</f>
        <v>1885.62</v>
      </c>
      <c r="W236" s="23">
        <f>'Annual Raw'!X76</f>
        <v>4231.5200000000004</v>
      </c>
      <c r="X236" s="23">
        <f>'Annual Raw'!Y76</f>
        <v>3942.88</v>
      </c>
      <c r="Y236" s="23">
        <f>'Annual Raw'!Z76</f>
        <v>4419.63</v>
      </c>
      <c r="Z236" s="23">
        <f>'Annual Raw'!AA76</f>
        <v>4571.82</v>
      </c>
      <c r="AA236" s="23">
        <f>'Annual Raw'!AB76</f>
        <v>5107.6400000000003</v>
      </c>
      <c r="AB236" s="24">
        <f t="shared" si="1429"/>
        <v>6938.4258896184747</v>
      </c>
      <c r="AC236" s="24">
        <f t="shared" si="1430"/>
        <v>9149.4572741432421</v>
      </c>
      <c r="AD236" s="24">
        <f t="shared" si="1431"/>
        <v>9705.8879340789063</v>
      </c>
      <c r="AE236" s="24">
        <f t="shared" si="1432"/>
        <v>10332.232427111378</v>
      </c>
      <c r="AJ236" s="23">
        <f>+'QTR Raw'!D81</f>
        <v>819.57</v>
      </c>
      <c r="AK236" s="23">
        <f>+AK271*AK101/90</f>
        <v>952.99465952879109</v>
      </c>
      <c r="AL236" s="23">
        <f>+'QTR Raw'!F81</f>
        <v>2026.51</v>
      </c>
      <c r="AM236" s="23">
        <f>+AM271*AM101/90</f>
        <v>2029.7115970953648</v>
      </c>
      <c r="AN236" s="23">
        <f>+'QTR Raw'!H81</f>
        <v>2637.37</v>
      </c>
      <c r="AO236" s="23">
        <f>+AO271*AO101/90</f>
        <v>2569.8581617946552</v>
      </c>
      <c r="AP236" s="23">
        <f>+'QTR Raw'!J81</f>
        <v>2073.27</v>
      </c>
      <c r="AQ236" s="23">
        <f>+AQ271*AQ101/90</f>
        <v>1996.171683129611</v>
      </c>
      <c r="AR236" s="23">
        <f>+'QTR Raw'!L81</f>
        <v>2071.87</v>
      </c>
      <c r="AS236" s="23">
        <f>+AS271*AS101/90</f>
        <v>2058.4501523765143</v>
      </c>
      <c r="AT236" s="23">
        <f>+'QTR Raw'!N81</f>
        <v>1844.17</v>
      </c>
      <c r="AU236" s="23">
        <f>+AU271*AU101/90</f>
        <v>1635.4414044013131</v>
      </c>
      <c r="AV236" s="23">
        <f>+'QTR Raw'!P81</f>
        <v>2047.46</v>
      </c>
      <c r="AW236" s="23">
        <f>+AW271*AW101/90</f>
        <v>1922.8042709875522</v>
      </c>
      <c r="AX236" s="23">
        <f>+'QTR Raw'!R81</f>
        <v>1373.4</v>
      </c>
      <c r="AY236" s="23">
        <f>+AY271*AY101/90</f>
        <v>1286.9355745751427</v>
      </c>
      <c r="AZ236" s="23">
        <f>+'QTR Raw'!T81</f>
        <v>1487.77</v>
      </c>
      <c r="BA236" s="23">
        <f>+BA271*BA101/90</f>
        <v>1355.9450196987927</v>
      </c>
      <c r="BB236" s="23">
        <f>+'QTR Raw'!V81</f>
        <v>1599.56</v>
      </c>
      <c r="BC236" s="23">
        <f>+BC271*BC101/90</f>
        <v>1464.7859887741176</v>
      </c>
      <c r="BD236" s="23">
        <f>+'QTR Raw'!X81</f>
        <v>1861.23</v>
      </c>
      <c r="BE236" s="23">
        <f>+BE271*BE101/90</f>
        <v>1722.2046904628546</v>
      </c>
      <c r="BF236" s="23">
        <f>+'QTR Raw'!Z81</f>
        <v>1623.08</v>
      </c>
      <c r="BG236" s="23">
        <f>+BG271*BG101/90</f>
        <v>1645.1853793382484</v>
      </c>
      <c r="BH236" s="23">
        <f>+'QTR Raw'!AB81</f>
        <v>1929.24</v>
      </c>
      <c r="BI236" s="23">
        <f>+BI271*BI101/90</f>
        <v>2094.316856587624</v>
      </c>
      <c r="BJ236" s="23">
        <f>+'QTR Raw'!AD81</f>
        <v>1706.42</v>
      </c>
      <c r="BK236" s="23">
        <f>+BK271*BK101/90</f>
        <v>1833.1368802629104</v>
      </c>
      <c r="BL236" s="23">
        <f>+'QTR Raw'!AF81</f>
        <v>1520.7</v>
      </c>
      <c r="BM236" s="23">
        <f>+BM271*BM101/90</f>
        <v>1400.5167249297326</v>
      </c>
      <c r="BN236" s="23">
        <f>+'QTR Raw'!AH81</f>
        <v>1752.35</v>
      </c>
      <c r="BO236" s="23">
        <f>+BO271*BO101/90</f>
        <v>1707.9351477918074</v>
      </c>
      <c r="BP236" s="23">
        <f>+'QTR Raw'!AJ81</f>
        <v>1823.44</v>
      </c>
      <c r="BQ236" s="23">
        <f>+BQ271*BQ101/90</f>
        <v>1671.2485582178601</v>
      </c>
      <c r="BR236" s="23">
        <f>+'QTR Raw'!AL81</f>
        <v>1885.62</v>
      </c>
      <c r="BS236" s="23">
        <f>+BS271*BS101/90</f>
        <v>1843.7227922529091</v>
      </c>
      <c r="BT236" s="23">
        <f>+'QTR Raw'!AN81</f>
        <v>2361.9499999999998</v>
      </c>
      <c r="BU236" s="23">
        <f>+BU271*BU101/90</f>
        <v>2627.4936773079503</v>
      </c>
      <c r="BV236" s="23">
        <f>+'QTR Raw'!AP81</f>
        <v>4231.5200000000004</v>
      </c>
      <c r="BW236" s="23">
        <f>+BW271*BW101/90</f>
        <v>5128.6052402850846</v>
      </c>
      <c r="BX236" s="23">
        <f>+'QTR Raw'!AR81</f>
        <v>4395.91</v>
      </c>
      <c r="BY236" s="23">
        <f>+BY271*BY101/90</f>
        <v>4426.739319094102</v>
      </c>
      <c r="BZ236" s="23">
        <f>+'QTR Raw'!AT81</f>
        <v>3942.88</v>
      </c>
      <c r="CA236" s="23">
        <f>+CA271*CA101/90</f>
        <v>4816.5515374633842</v>
      </c>
      <c r="CB236" s="23">
        <f>+'QTR Raw'!AV81</f>
        <v>3659.91</v>
      </c>
      <c r="CC236" s="23">
        <f>+CC271*CC101/90</f>
        <v>3407.1190237914147</v>
      </c>
      <c r="CD236" s="23">
        <f>+'QTR Raw'!AX81</f>
        <v>4419.63</v>
      </c>
      <c r="CE236" s="23">
        <f>+CE271*CE101/90</f>
        <v>4823.2111762033192</v>
      </c>
      <c r="CF236" s="23">
        <f>+'QTR Raw'!AZ81</f>
        <v>4417.59</v>
      </c>
      <c r="CG236" s="23">
        <f>+CG271*CG101/90</f>
        <v>4331.3047570371918</v>
      </c>
      <c r="CH236" s="23">
        <f t="shared" si="1411"/>
        <v>4571.82</v>
      </c>
      <c r="CI236" s="23">
        <f>+CI271*CI101/90</f>
        <v>4822.9803746516691</v>
      </c>
      <c r="CJ236" s="23">
        <f>+'QTR Raw'!BD81</f>
        <v>5251.53</v>
      </c>
      <c r="CK236" s="23">
        <f t="shared" ref="CK236:DB236" si="1434">+CK271*CK101/90</f>
        <v>4712.1851182991732</v>
      </c>
      <c r="CL236" s="23">
        <f>+'QTR Raw'!BF81</f>
        <v>5107.6400000000003</v>
      </c>
      <c r="CM236" s="24">
        <f t="shared" si="1434"/>
        <v>5979.6944075650008</v>
      </c>
      <c r="CN236" s="24">
        <f t="shared" si="1434"/>
        <v>7334.9206172722525</v>
      </c>
      <c r="CO236" s="24">
        <f t="shared" si="1434"/>
        <v>6602.0735492648428</v>
      </c>
      <c r="CP236" s="24">
        <f t="shared" si="1434"/>
        <v>6938.4258896184747</v>
      </c>
      <c r="CQ236" s="24">
        <f t="shared" si="1434"/>
        <v>7709.0812486075283</v>
      </c>
      <c r="CR236" s="24">
        <f t="shared" si="1434"/>
        <v>8678.8047706867874</v>
      </c>
      <c r="CS236" s="24">
        <f t="shared" si="1434"/>
        <v>8252.1123067073167</v>
      </c>
      <c r="CT236" s="24">
        <f t="shared" si="1434"/>
        <v>9149.4572741432421</v>
      </c>
      <c r="CU236" s="24">
        <f t="shared" si="1434"/>
        <v>9695.6542567549732</v>
      </c>
      <c r="CV236" s="24">
        <f t="shared" si="1434"/>
        <v>10258.903486634465</v>
      </c>
      <c r="CW236" s="24">
        <f t="shared" si="1434"/>
        <v>9226.2776215635167</v>
      </c>
      <c r="CX236" s="24">
        <f t="shared" si="1434"/>
        <v>9705.8879340789063</v>
      </c>
      <c r="CY236" s="24">
        <f t="shared" si="1434"/>
        <v>10324.073635469915</v>
      </c>
      <c r="CZ236" s="24">
        <f t="shared" si="1434"/>
        <v>10922.472679058757</v>
      </c>
      <c r="DA236" s="24">
        <f t="shared" si="1434"/>
        <v>9816.479834209511</v>
      </c>
      <c r="DB236" s="24">
        <f t="shared" si="1434"/>
        <v>10332.232427111378</v>
      </c>
      <c r="DE236" s="123"/>
      <c r="DF236" s="23">
        <v>5941.3002468589393</v>
      </c>
    </row>
    <row r="237" spans="1:110" s="23" customFormat="1" outlineLevel="1" x14ac:dyDescent="0.2">
      <c r="A237" s="23" t="s">
        <v>62</v>
      </c>
      <c r="B237" s="23">
        <f>'Annual Raw'!C77</f>
        <v>573.33001809999996</v>
      </c>
      <c r="C237" s="23">
        <f>'Annual Raw'!D77</f>
        <v>766.77</v>
      </c>
      <c r="D237" s="23">
        <f>'Annual Raw'!E77</f>
        <v>977.47</v>
      </c>
      <c r="E237" s="23">
        <f>'Annual Raw'!F77</f>
        <v>839.52</v>
      </c>
      <c r="F237" s="23">
        <f>'Annual Raw'!G77</f>
        <v>838.87</v>
      </c>
      <c r="G237" s="23">
        <f>'Annual Raw'!H77</f>
        <v>1245.71</v>
      </c>
      <c r="H237" s="23">
        <f>'Annual Raw'!I77</f>
        <v>1738.24</v>
      </c>
      <c r="I237" s="23">
        <f>'Annual Raw'!J77</f>
        <v>2531.84</v>
      </c>
      <c r="J237" s="23">
        <f>'Annual Raw'!K77</f>
        <v>3023.54</v>
      </c>
      <c r="K237" s="23">
        <f>'Annual Raw'!L77</f>
        <v>3903.46</v>
      </c>
      <c r="L237" s="23">
        <f>'Annual Raw'!M77</f>
        <v>1668.94</v>
      </c>
      <c r="M237" s="23">
        <f>'Annual Raw'!N77</f>
        <v>2271.35</v>
      </c>
      <c r="N237" s="23">
        <f>'Annual Raw'!O77</f>
        <v>3305.01</v>
      </c>
      <c r="O237" s="23">
        <f>'Annual Raw'!P77</f>
        <v>4542.6099999999997</v>
      </c>
      <c r="P237" s="23">
        <f>'Annual Raw'!Q77</f>
        <v>5563.95</v>
      </c>
      <c r="Q237" s="23">
        <f>'Annual Raw'!R77</f>
        <v>3540.24</v>
      </c>
      <c r="R237" s="23">
        <f>'Annual Raw'!S77</f>
        <v>3832.12</v>
      </c>
      <c r="S237" s="23">
        <f>'Annual Raw'!T77</f>
        <v>2788.93</v>
      </c>
      <c r="T237" s="23">
        <f>'Annual Raw'!U77</f>
        <v>4445.26</v>
      </c>
      <c r="U237" s="23">
        <f>'Annual Raw'!V77</f>
        <v>4425.8999999999996</v>
      </c>
      <c r="V237" s="23">
        <f>'Annual Raw'!W77</f>
        <v>5200.08</v>
      </c>
      <c r="W237" s="23">
        <f>'Annual Raw'!X77</f>
        <v>5979.74</v>
      </c>
      <c r="X237" s="23">
        <f>'Annual Raw'!Y77</f>
        <v>6952.15</v>
      </c>
      <c r="Y237" s="23">
        <f>'Annual Raw'!Z77</f>
        <v>7401.69</v>
      </c>
      <c r="Z237" s="23">
        <f>'Annual Raw'!AA77</f>
        <v>5709.78</v>
      </c>
      <c r="AA237" s="23">
        <f>'Annual Raw'!AB77</f>
        <v>4423.96</v>
      </c>
      <c r="AB237" s="24">
        <f t="shared" si="1429"/>
        <v>9871.231368154904</v>
      </c>
      <c r="AC237" s="24">
        <f t="shared" si="1430"/>
        <v>12220.493787488178</v>
      </c>
      <c r="AD237" s="24">
        <f t="shared" si="1431"/>
        <v>12963.691686463939</v>
      </c>
      <c r="AE237" s="24">
        <f t="shared" si="1432"/>
        <v>13800.270158452866</v>
      </c>
      <c r="AJ237" s="23">
        <f>+'QTR Raw'!D82</f>
        <v>1595.37</v>
      </c>
      <c r="AK237" s="23">
        <f>+AK272*AK101/90</f>
        <v>1855.0936344332358</v>
      </c>
      <c r="AL237" s="23">
        <f>+'QTR Raw'!F82</f>
        <v>3305.01</v>
      </c>
      <c r="AM237" s="23">
        <f>+AM272*AM101/90</f>
        <v>3310.2314449551955</v>
      </c>
      <c r="AN237" s="23">
        <f>+'QTR Raw'!H82</f>
        <v>4452.78</v>
      </c>
      <c r="AO237" s="23">
        <f>+AO272*AO101/90</f>
        <v>4338.7969930938798</v>
      </c>
      <c r="AP237" s="23">
        <f>+'QTR Raw'!J82</f>
        <v>4542.6099999999997</v>
      </c>
      <c r="AQ237" s="23">
        <f>+AQ272*AQ101/90</f>
        <v>4373.6847827351967</v>
      </c>
      <c r="AR237" s="23">
        <f>+'QTR Raw'!L82</f>
        <v>5302.17</v>
      </c>
      <c r="AS237" s="23">
        <f>+AS272*AS101/90</f>
        <v>5267.8269603914259</v>
      </c>
      <c r="AT237" s="23">
        <f>+'QTR Raw'!N82</f>
        <v>5563.95</v>
      </c>
      <c r="AU237" s="23">
        <f>+AU272*AU101/90</f>
        <v>4934.2057413463435</v>
      </c>
      <c r="AV237" s="23">
        <f>+'QTR Raw'!P82</f>
        <v>5583.44</v>
      </c>
      <c r="AW237" s="23">
        <f>+AW272*AW101/90</f>
        <v>5243.5028175411189</v>
      </c>
      <c r="AX237" s="23">
        <f>+'QTR Raw'!R82</f>
        <v>4431.68</v>
      </c>
      <c r="AY237" s="23">
        <f>+AY272*AY101/90</f>
        <v>4152.6770402891862</v>
      </c>
      <c r="AZ237" s="23">
        <f>+'QTR Raw'!T82</f>
        <v>4937.95</v>
      </c>
      <c r="BA237" s="23">
        <f>+BA272*BA101/90</f>
        <v>4500.419224760315</v>
      </c>
      <c r="BB237" s="23">
        <f>+'QTR Raw'!V82</f>
        <v>4953.2</v>
      </c>
      <c r="BC237" s="23">
        <f>+BC272*BC101/90</f>
        <v>4535.8585858585857</v>
      </c>
      <c r="BD237" s="23">
        <f>+'QTR Raw'!X82</f>
        <v>5317.95</v>
      </c>
      <c r="BE237" s="23">
        <f>+BE272*BE101/90</f>
        <v>4920.723625584661</v>
      </c>
      <c r="BF237" s="23">
        <f>+'QTR Raw'!Z82</f>
        <v>3599.02</v>
      </c>
      <c r="BG237" s="23">
        <f>+BG272*BG101/90</f>
        <v>3648.0365009401535</v>
      </c>
      <c r="BH237" s="23">
        <f>+'QTR Raw'!AB82</f>
        <v>5195.33</v>
      </c>
      <c r="BI237" s="23">
        <f>+BI272*BI101/90</f>
        <v>5639.872278480324</v>
      </c>
      <c r="BJ237" s="23">
        <f>+'QTR Raw'!AD82</f>
        <v>5321.01</v>
      </c>
      <c r="BK237" s="23">
        <f>+BK272*BK101/90</f>
        <v>5716.1423748243387</v>
      </c>
      <c r="BL237" s="23">
        <f>+'QTR Raw'!AF82</f>
        <v>5917.03</v>
      </c>
      <c r="BM237" s="23">
        <f>+BM272*BM101/90</f>
        <v>5449.397959433798</v>
      </c>
      <c r="BN237" s="23">
        <f>+'QTR Raw'!AH82</f>
        <v>5258.52</v>
      </c>
      <c r="BO237" s="23">
        <f>+BO272*BO101/90</f>
        <v>5125.2381849323338</v>
      </c>
      <c r="BP237" s="23">
        <f>+'QTR Raw'!AJ82</f>
        <v>5563.52</v>
      </c>
      <c r="BQ237" s="23">
        <f>+BQ272*BQ101/90</f>
        <v>5099.1668377441702</v>
      </c>
      <c r="BR237" s="23">
        <f>+'QTR Raw'!AL82</f>
        <v>5241.53</v>
      </c>
      <c r="BS237" s="23">
        <f>+BS272*BS101/90</f>
        <v>5125.0667299229917</v>
      </c>
      <c r="BT237" s="23">
        <f>+'QTR Raw'!AN82</f>
        <v>7718.05</v>
      </c>
      <c r="BU237" s="23">
        <f>+BU272*BU101/90</f>
        <v>8585.7565046451546</v>
      </c>
      <c r="BV237" s="23">
        <f>+'QTR Raw'!AP82</f>
        <v>8265.31</v>
      </c>
      <c r="BW237" s="23">
        <f>+BW272*BW101/90</f>
        <v>10017.561580373178</v>
      </c>
      <c r="BX237" s="23">
        <f>+'QTR Raw'!AR82</f>
        <v>11520.42</v>
      </c>
      <c r="BY237" s="23">
        <f>+BY272*BY101/90</f>
        <v>11601.214807964241</v>
      </c>
      <c r="BZ237" s="23">
        <f>+'QTR Raw'!AT82</f>
        <v>9408.86</v>
      </c>
      <c r="CA237" s="23">
        <f>+CA272*CA101/90</f>
        <v>11493.694735517629</v>
      </c>
      <c r="CB237" s="23">
        <f>+'QTR Raw'!AV82</f>
        <v>11098.62</v>
      </c>
      <c r="CC237" s="23">
        <f>+CC272*CC101/90</f>
        <v>10332.035306833193</v>
      </c>
      <c r="CD237" s="23">
        <f>+'QTR Raw'!AX82</f>
        <v>9953.92</v>
      </c>
      <c r="CE237" s="23">
        <f>+CE272*CE101/90</f>
        <v>10862.868201870688</v>
      </c>
      <c r="CF237" s="23">
        <f>+'QTR Raw'!AZ82</f>
        <v>6876.66</v>
      </c>
      <c r="CG237" s="23">
        <f>+CG272*CG101/90</f>
        <v>6742.3437146786755</v>
      </c>
      <c r="CH237" s="23">
        <f t="shared" si="1411"/>
        <v>5709.78</v>
      </c>
      <c r="CI237" s="23">
        <f>+CI272*CI101/90</f>
        <v>6023.4560598576954</v>
      </c>
      <c r="CJ237" s="23">
        <f>+'QTR Raw'!BD82</f>
        <v>6798.91</v>
      </c>
      <c r="CK237" s="23">
        <f t="shared" ref="CK237:DB237" si="1435">+CK272*CK101/90</f>
        <v>6100.6454352646615</v>
      </c>
      <c r="CL237" s="23">
        <f>+'QTR Raw'!BF82</f>
        <v>7266.59</v>
      </c>
      <c r="CM237" s="24">
        <f t="shared" si="1435"/>
        <v>8507.2533665387054</v>
      </c>
      <c r="CN237" s="24">
        <f t="shared" si="1435"/>
        <v>10435.32058020228</v>
      </c>
      <c r="CO237" s="24">
        <f t="shared" si="1435"/>
        <v>9392.7061485054583</v>
      </c>
      <c r="CP237" s="24">
        <f t="shared" si="1435"/>
        <v>9871.231368154904</v>
      </c>
      <c r="CQ237" s="24">
        <f t="shared" si="1435"/>
        <v>10769.252052695289</v>
      </c>
      <c r="CR237" s="24">
        <f t="shared" si="1435"/>
        <v>11926.209296516137</v>
      </c>
      <c r="CS237" s="24">
        <f t="shared" si="1435"/>
        <v>11172.278967930273</v>
      </c>
      <c r="CT237" s="24">
        <f t="shared" si="1435"/>
        <v>12220.493787488178</v>
      </c>
      <c r="CU237" s="24">
        <f t="shared" si="1435"/>
        <v>12950.023051657181</v>
      </c>
      <c r="CV237" s="24">
        <f t="shared" si="1435"/>
        <v>13702.328189362124</v>
      </c>
      <c r="CW237" s="24">
        <f t="shared" si="1435"/>
        <v>12323.099062344776</v>
      </c>
      <c r="CX237" s="24">
        <f t="shared" si="1435"/>
        <v>12963.691686463939</v>
      </c>
      <c r="CY237" s="24">
        <f t="shared" si="1435"/>
        <v>13789.372849510872</v>
      </c>
      <c r="CZ237" s="24">
        <f t="shared" si="1435"/>
        <v>14588.625917261943</v>
      </c>
      <c r="DA237" s="24">
        <f t="shared" si="1435"/>
        <v>13111.404013872901</v>
      </c>
      <c r="DB237" s="24">
        <f t="shared" si="1435"/>
        <v>13800.270158452866</v>
      </c>
      <c r="DE237" s="123"/>
      <c r="DF237" s="23">
        <v>7691.9232416784662</v>
      </c>
    </row>
    <row r="238" spans="1:110" s="23" customFormat="1" outlineLevel="1" x14ac:dyDescent="0.2">
      <c r="A238" s="23" t="s">
        <v>63</v>
      </c>
      <c r="B238" s="23">
        <f>'Annual Raw'!C79</f>
        <v>0.26685730000000002</v>
      </c>
      <c r="C238" s="23">
        <f>'Annual Raw'!D79</f>
        <v>0.14000000000000001</v>
      </c>
      <c r="D238" s="23">
        <f>'Annual Raw'!E79</f>
        <v>4.26</v>
      </c>
      <c r="E238" s="23">
        <f>'Annual Raw'!F79</f>
        <v>12.89</v>
      </c>
      <c r="F238" s="23">
        <f>'Annual Raw'!G79</f>
        <v>12.87</v>
      </c>
      <c r="G238" s="23">
        <f>'Annual Raw'!H79</f>
        <v>18.11</v>
      </c>
      <c r="H238" s="23">
        <f>'Annual Raw'!I79</f>
        <v>29.09</v>
      </c>
      <c r="I238" s="23">
        <f>'Annual Raw'!J79</f>
        <v>60.31</v>
      </c>
      <c r="J238" s="23">
        <f>'Annual Raw'!K79</f>
        <v>49.93</v>
      </c>
      <c r="K238" s="23">
        <f>'Annual Raw'!L79</f>
        <v>336.65</v>
      </c>
      <c r="L238" s="23">
        <f>'Annual Raw'!M79</f>
        <v>184.5</v>
      </c>
      <c r="M238" s="23">
        <f>'Annual Raw'!N79</f>
        <v>315.55</v>
      </c>
      <c r="N238" s="23">
        <f>'Annual Raw'!O79</f>
        <v>822.32</v>
      </c>
      <c r="O238" s="23">
        <f>'Annual Raw'!P79</f>
        <v>1334.26</v>
      </c>
      <c r="P238" s="23">
        <f>'Annual Raw'!Q79</f>
        <v>1281</v>
      </c>
      <c r="Q238" s="23">
        <f>'Annual Raw'!R79</f>
        <v>969.56</v>
      </c>
      <c r="R238" s="23">
        <f>'Annual Raw'!S79</f>
        <v>8178.26</v>
      </c>
      <c r="S238" s="23">
        <f>'Annual Raw'!T79</f>
        <v>7601.86</v>
      </c>
      <c r="T238" s="23">
        <f>'Annual Raw'!U79</f>
        <v>7334.23</v>
      </c>
      <c r="U238" s="23">
        <f>'Annual Raw'!V79</f>
        <v>6979.1</v>
      </c>
      <c r="V238" s="23">
        <f>'Annual Raw'!W79</f>
        <v>6639.05</v>
      </c>
      <c r="W238" s="23">
        <f>'Annual Raw'!X79</f>
        <v>7454.58</v>
      </c>
      <c r="X238" s="23">
        <f>'Annual Raw'!Y79</f>
        <v>8989.92</v>
      </c>
      <c r="Y238" s="23">
        <f>'Annual Raw'!Z79</f>
        <v>8854.8700000000008</v>
      </c>
      <c r="Z238" s="23">
        <f>'Annual Raw'!AA79</f>
        <v>8088.89</v>
      </c>
      <c r="AA238" s="23">
        <f>'Annual Raw'!AB79</f>
        <v>9536.9</v>
      </c>
      <c r="AB238" s="24">
        <f t="shared" si="1429"/>
        <v>48372.835979386618</v>
      </c>
      <c r="AC238" s="24">
        <f t="shared" si="1430"/>
        <v>52536.782900009937</v>
      </c>
      <c r="AD238" s="24">
        <f t="shared" si="1431"/>
        <v>55731.844192067467</v>
      </c>
      <c r="AE238" s="24">
        <f t="shared" si="1432"/>
        <v>59328.355292682994</v>
      </c>
      <c r="AJ238" s="23">
        <f>+'QTR Raw'!D84</f>
        <v>645.94000000000005</v>
      </c>
      <c r="AK238" s="23">
        <f t="shared" si="1433"/>
        <v>645.94000000000005</v>
      </c>
      <c r="AL238" s="23">
        <f>+'QTR Raw'!F84</f>
        <v>1051.4000000000001</v>
      </c>
      <c r="AM238" s="23">
        <f t="shared" si="1433"/>
        <v>1051.4000000000001</v>
      </c>
      <c r="AN238" s="23">
        <f>+'QTR Raw'!H84</f>
        <v>2545.9</v>
      </c>
      <c r="AO238" s="23">
        <f t="shared" si="1433"/>
        <v>2545.9</v>
      </c>
      <c r="AP238" s="23">
        <f>+'QTR Raw'!J84</f>
        <v>1633.49</v>
      </c>
      <c r="AQ238" s="23">
        <f t="shared" si="1433"/>
        <v>1633.49</v>
      </c>
      <c r="AR238" s="23">
        <f>+'QTR Raw'!L84</f>
        <v>2151.7800000000002</v>
      </c>
      <c r="AS238" s="23">
        <f t="shared" si="1433"/>
        <v>2151.7800000000002</v>
      </c>
      <c r="AT238" s="23">
        <f>+'QTR Raw'!N84</f>
        <v>1831.99</v>
      </c>
      <c r="AU238" s="23">
        <f t="shared" si="1433"/>
        <v>1831.99</v>
      </c>
      <c r="AV238" s="23">
        <f>+'QTR Raw'!P84</f>
        <v>2954.56</v>
      </c>
      <c r="AW238" s="23">
        <f t="shared" si="1433"/>
        <v>2954.56</v>
      </c>
      <c r="AX238" s="23">
        <f>+'QTR Raw'!R84</f>
        <v>9952.83</v>
      </c>
      <c r="AY238" s="23">
        <f t="shared" si="1433"/>
        <v>9952.83</v>
      </c>
      <c r="AZ238" s="23">
        <f>+'QTR Raw'!T84</f>
        <v>9513.27</v>
      </c>
      <c r="BA238" s="23">
        <f t="shared" si="1433"/>
        <v>9513.27</v>
      </c>
      <c r="BB238" s="23">
        <f>+'QTR Raw'!V84</f>
        <v>10604.38</v>
      </c>
      <c r="BC238" s="23">
        <f t="shared" si="1433"/>
        <v>10604.38</v>
      </c>
      <c r="BD238" s="23">
        <f>+'QTR Raw'!X84</f>
        <v>4931.63</v>
      </c>
      <c r="BE238" s="23">
        <f t="shared" si="1433"/>
        <v>4931.63</v>
      </c>
      <c r="BF238" s="23">
        <f>+'QTR Raw'!Z84</f>
        <v>13046.21</v>
      </c>
      <c r="BG238" s="23">
        <f t="shared" si="1433"/>
        <v>13046.21</v>
      </c>
      <c r="BH238" s="23">
        <f>+'QTR Raw'!AB84</f>
        <v>12895.6</v>
      </c>
      <c r="BI238" s="23">
        <f t="shared" si="1433"/>
        <v>12895.6</v>
      </c>
      <c r="BJ238" s="23">
        <f>+'QTR Raw'!AD84</f>
        <v>2126.11</v>
      </c>
      <c r="BK238" s="23">
        <f t="shared" si="1433"/>
        <v>2126.11</v>
      </c>
      <c r="BL238" s="23">
        <f>+'QTR Raw'!AF84</f>
        <v>1682.13</v>
      </c>
      <c r="BM238" s="23">
        <f t="shared" si="1433"/>
        <v>1682.13</v>
      </c>
      <c r="BN238" s="23">
        <f>+'QTR Raw'!AH84</f>
        <v>2183.92</v>
      </c>
      <c r="BO238" s="23">
        <f t="shared" si="1433"/>
        <v>2183.92</v>
      </c>
      <c r="BP238" s="23">
        <f>+'QTR Raw'!AJ84</f>
        <v>1275.3399999999999</v>
      </c>
      <c r="BQ238" s="23">
        <f t="shared" si="1433"/>
        <v>1275.3399999999999</v>
      </c>
      <c r="BR238" s="23">
        <f>+'QTR Raw'!AL84</f>
        <v>2834.79</v>
      </c>
      <c r="BS238" s="23">
        <f t="shared" si="1433"/>
        <v>2834.79</v>
      </c>
      <c r="BT238" s="23">
        <f>+'QTR Raw'!AN84</f>
        <v>1388.5</v>
      </c>
      <c r="BU238" s="23">
        <f t="shared" si="1433"/>
        <v>1388.5</v>
      </c>
      <c r="BV238" s="23">
        <f>+'QTR Raw'!AP84</f>
        <v>2028.04</v>
      </c>
      <c r="BW238" s="23">
        <f t="shared" si="1433"/>
        <v>2028.04</v>
      </c>
      <c r="BX238" s="23">
        <f>+'QTR Raw'!AR84</f>
        <v>2261.06</v>
      </c>
      <c r="BY238" s="23">
        <f t="shared" si="1433"/>
        <v>2261.06</v>
      </c>
      <c r="BZ238" s="23">
        <f>+'QTR Raw'!AT84</f>
        <v>2072.21</v>
      </c>
      <c r="CA238" s="23">
        <f t="shared" si="1433"/>
        <v>2072.21</v>
      </c>
      <c r="CB238" s="23">
        <f>+'QTR Raw'!AV84</f>
        <v>9945.2199999999993</v>
      </c>
      <c r="CC238" s="23">
        <f t="shared" si="1433"/>
        <v>9945.2199999999993</v>
      </c>
      <c r="CD238" s="23">
        <f>+'QTR Raw'!AX84</f>
        <v>2249.9</v>
      </c>
      <c r="CE238" s="23">
        <f t="shared" si="1433"/>
        <v>2249.9</v>
      </c>
      <c r="CF238" s="23">
        <f>+'QTR Raw'!AZ84</f>
        <v>13091.82</v>
      </c>
      <c r="CG238" s="23">
        <f t="shared" ref="CG238:CG239" si="1436">+CF238</f>
        <v>13091.82</v>
      </c>
      <c r="CH238" s="23">
        <f t="shared" si="1411"/>
        <v>8088.89</v>
      </c>
      <c r="CI238" s="23">
        <f>CI101/90*CI273</f>
        <v>28262.838849015083</v>
      </c>
      <c r="CJ238" s="23">
        <f>+'QTR Raw'!BD84</f>
        <v>6000.51</v>
      </c>
      <c r="CK238" s="23">
        <f t="shared" ref="CK238:DB238" si="1437">CK101/90*CK273</f>
        <v>31415.177617676789</v>
      </c>
      <c r="CL238" s="23">
        <f>+'QTR Raw'!BF84</f>
        <v>3176.9</v>
      </c>
      <c r="CM238" s="24">
        <f t="shared" si="1437"/>
        <v>41688.818384122358</v>
      </c>
      <c r="CN238" s="24">
        <f t="shared" si="1437"/>
        <v>51137.090398560416</v>
      </c>
      <c r="CO238" s="24">
        <f t="shared" si="1437"/>
        <v>46027.878081147297</v>
      </c>
      <c r="CP238" s="24">
        <f t="shared" si="1437"/>
        <v>48372.835979386618</v>
      </c>
      <c r="CQ238" s="24">
        <f t="shared" si="1437"/>
        <v>50942.897118517714</v>
      </c>
      <c r="CR238" s="24">
        <f t="shared" si="1437"/>
        <v>54557.84169806241</v>
      </c>
      <c r="CS238" s="24">
        <f t="shared" si="1437"/>
        <v>49507.962330542454</v>
      </c>
      <c r="CT238" s="24">
        <f t="shared" si="1437"/>
        <v>52536.782900009937</v>
      </c>
      <c r="CU238" s="24">
        <f t="shared" si="1437"/>
        <v>55673.081746631964</v>
      </c>
      <c r="CV238" s="24">
        <f t="shared" si="1437"/>
        <v>58907.295713880383</v>
      </c>
      <c r="CW238" s="24">
        <f t="shared" si="1437"/>
        <v>52977.89036614653</v>
      </c>
      <c r="CX238" s="24">
        <f t="shared" si="1437"/>
        <v>55731.844192067467</v>
      </c>
      <c r="CY238" s="24">
        <f t="shared" si="1437"/>
        <v>59281.506976728197</v>
      </c>
      <c r="CZ238" s="24">
        <f t="shared" si="1437"/>
        <v>62717.553476387329</v>
      </c>
      <c r="DA238" s="24">
        <f t="shared" si="1437"/>
        <v>56366.870125690963</v>
      </c>
      <c r="DB238" s="24">
        <f t="shared" si="1437"/>
        <v>59328.355292682994</v>
      </c>
      <c r="DE238" s="123"/>
      <c r="DF238" s="23">
        <v>39609.437628033877</v>
      </c>
    </row>
    <row r="239" spans="1:110" s="23" customFormat="1" outlineLevel="1" x14ac:dyDescent="0.2">
      <c r="A239" s="23" t="s">
        <v>64</v>
      </c>
      <c r="B239" s="23">
        <f>'Annual Raw'!C80</f>
        <v>598.40832599999999</v>
      </c>
      <c r="C239" s="23">
        <f>'Annual Raw'!D80</f>
        <v>1151.78</v>
      </c>
      <c r="D239" s="23">
        <f>'Annual Raw'!E80</f>
        <v>928.36</v>
      </c>
      <c r="E239" s="23">
        <f>'Annual Raw'!F80</f>
        <v>426.25</v>
      </c>
      <c r="F239" s="23">
        <f>'Annual Raw'!G80</f>
        <v>552.82000000000005</v>
      </c>
      <c r="G239" s="23">
        <f>'Annual Raw'!H80</f>
        <v>453.62</v>
      </c>
      <c r="H239" s="23">
        <f>'Annual Raw'!I80</f>
        <v>695.77</v>
      </c>
      <c r="I239" s="23">
        <f>'Annual Raw'!J80</f>
        <v>1613.27</v>
      </c>
      <c r="J239" s="23">
        <f>'Annual Raw'!K80</f>
        <v>2748.91</v>
      </c>
      <c r="K239" s="23">
        <f>'Annual Raw'!L80</f>
        <v>2185.35</v>
      </c>
      <c r="L239" s="23">
        <f>'Annual Raw'!M80</f>
        <v>1813.93</v>
      </c>
      <c r="M239" s="23">
        <f>'Annual Raw'!N80</f>
        <v>2726.9</v>
      </c>
      <c r="N239" s="23">
        <f>'Annual Raw'!O80</f>
        <v>3528.99</v>
      </c>
      <c r="O239" s="23">
        <f>'Annual Raw'!P80</f>
        <v>3515.19</v>
      </c>
      <c r="P239" s="23">
        <f>'Annual Raw'!Q80</f>
        <v>4120.82</v>
      </c>
      <c r="Q239" s="23">
        <f>'Annual Raw'!R80</f>
        <v>1779.66</v>
      </c>
      <c r="R239" s="23">
        <f>'Annual Raw'!S80</f>
        <v>2244.0100000000002</v>
      </c>
      <c r="S239" s="23">
        <f>'Annual Raw'!T80</f>
        <v>2260.54</v>
      </c>
      <c r="T239" s="23">
        <f>'Annual Raw'!U80</f>
        <v>1512.94</v>
      </c>
      <c r="U239" s="23">
        <f>'Annual Raw'!V80</f>
        <v>1550.61</v>
      </c>
      <c r="V239" s="23">
        <f>'Annual Raw'!W80</f>
        <v>2467.2600000000002</v>
      </c>
      <c r="W239" s="23">
        <f>'Annual Raw'!X80</f>
        <v>3678.94</v>
      </c>
      <c r="X239" s="23">
        <f>'Annual Raw'!Y80</f>
        <v>3983.98</v>
      </c>
      <c r="Y239" s="23">
        <f>'Annual Raw'!Z80</f>
        <v>4257.0600000000004</v>
      </c>
      <c r="Z239" s="23">
        <f>'Annual Raw'!AA80</f>
        <v>4496.37</v>
      </c>
      <c r="AA239" s="23">
        <f>'Annual Raw'!AB80</f>
        <v>4641.88</v>
      </c>
      <c r="AB239" s="24">
        <f t="shared" si="1429"/>
        <v>0</v>
      </c>
      <c r="AC239" s="24">
        <f t="shared" si="1430"/>
        <v>0</v>
      </c>
      <c r="AD239" s="24">
        <f t="shared" si="1431"/>
        <v>0</v>
      </c>
      <c r="AE239" s="24">
        <f t="shared" si="1432"/>
        <v>0</v>
      </c>
      <c r="AJ239" s="23">
        <f>+'QTR Raw'!D85</f>
        <v>1973.67</v>
      </c>
      <c r="AK239" s="23">
        <f t="shared" si="1433"/>
        <v>1973.67</v>
      </c>
      <c r="AL239" s="23">
        <f>+'QTR Raw'!F85</f>
        <v>3299.91</v>
      </c>
      <c r="AM239" s="23">
        <f t="shared" si="1433"/>
        <v>3299.91</v>
      </c>
      <c r="AN239" s="23">
        <f>+'QTR Raw'!H85</f>
        <v>3437.91</v>
      </c>
      <c r="AO239" s="23">
        <f t="shared" si="1433"/>
        <v>3437.91</v>
      </c>
      <c r="AP239" s="23">
        <f>+'QTR Raw'!J85</f>
        <v>3215.96</v>
      </c>
      <c r="AQ239" s="23">
        <f t="shared" si="1433"/>
        <v>3215.96</v>
      </c>
      <c r="AR239" s="23">
        <f>+'QTR Raw'!L85</f>
        <v>3497.72</v>
      </c>
      <c r="AS239" s="23">
        <f t="shared" si="1433"/>
        <v>3497.72</v>
      </c>
      <c r="AT239" s="23">
        <f>+'QTR Raw'!N85</f>
        <v>3569.83</v>
      </c>
      <c r="AU239" s="23">
        <f t="shared" si="1433"/>
        <v>3569.83</v>
      </c>
      <c r="AV239" s="23">
        <f>+'QTR Raw'!P85</f>
        <v>4284.8100000000004</v>
      </c>
      <c r="AW239" s="23">
        <f t="shared" si="1433"/>
        <v>4284.8100000000004</v>
      </c>
      <c r="AX239" s="23">
        <f>+'QTR Raw'!R85</f>
        <v>410.27</v>
      </c>
      <c r="AY239" s="23">
        <f t="shared" si="1433"/>
        <v>410.27</v>
      </c>
      <c r="AZ239" s="23">
        <f>+'QTR Raw'!T85</f>
        <v>337.31</v>
      </c>
      <c r="BA239" s="23">
        <f t="shared" si="1433"/>
        <v>337.31</v>
      </c>
      <c r="BB239" s="23">
        <f>+'QTR Raw'!V85</f>
        <v>655.44</v>
      </c>
      <c r="BC239" s="23">
        <f t="shared" si="1433"/>
        <v>655.44</v>
      </c>
      <c r="BD239" s="23">
        <f>+'QTR Raw'!X85</f>
        <v>657.55</v>
      </c>
      <c r="BE239" s="23">
        <f t="shared" si="1433"/>
        <v>657.55</v>
      </c>
      <c r="BF239" s="23">
        <f>+'QTR Raw'!Z85</f>
        <v>784.8</v>
      </c>
      <c r="BG239" s="23">
        <f t="shared" si="1433"/>
        <v>784.8</v>
      </c>
      <c r="BH239" s="23">
        <f>+'QTR Raw'!AB85</f>
        <v>180.08</v>
      </c>
      <c r="BI239" s="23">
        <f t="shared" si="1433"/>
        <v>180.08</v>
      </c>
      <c r="BJ239" s="23">
        <f>+'QTR Raw'!AD85</f>
        <v>87.18</v>
      </c>
      <c r="BK239" s="23">
        <f t="shared" si="1433"/>
        <v>87.18</v>
      </c>
      <c r="BL239" s="23">
        <f>+'QTR Raw'!AF85</f>
        <v>24.31</v>
      </c>
      <c r="BM239" s="23">
        <f t="shared" si="1433"/>
        <v>24.31</v>
      </c>
      <c r="BN239" s="23">
        <f>+'QTR Raw'!AH85</f>
        <v>33</v>
      </c>
      <c r="BO239" s="23">
        <f t="shared" si="1433"/>
        <v>33</v>
      </c>
      <c r="BP239" s="23">
        <f>+'QTR Raw'!AJ85</f>
        <v>31.15</v>
      </c>
      <c r="BQ239" s="23">
        <f t="shared" si="1433"/>
        <v>31.15</v>
      </c>
      <c r="BR239" s="23">
        <f>+'QTR Raw'!AL85</f>
        <v>7.63</v>
      </c>
      <c r="BS239" s="23">
        <f t="shared" si="1433"/>
        <v>7.63</v>
      </c>
      <c r="BT239" s="23">
        <f>+'QTR Raw'!AN85</f>
        <v>15.15</v>
      </c>
      <c r="BU239" s="23">
        <f t="shared" si="1433"/>
        <v>15.15</v>
      </c>
      <c r="BV239" s="23">
        <f>+'QTR Raw'!AP85</f>
        <v>9.34</v>
      </c>
      <c r="BW239" s="23">
        <f t="shared" si="1433"/>
        <v>9.34</v>
      </c>
      <c r="BX239" s="23">
        <f>+'QTR Raw'!AR85</f>
        <v>22.57</v>
      </c>
      <c r="BY239" s="23">
        <f t="shared" si="1433"/>
        <v>22.57</v>
      </c>
      <c r="BZ239" s="23">
        <f>+'QTR Raw'!AT85</f>
        <v>11.55</v>
      </c>
      <c r="CA239" s="23">
        <f t="shared" si="1433"/>
        <v>11.55</v>
      </c>
      <c r="CB239" s="23">
        <f>+'QTR Raw'!AV85</f>
        <v>19.71</v>
      </c>
      <c r="CC239" s="23">
        <f t="shared" si="1433"/>
        <v>19.71</v>
      </c>
      <c r="CD239" s="23">
        <f>+'QTR Raw'!AX85</f>
        <v>11.14</v>
      </c>
      <c r="CE239" s="23">
        <f t="shared" si="1433"/>
        <v>11.14</v>
      </c>
      <c r="CF239" s="23">
        <f>+'QTR Raw'!AZ85</f>
        <v>19.149999999999999</v>
      </c>
      <c r="CG239" s="23">
        <f t="shared" si="1436"/>
        <v>19.149999999999999</v>
      </c>
      <c r="CH239" s="23">
        <f t="shared" si="1411"/>
        <v>4496.37</v>
      </c>
      <c r="CJ239" s="23">
        <f>+'QTR Raw'!BD85</f>
        <v>22.71</v>
      </c>
      <c r="CL239" s="23">
        <f>+'QTR Raw'!BF85</f>
        <v>19.8</v>
      </c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E239" s="123"/>
      <c r="DF239" s="23">
        <v>19.8</v>
      </c>
    </row>
    <row r="240" spans="1:110" s="22" customFormat="1" x14ac:dyDescent="0.2">
      <c r="A240" s="22" t="s">
        <v>65</v>
      </c>
      <c r="B240" s="22">
        <f>SUM(B234:B239)</f>
        <v>1483.4866496</v>
      </c>
      <c r="C240" s="22">
        <f t="shared" ref="C240:V240" si="1438">SUM(C234:C239)</f>
        <v>2263.19</v>
      </c>
      <c r="D240" s="22">
        <f t="shared" si="1438"/>
        <v>2263.59</v>
      </c>
      <c r="E240" s="22">
        <f t="shared" si="1438"/>
        <v>1618.03</v>
      </c>
      <c r="F240" s="22">
        <f t="shared" si="1438"/>
        <v>1728.3200000000002</v>
      </c>
      <c r="G240" s="22">
        <f t="shared" si="1438"/>
        <v>2213.9899999999998</v>
      </c>
      <c r="H240" s="22">
        <f t="shared" si="1438"/>
        <v>2929.29</v>
      </c>
      <c r="I240" s="22">
        <f t="shared" si="1438"/>
        <v>4858.3500000000004</v>
      </c>
      <c r="J240" s="22">
        <f t="shared" si="1438"/>
        <v>6837.0199999999995</v>
      </c>
      <c r="K240" s="22">
        <f t="shared" si="1438"/>
        <v>7379.369999999999</v>
      </c>
      <c r="L240" s="22">
        <f>SUM(L234:L239)</f>
        <v>10569.76</v>
      </c>
      <c r="M240" s="22">
        <f>SUM(M234:M239)</f>
        <v>14174.09</v>
      </c>
      <c r="N240" s="22">
        <f t="shared" si="1438"/>
        <v>18435.669999999998</v>
      </c>
      <c r="O240" s="22">
        <f t="shared" si="1438"/>
        <v>20026.759999999998</v>
      </c>
      <c r="P240" s="22">
        <f t="shared" si="1438"/>
        <v>22208.43</v>
      </c>
      <c r="Q240" s="22">
        <f t="shared" si="1438"/>
        <v>19849.370000000003</v>
      </c>
      <c r="R240" s="22">
        <f t="shared" si="1438"/>
        <v>21229.240000000005</v>
      </c>
      <c r="S240" s="22">
        <f t="shared" si="1438"/>
        <v>21968.23</v>
      </c>
      <c r="T240" s="22">
        <f t="shared" si="1438"/>
        <v>22863.53</v>
      </c>
      <c r="U240" s="22">
        <f t="shared" si="1438"/>
        <v>23767.010000000002</v>
      </c>
      <c r="V240" s="22">
        <f t="shared" si="1438"/>
        <v>24185.71</v>
      </c>
      <c r="W240" s="22">
        <f t="shared" ref="W240" si="1439">SUM(W234:W239)</f>
        <v>29724.420000000002</v>
      </c>
      <c r="X240" s="22">
        <f t="shared" ref="X240:Y240" si="1440">SUM(X234:X239)</f>
        <v>33096.9</v>
      </c>
      <c r="Y240" s="22">
        <f t="shared" si="1440"/>
        <v>34815.629999999997</v>
      </c>
      <c r="Z240" s="22">
        <f t="shared" ref="Z240:AA240" si="1441">SUM(Z234:Z239)</f>
        <v>37072.629999999997</v>
      </c>
      <c r="AA240" s="22">
        <f t="shared" si="1441"/>
        <v>42457.88</v>
      </c>
      <c r="AB240" s="21">
        <f t="shared" ref="AA240:AD240" si="1442">SUM(AB234:AB239)</f>
        <v>65182.493237160001</v>
      </c>
      <c r="AC240" s="21">
        <f t="shared" si="1442"/>
        <v>73906.733961641352</v>
      </c>
      <c r="AD240" s="21">
        <f t="shared" si="1442"/>
        <v>78401.423812610316</v>
      </c>
      <c r="AE240" s="21">
        <f t="shared" ref="AE240" si="1443">SUM(AE234:AE239)</f>
        <v>83460.857878247247</v>
      </c>
      <c r="AJ240" s="22">
        <f t="shared" ref="AJ240" si="1444">SUM(AJ234:AJ239)</f>
        <v>9306.73</v>
      </c>
      <c r="AK240" s="22">
        <f t="shared" ref="AK240" si="1445">SUM(AK234:AK239)</f>
        <v>9699.8782939620269</v>
      </c>
      <c r="AL240" s="22">
        <f t="shared" ref="AL240:AM240" si="1446">SUM(AL234:AL239)</f>
        <v>18435.669999999998</v>
      </c>
      <c r="AM240" s="22">
        <f t="shared" si="1446"/>
        <v>18444.093042050561</v>
      </c>
      <c r="AN240" s="22">
        <f t="shared" ref="AN240:AO240" si="1447">SUM(AN234:AN239)</f>
        <v>21035.71</v>
      </c>
      <c r="AO240" s="22">
        <f t="shared" si="1447"/>
        <v>20854.215154888534</v>
      </c>
      <c r="AP240" s="22">
        <f t="shared" ref="AP240:CE240" si="1448">SUM(AP234:AP239)</f>
        <v>20026.760000000002</v>
      </c>
      <c r="AQ240" s="22">
        <f t="shared" si="1448"/>
        <v>19780.736465864808</v>
      </c>
      <c r="AR240" s="22">
        <f t="shared" si="1448"/>
        <v>21893.99</v>
      </c>
      <c r="AS240" s="22">
        <f t="shared" si="1448"/>
        <v>21846.227112767941</v>
      </c>
      <c r="AT240" s="22">
        <f t="shared" si="1448"/>
        <v>22208.43</v>
      </c>
      <c r="AU240" s="22">
        <f t="shared" si="1448"/>
        <v>21369.957145747656</v>
      </c>
      <c r="AV240" s="22">
        <f t="shared" si="1448"/>
        <v>23001.600000000002</v>
      </c>
      <c r="AW240" s="22">
        <f t="shared" si="1448"/>
        <v>22537.007088528673</v>
      </c>
      <c r="AX240" s="22">
        <f t="shared" si="1448"/>
        <v>19849.37</v>
      </c>
      <c r="AY240" s="22">
        <f t="shared" si="1448"/>
        <v>19483.902614864328</v>
      </c>
      <c r="AZ240" s="22">
        <f t="shared" si="1448"/>
        <v>20656.830000000002</v>
      </c>
      <c r="BA240" s="22">
        <f t="shared" si="1448"/>
        <v>20087.47424445911</v>
      </c>
      <c r="BB240" s="22">
        <f t="shared" si="1448"/>
        <v>21229.239999999994</v>
      </c>
      <c r="BC240" s="22">
        <f t="shared" si="1448"/>
        <v>20677.1245746327</v>
      </c>
      <c r="BD240" s="22">
        <f t="shared" si="1448"/>
        <v>20978.46</v>
      </c>
      <c r="BE240" s="22">
        <f t="shared" si="1448"/>
        <v>20442.208316047516</v>
      </c>
      <c r="BF240" s="22">
        <f t="shared" si="1448"/>
        <v>21968.23</v>
      </c>
      <c r="BG240" s="22">
        <f t="shared" si="1448"/>
        <v>22039.351880278398</v>
      </c>
      <c r="BH240" s="22">
        <f t="shared" si="1448"/>
        <v>22021.72</v>
      </c>
      <c r="BI240" s="22">
        <f t="shared" si="1448"/>
        <v>22631.339135067952</v>
      </c>
      <c r="BJ240" s="22">
        <f t="shared" si="1448"/>
        <v>22863.53</v>
      </c>
      <c r="BK240" s="22">
        <f t="shared" si="1448"/>
        <v>23385.379255087249</v>
      </c>
      <c r="BL240" s="22">
        <f t="shared" si="1448"/>
        <v>22306.370000000003</v>
      </c>
      <c r="BM240" s="22">
        <f t="shared" si="1448"/>
        <v>21718.554684363531</v>
      </c>
      <c r="BN240" s="22">
        <f t="shared" si="1448"/>
        <v>23767.010000000002</v>
      </c>
      <c r="BO240" s="22">
        <f t="shared" si="1448"/>
        <v>23589.313332724138</v>
      </c>
      <c r="BP240" s="22">
        <f t="shared" si="1448"/>
        <v>22882.170000000002</v>
      </c>
      <c r="BQ240" s="22">
        <f t="shared" si="1448"/>
        <v>22265.62539596203</v>
      </c>
      <c r="BR240" s="22">
        <f t="shared" si="1448"/>
        <v>27867.98</v>
      </c>
      <c r="BS240" s="22">
        <f t="shared" si="1448"/>
        <v>27709.619522175901</v>
      </c>
      <c r="BT240" s="22">
        <f t="shared" si="1448"/>
        <v>27229.68</v>
      </c>
      <c r="BU240" s="22">
        <f t="shared" si="1448"/>
        <v>28362.930181953103</v>
      </c>
      <c r="BV240" s="22">
        <f t="shared" si="1448"/>
        <v>33386.409999999996</v>
      </c>
      <c r="BW240" s="22">
        <f t="shared" si="1448"/>
        <v>36035.746820658263</v>
      </c>
      <c r="BX240" s="22">
        <f t="shared" si="1448"/>
        <v>38030.28</v>
      </c>
      <c r="BY240" s="22">
        <f t="shared" si="1448"/>
        <v>38141.90412705834</v>
      </c>
      <c r="BZ240" s="22">
        <f t="shared" si="1448"/>
        <v>37078.950000000004</v>
      </c>
      <c r="CA240" s="22">
        <f t="shared" si="1448"/>
        <v>40037.456272981013</v>
      </c>
      <c r="CB240" s="22">
        <f t="shared" si="1448"/>
        <v>39705.870000000003</v>
      </c>
      <c r="CC240" s="22">
        <f t="shared" si="1448"/>
        <v>38686.494330624606</v>
      </c>
      <c r="CD240" s="22">
        <f t="shared" si="1448"/>
        <v>39184.380000000005</v>
      </c>
      <c r="CE240" s="22">
        <f t="shared" si="1448"/>
        <v>40496.909378074008</v>
      </c>
      <c r="CF240" s="22">
        <f t="shared" ref="CF240:CG240" si="1449">SUM(CF234:CF239)</f>
        <v>39957.08</v>
      </c>
      <c r="CG240" s="22">
        <f t="shared" si="1449"/>
        <v>39736.478471715869</v>
      </c>
      <c r="CH240" s="22">
        <f t="shared" ref="CH240:CI240" si="1450">SUM(CH234:CH239)</f>
        <v>37072.629999999997</v>
      </c>
      <c r="CI240" s="22">
        <f t="shared" si="1450"/>
        <v>39109.275283524446</v>
      </c>
      <c r="CJ240" s="22">
        <f t="shared" ref="CJ240:DB240" si="1451">SUM(CJ234:CJ239)</f>
        <v>47061.320000000007</v>
      </c>
      <c r="CK240" s="22">
        <f t="shared" si="1451"/>
        <v>42228.008171240625</v>
      </c>
      <c r="CL240" s="22">
        <f t="shared" ref="CL240" si="1452">SUM(CL234:CL239)</f>
        <v>47983.32</v>
      </c>
      <c r="CM240" s="21">
        <f t="shared" si="1451"/>
        <v>56175.766158226063</v>
      </c>
      <c r="CN240" s="21">
        <f t="shared" si="1451"/>
        <v>68907.331596034957</v>
      </c>
      <c r="CO240" s="21">
        <f t="shared" si="1451"/>
        <v>62022.657778917594</v>
      </c>
      <c r="CP240" s="21">
        <f t="shared" si="1451"/>
        <v>65182.493237160001</v>
      </c>
      <c r="CQ240" s="21">
        <f t="shared" si="1451"/>
        <v>69421.230419820524</v>
      </c>
      <c r="CR240" s="21">
        <f t="shared" si="1451"/>
        <v>75162.855765265325</v>
      </c>
      <c r="CS240" s="21">
        <f t="shared" si="1451"/>
        <v>68932.353605180047</v>
      </c>
      <c r="CT240" s="21">
        <f t="shared" si="1451"/>
        <v>73906.733961641352</v>
      </c>
      <c r="CU240" s="21">
        <f t="shared" si="1451"/>
        <v>78318.759055044124</v>
      </c>
      <c r="CV240" s="21">
        <f t="shared" si="1451"/>
        <v>82868.527389876981</v>
      </c>
      <c r="CW240" s="21">
        <f t="shared" si="1451"/>
        <v>74527.267050054827</v>
      </c>
      <c r="CX240" s="21">
        <f t="shared" si="1451"/>
        <v>78401.423812610316</v>
      </c>
      <c r="CY240" s="21">
        <f t="shared" si="1451"/>
        <v>83394.953461708981</v>
      </c>
      <c r="CZ240" s="21">
        <f t="shared" si="1451"/>
        <v>88228.652072708035</v>
      </c>
      <c r="DA240" s="21">
        <f t="shared" si="1451"/>
        <v>79294.753973773375</v>
      </c>
      <c r="DB240" s="21">
        <f t="shared" si="1451"/>
        <v>83460.857878247247</v>
      </c>
      <c r="DE240" s="126"/>
      <c r="DF240" s="22">
        <v>53242.661116571282</v>
      </c>
    </row>
    <row r="241" spans="1:110" s="23" customFormat="1" outlineLevel="1" x14ac:dyDescent="0.2">
      <c r="A241" s="23" t="s">
        <v>66</v>
      </c>
      <c r="B241" s="23">
        <f>'Annual Raw'!C50+'Annual Raw'!C58</f>
        <v>0</v>
      </c>
      <c r="C241" s="23">
        <f>'Annual Raw'!D50+'Annual Raw'!D58</f>
        <v>0</v>
      </c>
      <c r="D241" s="23">
        <f>'Annual Raw'!E50+'Annual Raw'!E58</f>
        <v>0</v>
      </c>
      <c r="E241" s="23">
        <f>'Annual Raw'!F50+'Annual Raw'!F58</f>
        <v>0</v>
      </c>
      <c r="F241" s="23">
        <f>'Annual Raw'!G50+'Annual Raw'!G58</f>
        <v>0</v>
      </c>
      <c r="G241" s="23">
        <f>'Annual Raw'!H50+'Annual Raw'!H58</f>
        <v>0</v>
      </c>
      <c r="H241" s="23">
        <f>'Annual Raw'!I50+'Annual Raw'!I58</f>
        <v>0</v>
      </c>
      <c r="I241" s="23">
        <f>'Annual Raw'!J50+'Annual Raw'!J58</f>
        <v>0</v>
      </c>
      <c r="J241" s="23">
        <f>'Annual Raw'!K50+'Annual Raw'!K58</f>
        <v>0</v>
      </c>
      <c r="K241" s="23">
        <f>'Annual Raw'!L50+'Annual Raw'!L58</f>
        <v>0</v>
      </c>
      <c r="L241" s="23">
        <f>'Annual Raw'!M50+'Annual Raw'!M58</f>
        <v>1337.45</v>
      </c>
      <c r="M241" s="23">
        <f>'Annual Raw'!N50+'Annual Raw'!N58</f>
        <v>1151.8599999999999</v>
      </c>
      <c r="N241" s="23">
        <f>'Annual Raw'!O50+'Annual Raw'!O58</f>
        <v>920.45</v>
      </c>
      <c r="O241" s="23">
        <f>'Annual Raw'!P50+'Annual Raw'!P58</f>
        <v>946.06</v>
      </c>
      <c r="P241" s="23">
        <f>'Annual Raw'!Q50+'Annual Raw'!Q58</f>
        <v>1043.56</v>
      </c>
      <c r="Q241" s="23">
        <f>'Annual Raw'!R50+'Annual Raw'!R58</f>
        <v>4294.83</v>
      </c>
      <c r="R241" s="23">
        <f>'Annual Raw'!S50+'Annual Raw'!S58</f>
        <v>3629.59</v>
      </c>
      <c r="S241" s="23">
        <f>'Annual Raw'!T50+'Annual Raw'!T58</f>
        <v>3392.5699999999997</v>
      </c>
      <c r="T241" s="23">
        <f>'Annual Raw'!U50+'Annual Raw'!U58</f>
        <v>3553.56</v>
      </c>
      <c r="U241" s="23">
        <f>'Annual Raw'!V50+'Annual Raw'!V58</f>
        <v>7049.05</v>
      </c>
      <c r="V241" s="23">
        <f>'Annual Raw'!W50+'Annual Raw'!W58</f>
        <v>10640.320000000002</v>
      </c>
      <c r="W241" s="23">
        <f>'Annual Raw'!X50+'Annual Raw'!X58</f>
        <v>12617.199999999999</v>
      </c>
      <c r="X241" s="23">
        <f>'Annual Raw'!Y50+'Annual Raw'!Y58</f>
        <v>14882.48</v>
      </c>
      <c r="Y241" s="23">
        <f>'Annual Raw'!Z50+'Annual Raw'!Z58</f>
        <v>16375.97</v>
      </c>
      <c r="Z241" s="23">
        <f>'Annual Raw'!AA50+'Annual Raw'!AA58</f>
        <v>17914.460000000003</v>
      </c>
      <c r="AA241" s="23">
        <f>'Annual Raw'!AB50+'Annual Raw'!AB58</f>
        <v>18770.79</v>
      </c>
      <c r="AB241" s="24">
        <f t="shared" ref="AB241:AB247" si="1453">+CP241</f>
        <v>0</v>
      </c>
      <c r="AC241" s="24">
        <f t="shared" ref="AC241:AC247" si="1454">+CT241</f>
        <v>0</v>
      </c>
      <c r="AD241" s="24">
        <f t="shared" ref="AD241:AD247" si="1455">+CX241</f>
        <v>0</v>
      </c>
      <c r="AE241" s="24">
        <f t="shared" ref="AE241:AE247" si="1456">+DB241</f>
        <v>0</v>
      </c>
      <c r="AJ241" s="23">
        <f>+'QTR Raw'!D64</f>
        <v>99.86</v>
      </c>
      <c r="AK241" s="23">
        <f t="shared" ref="AK241:CE247" si="1457">+AJ241</f>
        <v>99.86</v>
      </c>
      <c r="AL241" s="23">
        <f>+'QTR Raw'!F64</f>
        <v>949.11</v>
      </c>
      <c r="AM241" s="23">
        <f t="shared" si="1457"/>
        <v>949.11</v>
      </c>
      <c r="AN241" s="23">
        <f>+'QTR Raw'!H64</f>
        <v>993.27</v>
      </c>
      <c r="AO241" s="23">
        <f t="shared" si="1457"/>
        <v>993.27</v>
      </c>
      <c r="AP241" s="23">
        <f>+'QTR Raw'!J64</f>
        <v>974.57</v>
      </c>
      <c r="AQ241" s="23">
        <f t="shared" si="1457"/>
        <v>974.57</v>
      </c>
      <c r="AR241" s="23">
        <f>+'QTR Raw'!L64</f>
        <v>1046.95</v>
      </c>
      <c r="AS241" s="23">
        <f t="shared" si="1457"/>
        <v>1046.95</v>
      </c>
      <c r="AT241" s="23">
        <f>+'QTR Raw'!N64</f>
        <v>1074.24</v>
      </c>
      <c r="AU241" s="23">
        <f t="shared" si="1457"/>
        <v>1074.24</v>
      </c>
      <c r="AV241" s="23">
        <f>+'QTR Raw'!P64</f>
        <v>1150.68</v>
      </c>
      <c r="AW241" s="23">
        <f t="shared" si="1457"/>
        <v>1150.68</v>
      </c>
      <c r="AX241" s="23">
        <f>+'QTR Raw'!R64</f>
        <v>3618.19</v>
      </c>
      <c r="AY241" s="23">
        <f t="shared" si="1457"/>
        <v>3618.19</v>
      </c>
      <c r="AZ241" s="23">
        <f>+'QTR Raw'!T64</f>
        <v>1294.99</v>
      </c>
      <c r="BA241" s="23">
        <f t="shared" si="1457"/>
        <v>1294.99</v>
      </c>
      <c r="BB241" s="23">
        <f>+'QTR Raw'!V64</f>
        <v>3633.33</v>
      </c>
      <c r="BC241" s="23">
        <f t="shared" si="1457"/>
        <v>3633.33</v>
      </c>
      <c r="BD241" s="23">
        <f>+'QTR Raw'!X64</f>
        <v>4326.1400000000003</v>
      </c>
      <c r="BE241" s="23">
        <f t="shared" si="1457"/>
        <v>4326.1400000000003</v>
      </c>
      <c r="BF241" s="23">
        <f>+'QTR Raw'!Z64</f>
        <v>2492.5300000000002</v>
      </c>
      <c r="BG241" s="23">
        <f t="shared" si="1457"/>
        <v>2492.5300000000002</v>
      </c>
      <c r="BH241" s="23">
        <f>+'QTR Raw'!AB64</f>
        <v>4187.18</v>
      </c>
      <c r="BI241" s="23">
        <f t="shared" si="1457"/>
        <v>4187.18</v>
      </c>
      <c r="BJ241" s="23">
        <f>+'QTR Raw'!AD64</f>
        <v>3557.3</v>
      </c>
      <c r="BK241" s="23">
        <f t="shared" si="1457"/>
        <v>3557.3</v>
      </c>
      <c r="BL241" s="23">
        <f>+'QTR Raw'!AF64</f>
        <v>6684.22</v>
      </c>
      <c r="BM241" s="23">
        <f t="shared" si="1457"/>
        <v>6684.22</v>
      </c>
      <c r="BN241" s="23">
        <f>+'QTR Raw'!AH64</f>
        <v>7052.08</v>
      </c>
      <c r="BO241" s="23">
        <f t="shared" si="1457"/>
        <v>7052.08</v>
      </c>
      <c r="BP241" s="23">
        <f>+'QTR Raw'!AJ64</f>
        <v>10254.17</v>
      </c>
      <c r="BQ241" s="23">
        <f t="shared" si="1457"/>
        <v>10254.17</v>
      </c>
      <c r="BR241" s="23">
        <f>+'QTR Raw'!AL64</f>
        <v>10742.28</v>
      </c>
      <c r="BS241" s="23">
        <f t="shared" si="1457"/>
        <v>10742.28</v>
      </c>
      <c r="BT241" s="23">
        <f>+'QTR Raw'!AN64</f>
        <v>12649.12</v>
      </c>
      <c r="BU241" s="23">
        <f t="shared" si="1457"/>
        <v>12649.12</v>
      </c>
      <c r="BV241" s="23">
        <f>+'QTR Raw'!AP64</f>
        <v>13254.86</v>
      </c>
      <c r="BW241" s="23">
        <f t="shared" si="1457"/>
        <v>13254.86</v>
      </c>
      <c r="BX241" s="23">
        <f>+'QTR Raw'!AR64</f>
        <v>14415.3</v>
      </c>
      <c r="BY241" s="23">
        <f t="shared" si="1457"/>
        <v>14415.3</v>
      </c>
      <c r="BZ241" s="23">
        <f>+'QTR Raw'!AT64</f>
        <v>16117.82</v>
      </c>
      <c r="CA241" s="23">
        <f t="shared" si="1457"/>
        <v>16117.82</v>
      </c>
      <c r="CB241" s="23">
        <f>+'QTR Raw'!AV64</f>
        <v>16035.81</v>
      </c>
      <c r="CC241" s="23">
        <f t="shared" si="1457"/>
        <v>16035.81</v>
      </c>
      <c r="CD241" s="23">
        <f>+'QTR Raw'!AX64</f>
        <v>17092.39</v>
      </c>
      <c r="CE241" s="23">
        <f t="shared" si="1457"/>
        <v>17092.39</v>
      </c>
      <c r="CF241" s="23">
        <f>+'QTR Raw'!AZ64</f>
        <v>17694.47</v>
      </c>
      <c r="CG241" s="23">
        <f t="shared" ref="CG241:CG244" si="1458">+CF241</f>
        <v>17694.47</v>
      </c>
      <c r="CH241" s="23">
        <f t="shared" si="1411"/>
        <v>17914.460000000003</v>
      </c>
      <c r="CJ241" s="23">
        <f>+'QTR Raw'!BD64</f>
        <v>18668.28</v>
      </c>
      <c r="CL241" s="23">
        <f>+'QTR Raw'!BF64</f>
        <v>18779.84</v>
      </c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E241" s="123"/>
      <c r="DF241" s="23">
        <v>18779.84</v>
      </c>
    </row>
    <row r="242" spans="1:110" s="23" customFormat="1" outlineLevel="1" x14ac:dyDescent="0.2">
      <c r="A242" s="23" t="s">
        <v>67</v>
      </c>
      <c r="B242" s="23">
        <f>'Annual Raw'!C51</f>
        <v>0</v>
      </c>
      <c r="C242" s="23">
        <f>'Annual Raw'!D51</f>
        <v>0</v>
      </c>
      <c r="D242" s="23">
        <f>'Annual Raw'!E51</f>
        <v>0</v>
      </c>
      <c r="E242" s="23">
        <f>'Annual Raw'!F51</f>
        <v>0</v>
      </c>
      <c r="F242" s="23">
        <f>'Annual Raw'!G51</f>
        <v>0</v>
      </c>
      <c r="G242" s="23">
        <f>'Annual Raw'!H51</f>
        <v>0</v>
      </c>
      <c r="H242" s="23">
        <f>'Annual Raw'!I51</f>
        <v>0</v>
      </c>
      <c r="I242" s="23">
        <f>'Annual Raw'!J51</f>
        <v>0</v>
      </c>
      <c r="J242" s="23">
        <f>'Annual Raw'!K51</f>
        <v>0</v>
      </c>
      <c r="K242" s="23">
        <f>'Annual Raw'!L51</f>
        <v>0</v>
      </c>
      <c r="L242" s="23">
        <f>'Annual Raw'!M51</f>
        <v>33.96</v>
      </c>
      <c r="M242" s="23">
        <f>'Annual Raw'!N51</f>
        <v>29.44</v>
      </c>
      <c r="N242" s="23">
        <f>'Annual Raw'!O51</f>
        <v>28.66</v>
      </c>
      <c r="O242" s="23">
        <f>'Annual Raw'!P51</f>
        <v>28.51</v>
      </c>
      <c r="P242" s="23">
        <f>'Annual Raw'!Q51</f>
        <v>30.68</v>
      </c>
      <c r="Q242" s="23">
        <f>'Annual Raw'!R51</f>
        <v>33.119999999999997</v>
      </c>
      <c r="R242" s="23">
        <f>'Annual Raw'!S51</f>
        <v>35.57</v>
      </c>
      <c r="S242" s="23">
        <f>'Annual Raw'!T51</f>
        <v>21</v>
      </c>
      <c r="T242" s="23">
        <f>'Annual Raw'!U51</f>
        <v>22.75</v>
      </c>
      <c r="U242" s="23">
        <f>'Annual Raw'!V51</f>
        <v>0</v>
      </c>
      <c r="V242" s="23">
        <f>'Annual Raw'!W51</f>
        <v>1.67</v>
      </c>
      <c r="W242" s="23">
        <f>'Annual Raw'!X51</f>
        <v>0</v>
      </c>
      <c r="X242" s="23">
        <f>'Annual Raw'!Y51</f>
        <v>0</v>
      </c>
      <c r="Y242" s="23">
        <f>'Annual Raw'!Z51</f>
        <v>0</v>
      </c>
      <c r="Z242" s="23">
        <f>'Annual Raw'!AA51</f>
        <v>0</v>
      </c>
      <c r="AA242" s="23">
        <f>'Annual Raw'!AB51</f>
        <v>0</v>
      </c>
      <c r="AB242" s="24">
        <f t="shared" si="1453"/>
        <v>0</v>
      </c>
      <c r="AC242" s="24">
        <f t="shared" si="1454"/>
        <v>0</v>
      </c>
      <c r="AD242" s="24">
        <f t="shared" si="1455"/>
        <v>0</v>
      </c>
      <c r="AE242" s="24">
        <f t="shared" si="1456"/>
        <v>0</v>
      </c>
      <c r="AJ242" s="23">
        <f>+'QTR Raw'!D65</f>
        <v>0</v>
      </c>
      <c r="AK242" s="23">
        <f t="shared" si="1457"/>
        <v>0</v>
      </c>
      <c r="AL242" s="23">
        <f>+'QTR Raw'!F65</f>
        <v>0</v>
      </c>
      <c r="AM242" s="23">
        <f t="shared" si="1457"/>
        <v>0</v>
      </c>
      <c r="AN242" s="23">
        <f>+'QTR Raw'!H65</f>
        <v>0</v>
      </c>
      <c r="AO242" s="23">
        <f t="shared" si="1457"/>
        <v>0</v>
      </c>
      <c r="AP242" s="23">
        <f>+'QTR Raw'!J65</f>
        <v>0</v>
      </c>
      <c r="AQ242" s="23">
        <f t="shared" si="1457"/>
        <v>0</v>
      </c>
      <c r="AR242" s="23">
        <f>+'QTR Raw'!L65</f>
        <v>0</v>
      </c>
      <c r="AS242" s="23">
        <f t="shared" si="1457"/>
        <v>0</v>
      </c>
      <c r="AT242" s="23">
        <f>+'QTR Raw'!N65</f>
        <v>0</v>
      </c>
      <c r="AU242" s="23">
        <f t="shared" si="1457"/>
        <v>0</v>
      </c>
      <c r="AV242" s="23">
        <f>+'QTR Raw'!P65</f>
        <v>0</v>
      </c>
      <c r="AW242" s="23">
        <f t="shared" si="1457"/>
        <v>0</v>
      </c>
      <c r="AX242" s="23">
        <f>+'QTR Raw'!R65</f>
        <v>33.119999999999997</v>
      </c>
      <c r="AY242" s="23">
        <f t="shared" si="1457"/>
        <v>33.119999999999997</v>
      </c>
      <c r="AZ242" s="23">
        <f>+'QTR Raw'!T65</f>
        <v>34.86</v>
      </c>
      <c r="BA242" s="23">
        <f t="shared" si="1457"/>
        <v>34.86</v>
      </c>
      <c r="BB242" s="23">
        <f>+'QTR Raw'!V65</f>
        <v>35.57</v>
      </c>
      <c r="BC242" s="23">
        <f t="shared" si="1457"/>
        <v>35.57</v>
      </c>
      <c r="BD242" s="23">
        <f>+'QTR Raw'!X65</f>
        <v>37.15</v>
      </c>
      <c r="BE242" s="23">
        <f t="shared" si="1457"/>
        <v>37.15</v>
      </c>
      <c r="BF242" s="23">
        <f>+'QTR Raw'!Z65</f>
        <v>21</v>
      </c>
      <c r="BG242" s="23">
        <f t="shared" si="1457"/>
        <v>21</v>
      </c>
      <c r="BH242" s="23">
        <f>+'QTR Raw'!AB65</f>
        <v>21.9</v>
      </c>
      <c r="BI242" s="23">
        <f t="shared" si="1457"/>
        <v>21.9</v>
      </c>
      <c r="BJ242" s="23">
        <f>+'QTR Raw'!AD65</f>
        <v>22.75</v>
      </c>
      <c r="BK242" s="23">
        <f t="shared" si="1457"/>
        <v>22.75</v>
      </c>
      <c r="BL242" s="23">
        <f>+'QTR Raw'!AF65</f>
        <v>23.69</v>
      </c>
      <c r="BM242" s="23">
        <f t="shared" si="1457"/>
        <v>23.69</v>
      </c>
      <c r="BN242" s="23">
        <f>+'QTR Raw'!AH65</f>
        <v>0</v>
      </c>
      <c r="BO242" s="23">
        <f t="shared" si="1457"/>
        <v>0</v>
      </c>
      <c r="BP242" s="23">
        <f>+'QTR Raw'!AJ65</f>
        <v>1.67</v>
      </c>
      <c r="BQ242" s="23">
        <f t="shared" si="1457"/>
        <v>1.67</v>
      </c>
      <c r="BR242" s="23">
        <f>+'QTR Raw'!AL65</f>
        <v>1.67</v>
      </c>
      <c r="BS242" s="23">
        <f t="shared" si="1457"/>
        <v>1.67</v>
      </c>
      <c r="BT242" s="23">
        <f>+'QTR Raw'!AN65</f>
        <v>27.23</v>
      </c>
      <c r="BU242" s="23">
        <f t="shared" si="1457"/>
        <v>27.23</v>
      </c>
      <c r="BV242" s="23">
        <f>+'QTR Raw'!AP65</f>
        <v>0</v>
      </c>
      <c r="BW242" s="23">
        <f t="shared" si="1457"/>
        <v>0</v>
      </c>
      <c r="BX242" s="23">
        <f>+'QTR Raw'!AR65</f>
        <v>0</v>
      </c>
      <c r="BY242" s="23">
        <f t="shared" si="1457"/>
        <v>0</v>
      </c>
      <c r="BZ242" s="23">
        <f>+'QTR Raw'!AT65</f>
        <v>0</v>
      </c>
      <c r="CA242" s="23">
        <f t="shared" si="1457"/>
        <v>0</v>
      </c>
      <c r="CB242" s="23">
        <f>+'QTR Raw'!AV65</f>
        <v>0</v>
      </c>
      <c r="CC242" s="23">
        <f t="shared" si="1457"/>
        <v>0</v>
      </c>
      <c r="CD242" s="23">
        <f>+'QTR Raw'!AX65</f>
        <v>0</v>
      </c>
      <c r="CE242" s="23">
        <f t="shared" si="1457"/>
        <v>0</v>
      </c>
      <c r="CF242" s="23">
        <f>+'QTR Raw'!AZ65</f>
        <v>0</v>
      </c>
      <c r="CG242" s="23">
        <f t="shared" si="1458"/>
        <v>0</v>
      </c>
      <c r="CH242" s="23">
        <f t="shared" si="1411"/>
        <v>0</v>
      </c>
      <c r="CJ242" s="23">
        <f>+'QTR Raw'!BD65</f>
        <v>0</v>
      </c>
      <c r="CL242" s="23">
        <f>+'QTR Raw'!BF65</f>
        <v>0</v>
      </c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E242" s="123"/>
      <c r="DF242" s="23">
        <v>0</v>
      </c>
    </row>
    <row r="243" spans="1:110" s="23" customFormat="1" outlineLevel="1" x14ac:dyDescent="0.2">
      <c r="A243" s="23" t="s">
        <v>68</v>
      </c>
      <c r="B243" s="23">
        <f>'Annual Raw'!C52</f>
        <v>0</v>
      </c>
      <c r="C243" s="23">
        <f>'Annual Raw'!D52</f>
        <v>0</v>
      </c>
      <c r="D243" s="23">
        <f>'Annual Raw'!E52</f>
        <v>0</v>
      </c>
      <c r="E243" s="23">
        <f>'Annual Raw'!F52</f>
        <v>0</v>
      </c>
      <c r="F243" s="23">
        <f>'Annual Raw'!G52</f>
        <v>0</v>
      </c>
      <c r="G243" s="23">
        <f>'Annual Raw'!H52</f>
        <v>0</v>
      </c>
      <c r="H243" s="23">
        <f>'Annual Raw'!I52</f>
        <v>0</v>
      </c>
      <c r="I243" s="23">
        <f>'Annual Raw'!J52</f>
        <v>0</v>
      </c>
      <c r="J243" s="23">
        <f>'Annual Raw'!K52</f>
        <v>0</v>
      </c>
      <c r="K243" s="23">
        <f>'Annual Raw'!L52</f>
        <v>0</v>
      </c>
      <c r="L243" s="23">
        <f>'Annual Raw'!M52</f>
        <v>886.79</v>
      </c>
      <c r="M243" s="23">
        <f>'Annual Raw'!N52</f>
        <v>1043.5</v>
      </c>
      <c r="N243" s="23">
        <f>'Annual Raw'!O52</f>
        <v>1164.5899999999999</v>
      </c>
      <c r="O243" s="23">
        <f>'Annual Raw'!P52</f>
        <v>914.77</v>
      </c>
      <c r="P243" s="23">
        <f>'Annual Raw'!Q52</f>
        <v>921.38</v>
      </c>
      <c r="Q243" s="23">
        <f>'Annual Raw'!R52</f>
        <v>247.27</v>
      </c>
      <c r="R243" s="23">
        <f>'Annual Raw'!S52</f>
        <v>274.42</v>
      </c>
      <c r="S243" s="23">
        <f>'Annual Raw'!T52</f>
        <v>303.74</v>
      </c>
      <c r="T243" s="23">
        <f>'Annual Raw'!U52</f>
        <v>337.34</v>
      </c>
      <c r="U243" s="23">
        <f>'Annual Raw'!V52</f>
        <v>410.43</v>
      </c>
      <c r="V243" s="23">
        <f>'Annual Raw'!W52</f>
        <v>670.3</v>
      </c>
      <c r="W243" s="23">
        <f>'Annual Raw'!X52</f>
        <v>1221.21</v>
      </c>
      <c r="X243" s="23">
        <f>'Annual Raw'!Y52</f>
        <v>1420.02</v>
      </c>
      <c r="Y243" s="23">
        <f>'Annual Raw'!Z52</f>
        <v>1865.08</v>
      </c>
      <c r="Z243" s="23">
        <f>'Annual Raw'!AA52</f>
        <v>2548.69</v>
      </c>
      <c r="AA243" s="23">
        <f>'Annual Raw'!AB52</f>
        <v>3213.85</v>
      </c>
      <c r="AB243" s="24">
        <f t="shared" si="1453"/>
        <v>0</v>
      </c>
      <c r="AC243" s="24">
        <f t="shared" si="1454"/>
        <v>0</v>
      </c>
      <c r="AD243" s="24">
        <f t="shared" si="1455"/>
        <v>0</v>
      </c>
      <c r="AE243" s="24">
        <f t="shared" si="1456"/>
        <v>0</v>
      </c>
      <c r="AJ243" s="23">
        <f>+'QTR Raw'!D66</f>
        <v>529.38</v>
      </c>
      <c r="AK243" s="23">
        <f t="shared" si="1457"/>
        <v>529.38</v>
      </c>
      <c r="AL243" s="23">
        <f>+'QTR Raw'!F66</f>
        <v>1164.5899999999999</v>
      </c>
      <c r="AM243" s="23">
        <f t="shared" si="1457"/>
        <v>1164.5899999999999</v>
      </c>
      <c r="AN243" s="23">
        <f>+'QTR Raw'!H66</f>
        <v>1273.1099999999999</v>
      </c>
      <c r="AO243" s="23">
        <f t="shared" si="1457"/>
        <v>1273.1099999999999</v>
      </c>
      <c r="AP243" s="23">
        <f>+'QTR Raw'!J66</f>
        <v>914.77</v>
      </c>
      <c r="AQ243" s="23">
        <f t="shared" si="1457"/>
        <v>914.77</v>
      </c>
      <c r="AR243" s="23">
        <f>+'QTR Raw'!L66</f>
        <v>944.59</v>
      </c>
      <c r="AS243" s="23">
        <f t="shared" si="1457"/>
        <v>944.59</v>
      </c>
      <c r="AT243" s="23">
        <f>+'QTR Raw'!N66</f>
        <v>921.38</v>
      </c>
      <c r="AU243" s="23">
        <f t="shared" si="1457"/>
        <v>921.38</v>
      </c>
      <c r="AV243" s="23">
        <f>+'QTR Raw'!P66</f>
        <v>981.86</v>
      </c>
      <c r="AW243" s="23">
        <f t="shared" si="1457"/>
        <v>981.86</v>
      </c>
      <c r="AX243" s="23">
        <f>+'QTR Raw'!R66</f>
        <v>243.53</v>
      </c>
      <c r="AY243" s="23">
        <f t="shared" si="1457"/>
        <v>243.53</v>
      </c>
      <c r="AZ243" s="23">
        <f>+'QTR Raw'!T66</f>
        <v>260.95999999999998</v>
      </c>
      <c r="BA243" s="23">
        <f t="shared" si="1457"/>
        <v>260.95999999999998</v>
      </c>
      <c r="BB243" s="23">
        <f>+'QTR Raw'!V66</f>
        <v>270.68</v>
      </c>
      <c r="BC243" s="23">
        <f t="shared" si="1457"/>
        <v>270.68</v>
      </c>
      <c r="BD243" s="23">
        <f>+'QTR Raw'!X66</f>
        <v>301.58999999999997</v>
      </c>
      <c r="BE243" s="23">
        <f t="shared" si="1457"/>
        <v>301.58999999999997</v>
      </c>
      <c r="BF243" s="23">
        <f>+'QTR Raw'!Z66</f>
        <v>300</v>
      </c>
      <c r="BG243" s="23">
        <f t="shared" si="1457"/>
        <v>300</v>
      </c>
      <c r="BH243" s="23">
        <f>+'QTR Raw'!AB66</f>
        <v>305.25</v>
      </c>
      <c r="BI243" s="23">
        <f t="shared" si="1457"/>
        <v>305.25</v>
      </c>
      <c r="BJ243" s="23">
        <f>+'QTR Raw'!AD66</f>
        <v>333.6</v>
      </c>
      <c r="BK243" s="23">
        <f t="shared" si="1457"/>
        <v>333.6</v>
      </c>
      <c r="BL243" s="23">
        <f>+'QTR Raw'!AF66</f>
        <v>348.12</v>
      </c>
      <c r="BM243" s="23">
        <f t="shared" si="1457"/>
        <v>348.12</v>
      </c>
      <c r="BN243" s="23">
        <f>+'QTR Raw'!AH66</f>
        <v>407.4</v>
      </c>
      <c r="BO243" s="23">
        <f t="shared" si="1457"/>
        <v>407.4</v>
      </c>
      <c r="BP243" s="23">
        <f>+'QTR Raw'!AJ66</f>
        <v>416.99</v>
      </c>
      <c r="BQ243" s="23">
        <f t="shared" si="1457"/>
        <v>416.99</v>
      </c>
      <c r="BR243" s="23">
        <f>+'QTR Raw'!AL66</f>
        <v>667.27</v>
      </c>
      <c r="BS243" s="23">
        <f t="shared" si="1457"/>
        <v>667.27</v>
      </c>
      <c r="BT243" s="23">
        <f>+'QTR Raw'!AN66</f>
        <v>820.72</v>
      </c>
      <c r="BU243" s="23">
        <f t="shared" si="1457"/>
        <v>820.72</v>
      </c>
      <c r="BV243" s="23">
        <f>+'QTR Raw'!AP66</f>
        <v>1218.18</v>
      </c>
      <c r="BW243" s="23">
        <f t="shared" si="1457"/>
        <v>1218.18</v>
      </c>
      <c r="BX243" s="23">
        <f>+'QTR Raw'!AR66</f>
        <v>1369.53</v>
      </c>
      <c r="BY243" s="23">
        <f t="shared" si="1457"/>
        <v>1369.53</v>
      </c>
      <c r="BZ243" s="23">
        <f>+'QTR Raw'!AT66</f>
        <v>1420.02</v>
      </c>
      <c r="CA243" s="23">
        <f t="shared" si="1457"/>
        <v>1420.02</v>
      </c>
      <c r="CB243" s="23">
        <f>+'QTR Raw'!AV66</f>
        <v>1531.54</v>
      </c>
      <c r="CC243" s="23">
        <f t="shared" si="1457"/>
        <v>1531.54</v>
      </c>
      <c r="CD243" s="23">
        <f>+'QTR Raw'!AX66</f>
        <v>1865.08</v>
      </c>
      <c r="CE243" s="23">
        <f t="shared" si="1457"/>
        <v>1865.08</v>
      </c>
      <c r="CF243" s="23">
        <f>+'QTR Raw'!AZ66</f>
        <v>2054.7800000000002</v>
      </c>
      <c r="CG243" s="23">
        <f t="shared" si="1458"/>
        <v>2054.7800000000002</v>
      </c>
      <c r="CH243" s="23">
        <f t="shared" si="1411"/>
        <v>2548.69</v>
      </c>
      <c r="CJ243" s="23">
        <f>+'QTR Raw'!BD66</f>
        <v>2888.99</v>
      </c>
      <c r="CL243" s="23">
        <f>+'QTR Raw'!BF66</f>
        <v>3213.85</v>
      </c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E243" s="123"/>
      <c r="DF243" s="23">
        <v>3213.85</v>
      </c>
    </row>
    <row r="244" spans="1:110" s="23" customFormat="1" outlineLevel="1" x14ac:dyDescent="0.2">
      <c r="A244" s="23" t="s">
        <v>69</v>
      </c>
      <c r="B244" s="23">
        <v>0</v>
      </c>
      <c r="C244" s="23">
        <v>0</v>
      </c>
      <c r="D244" s="23">
        <v>0</v>
      </c>
      <c r="E244" s="23">
        <v>0</v>
      </c>
      <c r="F244" s="23">
        <v>0</v>
      </c>
      <c r="G244" s="23">
        <v>0</v>
      </c>
      <c r="H244" s="23">
        <v>0</v>
      </c>
      <c r="I244" s="23">
        <v>0</v>
      </c>
      <c r="J244" s="23">
        <v>0</v>
      </c>
      <c r="K244" s="23">
        <v>0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0</v>
      </c>
      <c r="R244" s="23">
        <v>0</v>
      </c>
      <c r="S244" s="23">
        <v>0</v>
      </c>
      <c r="T244" s="23">
        <v>0</v>
      </c>
      <c r="U244" s="23">
        <v>0</v>
      </c>
      <c r="V244" s="23">
        <v>0</v>
      </c>
      <c r="W244" s="23">
        <v>0</v>
      </c>
      <c r="X244" s="23">
        <v>0</v>
      </c>
      <c r="Y244" s="23">
        <v>0</v>
      </c>
      <c r="Z244" s="23">
        <v>0</v>
      </c>
      <c r="AA244" s="23">
        <v>0</v>
      </c>
      <c r="AB244" s="24">
        <f t="shared" si="1453"/>
        <v>51543.176883618013</v>
      </c>
      <c r="AC244" s="24">
        <f t="shared" si="1454"/>
        <v>53972.545871804723</v>
      </c>
      <c r="AD244" s="24">
        <f t="shared" si="1455"/>
        <v>57254.924095781775</v>
      </c>
      <c r="AE244" s="24">
        <f t="shared" si="1456"/>
        <v>60949.72323728745</v>
      </c>
      <c r="AJ244" s="23">
        <f>+'QTR Raw'!D87</f>
        <v>2496.67</v>
      </c>
      <c r="AK244" s="23">
        <f t="shared" si="1457"/>
        <v>2496.67</v>
      </c>
      <c r="AL244" s="23">
        <f>+'QTR Raw'!F87</f>
        <v>0</v>
      </c>
      <c r="AM244" s="23">
        <f t="shared" si="1457"/>
        <v>0</v>
      </c>
      <c r="AN244" s="23">
        <f>+'QTR Raw'!H87</f>
        <v>0</v>
      </c>
      <c r="AO244" s="23">
        <f t="shared" si="1457"/>
        <v>0</v>
      </c>
      <c r="AP244" s="23">
        <f>+'QTR Raw'!J87</f>
        <v>0</v>
      </c>
      <c r="AQ244" s="23">
        <f t="shared" si="1457"/>
        <v>0</v>
      </c>
      <c r="AR244" s="23">
        <f>+'QTR Raw'!L87</f>
        <v>0</v>
      </c>
      <c r="AS244" s="23">
        <f t="shared" si="1457"/>
        <v>0</v>
      </c>
      <c r="AT244" s="23">
        <f>+'QTR Raw'!N87</f>
        <v>0</v>
      </c>
      <c r="AU244" s="23">
        <f t="shared" si="1457"/>
        <v>0</v>
      </c>
      <c r="AV244" s="23">
        <f>+'QTR Raw'!P87</f>
        <v>0</v>
      </c>
      <c r="AW244" s="23">
        <f t="shared" si="1457"/>
        <v>0</v>
      </c>
      <c r="AX244" s="23">
        <f>+'QTR Raw'!R87</f>
        <v>0</v>
      </c>
      <c r="AY244" s="23">
        <f t="shared" si="1457"/>
        <v>0</v>
      </c>
      <c r="AZ244" s="23">
        <f>+'QTR Raw'!T87</f>
        <v>0</v>
      </c>
      <c r="BA244" s="23">
        <f t="shared" si="1457"/>
        <v>0</v>
      </c>
      <c r="BB244" s="23">
        <f>+'QTR Raw'!V87</f>
        <v>0</v>
      </c>
      <c r="BC244" s="23">
        <f t="shared" si="1457"/>
        <v>0</v>
      </c>
      <c r="BD244" s="23">
        <f>+'QTR Raw'!X87</f>
        <v>0</v>
      </c>
      <c r="BE244" s="23">
        <f t="shared" si="1457"/>
        <v>0</v>
      </c>
      <c r="BF244" s="23">
        <f>+'QTR Raw'!Z87</f>
        <v>0</v>
      </c>
      <c r="BG244" s="23">
        <f t="shared" si="1457"/>
        <v>0</v>
      </c>
      <c r="BH244" s="23">
        <f>+'QTR Raw'!AB87</f>
        <v>0</v>
      </c>
      <c r="BI244" s="23">
        <f t="shared" si="1457"/>
        <v>0</v>
      </c>
      <c r="BJ244" s="23">
        <f>+'QTR Raw'!AD87</f>
        <v>0</v>
      </c>
      <c r="BK244" s="23">
        <f t="shared" si="1457"/>
        <v>0</v>
      </c>
      <c r="BL244" s="23">
        <f>+'QTR Raw'!AF87</f>
        <v>0</v>
      </c>
      <c r="BM244" s="23">
        <f t="shared" si="1457"/>
        <v>0</v>
      </c>
      <c r="BN244" s="23">
        <f>+'QTR Raw'!AH87</f>
        <v>0</v>
      </c>
      <c r="BO244" s="23">
        <f t="shared" si="1457"/>
        <v>0</v>
      </c>
      <c r="BP244" s="23">
        <f>+'QTR Raw'!AJ87</f>
        <v>0</v>
      </c>
      <c r="BQ244" s="23">
        <f t="shared" si="1457"/>
        <v>0</v>
      </c>
      <c r="BR244" s="23">
        <f>+'QTR Raw'!AL87</f>
        <v>0</v>
      </c>
      <c r="BS244" s="23">
        <f t="shared" si="1457"/>
        <v>0</v>
      </c>
      <c r="BT244" s="23">
        <f>+'QTR Raw'!AN87</f>
        <v>0</v>
      </c>
      <c r="BU244" s="23">
        <f t="shared" si="1457"/>
        <v>0</v>
      </c>
      <c r="BV244" s="23">
        <f>+'QTR Raw'!AP87</f>
        <v>0</v>
      </c>
      <c r="BW244" s="23">
        <f t="shared" si="1457"/>
        <v>0</v>
      </c>
      <c r="BX244" s="23">
        <f>+'QTR Raw'!AR87</f>
        <v>0</v>
      </c>
      <c r="BY244" s="23">
        <f t="shared" si="1457"/>
        <v>0</v>
      </c>
      <c r="BZ244" s="23">
        <f>+'QTR Raw'!AT87</f>
        <v>0</v>
      </c>
      <c r="CA244" s="23">
        <f t="shared" si="1457"/>
        <v>0</v>
      </c>
      <c r="CB244" s="23">
        <f>+'QTR Raw'!AV87</f>
        <v>0</v>
      </c>
      <c r="CC244" s="23">
        <f t="shared" si="1457"/>
        <v>0</v>
      </c>
      <c r="CD244" s="23">
        <f>+'QTR Raw'!AX87</f>
        <v>0</v>
      </c>
      <c r="CE244" s="23">
        <f t="shared" si="1457"/>
        <v>0</v>
      </c>
      <c r="CF244" s="23">
        <f>+'QTR Raw'!AZ87</f>
        <v>0</v>
      </c>
      <c r="CG244" s="23">
        <f t="shared" si="1458"/>
        <v>0</v>
      </c>
      <c r="CH244" s="23">
        <f t="shared" si="1411"/>
        <v>0</v>
      </c>
      <c r="CI244" s="23">
        <f>CI101/90*CI276</f>
        <v>39951.599983522356</v>
      </c>
      <c r="CJ244" s="23">
        <f>+'QTR Raw'!BD87</f>
        <v>0</v>
      </c>
      <c r="CK244" s="23">
        <f t="shared" ref="CK244:DB244" si="1459">CK101/90*CK276</f>
        <v>37771.05037432188</v>
      </c>
      <c r="CL244" s="23">
        <f>+'QTR Raw'!BF87</f>
        <v>0</v>
      </c>
      <c r="CM244" s="24">
        <f t="shared" si="1459"/>
        <v>50235.820815463332</v>
      </c>
      <c r="CN244" s="24">
        <f t="shared" si="1459"/>
        <v>59243.645693632978</v>
      </c>
      <c r="CO244" s="24">
        <f t="shared" si="1459"/>
        <v>51184.510927195544</v>
      </c>
      <c r="CP244" s="24">
        <f t="shared" si="1459"/>
        <v>51543.176883618013</v>
      </c>
      <c r="CQ244" s="24">
        <f t="shared" si="1459"/>
        <v>53781.584289692539</v>
      </c>
      <c r="CR244" s="24">
        <f t="shared" si="1459"/>
        <v>57072.160807273525</v>
      </c>
      <c r="CS244" s="24">
        <f t="shared" si="1459"/>
        <v>51321.053459082803</v>
      </c>
      <c r="CT244" s="24">
        <f t="shared" si="1459"/>
        <v>53972.545871804723</v>
      </c>
      <c r="CU244" s="24">
        <f t="shared" si="1459"/>
        <v>57194.555747993079</v>
      </c>
      <c r="CV244" s="24">
        <f t="shared" si="1459"/>
        <v>60517.156639615503</v>
      </c>
      <c r="CW244" s="24">
        <f t="shared" si="1459"/>
        <v>54425.708239888132</v>
      </c>
      <c r="CX244" s="24">
        <f t="shared" si="1459"/>
        <v>57254.924095781775</v>
      </c>
      <c r="CY244" s="24">
        <f t="shared" si="1459"/>
        <v>60901.594616874972</v>
      </c>
      <c r="CZ244" s="24">
        <f t="shared" si="1459"/>
        <v>64431.543865451276</v>
      </c>
      <c r="DA244" s="24">
        <f t="shared" si="1459"/>
        <v>57907.304474639604</v>
      </c>
      <c r="DB244" s="24">
        <f t="shared" si="1459"/>
        <v>60949.72323728745</v>
      </c>
      <c r="DE244" s="123"/>
      <c r="DF244" s="23">
        <v>39806.858854709062</v>
      </c>
    </row>
    <row r="245" spans="1:110" s="23" customFormat="1" outlineLevel="1" x14ac:dyDescent="0.2">
      <c r="A245" s="23" t="s">
        <v>70</v>
      </c>
      <c r="B245" s="23">
        <f>'Annual Raw'!C54</f>
        <v>713.52413850000005</v>
      </c>
      <c r="C245" s="23">
        <f>'Annual Raw'!D54</f>
        <v>894.04</v>
      </c>
      <c r="D245" s="23">
        <f>'Annual Raw'!E54</f>
        <v>914.57</v>
      </c>
      <c r="E245" s="23">
        <f>'Annual Raw'!F54</f>
        <v>714.59</v>
      </c>
      <c r="F245" s="23">
        <f>'Annual Raw'!G54</f>
        <v>647.44000000000005</v>
      </c>
      <c r="G245" s="23">
        <f>'Annual Raw'!H54</f>
        <v>709.96</v>
      </c>
      <c r="H245" s="23">
        <f>'Annual Raw'!I54</f>
        <v>1029.9000000000001</v>
      </c>
      <c r="I245" s="23">
        <f>'Annual Raw'!J54</f>
        <v>1044.81</v>
      </c>
      <c r="J245" s="23">
        <f>'Annual Raw'!K54</f>
        <v>2105.02</v>
      </c>
      <c r="K245" s="23">
        <f>'Annual Raw'!L54</f>
        <v>2962.63</v>
      </c>
      <c r="L245" s="23">
        <f>'Annual Raw'!M54</f>
        <v>2023.45</v>
      </c>
      <c r="M245" s="23">
        <f>'Annual Raw'!N54</f>
        <v>2750.13</v>
      </c>
      <c r="N245" s="23">
        <f>'Annual Raw'!O54</f>
        <v>3540.85</v>
      </c>
      <c r="O245" s="23">
        <f>'Annual Raw'!P54</f>
        <v>4574</v>
      </c>
      <c r="P245" s="23">
        <f>'Annual Raw'!Q54</f>
        <v>5235.42</v>
      </c>
      <c r="Q245" s="23">
        <f>'Annual Raw'!R54</f>
        <v>4401.3599999999997</v>
      </c>
      <c r="R245" s="23">
        <f>'Annual Raw'!S54</f>
        <v>5529</v>
      </c>
      <c r="S245" s="23">
        <f>'Annual Raw'!T54</f>
        <v>5609.82</v>
      </c>
      <c r="T245" s="23">
        <f>'Annual Raw'!U54</f>
        <v>5481.49</v>
      </c>
      <c r="U245" s="23">
        <f>'Annual Raw'!V54</f>
        <v>5095.4399999999996</v>
      </c>
      <c r="V245" s="23">
        <f>'Annual Raw'!W54</f>
        <v>7146.41</v>
      </c>
      <c r="W245" s="23">
        <f>'Annual Raw'!X54</f>
        <v>10459.6</v>
      </c>
      <c r="X245" s="23">
        <f>'Annual Raw'!Y54</f>
        <v>7407.2</v>
      </c>
      <c r="Y245" s="23">
        <f>'Annual Raw'!Z54</f>
        <v>14093.44</v>
      </c>
      <c r="Z245" s="23">
        <f>'Annual Raw'!AA54</f>
        <v>13984.48</v>
      </c>
      <c r="AA245" s="23">
        <f>'Annual Raw'!AB54</f>
        <v>10786.2</v>
      </c>
      <c r="AB245" s="24">
        <f t="shared" si="1453"/>
        <v>7897.6585792191672</v>
      </c>
      <c r="AC245" s="24">
        <f t="shared" si="1454"/>
        <v>8269.8965356602985</v>
      </c>
      <c r="AD245" s="24">
        <f t="shared" si="1455"/>
        <v>8772.8360925170218</v>
      </c>
      <c r="AE245" s="24">
        <f t="shared" si="1456"/>
        <v>9338.9684868064069</v>
      </c>
      <c r="AJ245" s="23">
        <f>+'QTR Raw'!D89</f>
        <v>0</v>
      </c>
      <c r="AK245" s="23">
        <f>+AK275*AK101/90</f>
        <v>0</v>
      </c>
      <c r="AL245" s="23">
        <f>+'QTR Raw'!F89</f>
        <v>3540.85</v>
      </c>
      <c r="AM245" s="23">
        <f>+AM275*AM101/90</f>
        <v>3546.4440385564953</v>
      </c>
      <c r="AN245" s="23">
        <f>+'QTR Raw'!H89</f>
        <v>4208.68</v>
      </c>
      <c r="AO245" s="23">
        <f>+AO275*AO101/90</f>
        <v>4100.9455057052792</v>
      </c>
      <c r="AP245" s="23">
        <f>+'QTR Raw'!J89</f>
        <v>4574</v>
      </c>
      <c r="AQ245" s="23">
        <f>+AQ275*AQ101/90</f>
        <v>4403.9074884770635</v>
      </c>
      <c r="AR245" s="23">
        <f>+'QTR Raw'!L89</f>
        <v>4833.54</v>
      </c>
      <c r="AS245" s="23">
        <f>+AS275*AS101/90</f>
        <v>4802.2323550792162</v>
      </c>
      <c r="AT245" s="23">
        <f>+'QTR Raw'!N89</f>
        <v>5235.42</v>
      </c>
      <c r="AU245" s="23">
        <f>+AU275*AU101/90</f>
        <v>4642.8597349651727</v>
      </c>
      <c r="AV245" s="23">
        <f>+'QTR Raw'!P89</f>
        <v>5907.76</v>
      </c>
      <c r="AW245" s="23">
        <f>+AW275*AW101/90</f>
        <v>5548.0772078426053</v>
      </c>
      <c r="AX245" s="23">
        <f>+'QTR Raw'!R89</f>
        <v>4401.3599999999997</v>
      </c>
      <c r="AY245" s="23">
        <f>+AY275*AY101/90</f>
        <v>4124.2658806699064</v>
      </c>
      <c r="AZ245" s="23">
        <f>+'QTR Raw'!T89</f>
        <v>4304.75</v>
      </c>
      <c r="BA245" s="23">
        <f>+BA275*BA101/90</f>
        <v>3923.3243872025773</v>
      </c>
      <c r="BB245" s="23">
        <f>+'QTR Raw'!V89</f>
        <v>5529</v>
      </c>
      <c r="BC245" s="23">
        <f>+BC275*BC101/90</f>
        <v>5063.1434469054602</v>
      </c>
      <c r="BD245" s="23">
        <f>+'QTR Raw'!X89</f>
        <v>5183.93</v>
      </c>
      <c r="BE245" s="23">
        <f>+BE275*BE101/90</f>
        <v>4796.7143023866511</v>
      </c>
      <c r="BF245" s="23">
        <f>+'QTR Raw'!Z89</f>
        <v>5609.82</v>
      </c>
      <c r="BG245" s="23">
        <f>+BG275*BG101/90</f>
        <v>5686.2223949030813</v>
      </c>
      <c r="BH245" s="23">
        <f>+'QTR Raw'!AB89</f>
        <v>5110.1400000000003</v>
      </c>
      <c r="BI245" s="23">
        <f>+BI275*BI101/90</f>
        <v>5547.3929327210099</v>
      </c>
      <c r="BJ245" s="23">
        <f>+'QTR Raw'!AD89</f>
        <v>5481.49</v>
      </c>
      <c r="BK245" s="23">
        <f>+BK275*BK101/90</f>
        <v>5888.5394438604453</v>
      </c>
      <c r="BL245" s="23">
        <f>+'QTR Raw'!AF89</f>
        <v>4777.34</v>
      </c>
      <c r="BM245" s="23">
        <f>+BM275*BM101/90</f>
        <v>4399.7794243939043</v>
      </c>
      <c r="BN245" s="23">
        <f>+'QTR Raw'!AH89</f>
        <v>5095.4399999999996</v>
      </c>
      <c r="BO245" s="23">
        <f>+BO275*BO101/90</f>
        <v>4966.2915909859821</v>
      </c>
      <c r="BP245" s="23">
        <f>+'QTR Raw'!AJ89</f>
        <v>5456.08</v>
      </c>
      <c r="BQ245" s="23">
        <f>+BQ275*BQ101/90</f>
        <v>5000.6942008079795</v>
      </c>
      <c r="BR245" s="23">
        <f>+'QTR Raw'!AL89</f>
        <v>7146.41</v>
      </c>
      <c r="BS245" s="23">
        <f>+BS275*BS101/90</f>
        <v>6987.6215779341101</v>
      </c>
      <c r="BT245" s="23">
        <f>+'QTR Raw'!AN89</f>
        <v>7080.82</v>
      </c>
      <c r="BU245" s="23">
        <f>+BU275*BU101/90</f>
        <v>7876.8855310890076</v>
      </c>
      <c r="BV245" s="23">
        <f>+'QTR Raw'!AP89</f>
        <v>10459.6</v>
      </c>
      <c r="BW245" s="23">
        <f>+BW275*BW101/90</f>
        <v>12677.042616196042</v>
      </c>
      <c r="BX245" s="23">
        <f>+'QTR Raw'!AR89</f>
        <v>10377.77</v>
      </c>
      <c r="BY245" s="23">
        <f>+BY275*BY101/90</f>
        <v>10450.551194977879</v>
      </c>
      <c r="BZ245" s="23">
        <f>+'QTR Raw'!AT89</f>
        <v>7407.2</v>
      </c>
      <c r="CA245" s="23">
        <f>+CA275*CA101/90</f>
        <v>9048.5027564366083</v>
      </c>
      <c r="CB245" s="23">
        <f>+'QTR Raw'!AV89</f>
        <v>10287.549999999999</v>
      </c>
      <c r="CC245" s="23">
        <f>+CC275*CC101/90</f>
        <v>9576.9861316823008</v>
      </c>
      <c r="CD245" s="23">
        <f>+'QTR Raw'!AX89</f>
        <v>8776.2199999999993</v>
      </c>
      <c r="CE245" s="23">
        <f>+CE275*CE101/90</f>
        <v>9577.625816826092</v>
      </c>
      <c r="CF245" s="23">
        <f>+'QTR Raw'!AZ89</f>
        <v>9123.82</v>
      </c>
      <c r="CG245" s="23">
        <f>+CG275*CG101/90</f>
        <v>8945.6117404175257</v>
      </c>
      <c r="CH245" s="23">
        <f t="shared" si="1411"/>
        <v>13984.48</v>
      </c>
      <c r="CI245" s="23">
        <f>+CI275*CI101/90</f>
        <v>14752.74017562126</v>
      </c>
      <c r="CJ245" s="23">
        <f>+'QTR Raw'!BD89</f>
        <v>7209.85</v>
      </c>
      <c r="CK245" s="23">
        <f t="shared" ref="CK245:DB245" si="1460">+CK275*CK101/90</f>
        <v>6469.3808995034387</v>
      </c>
      <c r="CL245" s="23">
        <f>+'QTR Raw'!BF89</f>
        <v>7138.23</v>
      </c>
      <c r="CM245" s="24">
        <f t="shared" si="1460"/>
        <v>7969.3291177724686</v>
      </c>
      <c r="CN245" s="24">
        <f t="shared" si="1460"/>
        <v>9299.9776349827498</v>
      </c>
      <c r="CO245" s="24">
        <f t="shared" si="1460"/>
        <v>7942.8017084834428</v>
      </c>
      <c r="CP245" s="24">
        <f t="shared" si="1460"/>
        <v>7897.6585792191672</v>
      </c>
      <c r="CQ245" s="24">
        <f t="shared" si="1460"/>
        <v>8240.6366128450099</v>
      </c>
      <c r="CR245" s="24">
        <f t="shared" si="1460"/>
        <v>8744.8323461295495</v>
      </c>
      <c r="CS245" s="24">
        <f t="shared" si="1460"/>
        <v>7863.6239101224783</v>
      </c>
      <c r="CT245" s="24">
        <f t="shared" si="1460"/>
        <v>8269.8965356602985</v>
      </c>
      <c r="CU245" s="24">
        <f t="shared" si="1460"/>
        <v>8763.5862047791525</v>
      </c>
      <c r="CV245" s="24">
        <f t="shared" si="1460"/>
        <v>9272.6888450043261</v>
      </c>
      <c r="CW245" s="24">
        <f t="shared" si="1460"/>
        <v>8339.3319465228142</v>
      </c>
      <c r="CX245" s="24">
        <f t="shared" si="1460"/>
        <v>8772.8360925170218</v>
      </c>
      <c r="CY245" s="24">
        <f t="shared" si="1460"/>
        <v>9331.5940206813411</v>
      </c>
      <c r="CZ245" s="24">
        <f t="shared" si="1460"/>
        <v>9872.4674330861453</v>
      </c>
      <c r="DA245" s="24">
        <f t="shared" si="1460"/>
        <v>8872.796510316537</v>
      </c>
      <c r="DB245" s="24">
        <f t="shared" si="1460"/>
        <v>9338.9684868064069</v>
      </c>
      <c r="DE245" s="123"/>
      <c r="DF245" s="23">
        <v>7179.8010072650441</v>
      </c>
    </row>
    <row r="246" spans="1:110" s="23" customFormat="1" outlineLevel="1" x14ac:dyDescent="0.2">
      <c r="A246" s="23" t="s">
        <v>71</v>
      </c>
      <c r="B246" s="23">
        <f>'Annual Raw'!C55-Template!B218</f>
        <v>177.49188100000001</v>
      </c>
      <c r="C246" s="23">
        <f>'Annual Raw'!D55-Template!C218</f>
        <v>204.13</v>
      </c>
      <c r="D246" s="23">
        <f>'Annual Raw'!E55-Template!D218</f>
        <v>229.63</v>
      </c>
      <c r="E246" s="23">
        <f>'Annual Raw'!F55-Template!E218</f>
        <v>334.03</v>
      </c>
      <c r="F246" s="23">
        <f>'Annual Raw'!G55-Template!F218</f>
        <v>341.52</v>
      </c>
      <c r="G246" s="23">
        <f>'Annual Raw'!H55-Template!G218</f>
        <v>406.99</v>
      </c>
      <c r="H246" s="23">
        <f>'Annual Raw'!I55-Template!H218</f>
        <v>552.47</v>
      </c>
      <c r="I246" s="23">
        <f>'Annual Raw'!J55-Template!I218</f>
        <v>1936.73</v>
      </c>
      <c r="J246" s="23">
        <f>'Annual Raw'!K55-Template!J218</f>
        <v>2703.61</v>
      </c>
      <c r="K246" s="23">
        <f>'Annual Raw'!L55-Template!K218</f>
        <v>2987.86</v>
      </c>
      <c r="L246" s="23">
        <f>'Annual Raw'!M55-Template!L218</f>
        <v>4365.88</v>
      </c>
      <c r="M246" s="23">
        <f>'Annual Raw'!N55-Template!M218</f>
        <v>5436.630000000001</v>
      </c>
      <c r="N246" s="23">
        <f>'Annual Raw'!O55-Template!N218</f>
        <v>6040.3599999999988</v>
      </c>
      <c r="O246" s="23">
        <f>'Annual Raw'!P55-Template!O218</f>
        <v>6549.7599999999993</v>
      </c>
      <c r="P246" s="23">
        <f>'Annual Raw'!Q55-Template!P218</f>
        <v>6870.1299999999992</v>
      </c>
      <c r="Q246" s="23">
        <f>'Annual Raw'!R55-Template!Q218</f>
        <v>4921.8999999999996</v>
      </c>
      <c r="R246" s="23">
        <f>'Annual Raw'!S55-Template!R218</f>
        <v>5972.3899999999994</v>
      </c>
      <c r="S246" s="23">
        <f>'Annual Raw'!T55-Template!S218</f>
        <v>4808.0500000000011</v>
      </c>
      <c r="T246" s="23">
        <f>'Annual Raw'!U55-Template!T218</f>
        <v>4489</v>
      </c>
      <c r="U246" s="23">
        <f>'Annual Raw'!V55-Template!U218</f>
        <v>5499.2899999999991</v>
      </c>
      <c r="V246" s="23">
        <f>'Annual Raw'!W55-Template!V218</f>
        <v>10622.12</v>
      </c>
      <c r="W246" s="23">
        <f>'Annual Raw'!X55-Template!W218</f>
        <v>13442.999999999998</v>
      </c>
      <c r="X246" s="23">
        <f>'Annual Raw'!Y55-Template!X218</f>
        <v>19012.39</v>
      </c>
      <c r="Y246" s="23">
        <f>'Annual Raw'!Z55-Template!Y218</f>
        <v>16048.210000000003</v>
      </c>
      <c r="Z246" s="23">
        <f>'Annual Raw'!AA55-Template!Z218</f>
        <v>16762.18</v>
      </c>
      <c r="AA246" s="23">
        <f>'Annual Raw'!AB55-Template!AA218</f>
        <v>18066.73</v>
      </c>
      <c r="AB246" s="24">
        <f t="shared" si="1453"/>
        <v>0</v>
      </c>
      <c r="AC246" s="24">
        <f t="shared" si="1454"/>
        <v>0</v>
      </c>
      <c r="AD246" s="24">
        <f t="shared" si="1455"/>
        <v>0</v>
      </c>
      <c r="AE246" s="24">
        <f t="shared" si="1456"/>
        <v>0</v>
      </c>
      <c r="AJ246" s="23">
        <f>+'QTR Raw'!D91</f>
        <v>0</v>
      </c>
      <c r="AK246" s="23">
        <f t="shared" si="1457"/>
        <v>0</v>
      </c>
      <c r="AL246" s="23">
        <f>+'QTR Raw'!F91</f>
        <v>8776.1299999999992</v>
      </c>
      <c r="AM246" s="23">
        <f t="shared" si="1457"/>
        <v>8776.1299999999992</v>
      </c>
      <c r="AN246" s="23">
        <f>+'QTR Raw'!H91</f>
        <v>10029.6</v>
      </c>
      <c r="AO246" s="23">
        <f t="shared" si="1457"/>
        <v>10029.6</v>
      </c>
      <c r="AP246" s="23">
        <f>+'QTR Raw'!J91</f>
        <v>11545.58</v>
      </c>
      <c r="AQ246" s="23">
        <f t="shared" si="1457"/>
        <v>11545.58</v>
      </c>
      <c r="AR246" s="23">
        <f>+'QTR Raw'!L91</f>
        <v>12027.34</v>
      </c>
      <c r="AS246" s="23">
        <f t="shared" si="1457"/>
        <v>12027.34</v>
      </c>
      <c r="AT246" s="23">
        <f>+'QTR Raw'!N91</f>
        <v>10497.14</v>
      </c>
      <c r="AU246" s="23">
        <f t="shared" si="1457"/>
        <v>10497.14</v>
      </c>
      <c r="AV246" s="23">
        <f>+'QTR Raw'!P91</f>
        <v>13290.57</v>
      </c>
      <c r="AW246" s="23">
        <f t="shared" si="1457"/>
        <v>13290.57</v>
      </c>
      <c r="AX246" s="23">
        <f>+'QTR Raw'!R91</f>
        <v>7518.24</v>
      </c>
      <c r="AY246" s="23">
        <f t="shared" si="1457"/>
        <v>7518.24</v>
      </c>
      <c r="AZ246" s="23">
        <f>+'QTR Raw'!T91</f>
        <v>13841.77</v>
      </c>
      <c r="BA246" s="23">
        <f t="shared" si="1457"/>
        <v>13841.77</v>
      </c>
      <c r="BB246" s="23">
        <f>+'QTR Raw'!V91</f>
        <v>13487.09</v>
      </c>
      <c r="BC246" s="23">
        <f t="shared" si="1457"/>
        <v>13487.09</v>
      </c>
      <c r="BD246" s="23">
        <f>+'QTR Raw'!X91</f>
        <v>15007.66</v>
      </c>
      <c r="BE246" s="23">
        <f t="shared" si="1457"/>
        <v>15007.66</v>
      </c>
      <c r="BF246" s="23">
        <f>+'QTR Raw'!Z91</f>
        <v>13277.86</v>
      </c>
      <c r="BG246" s="23">
        <f t="shared" si="1457"/>
        <v>13277.86</v>
      </c>
      <c r="BH246" s="23">
        <f>+'QTR Raw'!AB91</f>
        <v>8261.09</v>
      </c>
      <c r="BI246" s="23">
        <f t="shared" si="1457"/>
        <v>8261.09</v>
      </c>
      <c r="BJ246" s="23">
        <f>+'QTR Raw'!AD91</f>
        <v>8130.65</v>
      </c>
      <c r="BK246" s="23">
        <f t="shared" si="1457"/>
        <v>8130.65</v>
      </c>
      <c r="BL246" s="23">
        <f>+'QTR Raw'!AF91</f>
        <v>7885.09</v>
      </c>
      <c r="BM246" s="23">
        <f t="shared" si="1457"/>
        <v>7885.09</v>
      </c>
      <c r="BN246" s="23">
        <f>+'QTR Raw'!AH91</f>
        <v>9465.2099999999991</v>
      </c>
      <c r="BO246" s="23">
        <f t="shared" si="1457"/>
        <v>9465.2099999999991</v>
      </c>
      <c r="BP246" s="23">
        <f>+'QTR Raw'!AJ91</f>
        <v>11724.65</v>
      </c>
      <c r="BQ246" s="23">
        <f t="shared" si="1457"/>
        <v>11724.65</v>
      </c>
      <c r="BR246" s="23">
        <f>+'QTR Raw'!AL91</f>
        <v>10721.57</v>
      </c>
      <c r="BS246" s="23">
        <f t="shared" si="1457"/>
        <v>10721.57</v>
      </c>
      <c r="BT246" s="23">
        <f>+'QTR Raw'!AN91</f>
        <v>11518.82</v>
      </c>
      <c r="BU246" s="23">
        <f t="shared" si="1457"/>
        <v>11518.82</v>
      </c>
      <c r="BV246" s="23">
        <f>+'QTR Raw'!AP91</f>
        <v>12955.37</v>
      </c>
      <c r="BW246" s="23">
        <f t="shared" si="1457"/>
        <v>12955.37</v>
      </c>
      <c r="BX246" s="23">
        <f>+'QTR Raw'!AR91</f>
        <v>14276.98</v>
      </c>
      <c r="BY246" s="23">
        <f t="shared" si="1457"/>
        <v>14276.98</v>
      </c>
      <c r="BZ246" s="23">
        <f>+'QTR Raw'!AT91</f>
        <v>17995.009999999998</v>
      </c>
      <c r="CA246" s="23">
        <f t="shared" si="1457"/>
        <v>17995.009999999998</v>
      </c>
      <c r="CB246" s="23">
        <f>+'QTR Raw'!AV91</f>
        <v>17575.79</v>
      </c>
      <c r="CC246" s="23">
        <f t="shared" si="1457"/>
        <v>17575.79</v>
      </c>
      <c r="CD246" s="23">
        <f>+'QTR Raw'!AX91</f>
        <v>20940.55</v>
      </c>
      <c r="CE246" s="23">
        <f t="shared" si="1457"/>
        <v>20940.55</v>
      </c>
      <c r="CF246" s="23">
        <f>+'QTR Raw'!AZ91</f>
        <v>18096.77</v>
      </c>
      <c r="CG246" s="23">
        <f t="shared" ref="CG246:CG247" si="1461">+CF246</f>
        <v>18096.77</v>
      </c>
      <c r="CH246" s="23">
        <f t="shared" si="1411"/>
        <v>16762.18</v>
      </c>
      <c r="CJ246" s="23">
        <f>+'QTR Raw'!BD91</f>
        <v>19957.21</v>
      </c>
      <c r="CL246" s="23">
        <f>+'QTR Raw'!BF91</f>
        <v>21891.08</v>
      </c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E246" s="123"/>
      <c r="DF246" s="23">
        <v>21891.08</v>
      </c>
    </row>
    <row r="247" spans="1:110" s="23" customFormat="1" outlineLevel="1" x14ac:dyDescent="0.2">
      <c r="A247" s="23" t="s">
        <v>72</v>
      </c>
      <c r="B247" s="23">
        <f>'Annual Raw'!C57</f>
        <v>323.46031169999998</v>
      </c>
      <c r="C247" s="23">
        <f>'Annual Raw'!D57</f>
        <v>280.23</v>
      </c>
      <c r="D247" s="23">
        <f>'Annual Raw'!E57</f>
        <v>466.75</v>
      </c>
      <c r="E247" s="23">
        <f>'Annual Raw'!F57</f>
        <v>292.14999999999998</v>
      </c>
      <c r="F247" s="23">
        <f>'Annual Raw'!G57</f>
        <v>604.59</v>
      </c>
      <c r="G247" s="23">
        <f>'Annual Raw'!H57</f>
        <v>596.47</v>
      </c>
      <c r="H247" s="23">
        <f>'Annual Raw'!I57</f>
        <v>641.46</v>
      </c>
      <c r="I247" s="23">
        <f>'Annual Raw'!J57</f>
        <v>1063.82</v>
      </c>
      <c r="J247" s="23">
        <f>'Annual Raw'!K57</f>
        <v>1972.54</v>
      </c>
      <c r="K247" s="23">
        <f>'Annual Raw'!L57</f>
        <v>1457.58</v>
      </c>
      <c r="L247" s="23">
        <f>'Annual Raw'!M57</f>
        <v>1030.99</v>
      </c>
      <c r="M247" s="23">
        <f>'Annual Raw'!N57</f>
        <v>888.01</v>
      </c>
      <c r="N247" s="23">
        <f>'Annual Raw'!O57</f>
        <v>778.41</v>
      </c>
      <c r="O247" s="23">
        <f>'Annual Raw'!P57</f>
        <v>900.36</v>
      </c>
      <c r="P247" s="23">
        <f>'Annual Raw'!Q57</f>
        <v>770.47</v>
      </c>
      <c r="Q247" s="23">
        <f>'Annual Raw'!R57</f>
        <v>332.59</v>
      </c>
      <c r="R247" s="23">
        <f>'Annual Raw'!S57</f>
        <v>329.73</v>
      </c>
      <c r="S247" s="23">
        <f>'Annual Raw'!T57</f>
        <v>353.82</v>
      </c>
      <c r="T247" s="23">
        <f>'Annual Raw'!U57</f>
        <v>243.77</v>
      </c>
      <c r="U247" s="23">
        <f>'Annual Raw'!V57</f>
        <v>245.91</v>
      </c>
      <c r="V247" s="23">
        <f>'Annual Raw'!W57</f>
        <v>361.69</v>
      </c>
      <c r="W247" s="23">
        <f>'Annual Raw'!X57</f>
        <v>491.82</v>
      </c>
      <c r="X247" s="23">
        <f>'Annual Raw'!Y57</f>
        <v>529.03</v>
      </c>
      <c r="Y247" s="23">
        <f>'Annual Raw'!Z57</f>
        <v>585.88</v>
      </c>
      <c r="Z247" s="23">
        <f>'Annual Raw'!AA57</f>
        <v>645.76</v>
      </c>
      <c r="AA247" s="23">
        <f>'Annual Raw'!AB57</f>
        <v>865.86</v>
      </c>
      <c r="AB247" s="24">
        <f t="shared" si="1453"/>
        <v>0</v>
      </c>
      <c r="AC247" s="24">
        <f t="shared" si="1454"/>
        <v>0</v>
      </c>
      <c r="AD247" s="24">
        <f t="shared" si="1455"/>
        <v>0</v>
      </c>
      <c r="AE247" s="24">
        <f t="shared" si="1456"/>
        <v>0</v>
      </c>
      <c r="AJ247" s="23">
        <f>+'QTR Raw'!D92</f>
        <v>105</v>
      </c>
      <c r="AK247" s="23">
        <f t="shared" si="1457"/>
        <v>105</v>
      </c>
      <c r="AL247" s="23">
        <f>+'QTR Raw'!F92</f>
        <v>778.41</v>
      </c>
      <c r="AM247" s="23">
        <f t="shared" si="1457"/>
        <v>778.41</v>
      </c>
      <c r="AN247" s="23">
        <f>+'QTR Raw'!H92</f>
        <v>415.36</v>
      </c>
      <c r="AO247" s="23">
        <f t="shared" si="1457"/>
        <v>415.36</v>
      </c>
      <c r="AP247" s="23">
        <f>+'QTR Raw'!J92</f>
        <v>900.36</v>
      </c>
      <c r="AQ247" s="23">
        <f t="shared" si="1457"/>
        <v>900.36</v>
      </c>
      <c r="AR247" s="23">
        <f>+'QTR Raw'!L92</f>
        <v>511.01</v>
      </c>
      <c r="AS247" s="23">
        <f t="shared" si="1457"/>
        <v>511.01</v>
      </c>
      <c r="AT247" s="23">
        <f>+'QTR Raw'!N92</f>
        <v>770.47</v>
      </c>
      <c r="AU247" s="23">
        <f t="shared" si="1457"/>
        <v>770.47</v>
      </c>
      <c r="AV247" s="23">
        <f>+'QTR Raw'!P92</f>
        <v>639.6</v>
      </c>
      <c r="AW247" s="23">
        <f t="shared" si="1457"/>
        <v>639.6</v>
      </c>
      <c r="AX247" s="23">
        <f>+'QTR Raw'!R92</f>
        <v>262.43</v>
      </c>
      <c r="AY247" s="23">
        <f t="shared" si="1457"/>
        <v>262.43</v>
      </c>
      <c r="AZ247" s="23">
        <f>+'QTR Raw'!T92</f>
        <v>241.68</v>
      </c>
      <c r="BA247" s="23">
        <f t="shared" si="1457"/>
        <v>241.68</v>
      </c>
      <c r="BB247" s="23">
        <f>+'QTR Raw'!V92</f>
        <v>207.69</v>
      </c>
      <c r="BC247" s="23">
        <f t="shared" si="1457"/>
        <v>207.69</v>
      </c>
      <c r="BD247" s="23">
        <f>+'QTR Raw'!X92</f>
        <v>244.88</v>
      </c>
      <c r="BE247" s="23">
        <f t="shared" si="1457"/>
        <v>244.88</v>
      </c>
      <c r="BF247" s="23">
        <f>+'QTR Raw'!Z92</f>
        <v>193.44</v>
      </c>
      <c r="BG247" s="23">
        <f t="shared" si="1457"/>
        <v>193.44</v>
      </c>
      <c r="BH247" s="23">
        <f>+'QTR Raw'!AB92</f>
        <v>192.48</v>
      </c>
      <c r="BI247" s="23">
        <f t="shared" si="1457"/>
        <v>192.48</v>
      </c>
      <c r="BJ247" s="23">
        <f>+'QTR Raw'!AD92</f>
        <v>93.55</v>
      </c>
      <c r="BK247" s="23">
        <f t="shared" si="1457"/>
        <v>93.55</v>
      </c>
      <c r="BL247" s="23">
        <f>+'QTR Raw'!AF92</f>
        <v>137.37</v>
      </c>
      <c r="BM247" s="23">
        <f t="shared" si="1457"/>
        <v>137.37</v>
      </c>
      <c r="BN247" s="23">
        <f>+'QTR Raw'!AH92</f>
        <v>116.42</v>
      </c>
      <c r="BO247" s="23">
        <f t="shared" si="1457"/>
        <v>116.42</v>
      </c>
      <c r="BP247" s="23">
        <f>+'QTR Raw'!AJ92</f>
        <v>184.13</v>
      </c>
      <c r="BQ247" s="23">
        <f t="shared" si="1457"/>
        <v>184.13</v>
      </c>
      <c r="BR247" s="23">
        <f>+'QTR Raw'!AL92</f>
        <v>163.31</v>
      </c>
      <c r="BS247" s="23">
        <f t="shared" si="1457"/>
        <v>163.31</v>
      </c>
      <c r="BT247" s="23">
        <f>+'QTR Raw'!AN92</f>
        <v>303.7</v>
      </c>
      <c r="BU247" s="23">
        <f t="shared" si="1457"/>
        <v>303.7</v>
      </c>
      <c r="BV247" s="23">
        <f>+'QTR Raw'!AP92</f>
        <v>344.82</v>
      </c>
      <c r="BW247" s="23">
        <f t="shared" si="1457"/>
        <v>344.82</v>
      </c>
      <c r="BX247" s="23">
        <f>+'QTR Raw'!AR92</f>
        <v>397.29</v>
      </c>
      <c r="BY247" s="23">
        <f t="shared" si="1457"/>
        <v>397.29</v>
      </c>
      <c r="BZ247" s="23">
        <f>+'QTR Raw'!AT92</f>
        <v>311.07</v>
      </c>
      <c r="CA247" s="23">
        <f t="shared" si="1457"/>
        <v>311.07</v>
      </c>
      <c r="CB247" s="23">
        <f>+'QTR Raw'!AV92</f>
        <v>299.66000000000003</v>
      </c>
      <c r="CC247" s="23">
        <f t="shared" si="1457"/>
        <v>299.66000000000003</v>
      </c>
      <c r="CD247" s="23">
        <f>+'QTR Raw'!AX92</f>
        <v>294.33999999999997</v>
      </c>
      <c r="CE247" s="23">
        <f t="shared" si="1457"/>
        <v>294.33999999999997</v>
      </c>
      <c r="CF247" s="23">
        <f>+'QTR Raw'!AZ92</f>
        <v>468.21</v>
      </c>
      <c r="CG247" s="23">
        <f t="shared" si="1461"/>
        <v>468.21</v>
      </c>
      <c r="CH247" s="23">
        <f t="shared" si="1411"/>
        <v>645.76</v>
      </c>
      <c r="CJ247" s="23">
        <f>+'QTR Raw'!BD92</f>
        <v>579.75</v>
      </c>
      <c r="CL247" s="23">
        <f>+'QTR Raw'!BF92</f>
        <v>680.44</v>
      </c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E247" s="123"/>
      <c r="DF247" s="23">
        <v>680.44</v>
      </c>
    </row>
    <row r="248" spans="1:110" s="22" customFormat="1" x14ac:dyDescent="0.2">
      <c r="A248" s="22" t="s">
        <v>73</v>
      </c>
      <c r="B248" s="22">
        <f>SUM(B241:B247)</f>
        <v>1214.4763312</v>
      </c>
      <c r="C248" s="22">
        <f t="shared" ref="C248:V248" si="1462">SUM(C241:C247)</f>
        <v>1378.4</v>
      </c>
      <c r="D248" s="22">
        <f t="shared" si="1462"/>
        <v>1610.95</v>
      </c>
      <c r="E248" s="22">
        <f t="shared" si="1462"/>
        <v>1340.77</v>
      </c>
      <c r="F248" s="22">
        <f t="shared" si="1462"/>
        <v>1593.5500000000002</v>
      </c>
      <c r="G248" s="22">
        <f t="shared" si="1462"/>
        <v>1713.42</v>
      </c>
      <c r="H248" s="22">
        <f t="shared" si="1462"/>
        <v>2223.83</v>
      </c>
      <c r="I248" s="22">
        <f t="shared" si="1462"/>
        <v>4045.3599999999997</v>
      </c>
      <c r="J248" s="22">
        <f t="shared" si="1462"/>
        <v>6781.17</v>
      </c>
      <c r="K248" s="22">
        <f t="shared" si="1462"/>
        <v>7408.07</v>
      </c>
      <c r="L248" s="22">
        <f t="shared" si="1462"/>
        <v>9678.5199999999986</v>
      </c>
      <c r="M248" s="22">
        <f t="shared" si="1462"/>
        <v>11299.570000000002</v>
      </c>
      <c r="N248" s="22">
        <f t="shared" si="1462"/>
        <v>12473.319999999998</v>
      </c>
      <c r="O248" s="22">
        <f t="shared" si="1462"/>
        <v>13913.46</v>
      </c>
      <c r="P248" s="22">
        <f t="shared" si="1462"/>
        <v>14871.639999999998</v>
      </c>
      <c r="Q248" s="22">
        <f t="shared" si="1462"/>
        <v>14231.07</v>
      </c>
      <c r="R248" s="22">
        <f t="shared" si="1462"/>
        <v>15770.699999999999</v>
      </c>
      <c r="S248" s="22">
        <f t="shared" si="1462"/>
        <v>14489</v>
      </c>
      <c r="T248" s="22">
        <f t="shared" si="1462"/>
        <v>14127.91</v>
      </c>
      <c r="U248" s="22">
        <f t="shared" si="1462"/>
        <v>18300.12</v>
      </c>
      <c r="V248" s="22">
        <f t="shared" si="1462"/>
        <v>29442.51</v>
      </c>
      <c r="W248" s="22">
        <f t="shared" ref="W248" si="1463">SUM(W241:W247)</f>
        <v>38232.83</v>
      </c>
      <c r="X248" s="22">
        <f t="shared" ref="X248:Y248" si="1464">SUM(X241:X247)</f>
        <v>43251.119999999995</v>
      </c>
      <c r="Y248" s="22">
        <f t="shared" si="1464"/>
        <v>48968.579999999994</v>
      </c>
      <c r="Z248" s="22">
        <f t="shared" ref="Z248:AA248" si="1465">SUM(Z241:Z247)</f>
        <v>51855.570000000007</v>
      </c>
      <c r="AA248" s="22">
        <f t="shared" si="1465"/>
        <v>51703.429999999993</v>
      </c>
      <c r="AB248" s="21">
        <f t="shared" ref="AA248:AD248" si="1466">SUM(AB241:AB247)</f>
        <v>59440.835462837182</v>
      </c>
      <c r="AC248" s="21">
        <f t="shared" si="1466"/>
        <v>62242.442407465023</v>
      </c>
      <c r="AD248" s="21">
        <f t="shared" si="1466"/>
        <v>66027.760188298795</v>
      </c>
      <c r="AE248" s="21">
        <f t="shared" ref="AE248" si="1467">SUM(AE241:AE247)</f>
        <v>70288.691724093864</v>
      </c>
      <c r="AJ248" s="22">
        <f t="shared" ref="AJ248" si="1468">SUM(AJ241:AJ247)</f>
        <v>3230.91</v>
      </c>
      <c r="AK248" s="22">
        <f t="shared" ref="AK248" si="1469">SUM(AK241:AK247)</f>
        <v>3230.91</v>
      </c>
      <c r="AL248" s="22">
        <f t="shared" ref="AL248:AM248" si="1470">SUM(AL241:AL247)</f>
        <v>15209.089999999998</v>
      </c>
      <c r="AM248" s="22">
        <f t="shared" si="1470"/>
        <v>15214.684038556494</v>
      </c>
      <c r="AN248" s="22">
        <f t="shared" ref="AN248:AO248" si="1471">SUM(AN241:AN247)</f>
        <v>16920.02</v>
      </c>
      <c r="AO248" s="22">
        <f t="shared" si="1471"/>
        <v>16812.28550570528</v>
      </c>
      <c r="AP248" s="22">
        <f t="shared" ref="AP248:CE248" si="1472">SUM(AP241:AP247)</f>
        <v>18909.28</v>
      </c>
      <c r="AQ248" s="22">
        <f t="shared" si="1472"/>
        <v>18739.187488477066</v>
      </c>
      <c r="AR248" s="22">
        <f t="shared" si="1472"/>
        <v>19363.429999999997</v>
      </c>
      <c r="AS248" s="22">
        <f t="shared" si="1472"/>
        <v>19332.122355079217</v>
      </c>
      <c r="AT248" s="22">
        <f t="shared" si="1472"/>
        <v>18498.650000000001</v>
      </c>
      <c r="AU248" s="22">
        <f t="shared" si="1472"/>
        <v>17906.089734965171</v>
      </c>
      <c r="AV248" s="22">
        <f t="shared" si="1472"/>
        <v>21970.469999999998</v>
      </c>
      <c r="AW248" s="22">
        <f t="shared" si="1472"/>
        <v>21610.787207842604</v>
      </c>
      <c r="AX248" s="22">
        <f t="shared" si="1472"/>
        <v>16076.87</v>
      </c>
      <c r="AY248" s="22">
        <f t="shared" si="1472"/>
        <v>15799.775880669906</v>
      </c>
      <c r="AZ248" s="22">
        <f t="shared" si="1472"/>
        <v>19979.010000000002</v>
      </c>
      <c r="BA248" s="22">
        <f t="shared" si="1472"/>
        <v>19597.58438720258</v>
      </c>
      <c r="BB248" s="22">
        <f t="shared" si="1472"/>
        <v>23163.359999999997</v>
      </c>
      <c r="BC248" s="22">
        <f t="shared" si="1472"/>
        <v>22697.503446905459</v>
      </c>
      <c r="BD248" s="22">
        <f t="shared" si="1472"/>
        <v>25101.350000000002</v>
      </c>
      <c r="BE248" s="22">
        <f t="shared" si="1472"/>
        <v>24714.134302386654</v>
      </c>
      <c r="BF248" s="22">
        <f t="shared" si="1472"/>
        <v>21894.649999999998</v>
      </c>
      <c r="BG248" s="22">
        <f t="shared" si="1472"/>
        <v>21971.052394903079</v>
      </c>
      <c r="BH248" s="22">
        <f t="shared" ref="BH248" si="1473">SUM(BH241:BH247)</f>
        <v>18078.04</v>
      </c>
      <c r="BI248" s="22">
        <f t="shared" si="1472"/>
        <v>18515.292932721011</v>
      </c>
      <c r="BJ248" s="22">
        <f t="shared" si="1472"/>
        <v>17619.34</v>
      </c>
      <c r="BK248" s="22">
        <f t="shared" si="1472"/>
        <v>18026.389443860444</v>
      </c>
      <c r="BL248" s="22">
        <f t="shared" si="1472"/>
        <v>19855.829999999998</v>
      </c>
      <c r="BM248" s="22">
        <f t="shared" si="1472"/>
        <v>19478.269424393904</v>
      </c>
      <c r="BN248" s="22">
        <f t="shared" si="1472"/>
        <v>22136.549999999996</v>
      </c>
      <c r="BO248" s="22">
        <f t="shared" si="1472"/>
        <v>22007.401590985981</v>
      </c>
      <c r="BP248" s="22">
        <f t="shared" si="1472"/>
        <v>28037.69</v>
      </c>
      <c r="BQ248" s="22">
        <f t="shared" si="1472"/>
        <v>27582.304200807983</v>
      </c>
      <c r="BR248" s="22">
        <f t="shared" si="1472"/>
        <v>29442.510000000002</v>
      </c>
      <c r="BS248" s="22">
        <f t="shared" si="1472"/>
        <v>29283.721577934113</v>
      </c>
      <c r="BT248" s="22">
        <f t="shared" si="1472"/>
        <v>32400.41</v>
      </c>
      <c r="BU248" s="22">
        <f t="shared" si="1472"/>
        <v>33196.475531089003</v>
      </c>
      <c r="BV248" s="22">
        <f t="shared" si="1472"/>
        <v>38232.83</v>
      </c>
      <c r="BW248" s="22">
        <f t="shared" si="1472"/>
        <v>40450.272616196045</v>
      </c>
      <c r="BX248" s="22">
        <f t="shared" si="1472"/>
        <v>40836.870000000003</v>
      </c>
      <c r="BY248" s="22">
        <f t="shared" si="1472"/>
        <v>40909.65119497788</v>
      </c>
      <c r="BZ248" s="22">
        <f t="shared" si="1472"/>
        <v>43251.12</v>
      </c>
      <c r="CA248" s="22">
        <f t="shared" si="1472"/>
        <v>44892.422756436608</v>
      </c>
      <c r="CB248" s="22">
        <f t="shared" si="1472"/>
        <v>45730.350000000006</v>
      </c>
      <c r="CC248" s="22">
        <f t="shared" si="1472"/>
        <v>45019.786131682304</v>
      </c>
      <c r="CD248" s="22">
        <f t="shared" si="1472"/>
        <v>48968.58</v>
      </c>
      <c r="CE248" s="22">
        <f t="shared" si="1472"/>
        <v>49769.985816826083</v>
      </c>
      <c r="CF248" s="22">
        <f t="shared" ref="CF248:CG248" si="1474">SUM(CF241:CF247)</f>
        <v>47438.049999999996</v>
      </c>
      <c r="CG248" s="22">
        <f t="shared" si="1474"/>
        <v>47259.84174041752</v>
      </c>
      <c r="CH248" s="22">
        <f t="shared" ref="CH248:CI248" si="1475">SUM(CH241:CH247)</f>
        <v>51855.570000000007</v>
      </c>
      <c r="CI248" s="22">
        <f t="shared" si="1475"/>
        <v>54704.340159143612</v>
      </c>
      <c r="CJ248" s="22">
        <f t="shared" ref="CJ248:DB248" si="1476">SUM(CJ241:CJ247)</f>
        <v>49304.079999999994</v>
      </c>
      <c r="CK248" s="22">
        <f t="shared" si="1476"/>
        <v>44240.431273825321</v>
      </c>
      <c r="CL248" s="22">
        <f t="shared" ref="CL248" si="1477">SUM(CL241:CL247)</f>
        <v>51703.44</v>
      </c>
      <c r="CM248" s="21">
        <f t="shared" si="1476"/>
        <v>58205.1499332358</v>
      </c>
      <c r="CN248" s="21">
        <f t="shared" si="1476"/>
        <v>68543.623328615722</v>
      </c>
      <c r="CO248" s="21">
        <f t="shared" si="1476"/>
        <v>59127.312635678987</v>
      </c>
      <c r="CP248" s="21">
        <f t="shared" si="1476"/>
        <v>59440.835462837182</v>
      </c>
      <c r="CQ248" s="21">
        <f t="shared" si="1476"/>
        <v>62022.220902537549</v>
      </c>
      <c r="CR248" s="21">
        <f t="shared" si="1476"/>
        <v>65816.993153403077</v>
      </c>
      <c r="CS248" s="21">
        <f t="shared" si="1476"/>
        <v>59184.677369205281</v>
      </c>
      <c r="CT248" s="21">
        <f t="shared" si="1476"/>
        <v>62242.442407465023</v>
      </c>
      <c r="CU248" s="21">
        <f t="shared" si="1476"/>
        <v>65958.141952772232</v>
      </c>
      <c r="CV248" s="21">
        <f t="shared" si="1476"/>
        <v>69789.845484619829</v>
      </c>
      <c r="CW248" s="21">
        <f t="shared" si="1476"/>
        <v>62765.040186410944</v>
      </c>
      <c r="CX248" s="21">
        <f t="shared" si="1476"/>
        <v>66027.760188298795</v>
      </c>
      <c r="CY248" s="21">
        <f t="shared" si="1476"/>
        <v>70233.188637556319</v>
      </c>
      <c r="CZ248" s="21">
        <f t="shared" si="1476"/>
        <v>74304.011298537429</v>
      </c>
      <c r="DA248" s="21">
        <f t="shared" si="1476"/>
        <v>66780.100984956138</v>
      </c>
      <c r="DB248" s="21">
        <f t="shared" si="1476"/>
        <v>70288.691724093864</v>
      </c>
      <c r="DE248" s="126"/>
      <c r="DF248" s="22">
        <v>46986.659861974105</v>
      </c>
    </row>
    <row r="249" spans="1:110" s="22" customFormat="1" x14ac:dyDescent="0.2">
      <c r="A249" s="22" t="s">
        <v>74</v>
      </c>
      <c r="B249" s="22">
        <f>B240-B248</f>
        <v>269.01031839999996</v>
      </c>
      <c r="C249" s="22">
        <f t="shared" ref="C249:V249" si="1478">C240-C248</f>
        <v>884.79</v>
      </c>
      <c r="D249" s="22">
        <f t="shared" si="1478"/>
        <v>652.6400000000001</v>
      </c>
      <c r="E249" s="22">
        <f t="shared" si="1478"/>
        <v>277.26</v>
      </c>
      <c r="F249" s="22">
        <f t="shared" si="1478"/>
        <v>134.76999999999998</v>
      </c>
      <c r="G249" s="22">
        <f t="shared" si="1478"/>
        <v>500.56999999999971</v>
      </c>
      <c r="H249" s="22">
        <f t="shared" si="1478"/>
        <v>705.46</v>
      </c>
      <c r="I249" s="22">
        <f t="shared" si="1478"/>
        <v>812.99000000000069</v>
      </c>
      <c r="J249" s="22">
        <f t="shared" si="1478"/>
        <v>55.849999999999454</v>
      </c>
      <c r="K249" s="22">
        <f t="shared" si="1478"/>
        <v>-28.700000000000728</v>
      </c>
      <c r="L249" s="22">
        <f t="shared" si="1478"/>
        <v>891.2400000000016</v>
      </c>
      <c r="M249" s="22">
        <f t="shared" si="1478"/>
        <v>2874.5199999999986</v>
      </c>
      <c r="N249" s="22">
        <f t="shared" si="1478"/>
        <v>5962.35</v>
      </c>
      <c r="O249" s="22">
        <f t="shared" si="1478"/>
        <v>6113.2999999999993</v>
      </c>
      <c r="P249" s="22">
        <f t="shared" si="1478"/>
        <v>7336.7900000000027</v>
      </c>
      <c r="Q249" s="22">
        <f t="shared" si="1478"/>
        <v>5618.3000000000029</v>
      </c>
      <c r="R249" s="22">
        <f t="shared" si="1478"/>
        <v>5458.5400000000063</v>
      </c>
      <c r="S249" s="22">
        <f t="shared" si="1478"/>
        <v>7479.23</v>
      </c>
      <c r="T249" s="22">
        <f t="shared" si="1478"/>
        <v>8735.619999999999</v>
      </c>
      <c r="U249" s="22">
        <f t="shared" si="1478"/>
        <v>5466.8900000000031</v>
      </c>
      <c r="V249" s="22">
        <f t="shared" si="1478"/>
        <v>-5256.7999999999993</v>
      </c>
      <c r="W249" s="22">
        <f t="shared" ref="W249" si="1479">W240-W248</f>
        <v>-8508.41</v>
      </c>
      <c r="X249" s="22">
        <f t="shared" ref="X249:Y249" si="1480">X240-X248</f>
        <v>-10154.219999999994</v>
      </c>
      <c r="Y249" s="22">
        <f t="shared" si="1480"/>
        <v>-14152.949999999997</v>
      </c>
      <c r="Z249" s="22">
        <f t="shared" ref="Z249:AA249" si="1481">Z240-Z248</f>
        <v>-14782.94000000001</v>
      </c>
      <c r="AA249" s="22">
        <f t="shared" si="1481"/>
        <v>-9245.5499999999956</v>
      </c>
      <c r="AB249" s="21">
        <f t="shared" ref="AA249:AD249" si="1482">AB240-AB248</f>
        <v>5741.657774322819</v>
      </c>
      <c r="AC249" s="21">
        <f t="shared" si="1482"/>
        <v>11664.291554176329</v>
      </c>
      <c r="AD249" s="21">
        <f t="shared" si="1482"/>
        <v>12373.663624311521</v>
      </c>
      <c r="AE249" s="21">
        <f t="shared" ref="AE249" si="1483">AE240-AE248</f>
        <v>13172.166154153383</v>
      </c>
      <c r="AJ249" s="22">
        <f t="shared" ref="AJ249" si="1484">AJ240-AJ248</f>
        <v>6075.82</v>
      </c>
      <c r="AK249" s="22">
        <f t="shared" ref="AK249" si="1485">AK240-AK248</f>
        <v>6468.968293962027</v>
      </c>
      <c r="AL249" s="22">
        <f t="shared" ref="AL249:AM249" si="1486">AL240-AL248</f>
        <v>3226.58</v>
      </c>
      <c r="AM249" s="22">
        <f t="shared" si="1486"/>
        <v>3229.4090034940673</v>
      </c>
      <c r="AN249" s="22">
        <f t="shared" ref="AN249:AO249" si="1487">AN240-AN248</f>
        <v>4115.6899999999987</v>
      </c>
      <c r="AO249" s="22">
        <f t="shared" si="1487"/>
        <v>4041.9296491832538</v>
      </c>
      <c r="AP249" s="22">
        <f t="shared" ref="AP249:CE249" si="1488">AP240-AP248</f>
        <v>1117.4800000000032</v>
      </c>
      <c r="AQ249" s="22">
        <f t="shared" si="1488"/>
        <v>1041.5489773877416</v>
      </c>
      <c r="AR249" s="22">
        <f t="shared" si="1488"/>
        <v>2530.5600000000049</v>
      </c>
      <c r="AS249" s="22">
        <f t="shared" si="1488"/>
        <v>2514.1047576887249</v>
      </c>
      <c r="AT249" s="22">
        <f t="shared" si="1488"/>
        <v>3709.7799999999988</v>
      </c>
      <c r="AU249" s="22">
        <f t="shared" si="1488"/>
        <v>3463.8674107824845</v>
      </c>
      <c r="AV249" s="22">
        <f t="shared" si="1488"/>
        <v>1031.1300000000047</v>
      </c>
      <c r="AW249" s="22">
        <f t="shared" si="1488"/>
        <v>926.21988068606879</v>
      </c>
      <c r="AX249" s="22">
        <f t="shared" si="1488"/>
        <v>3772.4999999999982</v>
      </c>
      <c r="AY249" s="22">
        <f t="shared" si="1488"/>
        <v>3684.1267341944222</v>
      </c>
      <c r="AZ249" s="22">
        <f t="shared" si="1488"/>
        <v>677.81999999999971</v>
      </c>
      <c r="BA249" s="22">
        <f t="shared" si="1488"/>
        <v>489.88985725653038</v>
      </c>
      <c r="BB249" s="22">
        <f t="shared" si="1488"/>
        <v>-1934.1200000000026</v>
      </c>
      <c r="BC249" s="22">
        <f t="shared" si="1488"/>
        <v>-2020.3788722727586</v>
      </c>
      <c r="BD249" s="22">
        <f t="shared" si="1488"/>
        <v>-4122.8900000000031</v>
      </c>
      <c r="BE249" s="22">
        <f t="shared" si="1488"/>
        <v>-4271.925986339138</v>
      </c>
      <c r="BF249" s="22">
        <f t="shared" si="1488"/>
        <v>73.580000000001746</v>
      </c>
      <c r="BG249" s="22">
        <f t="shared" si="1488"/>
        <v>68.299485375318909</v>
      </c>
      <c r="BH249" s="22">
        <f t="shared" ref="BH249" si="1489">BH240-BH248</f>
        <v>3943.6800000000003</v>
      </c>
      <c r="BI249" s="22">
        <f t="shared" si="1488"/>
        <v>4116.0462023469408</v>
      </c>
      <c r="BJ249" s="22">
        <f t="shared" si="1488"/>
        <v>5244.1899999999987</v>
      </c>
      <c r="BK249" s="22">
        <f t="shared" si="1488"/>
        <v>5358.9898112268056</v>
      </c>
      <c r="BL249" s="22">
        <f t="shared" si="1488"/>
        <v>2450.5400000000045</v>
      </c>
      <c r="BM249" s="22">
        <f t="shared" si="1488"/>
        <v>2240.2852599696271</v>
      </c>
      <c r="BN249" s="22">
        <f t="shared" si="1488"/>
        <v>1630.4600000000064</v>
      </c>
      <c r="BO249" s="22">
        <f t="shared" si="1488"/>
        <v>1581.9117417381567</v>
      </c>
      <c r="BP249" s="22">
        <f t="shared" si="1488"/>
        <v>-5155.5199999999968</v>
      </c>
      <c r="BQ249" s="22">
        <f t="shared" si="1488"/>
        <v>-5316.678804845953</v>
      </c>
      <c r="BR249" s="22">
        <f t="shared" si="1488"/>
        <v>-1574.5300000000025</v>
      </c>
      <c r="BS249" s="22">
        <f t="shared" si="1488"/>
        <v>-1574.1020557582124</v>
      </c>
      <c r="BT249" s="22">
        <f t="shared" si="1488"/>
        <v>-5170.7299999999996</v>
      </c>
      <c r="BU249" s="22">
        <f t="shared" si="1488"/>
        <v>-4833.5453491359003</v>
      </c>
      <c r="BV249" s="22">
        <f t="shared" si="1488"/>
        <v>-4846.4200000000055</v>
      </c>
      <c r="BW249" s="22">
        <f t="shared" si="1488"/>
        <v>-4414.525795537782</v>
      </c>
      <c r="BX249" s="22">
        <f t="shared" si="1488"/>
        <v>-2806.5900000000038</v>
      </c>
      <c r="BY249" s="22">
        <f t="shared" si="1488"/>
        <v>-2767.7470679195394</v>
      </c>
      <c r="BZ249" s="22">
        <f t="shared" si="1488"/>
        <v>-6172.1699999999983</v>
      </c>
      <c r="CA249" s="22">
        <f t="shared" si="1488"/>
        <v>-4854.9664834555952</v>
      </c>
      <c r="CB249" s="22">
        <f t="shared" si="1488"/>
        <v>-6024.4800000000032</v>
      </c>
      <c r="CC249" s="22">
        <f t="shared" si="1488"/>
        <v>-6333.2918010576977</v>
      </c>
      <c r="CD249" s="22">
        <f t="shared" si="1488"/>
        <v>-9784.1999999999971</v>
      </c>
      <c r="CE249" s="22">
        <f t="shared" si="1488"/>
        <v>-9273.0764387520758</v>
      </c>
      <c r="CF249" s="22">
        <f t="shared" ref="CF249:CG249" si="1490">CF240-CF248</f>
        <v>-7480.9699999999939</v>
      </c>
      <c r="CG249" s="22">
        <f t="shared" si="1490"/>
        <v>-7523.3632687016507</v>
      </c>
      <c r="CH249" s="22">
        <f t="shared" ref="CH249:CI249" si="1491">CH240-CH248</f>
        <v>-14782.94000000001</v>
      </c>
      <c r="CI249" s="22">
        <f t="shared" si="1491"/>
        <v>-15595.064875619166</v>
      </c>
      <c r="CJ249" s="22">
        <f t="shared" ref="CJ249:DB249" si="1492">CJ240-CJ248</f>
        <v>-2242.7599999999875</v>
      </c>
      <c r="CK249" s="22">
        <f t="shared" si="1492"/>
        <v>-2012.4231025846966</v>
      </c>
      <c r="CL249" s="22">
        <f t="shared" ref="CL249" si="1493">CL240-CL248</f>
        <v>-3720.1200000000026</v>
      </c>
      <c r="CM249" s="21">
        <f t="shared" si="1492"/>
        <v>-2029.3837750097373</v>
      </c>
      <c r="CN249" s="21">
        <f t="shared" si="1492"/>
        <v>363.7082674192352</v>
      </c>
      <c r="CO249" s="21">
        <f t="shared" si="1492"/>
        <v>2895.3451432386064</v>
      </c>
      <c r="CP249" s="21">
        <f t="shared" si="1492"/>
        <v>5741.657774322819</v>
      </c>
      <c r="CQ249" s="21">
        <f t="shared" si="1492"/>
        <v>7399.0095172829751</v>
      </c>
      <c r="CR249" s="21">
        <f t="shared" si="1492"/>
        <v>9345.8626118622487</v>
      </c>
      <c r="CS249" s="21">
        <f t="shared" si="1492"/>
        <v>9747.6762359747663</v>
      </c>
      <c r="CT249" s="21">
        <f t="shared" si="1492"/>
        <v>11664.291554176329</v>
      </c>
      <c r="CU249" s="21">
        <f t="shared" si="1492"/>
        <v>12360.617102271892</v>
      </c>
      <c r="CV249" s="21">
        <f t="shared" si="1492"/>
        <v>13078.681905257152</v>
      </c>
      <c r="CW249" s="21">
        <f t="shared" si="1492"/>
        <v>11762.226863643882</v>
      </c>
      <c r="CX249" s="21">
        <f t="shared" si="1492"/>
        <v>12373.663624311521</v>
      </c>
      <c r="CY249" s="21">
        <f t="shared" si="1492"/>
        <v>13161.764824152662</v>
      </c>
      <c r="CZ249" s="21">
        <f t="shared" si="1492"/>
        <v>13924.640774170606</v>
      </c>
      <c r="DA249" s="21">
        <f t="shared" si="1492"/>
        <v>12514.652988817237</v>
      </c>
      <c r="DB249" s="21">
        <f t="shared" si="1492"/>
        <v>13172.166154153383</v>
      </c>
      <c r="DE249" s="126"/>
      <c r="DF249" s="22">
        <v>6256.0012545971767</v>
      </c>
    </row>
    <row r="250" spans="1:110" s="23" customFormat="1" x14ac:dyDescent="0.2">
      <c r="AB250" s="24"/>
      <c r="AC250" s="24"/>
      <c r="AD250" s="24"/>
      <c r="AE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E250" s="123"/>
    </row>
    <row r="251" spans="1:110" s="23" customFormat="1" outlineLevel="1" x14ac:dyDescent="0.2">
      <c r="A251" s="23" t="s">
        <v>75</v>
      </c>
      <c r="B251" s="23">
        <f>'Annual Raw'!C75</f>
        <v>23.661938500000002</v>
      </c>
      <c r="C251" s="23">
        <f>'Annual Raw'!D75</f>
        <v>203.61</v>
      </c>
      <c r="D251" s="23">
        <f>'Annual Raw'!E75</f>
        <v>90.06</v>
      </c>
      <c r="E251" s="23">
        <f>'Annual Raw'!F75</f>
        <v>139.38999999999999</v>
      </c>
      <c r="F251" s="23">
        <f>'Annual Raw'!G75</f>
        <v>975.69</v>
      </c>
      <c r="G251" s="23">
        <f>'Annual Raw'!H75</f>
        <v>575.94000000000005</v>
      </c>
      <c r="H251" s="23">
        <f>'Annual Raw'!I75</f>
        <v>435.67</v>
      </c>
      <c r="I251" s="23">
        <f>'Annual Raw'!J75</f>
        <v>178.39</v>
      </c>
      <c r="J251" s="23">
        <f>'Annual Raw'!K75</f>
        <v>553.13</v>
      </c>
      <c r="K251" s="23">
        <f>'Annual Raw'!L75</f>
        <v>369.08</v>
      </c>
      <c r="L251" s="23">
        <f>'Annual Raw'!M75</f>
        <v>231.78</v>
      </c>
      <c r="M251" s="23">
        <f>'Annual Raw'!N75</f>
        <v>777.48</v>
      </c>
      <c r="N251" s="23">
        <f>'Annual Raw'!O75</f>
        <v>477.4</v>
      </c>
      <c r="O251" s="23">
        <f>'Annual Raw'!P75</f>
        <v>340.54</v>
      </c>
      <c r="P251" s="23">
        <f>'Annual Raw'!Q75</f>
        <v>605.57000000000005</v>
      </c>
      <c r="Q251" s="23">
        <f>'Annual Raw'!R75</f>
        <v>335.95</v>
      </c>
      <c r="R251" s="23">
        <f>'Annual Raw'!S75</f>
        <v>1097.78</v>
      </c>
      <c r="S251" s="23">
        <f>'Annual Raw'!T75</f>
        <v>436.16</v>
      </c>
      <c r="T251" s="23">
        <f>'Annual Raw'!U75</f>
        <v>166.98</v>
      </c>
      <c r="U251" s="23">
        <f>'Annual Raw'!V75</f>
        <v>699.51</v>
      </c>
      <c r="V251" s="23">
        <f>'Annual Raw'!W75</f>
        <v>499.54</v>
      </c>
      <c r="W251" s="23">
        <f>'Annual Raw'!X75</f>
        <v>410.52</v>
      </c>
      <c r="X251" s="23">
        <f>'Annual Raw'!Y75</f>
        <v>1149.5999999999999</v>
      </c>
      <c r="Y251" s="23">
        <f>'Annual Raw'!Z75</f>
        <v>1477.89</v>
      </c>
      <c r="Z251" s="23">
        <f>'Annual Raw'!AA75</f>
        <v>1302.42</v>
      </c>
      <c r="AA251" s="23">
        <f>'Annual Raw'!AB75</f>
        <v>1356.12</v>
      </c>
      <c r="AB251" s="24">
        <f t="shared" ref="AB251:AB252" si="1494">+CP251</f>
        <v>0</v>
      </c>
      <c r="AC251" s="24">
        <f t="shared" ref="AC251:AC252" si="1495">+CT251</f>
        <v>0</v>
      </c>
      <c r="AD251" s="24">
        <f t="shared" ref="AD251:AD252" si="1496">+CX251</f>
        <v>0</v>
      </c>
      <c r="AE251" s="24">
        <f t="shared" ref="AE251:AE252" si="1497">+DB251</f>
        <v>0</v>
      </c>
      <c r="AJ251" s="23">
        <f>+'QTR Raw'!D80</f>
        <v>88.31</v>
      </c>
      <c r="AL251" s="23">
        <f>+'QTR Raw'!F80</f>
        <v>477.4</v>
      </c>
      <c r="AN251" s="23">
        <f>+'QTR Raw'!H80</f>
        <v>237.21</v>
      </c>
      <c r="AP251" s="23">
        <f>+'QTR Raw'!J80</f>
        <v>340.54</v>
      </c>
      <c r="AR251" s="23">
        <f>+'QTR Raw'!L80</f>
        <v>420.97</v>
      </c>
      <c r="AT251" s="23">
        <f>+'QTR Raw'!N80</f>
        <v>605.57000000000005</v>
      </c>
      <c r="AV251" s="23">
        <f>+'QTR Raw'!P80</f>
        <v>407.28</v>
      </c>
      <c r="AX251" s="23">
        <f>+'QTR Raw'!R80</f>
        <v>335.95</v>
      </c>
      <c r="AZ251" s="23">
        <f>+'QTR Raw'!T80</f>
        <v>831.5</v>
      </c>
      <c r="BB251" s="23">
        <f>+'QTR Raw'!V80</f>
        <v>1097.78</v>
      </c>
      <c r="BD251" s="23">
        <f>+'QTR Raw'!X80</f>
        <v>765.15</v>
      </c>
      <c r="BF251" s="23">
        <f>+'QTR Raw'!Z80</f>
        <v>436.16</v>
      </c>
      <c r="BH251" s="23">
        <f>+'QTR Raw'!AB80</f>
        <v>344.15</v>
      </c>
      <c r="BJ251" s="23">
        <f>+'QTR Raw'!AD80</f>
        <v>166.98</v>
      </c>
      <c r="BL251" s="23">
        <f>+'QTR Raw'!AF80</f>
        <v>564.20000000000005</v>
      </c>
      <c r="BN251" s="23">
        <f>+'QTR Raw'!AH80</f>
        <v>699.51</v>
      </c>
      <c r="BP251" s="23">
        <f>+'QTR Raw'!AJ80</f>
        <v>1445.85</v>
      </c>
      <c r="BR251" s="23">
        <f>+'QTR Raw'!AL80</f>
        <v>499.54</v>
      </c>
      <c r="BT251" s="23">
        <f>+'QTR Raw'!AN80</f>
        <v>209.43</v>
      </c>
      <c r="BV251" s="23">
        <f>+'QTR Raw'!AP80</f>
        <v>410.52</v>
      </c>
      <c r="BX251" s="23">
        <f>+'QTR Raw'!AR80</f>
        <v>2035.6</v>
      </c>
      <c r="BZ251" s="23">
        <f>+'QTR Raw'!AT80</f>
        <v>1149.5999999999999</v>
      </c>
      <c r="CB251" s="23">
        <f>+'QTR Raw'!AV80</f>
        <v>671.75</v>
      </c>
      <c r="CD251" s="23">
        <f>+'QTR Raw'!AX80</f>
        <v>1477.89</v>
      </c>
      <c r="CF251" s="23">
        <f>+'QTR Raw'!AZ80</f>
        <v>437.56</v>
      </c>
      <c r="CH251" s="23">
        <f t="shared" ref="CH251:CH252" si="1498">Z251</f>
        <v>1302.42</v>
      </c>
      <c r="CJ251" s="23">
        <f>+'QTR Raw'!BD80</f>
        <v>1742.83</v>
      </c>
      <c r="CL251" s="23">
        <f>+'QTR Raw'!BF80</f>
        <v>1356.12</v>
      </c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E251" s="123"/>
      <c r="DF251" s="23">
        <v>1356.12</v>
      </c>
    </row>
    <row r="252" spans="1:110" s="23" customFormat="1" outlineLevel="1" x14ac:dyDescent="0.2">
      <c r="A252" s="23" t="s">
        <v>76</v>
      </c>
      <c r="B252" s="23">
        <f>'Annual Raw'!C78</f>
        <v>1036.2748403000001</v>
      </c>
      <c r="C252" s="23">
        <f>'Annual Raw'!D78</f>
        <v>328.02</v>
      </c>
      <c r="D252" s="23">
        <f>'Annual Raw'!E78</f>
        <v>152.56</v>
      </c>
      <c r="E252" s="23">
        <f>'Annual Raw'!F78</f>
        <v>109.43</v>
      </c>
      <c r="F252" s="23">
        <f>'Annual Raw'!G78</f>
        <v>1074.3599999999999</v>
      </c>
      <c r="G252" s="23">
        <f>'Annual Raw'!H78</f>
        <v>1079.32</v>
      </c>
      <c r="H252" s="23">
        <f>'Annual Raw'!I78</f>
        <v>1402.42</v>
      </c>
      <c r="I252" s="23">
        <f>'Annual Raw'!J78</f>
        <v>562.29</v>
      </c>
      <c r="J252" s="23">
        <f>'Annual Raw'!K78</f>
        <v>1177.97</v>
      </c>
      <c r="K252" s="23">
        <f>'Annual Raw'!L78</f>
        <v>2310.75</v>
      </c>
      <c r="L252" s="23">
        <f>'Annual Raw'!M78</f>
        <v>2206.59</v>
      </c>
      <c r="M252" s="23">
        <f>'Annual Raw'!N78</f>
        <v>3694.12</v>
      </c>
      <c r="N252" s="23">
        <f>'Annual Raw'!O78</f>
        <v>1989.89</v>
      </c>
      <c r="O252" s="23">
        <f>'Annual Raw'!P78</f>
        <v>1555.01</v>
      </c>
      <c r="P252" s="23">
        <f>'Annual Raw'!Q78</f>
        <v>1483.45</v>
      </c>
      <c r="Q252" s="23">
        <f>'Annual Raw'!R78</f>
        <v>663.16</v>
      </c>
      <c r="R252" s="23">
        <f>'Annual Raw'!S78</f>
        <v>954.3</v>
      </c>
      <c r="S252" s="23">
        <f>'Annual Raw'!T78</f>
        <v>1185.78</v>
      </c>
      <c r="T252" s="23">
        <f>'Annual Raw'!U78</f>
        <v>787.45</v>
      </c>
      <c r="U252" s="23">
        <f>'Annual Raw'!V78</f>
        <v>2094.1799999999998</v>
      </c>
      <c r="V252" s="23">
        <f>'Annual Raw'!W78</f>
        <v>5870.67</v>
      </c>
      <c r="W252" s="23">
        <f>'Annual Raw'!X78</f>
        <v>6640.7</v>
      </c>
      <c r="X252" s="23">
        <f>'Annual Raw'!Y78</f>
        <v>11206.53</v>
      </c>
      <c r="Y252" s="23">
        <f>'Annual Raw'!Z78</f>
        <v>9151.91</v>
      </c>
      <c r="Z252" s="23">
        <f>'Annual Raw'!AA78</f>
        <v>11750.98</v>
      </c>
      <c r="AA252" s="23">
        <f>'Annual Raw'!AB78</f>
        <v>13644</v>
      </c>
      <c r="AB252" s="24">
        <f t="shared" si="1494"/>
        <v>8864.4914078723887</v>
      </c>
      <c r="AC252" s="24">
        <f t="shared" si="1495"/>
        <v>6376.7104266201814</v>
      </c>
      <c r="AD252" s="24">
        <f t="shared" si="1496"/>
        <v>9968.1349592557472</v>
      </c>
      <c r="AE252" s="24">
        <f t="shared" si="1497"/>
        <v>14681.547522519266</v>
      </c>
      <c r="AJ252" s="23">
        <f>+'QTR Raw'!D83</f>
        <v>365.11</v>
      </c>
      <c r="AK252" s="23">
        <f t="shared" ref="AK252:AM252" si="1499">+AK302</f>
        <v>-268.6482939620285</v>
      </c>
      <c r="AL252" s="23">
        <f>+'QTR Raw'!F83</f>
        <v>1989.89</v>
      </c>
      <c r="AM252" s="23">
        <f t="shared" si="1499"/>
        <v>2349.7609965059301</v>
      </c>
      <c r="AN252" s="23">
        <f>+'QTR Raw'!H83</f>
        <v>1943.81</v>
      </c>
      <c r="AO252" s="23">
        <f t="shared" ref="AO252" si="1500">+AO302</f>
        <v>2179.8703508167432</v>
      </c>
      <c r="AP252" s="23">
        <f>+'QTR Raw'!J83</f>
        <v>1555.01</v>
      </c>
      <c r="AQ252" s="23">
        <f t="shared" ref="AQ252" si="1501">+AQ302</f>
        <v>1860.1810226122641</v>
      </c>
      <c r="AR252" s="23">
        <f>+'QTR Raw'!L83</f>
        <v>2049.4299999999998</v>
      </c>
      <c r="AS252" s="23">
        <f t="shared" ref="AS252" si="1502">+AS302</f>
        <v>2684.5952423112808</v>
      </c>
      <c r="AT252" s="23">
        <f>+'QTR Raw'!N83</f>
        <v>1483.45</v>
      </c>
      <c r="AU252" s="23">
        <f t="shared" ref="AU252" si="1503">+AU302</f>
        <v>2638.0725892175133</v>
      </c>
      <c r="AV252" s="23">
        <f>+'QTR Raw'!P83</f>
        <v>1004.16</v>
      </c>
      <c r="AW252" s="23">
        <f t="shared" ref="AW252" si="1504">+AW302</f>
        <v>1949.6001193139336</v>
      </c>
      <c r="AX252" s="23">
        <f>+'QTR Raw'!R83</f>
        <v>663.16</v>
      </c>
      <c r="AY252" s="23">
        <f t="shared" ref="AY252" si="1505">+AY302</f>
        <v>1159.9732658055782</v>
      </c>
      <c r="AZ252" s="23">
        <f>+'QTR Raw'!T83</f>
        <v>814.54</v>
      </c>
      <c r="BA252" s="23">
        <f t="shared" ref="BA252" si="1506">+BA302</f>
        <v>2453.2001427434739</v>
      </c>
      <c r="BB252" s="23">
        <f>+'QTR Raw'!V83</f>
        <v>954.3</v>
      </c>
      <c r="BC252" s="23">
        <f t="shared" ref="BC252" si="1507">+BC302</f>
        <v>2487.1088722727545</v>
      </c>
      <c r="BD252" s="23">
        <f>+'QTR Raw'!X83</f>
        <v>755.73</v>
      </c>
      <c r="BE252" s="23">
        <f t="shared" ref="BE252" si="1508">+BE302</f>
        <v>2260.7259863391355</v>
      </c>
      <c r="BF252" s="23">
        <f>+'QTR Raw'!Z83</f>
        <v>1185.78</v>
      </c>
      <c r="BG252" s="23">
        <f t="shared" ref="BG252" si="1509">+BG302</f>
        <v>3298.1305146246855</v>
      </c>
      <c r="BH252" s="23">
        <f>+'QTR Raw'!AB83</f>
        <v>908</v>
      </c>
      <c r="BI252" s="23">
        <f t="shared" ref="BI252" si="1510">+BI302</f>
        <v>1221.6437976530615</v>
      </c>
      <c r="BJ252" s="23">
        <f>+'QTR Raw'!AD83</f>
        <v>787.45</v>
      </c>
      <c r="BK252" s="23">
        <f t="shared" ref="BK252" si="1511">+BK302</f>
        <v>1003.1801887731954</v>
      </c>
      <c r="BL252" s="23">
        <f>+'QTR Raw'!AF83</f>
        <v>1426.69</v>
      </c>
      <c r="BM252" s="23">
        <f t="shared" ref="BM252" si="1512">+BM302</f>
        <v>2394.4647400303747</v>
      </c>
      <c r="BN252" s="23">
        <f>+'QTR Raw'!AH83</f>
        <v>2094.1799999999998</v>
      </c>
      <c r="BO252" s="23">
        <f t="shared" ref="BO252" si="1513">+BO302</f>
        <v>3048.858258261851</v>
      </c>
      <c r="BP252" s="23">
        <f>+'QTR Raw'!AJ83</f>
        <v>4620.8999999999996</v>
      </c>
      <c r="BQ252" s="23">
        <f t="shared" ref="BQ252" si="1514">+BQ302</f>
        <v>6476.1188048459553</v>
      </c>
      <c r="BR252" s="23">
        <f>+'QTR Raw'!AL83</f>
        <v>5870.67</v>
      </c>
      <c r="BS252" s="23">
        <f t="shared" ref="BS252" si="1515">+BS302</f>
        <v>6760.8120557582133</v>
      </c>
      <c r="BT252" s="23">
        <f>+'QTR Raw'!AN83</f>
        <v>4607.7299999999996</v>
      </c>
      <c r="BU252" s="23">
        <f t="shared" ref="BU252" si="1516">+BU302</f>
        <v>4905.7853491358974</v>
      </c>
      <c r="BV252" s="23">
        <f>+'QTR Raw'!AP83</f>
        <v>6640.7</v>
      </c>
      <c r="BW252" s="23">
        <f t="shared" ref="BW252" si="1517">+BW302</f>
        <v>7413.9257955377734</v>
      </c>
      <c r="BX252" s="23">
        <f>+'QTR Raw'!AR83</f>
        <v>6215.82</v>
      </c>
      <c r="BY252" s="23">
        <f t="shared" ref="BY252" si="1518">+BY302</f>
        <v>9157.5970679195343</v>
      </c>
      <c r="BZ252" s="23">
        <f>+'QTR Raw'!AT83</f>
        <v>11206.53</v>
      </c>
      <c r="CA252" s="23">
        <f t="shared" ref="CA252" si="1519">+CA302</f>
        <v>12011.416483455596</v>
      </c>
      <c r="CB252" s="23">
        <f>+'QTR Raw'!AV83</f>
        <v>10101.709999999999</v>
      </c>
      <c r="CC252" s="23">
        <f t="shared" ref="CC252" si="1520">+CC302</f>
        <v>12035.281801057699</v>
      </c>
      <c r="CD252" s="23">
        <f>+'QTR Raw'!AX83</f>
        <v>9151.91</v>
      </c>
      <c r="CE252" s="23">
        <f t="shared" ref="CE252" si="1521">+CE302</f>
        <v>11089.716438752077</v>
      </c>
      <c r="CF252" s="23">
        <f>+'QTR Raw'!AZ83</f>
        <v>9218.36</v>
      </c>
      <c r="CG252" s="23">
        <f t="shared" ref="CG252:CI252" si="1522">+CG302</f>
        <v>10729.013268701659</v>
      </c>
      <c r="CH252" s="23">
        <f t="shared" si="1498"/>
        <v>11750.98</v>
      </c>
      <c r="CI252" s="23">
        <f t="shared" si="1522"/>
        <v>16087.104875619158</v>
      </c>
      <c r="CJ252" s="23">
        <f>+'QTR Raw'!BD83</f>
        <v>9399.84</v>
      </c>
      <c r="CK252" s="23">
        <f t="shared" ref="CK252:DB252" si="1523">+CK302</f>
        <v>9903.2131025847084</v>
      </c>
      <c r="CL252" s="23">
        <f>+'QTR Raw'!BF83</f>
        <v>13644</v>
      </c>
      <c r="CM252" s="24">
        <f t="shared" si="1523"/>
        <v>13758.165332485931</v>
      </c>
      <c r="CN252" s="24">
        <f t="shared" si="1523"/>
        <v>12541.551784488265</v>
      </c>
      <c r="CO252" s="24">
        <f t="shared" si="1523"/>
        <v>10836.411220675644</v>
      </c>
      <c r="CP252" s="24">
        <f t="shared" si="1523"/>
        <v>8864.4914078723887</v>
      </c>
      <c r="CQ252" s="24">
        <f t="shared" si="1523"/>
        <v>8060.8750424453028</v>
      </c>
      <c r="CR252" s="24">
        <f t="shared" si="1523"/>
        <v>7182.7070762508738</v>
      </c>
      <c r="CS252" s="24">
        <f t="shared" si="1523"/>
        <v>7456.9920554669998</v>
      </c>
      <c r="CT252" s="24">
        <f t="shared" si="1523"/>
        <v>6376.7104266201814</v>
      </c>
      <c r="CU252" s="24">
        <f t="shared" si="1523"/>
        <v>6729.3791985553671</v>
      </c>
      <c r="CV252" s="24">
        <f t="shared" si="1523"/>
        <v>7281.9888764524821</v>
      </c>
      <c r="CW252" s="24">
        <f t="shared" si="1523"/>
        <v>9481.9981679672019</v>
      </c>
      <c r="CX252" s="24">
        <f t="shared" si="1523"/>
        <v>9968.1349592557472</v>
      </c>
      <c r="CY252" s="24">
        <f t="shared" si="1523"/>
        <v>10525.607711866553</v>
      </c>
      <c r="CZ252" s="24">
        <f t="shared" si="1523"/>
        <v>11345.868776183393</v>
      </c>
      <c r="DA252" s="24">
        <f t="shared" si="1523"/>
        <v>13930.222921918405</v>
      </c>
      <c r="DB252" s="24">
        <f t="shared" si="1523"/>
        <v>14681.547522519266</v>
      </c>
      <c r="DE252" s="123"/>
      <c r="DF252" s="23">
        <v>1935.2885559882925</v>
      </c>
    </row>
    <row r="253" spans="1:110" s="22" customFormat="1" x14ac:dyDescent="0.2">
      <c r="A253" s="22" t="s">
        <v>77</v>
      </c>
      <c r="B253" s="22">
        <f>B251+B252</f>
        <v>1059.9367788</v>
      </c>
      <c r="C253" s="22">
        <f t="shared" ref="C253:V253" si="1524">C251+C252</f>
        <v>531.63</v>
      </c>
      <c r="D253" s="22">
        <f t="shared" si="1524"/>
        <v>242.62</v>
      </c>
      <c r="E253" s="22">
        <f t="shared" si="1524"/>
        <v>248.82</v>
      </c>
      <c r="F253" s="22">
        <f t="shared" si="1524"/>
        <v>2050.0500000000002</v>
      </c>
      <c r="G253" s="22">
        <f t="shared" si="1524"/>
        <v>1655.26</v>
      </c>
      <c r="H253" s="22">
        <f t="shared" si="1524"/>
        <v>1838.0900000000001</v>
      </c>
      <c r="I253" s="22">
        <f t="shared" si="1524"/>
        <v>740.68</v>
      </c>
      <c r="J253" s="22">
        <f t="shared" si="1524"/>
        <v>1731.1</v>
      </c>
      <c r="K253" s="22">
        <f t="shared" si="1524"/>
        <v>2679.83</v>
      </c>
      <c r="L253" s="22">
        <f t="shared" si="1524"/>
        <v>2438.3700000000003</v>
      </c>
      <c r="M253" s="22">
        <f t="shared" si="1524"/>
        <v>4471.6000000000004</v>
      </c>
      <c r="N253" s="22">
        <f t="shared" si="1524"/>
        <v>2467.29</v>
      </c>
      <c r="O253" s="22">
        <f t="shared" si="1524"/>
        <v>1895.55</v>
      </c>
      <c r="P253" s="22">
        <f t="shared" si="1524"/>
        <v>2089.02</v>
      </c>
      <c r="Q253" s="22">
        <f t="shared" si="1524"/>
        <v>999.1099999999999</v>
      </c>
      <c r="R253" s="22">
        <f t="shared" si="1524"/>
        <v>2052.08</v>
      </c>
      <c r="S253" s="22">
        <f t="shared" si="1524"/>
        <v>1621.94</v>
      </c>
      <c r="T253" s="22">
        <f t="shared" si="1524"/>
        <v>954.43000000000006</v>
      </c>
      <c r="U253" s="22">
        <f t="shared" si="1524"/>
        <v>2793.6899999999996</v>
      </c>
      <c r="V253" s="22">
        <f t="shared" si="1524"/>
        <v>6370.21</v>
      </c>
      <c r="W253" s="22">
        <f t="shared" ref="W253" si="1525">W251+W252</f>
        <v>7051.2199999999993</v>
      </c>
      <c r="X253" s="22">
        <f t="shared" ref="X253:Y253" si="1526">X251+X252</f>
        <v>12356.130000000001</v>
      </c>
      <c r="Y253" s="22">
        <f t="shared" si="1526"/>
        <v>10629.8</v>
      </c>
      <c r="Z253" s="22">
        <f t="shared" ref="Z253:AA253" si="1527">Z251+Z252</f>
        <v>13053.4</v>
      </c>
      <c r="AA253" s="22">
        <f t="shared" si="1527"/>
        <v>15000.119999999999</v>
      </c>
      <c r="AB253" s="21">
        <f t="shared" ref="AA253:AD253" si="1528">AB251+AB252</f>
        <v>8864.4914078723887</v>
      </c>
      <c r="AC253" s="21">
        <f t="shared" si="1528"/>
        <v>6376.7104266201814</v>
      </c>
      <c r="AD253" s="21">
        <f t="shared" si="1528"/>
        <v>9968.1349592557472</v>
      </c>
      <c r="AE253" s="21">
        <f t="shared" ref="AE253" si="1529">AE251+AE252</f>
        <v>14681.547522519266</v>
      </c>
      <c r="AJ253" s="22">
        <f t="shared" ref="AJ253" si="1530">AJ251+AJ252</f>
        <v>453.42</v>
      </c>
      <c r="AK253" s="22">
        <f t="shared" ref="AK253" si="1531">AK251+AK252</f>
        <v>-268.6482939620285</v>
      </c>
      <c r="AL253" s="22">
        <f t="shared" ref="AL253:AM253" si="1532">AL251+AL252</f>
        <v>2467.29</v>
      </c>
      <c r="AM253" s="22">
        <f t="shared" si="1532"/>
        <v>2349.7609965059301</v>
      </c>
      <c r="AN253" s="22">
        <f t="shared" ref="AN253:AO253" si="1533">AN251+AN252</f>
        <v>2181.02</v>
      </c>
      <c r="AO253" s="22">
        <f t="shared" si="1533"/>
        <v>2179.8703508167432</v>
      </c>
      <c r="AP253" s="22">
        <f t="shared" ref="AP253:CE253" si="1534">AP251+AP252</f>
        <v>1895.55</v>
      </c>
      <c r="AQ253" s="22">
        <f t="shared" si="1534"/>
        <v>1860.1810226122641</v>
      </c>
      <c r="AR253" s="22">
        <f t="shared" si="1534"/>
        <v>2470.3999999999996</v>
      </c>
      <c r="AS253" s="22">
        <f t="shared" si="1534"/>
        <v>2684.5952423112808</v>
      </c>
      <c r="AT253" s="22">
        <f t="shared" si="1534"/>
        <v>2089.02</v>
      </c>
      <c r="AU253" s="22">
        <f t="shared" si="1534"/>
        <v>2638.0725892175133</v>
      </c>
      <c r="AV253" s="22">
        <f t="shared" si="1534"/>
        <v>1411.44</v>
      </c>
      <c r="AW253" s="22">
        <f t="shared" si="1534"/>
        <v>1949.6001193139336</v>
      </c>
      <c r="AX253" s="22">
        <f t="shared" si="1534"/>
        <v>999.1099999999999</v>
      </c>
      <c r="AY253" s="22">
        <f t="shared" si="1534"/>
        <v>1159.9732658055782</v>
      </c>
      <c r="AZ253" s="22">
        <f t="shared" si="1534"/>
        <v>1646.04</v>
      </c>
      <c r="BA253" s="22">
        <f t="shared" si="1534"/>
        <v>2453.2001427434739</v>
      </c>
      <c r="BB253" s="22">
        <f t="shared" si="1534"/>
        <v>2052.08</v>
      </c>
      <c r="BC253" s="22">
        <f t="shared" si="1534"/>
        <v>2487.1088722727545</v>
      </c>
      <c r="BD253" s="22">
        <f t="shared" si="1534"/>
        <v>1520.88</v>
      </c>
      <c r="BE253" s="22">
        <f t="shared" si="1534"/>
        <v>2260.7259863391355</v>
      </c>
      <c r="BF253" s="22">
        <f t="shared" si="1534"/>
        <v>1621.94</v>
      </c>
      <c r="BG253" s="22">
        <f t="shared" si="1534"/>
        <v>3298.1305146246855</v>
      </c>
      <c r="BH253" s="22">
        <f t="shared" si="1534"/>
        <v>1252.1500000000001</v>
      </c>
      <c r="BI253" s="22">
        <f t="shared" si="1534"/>
        <v>1221.6437976530615</v>
      </c>
      <c r="BJ253" s="22">
        <f t="shared" si="1534"/>
        <v>954.43000000000006</v>
      </c>
      <c r="BK253" s="22">
        <f t="shared" si="1534"/>
        <v>1003.1801887731954</v>
      </c>
      <c r="BL253" s="22">
        <f t="shared" si="1534"/>
        <v>1990.89</v>
      </c>
      <c r="BM253" s="22">
        <f t="shared" si="1534"/>
        <v>2394.4647400303747</v>
      </c>
      <c r="BN253" s="22">
        <f t="shared" si="1534"/>
        <v>2793.6899999999996</v>
      </c>
      <c r="BO253" s="22">
        <f t="shared" si="1534"/>
        <v>3048.858258261851</v>
      </c>
      <c r="BP253" s="22">
        <f t="shared" si="1534"/>
        <v>6066.75</v>
      </c>
      <c r="BQ253" s="22">
        <f t="shared" si="1534"/>
        <v>6476.1188048459553</v>
      </c>
      <c r="BR253" s="22">
        <f t="shared" si="1534"/>
        <v>6370.21</v>
      </c>
      <c r="BS253" s="22">
        <f t="shared" si="1534"/>
        <v>6760.8120557582133</v>
      </c>
      <c r="BT253" s="22">
        <f t="shared" si="1534"/>
        <v>4817.16</v>
      </c>
      <c r="BU253" s="22">
        <f t="shared" si="1534"/>
        <v>4905.7853491358974</v>
      </c>
      <c r="BV253" s="22">
        <f t="shared" si="1534"/>
        <v>7051.2199999999993</v>
      </c>
      <c r="BW253" s="22">
        <f t="shared" si="1534"/>
        <v>7413.9257955377734</v>
      </c>
      <c r="BX253" s="22">
        <f t="shared" si="1534"/>
        <v>8251.42</v>
      </c>
      <c r="BY253" s="22">
        <f t="shared" si="1534"/>
        <v>9157.5970679195343</v>
      </c>
      <c r="BZ253" s="22">
        <f t="shared" si="1534"/>
        <v>12356.130000000001</v>
      </c>
      <c r="CA253" s="22">
        <f t="shared" si="1534"/>
        <v>12011.416483455596</v>
      </c>
      <c r="CB253" s="22">
        <f t="shared" si="1534"/>
        <v>10773.46</v>
      </c>
      <c r="CC253" s="22">
        <f t="shared" si="1534"/>
        <v>12035.281801057699</v>
      </c>
      <c r="CD253" s="22">
        <f t="shared" si="1534"/>
        <v>10629.8</v>
      </c>
      <c r="CE253" s="22">
        <f t="shared" si="1534"/>
        <v>11089.716438752077</v>
      </c>
      <c r="CF253" s="22">
        <f t="shared" ref="CF253:CG253" si="1535">CF251+CF252</f>
        <v>9655.92</v>
      </c>
      <c r="CG253" s="22">
        <f t="shared" si="1535"/>
        <v>10729.013268701659</v>
      </c>
      <c r="CH253" s="22">
        <f t="shared" ref="CH253:CI253" si="1536">CH251+CH252</f>
        <v>13053.4</v>
      </c>
      <c r="CI253" s="22">
        <f t="shared" si="1536"/>
        <v>16087.104875619158</v>
      </c>
      <c r="CJ253" s="22">
        <f t="shared" ref="CJ253:DB253" si="1537">CJ251+CJ252</f>
        <v>11142.67</v>
      </c>
      <c r="CK253" s="22">
        <f t="shared" si="1537"/>
        <v>9903.2131025847084</v>
      </c>
      <c r="CL253" s="22">
        <f t="shared" ref="CL253" si="1538">CL251+CL252</f>
        <v>15000.119999999999</v>
      </c>
      <c r="CM253" s="21">
        <f t="shared" si="1537"/>
        <v>13758.165332485931</v>
      </c>
      <c r="CN253" s="21">
        <f t="shared" si="1537"/>
        <v>12541.551784488265</v>
      </c>
      <c r="CO253" s="21">
        <f t="shared" si="1537"/>
        <v>10836.411220675644</v>
      </c>
      <c r="CP253" s="21">
        <f t="shared" si="1537"/>
        <v>8864.4914078723887</v>
      </c>
      <c r="CQ253" s="21">
        <f t="shared" si="1537"/>
        <v>8060.8750424453028</v>
      </c>
      <c r="CR253" s="21">
        <f t="shared" si="1537"/>
        <v>7182.7070762508738</v>
      </c>
      <c r="CS253" s="21">
        <f t="shared" si="1537"/>
        <v>7456.9920554669998</v>
      </c>
      <c r="CT253" s="21">
        <f t="shared" si="1537"/>
        <v>6376.7104266201814</v>
      </c>
      <c r="CU253" s="21">
        <f t="shared" si="1537"/>
        <v>6729.3791985553671</v>
      </c>
      <c r="CV253" s="21">
        <f t="shared" si="1537"/>
        <v>7281.9888764524821</v>
      </c>
      <c r="CW253" s="21">
        <f t="shared" si="1537"/>
        <v>9481.9981679672019</v>
      </c>
      <c r="CX253" s="21">
        <f t="shared" si="1537"/>
        <v>9968.1349592557472</v>
      </c>
      <c r="CY253" s="21">
        <f t="shared" si="1537"/>
        <v>10525.607711866553</v>
      </c>
      <c r="CZ253" s="21">
        <f t="shared" si="1537"/>
        <v>11345.868776183393</v>
      </c>
      <c r="DA253" s="21">
        <f t="shared" si="1537"/>
        <v>13930.222921918405</v>
      </c>
      <c r="DB253" s="21">
        <f t="shared" si="1537"/>
        <v>14681.547522519266</v>
      </c>
      <c r="DE253" s="126"/>
      <c r="DF253" s="22">
        <v>1935.2885559882925</v>
      </c>
    </row>
    <row r="254" spans="1:110" s="23" customFormat="1" x14ac:dyDescent="0.2">
      <c r="AB254" s="24"/>
      <c r="AC254" s="24"/>
      <c r="AD254" s="24"/>
      <c r="AE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E254" s="123"/>
    </row>
    <row r="255" spans="1:110" s="23" customFormat="1" x14ac:dyDescent="0.2">
      <c r="A255" s="23" t="s">
        <v>78</v>
      </c>
      <c r="B255" s="23">
        <f>-'Annual Raw'!C49</f>
        <v>0</v>
      </c>
      <c r="C255" s="23">
        <f>-'Annual Raw'!D49</f>
        <v>-130.57</v>
      </c>
      <c r="D255" s="23">
        <f>-'Annual Raw'!E49</f>
        <v>21.22</v>
      </c>
      <c r="E255" s="23">
        <f>-'Annual Raw'!F49</f>
        <v>17.66</v>
      </c>
      <c r="F255" s="23">
        <f>-'Annual Raw'!G49</f>
        <v>-43.96</v>
      </c>
      <c r="G255" s="23">
        <f>-'Annual Raw'!H49</f>
        <v>-33.619999999999997</v>
      </c>
      <c r="H255" s="23">
        <f>-'Annual Raw'!I49</f>
        <v>-45.82</v>
      </c>
      <c r="I255" s="23">
        <f>-'Annual Raw'!J49</f>
        <v>-282.02</v>
      </c>
      <c r="J255" s="23">
        <f>-'Annual Raw'!K49</f>
        <v>-515.42999999999995</v>
      </c>
      <c r="K255" s="23">
        <f>-'Annual Raw'!L49</f>
        <v>-430.79</v>
      </c>
      <c r="L255" s="23">
        <f>-'Annual Raw'!M49</f>
        <v>-475.25</v>
      </c>
      <c r="M255" s="23">
        <f>-'Annual Raw'!N49</f>
        <v>-638.74</v>
      </c>
      <c r="N255" s="23">
        <f>-'Annual Raw'!O49</f>
        <v>-1000.53</v>
      </c>
      <c r="O255" s="23">
        <f>-'Annual Raw'!P49</f>
        <v>-1122.92</v>
      </c>
      <c r="P255" s="23">
        <f>-'Annual Raw'!Q49</f>
        <v>-1395.52</v>
      </c>
      <c r="Q255" s="23">
        <f>-'Annual Raw'!R49</f>
        <v>-2093.66</v>
      </c>
      <c r="R255" s="23">
        <f>-'Annual Raw'!S49</f>
        <v>-1659.61</v>
      </c>
      <c r="S255" s="23">
        <f>-'Annual Raw'!T49</f>
        <v>-398.39</v>
      </c>
      <c r="T255" s="23">
        <f>-'Annual Raw'!U49</f>
        <v>-967.32</v>
      </c>
      <c r="U255" s="23">
        <f>-'Annual Raw'!V49</f>
        <v>-1099.8</v>
      </c>
      <c r="V255" s="23">
        <f>-'Annual Raw'!W49</f>
        <v>-792.13</v>
      </c>
      <c r="W255" s="23">
        <f>-'Annual Raw'!X49</f>
        <v>-698.7</v>
      </c>
      <c r="X255" s="23">
        <f>-'Annual Raw'!Y49</f>
        <v>-1666.47</v>
      </c>
      <c r="Y255" s="23">
        <f>-'Annual Raw'!Z49</f>
        <v>-2273.2399999999998</v>
      </c>
      <c r="Z255" s="23">
        <f>-'Annual Raw'!AA49</f>
        <v>-3586.13</v>
      </c>
      <c r="AA255" s="23">
        <f>-'Annual Raw'!AB49</f>
        <v>-4200.34</v>
      </c>
      <c r="AB255" s="24">
        <f t="shared" ref="AB255:AB256" si="1539">+CP255</f>
        <v>-4200.34</v>
      </c>
      <c r="AC255" s="24">
        <f t="shared" ref="AC255:AC256" si="1540">+CT255</f>
        <v>-4200.34</v>
      </c>
      <c r="AD255" s="24">
        <f t="shared" ref="AD255:AD256" si="1541">+CX255</f>
        <v>-4200.34</v>
      </c>
      <c r="AE255" s="24">
        <f t="shared" ref="AE255:AE256" si="1542">+DB255</f>
        <v>-4200.34</v>
      </c>
      <c r="AJ255" s="23">
        <f>+'QTR Raw'!D96</f>
        <v>-450.06</v>
      </c>
      <c r="AK255" s="23">
        <f t="shared" ref="AK255:CE255" si="1543">+AJ255</f>
        <v>-450.06</v>
      </c>
      <c r="AL255" s="23">
        <f>+'QTR Raw'!F96</f>
        <v>-1000.53</v>
      </c>
      <c r="AM255" s="23">
        <f t="shared" si="1543"/>
        <v>-1000.53</v>
      </c>
      <c r="AN255" s="23">
        <f>+'QTR Raw'!H96</f>
        <v>-1004.95</v>
      </c>
      <c r="AO255" s="23">
        <f t="shared" si="1543"/>
        <v>-1004.95</v>
      </c>
      <c r="AP255" s="23">
        <f>+'QTR Raw'!J96</f>
        <v>-1122.92</v>
      </c>
      <c r="AQ255" s="23">
        <f t="shared" si="1543"/>
        <v>-1122.92</v>
      </c>
      <c r="AR255" s="23">
        <f>+'QTR Raw'!L96</f>
        <v>-1234.19</v>
      </c>
      <c r="AS255" s="23">
        <f t="shared" si="1543"/>
        <v>-1234.19</v>
      </c>
      <c r="AT255" s="23">
        <f>+'QTR Raw'!N96</f>
        <v>-1395.52</v>
      </c>
      <c r="AU255" s="23">
        <f t="shared" si="1543"/>
        <v>-1395.52</v>
      </c>
      <c r="AV255" s="23">
        <f>+'QTR Raw'!P96</f>
        <v>-1472.68</v>
      </c>
      <c r="AW255" s="23">
        <f t="shared" si="1543"/>
        <v>-1472.68</v>
      </c>
      <c r="AX255" s="23">
        <f>+'QTR Raw'!R96</f>
        <v>-2093.66</v>
      </c>
      <c r="AY255" s="23">
        <f t="shared" si="1543"/>
        <v>-2093.66</v>
      </c>
      <c r="AZ255" s="23">
        <f>+'QTR Raw'!T96</f>
        <v>-3087.24</v>
      </c>
      <c r="BA255" s="23">
        <f t="shared" si="1543"/>
        <v>-3087.24</v>
      </c>
      <c r="BB255" s="23">
        <f>+'QTR Raw'!V96</f>
        <v>-1659.61</v>
      </c>
      <c r="BC255" s="23">
        <f t="shared" si="1543"/>
        <v>-1659.61</v>
      </c>
      <c r="BD255" s="23">
        <f>+'QTR Raw'!X96</f>
        <v>-1093.6199999999999</v>
      </c>
      <c r="BE255" s="23">
        <f t="shared" si="1543"/>
        <v>-1093.6199999999999</v>
      </c>
      <c r="BF255" s="23">
        <f>+'QTR Raw'!Z96</f>
        <v>-398.39</v>
      </c>
      <c r="BG255" s="23">
        <f t="shared" si="1543"/>
        <v>-398.39</v>
      </c>
      <c r="BH255" s="23">
        <f>+'QTR Raw'!AB96</f>
        <v>-939.76</v>
      </c>
      <c r="BI255" s="23">
        <f t="shared" si="1543"/>
        <v>-939.76</v>
      </c>
      <c r="BJ255" s="23">
        <f>+'QTR Raw'!AD96</f>
        <v>-967.32</v>
      </c>
      <c r="BK255" s="23">
        <f t="shared" si="1543"/>
        <v>-967.32</v>
      </c>
      <c r="BL255" s="23">
        <f>+'QTR Raw'!AF96</f>
        <v>-1121.54</v>
      </c>
      <c r="BM255" s="23">
        <f t="shared" si="1543"/>
        <v>-1121.54</v>
      </c>
      <c r="BN255" s="23">
        <f>+'QTR Raw'!AH96</f>
        <v>-1099.8</v>
      </c>
      <c r="BO255" s="23">
        <f t="shared" si="1543"/>
        <v>-1099.8</v>
      </c>
      <c r="BP255" s="23">
        <f>+'QTR Raw'!AJ96</f>
        <v>-1287.4100000000001</v>
      </c>
      <c r="BQ255" s="23">
        <f t="shared" si="1543"/>
        <v>-1287.4100000000001</v>
      </c>
      <c r="BR255" s="23">
        <f>+'QTR Raw'!AL96</f>
        <v>-792.13</v>
      </c>
      <c r="BS255" s="23">
        <f t="shared" si="1543"/>
        <v>-792.13</v>
      </c>
      <c r="BT255" s="23">
        <f>+'QTR Raw'!AN96</f>
        <v>-1211.27</v>
      </c>
      <c r="BU255" s="23">
        <f t="shared" si="1543"/>
        <v>-1211.27</v>
      </c>
      <c r="BV255" s="23">
        <f>+'QTR Raw'!AP96</f>
        <v>-698.7</v>
      </c>
      <c r="BW255" s="23">
        <f t="shared" si="1543"/>
        <v>-698.7</v>
      </c>
      <c r="BX255" s="23">
        <f>+'QTR Raw'!AR96</f>
        <v>-1065.04</v>
      </c>
      <c r="BY255" s="23">
        <f t="shared" si="1543"/>
        <v>-1065.04</v>
      </c>
      <c r="BZ255" s="23">
        <f>+'QTR Raw'!AT96</f>
        <v>-1666.47</v>
      </c>
      <c r="CA255" s="23">
        <f t="shared" si="1543"/>
        <v>-1666.47</v>
      </c>
      <c r="CB255" s="23">
        <f>+'QTR Raw'!AV96</f>
        <v>-1846.44</v>
      </c>
      <c r="CC255" s="23">
        <f t="shared" si="1543"/>
        <v>-1846.44</v>
      </c>
      <c r="CD255" s="23">
        <f>+'QTR Raw'!AX96</f>
        <v>-2273.2399999999998</v>
      </c>
      <c r="CE255" s="23">
        <f t="shared" si="1543"/>
        <v>-2273.2399999999998</v>
      </c>
      <c r="CF255" s="23">
        <f>+'QTR Raw'!AZ96</f>
        <v>-3236.17</v>
      </c>
      <c r="CG255" s="23">
        <f t="shared" ref="CG255:CI256" si="1544">+CF255</f>
        <v>-3236.17</v>
      </c>
      <c r="CH255" s="23">
        <f t="shared" ref="CH255:CH256" si="1545">Z255</f>
        <v>-3586.13</v>
      </c>
      <c r="CI255" s="23">
        <f t="shared" si="1544"/>
        <v>-3586.13</v>
      </c>
      <c r="CJ255" s="23">
        <f>+'QTR Raw'!BD96</f>
        <v>-4055.18</v>
      </c>
      <c r="CK255" s="23">
        <f t="shared" ref="CK255:CK256" si="1546">+CJ255</f>
        <v>-4055.18</v>
      </c>
      <c r="CL255" s="23">
        <f>+'QTR Raw'!BF96</f>
        <v>-4200.34</v>
      </c>
      <c r="CM255" s="24">
        <f t="shared" ref="CM255:CM256" si="1547">+CL255</f>
        <v>-4200.34</v>
      </c>
      <c r="CN255" s="24">
        <f t="shared" ref="CN255:CN256" si="1548">+CM255</f>
        <v>-4200.34</v>
      </c>
      <c r="CO255" s="24">
        <f t="shared" ref="CO255:CO256" si="1549">+CN255</f>
        <v>-4200.34</v>
      </c>
      <c r="CP255" s="24">
        <f t="shared" ref="CP255:CP256" si="1550">+CO255</f>
        <v>-4200.34</v>
      </c>
      <c r="CQ255" s="24">
        <f t="shared" ref="CQ255:CQ256" si="1551">+CP255</f>
        <v>-4200.34</v>
      </c>
      <c r="CR255" s="24">
        <f t="shared" ref="CR255:CR256" si="1552">+CQ255</f>
        <v>-4200.34</v>
      </c>
      <c r="CS255" s="24">
        <f t="shared" ref="CS255:CS256" si="1553">+CR255</f>
        <v>-4200.34</v>
      </c>
      <c r="CT255" s="24">
        <f t="shared" ref="CT255:CT256" si="1554">+CS255</f>
        <v>-4200.34</v>
      </c>
      <c r="CU255" s="24">
        <f t="shared" ref="CU255:CU256" si="1555">+CT255</f>
        <v>-4200.34</v>
      </c>
      <c r="CV255" s="24">
        <f t="shared" ref="CV255:CV256" si="1556">+CU255</f>
        <v>-4200.34</v>
      </c>
      <c r="CW255" s="24">
        <f t="shared" ref="CW255:CW256" si="1557">+CV255</f>
        <v>-4200.34</v>
      </c>
      <c r="CX255" s="24">
        <f t="shared" ref="CX255:CX256" si="1558">+CW255</f>
        <v>-4200.34</v>
      </c>
      <c r="CY255" s="24">
        <f t="shared" ref="CY255:CY256" si="1559">+CX255</f>
        <v>-4200.34</v>
      </c>
      <c r="CZ255" s="24">
        <f t="shared" ref="CZ255:CZ256" si="1560">+CY255</f>
        <v>-4200.34</v>
      </c>
      <c r="DA255" s="24">
        <f t="shared" ref="DA255:DA256" si="1561">+CZ255</f>
        <v>-4200.34</v>
      </c>
      <c r="DB255" s="24">
        <f t="shared" ref="DB255:DB256" si="1562">+DA255</f>
        <v>-4200.34</v>
      </c>
      <c r="DE255" s="123"/>
      <c r="DF255" s="23">
        <v>-4055.18</v>
      </c>
    </row>
    <row r="256" spans="1:110" s="23" customFormat="1" x14ac:dyDescent="0.2">
      <c r="A256" s="23" t="s">
        <v>79</v>
      </c>
      <c r="B256" s="23">
        <f>'Annual Raw'!C83</f>
        <v>55.462655499999997</v>
      </c>
      <c r="C256" s="23">
        <f>'Annual Raw'!D83</f>
        <v>42.38</v>
      </c>
      <c r="D256" s="23">
        <f>'Annual Raw'!E83</f>
        <v>36.659999999999997</v>
      </c>
      <c r="E256" s="23">
        <f>'Annual Raw'!F83</f>
        <v>58.39</v>
      </c>
      <c r="F256" s="23">
        <f>'Annual Raw'!G83</f>
        <v>50.57</v>
      </c>
      <c r="G256" s="23">
        <f>'Annual Raw'!H83</f>
        <v>28.92</v>
      </c>
      <c r="H256" s="23">
        <f>'Annual Raw'!I83</f>
        <v>6.24</v>
      </c>
      <c r="I256" s="23">
        <f>'Annual Raw'!J83</f>
        <v>2.4900000000000002</v>
      </c>
      <c r="J256" s="23">
        <f>'Annual Raw'!K83</f>
        <v>0.79</v>
      </c>
      <c r="K256" s="23">
        <f>'Annual Raw'!L83</f>
        <v>389.55</v>
      </c>
      <c r="L256" s="23">
        <f>'Annual Raw'!M83</f>
        <v>0</v>
      </c>
      <c r="M256" s="23">
        <f>'Annual Raw'!N83</f>
        <v>0</v>
      </c>
      <c r="N256" s="23">
        <f>'Annual Raw'!O83</f>
        <v>0</v>
      </c>
      <c r="O256" s="23">
        <f>'Annual Raw'!P83</f>
        <v>0</v>
      </c>
      <c r="P256" s="23">
        <f>'Annual Raw'!Q83</f>
        <v>0</v>
      </c>
      <c r="Q256" s="23">
        <f>'Annual Raw'!R83</f>
        <v>0</v>
      </c>
      <c r="R256" s="23">
        <f>'Annual Raw'!S83</f>
        <v>0</v>
      </c>
      <c r="S256" s="23">
        <f>'Annual Raw'!T83</f>
        <v>0</v>
      </c>
      <c r="T256" s="23">
        <f>'Annual Raw'!U83</f>
        <v>0</v>
      </c>
      <c r="U256" s="23">
        <f>'Annual Raw'!V83</f>
        <v>0</v>
      </c>
      <c r="V256" s="23">
        <f>'Annual Raw'!W83</f>
        <v>0</v>
      </c>
      <c r="W256" s="23">
        <f>'Annual Raw'!X83</f>
        <v>0</v>
      </c>
      <c r="X256" s="23">
        <f>'Annual Raw'!Y83</f>
        <v>0</v>
      </c>
      <c r="Y256" s="23">
        <f>'Annual Raw'!Z83</f>
        <v>0</v>
      </c>
      <c r="Z256" s="23">
        <f>'Annual Raw'!AA83</f>
        <v>0</v>
      </c>
      <c r="AA256" s="23">
        <f>'Annual Raw'!AB83</f>
        <v>0</v>
      </c>
      <c r="AB256" s="24">
        <f t="shared" si="1539"/>
        <v>0</v>
      </c>
      <c r="AC256" s="24">
        <f t="shared" si="1540"/>
        <v>0</v>
      </c>
      <c r="AD256" s="24">
        <f t="shared" si="1541"/>
        <v>0</v>
      </c>
      <c r="AE256" s="24">
        <f t="shared" si="1542"/>
        <v>0</v>
      </c>
      <c r="AJ256" s="23">
        <f>+'QTR Raw'!D95</f>
        <v>0</v>
      </c>
      <c r="AK256" s="23">
        <f t="shared" ref="AK256:CE256" si="1563">+AJ256</f>
        <v>0</v>
      </c>
      <c r="AL256" s="23">
        <f>+'QTR Raw'!F95</f>
        <v>0</v>
      </c>
      <c r="AM256" s="23">
        <f t="shared" si="1563"/>
        <v>0</v>
      </c>
      <c r="AN256" s="23">
        <f>+'QTR Raw'!H95</f>
        <v>0</v>
      </c>
      <c r="AO256" s="23">
        <f t="shared" si="1563"/>
        <v>0</v>
      </c>
      <c r="AP256" s="23">
        <f>+'QTR Raw'!J95</f>
        <v>0</v>
      </c>
      <c r="AQ256" s="23">
        <f t="shared" si="1563"/>
        <v>0</v>
      </c>
      <c r="AR256" s="23">
        <f>+'QTR Raw'!L95</f>
        <v>0</v>
      </c>
      <c r="AS256" s="23">
        <f t="shared" si="1563"/>
        <v>0</v>
      </c>
      <c r="AT256" s="23">
        <f>+'QTR Raw'!N95</f>
        <v>0</v>
      </c>
      <c r="AU256" s="23">
        <f t="shared" si="1563"/>
        <v>0</v>
      </c>
      <c r="AV256" s="23">
        <f>+'QTR Raw'!P95</f>
        <v>0</v>
      </c>
      <c r="AW256" s="23">
        <f t="shared" si="1563"/>
        <v>0</v>
      </c>
      <c r="AX256" s="23">
        <f>+'QTR Raw'!R95</f>
        <v>0</v>
      </c>
      <c r="AY256" s="23">
        <f t="shared" si="1563"/>
        <v>0</v>
      </c>
      <c r="AZ256" s="23">
        <f>+'QTR Raw'!T95</f>
        <v>0</v>
      </c>
      <c r="BA256" s="23">
        <f t="shared" si="1563"/>
        <v>0</v>
      </c>
      <c r="BB256" s="23">
        <f>+'QTR Raw'!V95</f>
        <v>0</v>
      </c>
      <c r="BC256" s="23">
        <f t="shared" si="1563"/>
        <v>0</v>
      </c>
      <c r="BD256" s="23">
        <f>+'QTR Raw'!X95</f>
        <v>0</v>
      </c>
      <c r="BE256" s="23">
        <f t="shared" si="1563"/>
        <v>0</v>
      </c>
      <c r="BF256" s="23">
        <f>+'QTR Raw'!Z95</f>
        <v>0</v>
      </c>
      <c r="BG256" s="23">
        <f t="shared" si="1563"/>
        <v>0</v>
      </c>
      <c r="BH256" s="23">
        <f>+'QTR Raw'!AB95</f>
        <v>0</v>
      </c>
      <c r="BI256" s="23">
        <f t="shared" si="1563"/>
        <v>0</v>
      </c>
      <c r="BJ256" s="23">
        <f>+'QTR Raw'!AD95</f>
        <v>0</v>
      </c>
      <c r="BK256" s="23">
        <f t="shared" si="1563"/>
        <v>0</v>
      </c>
      <c r="BL256" s="23">
        <f>+'QTR Raw'!AF95</f>
        <v>0</v>
      </c>
      <c r="BM256" s="23">
        <f t="shared" si="1563"/>
        <v>0</v>
      </c>
      <c r="BN256" s="23">
        <f>+'QTR Raw'!AH95</f>
        <v>0</v>
      </c>
      <c r="BO256" s="23">
        <f t="shared" si="1563"/>
        <v>0</v>
      </c>
      <c r="BP256" s="23">
        <f>+'QTR Raw'!AJ95</f>
        <v>0</v>
      </c>
      <c r="BQ256" s="23">
        <f t="shared" si="1563"/>
        <v>0</v>
      </c>
      <c r="BR256" s="23">
        <f>+'QTR Raw'!AL95</f>
        <v>0</v>
      </c>
      <c r="BS256" s="23">
        <f t="shared" si="1563"/>
        <v>0</v>
      </c>
      <c r="BT256" s="23">
        <f>+'QTR Raw'!AN95</f>
        <v>0</v>
      </c>
      <c r="BU256" s="23">
        <f t="shared" si="1563"/>
        <v>0</v>
      </c>
      <c r="BV256" s="23">
        <f>+'QTR Raw'!AP95</f>
        <v>0</v>
      </c>
      <c r="BW256" s="23">
        <f t="shared" si="1563"/>
        <v>0</v>
      </c>
      <c r="BX256" s="23">
        <f>+'QTR Raw'!AR95</f>
        <v>0</v>
      </c>
      <c r="BY256" s="23">
        <f t="shared" si="1563"/>
        <v>0</v>
      </c>
      <c r="BZ256" s="23">
        <f>+'QTR Raw'!AT95</f>
        <v>0</v>
      </c>
      <c r="CA256" s="23">
        <f t="shared" si="1563"/>
        <v>0</v>
      </c>
      <c r="CB256" s="23">
        <f>+'QTR Raw'!AV95</f>
        <v>0</v>
      </c>
      <c r="CC256" s="23">
        <f t="shared" si="1563"/>
        <v>0</v>
      </c>
      <c r="CD256" s="23">
        <f>+'QTR Raw'!AX95</f>
        <v>0</v>
      </c>
      <c r="CE256" s="23">
        <f t="shared" si="1563"/>
        <v>0</v>
      </c>
      <c r="CF256" s="23">
        <f>+'QTR Raw'!AZ95</f>
        <v>0</v>
      </c>
      <c r="CG256" s="23">
        <f t="shared" si="1544"/>
        <v>0</v>
      </c>
      <c r="CH256" s="23">
        <f t="shared" si="1545"/>
        <v>0</v>
      </c>
      <c r="CI256" s="23">
        <f t="shared" si="1544"/>
        <v>0</v>
      </c>
      <c r="CJ256" s="23">
        <f>+'QTR Raw'!BD95</f>
        <v>0</v>
      </c>
      <c r="CK256" s="23">
        <f t="shared" si="1546"/>
        <v>0</v>
      </c>
      <c r="CL256" s="23">
        <f>+'QTR Raw'!BF95</f>
        <v>0</v>
      </c>
      <c r="CM256" s="24">
        <f t="shared" si="1547"/>
        <v>0</v>
      </c>
      <c r="CN256" s="24">
        <f t="shared" si="1548"/>
        <v>0</v>
      </c>
      <c r="CO256" s="24">
        <f t="shared" si="1549"/>
        <v>0</v>
      </c>
      <c r="CP256" s="24">
        <f t="shared" si="1550"/>
        <v>0</v>
      </c>
      <c r="CQ256" s="24">
        <f t="shared" si="1551"/>
        <v>0</v>
      </c>
      <c r="CR256" s="24">
        <f t="shared" si="1552"/>
        <v>0</v>
      </c>
      <c r="CS256" s="24">
        <f t="shared" si="1553"/>
        <v>0</v>
      </c>
      <c r="CT256" s="24">
        <f t="shared" si="1554"/>
        <v>0</v>
      </c>
      <c r="CU256" s="24">
        <f t="shared" si="1555"/>
        <v>0</v>
      </c>
      <c r="CV256" s="24">
        <f t="shared" si="1556"/>
        <v>0</v>
      </c>
      <c r="CW256" s="24">
        <f t="shared" si="1557"/>
        <v>0</v>
      </c>
      <c r="CX256" s="24">
        <f t="shared" si="1558"/>
        <v>0</v>
      </c>
      <c r="CY256" s="24">
        <f t="shared" si="1559"/>
        <v>0</v>
      </c>
      <c r="CZ256" s="24">
        <f t="shared" si="1560"/>
        <v>0</v>
      </c>
      <c r="DA256" s="24">
        <f t="shared" si="1561"/>
        <v>0</v>
      </c>
      <c r="DB256" s="24">
        <f t="shared" si="1562"/>
        <v>0</v>
      </c>
      <c r="DE256" s="123"/>
      <c r="DF256" s="23">
        <v>0</v>
      </c>
    </row>
    <row r="257" spans="1:110" s="26" customFormat="1" x14ac:dyDescent="0.2">
      <c r="A257" s="26" t="s">
        <v>438</v>
      </c>
      <c r="B257" s="26">
        <f t="shared" ref="B257:W257" si="1564">B255+B253+B249+B232+B230+B256</f>
        <v>6465.9502897000011</v>
      </c>
      <c r="C257" s="26">
        <f t="shared" si="1564"/>
        <v>7042.15</v>
      </c>
      <c r="D257" s="26">
        <f t="shared" si="1564"/>
        <v>7228.93</v>
      </c>
      <c r="E257" s="26">
        <f t="shared" si="1564"/>
        <v>6894.55</v>
      </c>
      <c r="F257" s="26">
        <f t="shared" si="1564"/>
        <v>8772.59</v>
      </c>
      <c r="G257" s="26">
        <f t="shared" si="1564"/>
        <v>9917.1299999999992</v>
      </c>
      <c r="H257" s="26">
        <f t="shared" si="1564"/>
        <v>11451.7</v>
      </c>
      <c r="I257" s="26">
        <f t="shared" si="1564"/>
        <v>18311.150000000001</v>
      </c>
      <c r="J257" s="26">
        <f t="shared" si="1564"/>
        <v>24548.429999999997</v>
      </c>
      <c r="K257" s="26">
        <f t="shared" si="1564"/>
        <v>32063.279999999999</v>
      </c>
      <c r="L257" s="26">
        <f t="shared" si="1564"/>
        <v>40183.17</v>
      </c>
      <c r="M257" s="26">
        <f t="shared" si="1564"/>
        <v>49665.47</v>
      </c>
      <c r="N257" s="26">
        <f t="shared" si="1564"/>
        <v>53782.679999999993</v>
      </c>
      <c r="O257" s="26">
        <f t="shared" si="1564"/>
        <v>56346.92</v>
      </c>
      <c r="P257" s="26">
        <f t="shared" si="1564"/>
        <v>58918.180000000008</v>
      </c>
      <c r="Q257" s="26">
        <f t="shared" si="1564"/>
        <v>53731.780000000006</v>
      </c>
      <c r="R257" s="26">
        <f t="shared" si="1564"/>
        <v>65398.950000000012</v>
      </c>
      <c r="S257" s="26">
        <f t="shared" si="1564"/>
        <v>67004.41</v>
      </c>
      <c r="T257" s="26">
        <f t="shared" si="1564"/>
        <v>68978.209999999992</v>
      </c>
      <c r="U257" s="26">
        <f t="shared" si="1564"/>
        <v>70273.989999999991</v>
      </c>
      <c r="V257" s="26">
        <f t="shared" si="1564"/>
        <v>68420.199999999983</v>
      </c>
      <c r="W257" s="26">
        <f t="shared" si="1564"/>
        <v>73618.459999999992</v>
      </c>
      <c r="X257" s="26">
        <f t="shared" ref="X257:Y257" si="1565">X255+X253+X249+X232+X230+X256</f>
        <v>83178.550000000017</v>
      </c>
      <c r="Y257" s="26">
        <f t="shared" si="1565"/>
        <v>87812.58</v>
      </c>
      <c r="Z257" s="26">
        <f t="shared" ref="Z257:AA257" si="1566">Z255+Z253+Z249+Z232+Z230+Z256</f>
        <v>100751.59999999999</v>
      </c>
      <c r="AA257" s="26">
        <f t="shared" si="1566"/>
        <v>118660.47</v>
      </c>
      <c r="AB257" s="27">
        <f t="shared" ref="AA257:AD257" si="1567">AB255+AB253+AB249+AB232+AB230+AB256</f>
        <v>124474.39067190104</v>
      </c>
      <c r="AC257" s="27">
        <f t="shared" si="1567"/>
        <v>130232.12094991148</v>
      </c>
      <c r="AD257" s="27">
        <f t="shared" si="1567"/>
        <v>136701.82177786165</v>
      </c>
      <c r="AE257" s="27">
        <f t="shared" ref="AE257" si="1568">AE255+AE253+AE249+AE232+AE230+AE256</f>
        <v>144238.87404660397</v>
      </c>
      <c r="AJ257" s="26">
        <f t="shared" ref="AJ257" si="1569">AJ255+AJ253+AJ249+AJ232+AJ230+AJ256</f>
        <v>23145.98</v>
      </c>
      <c r="AK257" s="26">
        <f t="shared" ref="AK257:AL257" si="1570">AK255+AK253+AK249+AK232+AK230+AK256</f>
        <v>22817.059999999998</v>
      </c>
      <c r="AL257" s="26">
        <f t="shared" si="1570"/>
        <v>51046.91</v>
      </c>
      <c r="AM257" s="26">
        <f t="shared" ref="AM257:AO257" si="1571">AM255+AM253+AM249+AM232+AM230+AM256</f>
        <v>50932.21</v>
      </c>
      <c r="AN257" s="26">
        <f t="shared" si="1571"/>
        <v>54760.009999999995</v>
      </c>
      <c r="AO257" s="26">
        <f t="shared" si="1571"/>
        <v>54685.099999999991</v>
      </c>
      <c r="AP257" s="26">
        <f t="shared" ref="AP257:CE257" si="1572">AP255+AP253+AP249+AP232+AP230+AP256</f>
        <v>51351.100000000006</v>
      </c>
      <c r="AQ257" s="26">
        <f t="shared" si="1572"/>
        <v>51239.80000000001</v>
      </c>
      <c r="AR257" s="26">
        <f t="shared" si="1572"/>
        <v>54088.30000000001</v>
      </c>
      <c r="AS257" s="26">
        <f t="shared" si="1572"/>
        <v>54286.040000000008</v>
      </c>
      <c r="AT257" s="26">
        <f t="shared" si="1572"/>
        <v>55291.17</v>
      </c>
      <c r="AU257" s="26">
        <f t="shared" si="1572"/>
        <v>55594.31</v>
      </c>
      <c r="AV257" s="26">
        <f t="shared" si="1572"/>
        <v>53824.090000000004</v>
      </c>
      <c r="AW257" s="26">
        <f t="shared" si="1572"/>
        <v>54257.340000000004</v>
      </c>
      <c r="AX257" s="26">
        <f t="shared" si="1572"/>
        <v>51885.98</v>
      </c>
      <c r="AY257" s="26">
        <f t="shared" si="1572"/>
        <v>51958.47</v>
      </c>
      <c r="AZ257" s="26">
        <f t="shared" si="1572"/>
        <v>60394.979999999996</v>
      </c>
      <c r="BA257" s="26">
        <f t="shared" si="1572"/>
        <v>61014.210000000006</v>
      </c>
      <c r="BB257" s="26">
        <f t="shared" si="1572"/>
        <v>58006.289999999994</v>
      </c>
      <c r="BC257" s="26">
        <f t="shared" si="1572"/>
        <v>58355.06</v>
      </c>
      <c r="BD257" s="26">
        <f t="shared" si="1572"/>
        <v>55991.18</v>
      </c>
      <c r="BE257" s="26">
        <f t="shared" si="1572"/>
        <v>56581.99</v>
      </c>
      <c r="BF257" s="26">
        <f t="shared" si="1572"/>
        <v>59598.76</v>
      </c>
      <c r="BG257" s="26">
        <f t="shared" si="1572"/>
        <v>61269.670000000006</v>
      </c>
      <c r="BH257" s="26">
        <f t="shared" ref="BH257" si="1573">BH255+BH253+BH249+BH232+BH230+BH256</f>
        <v>65645.36</v>
      </c>
      <c r="BI257" s="26">
        <f t="shared" si="1572"/>
        <v>65787.22</v>
      </c>
      <c r="BJ257" s="26">
        <f t="shared" si="1572"/>
        <v>65486.78</v>
      </c>
      <c r="BK257" s="26">
        <f t="shared" si="1572"/>
        <v>65650.33</v>
      </c>
      <c r="BL257" s="26">
        <f t="shared" si="1572"/>
        <v>65389.73</v>
      </c>
      <c r="BM257" s="26">
        <f t="shared" si="1572"/>
        <v>65583.05</v>
      </c>
      <c r="BN257" s="26">
        <f t="shared" si="1572"/>
        <v>66437.56</v>
      </c>
      <c r="BO257" s="26">
        <f t="shared" si="1572"/>
        <v>66644.180000000008</v>
      </c>
      <c r="BP257" s="26">
        <f t="shared" si="1572"/>
        <v>64779.08</v>
      </c>
      <c r="BQ257" s="26">
        <f t="shared" si="1572"/>
        <v>65027.29</v>
      </c>
      <c r="BR257" s="26">
        <f t="shared" si="1572"/>
        <v>68420.2</v>
      </c>
      <c r="BS257" s="26">
        <f t="shared" si="1572"/>
        <v>68811.23</v>
      </c>
      <c r="BT257" s="26">
        <f t="shared" si="1572"/>
        <v>69937.37</v>
      </c>
      <c r="BU257" s="26">
        <f t="shared" si="1572"/>
        <v>70363.179999999993</v>
      </c>
      <c r="BV257" s="26">
        <f t="shared" si="1572"/>
        <v>73618.459999999992</v>
      </c>
      <c r="BW257" s="26">
        <f t="shared" si="1572"/>
        <v>74413.059999999983</v>
      </c>
      <c r="BX257" s="26">
        <f t="shared" si="1572"/>
        <v>79416.34</v>
      </c>
      <c r="BY257" s="26">
        <f t="shared" si="1572"/>
        <v>80361.359999999986</v>
      </c>
      <c r="BZ257" s="26">
        <f t="shared" si="1572"/>
        <v>83178.55</v>
      </c>
      <c r="CA257" s="26">
        <f t="shared" si="1572"/>
        <v>84151.040000000008</v>
      </c>
      <c r="CB257" s="26">
        <f t="shared" si="1572"/>
        <v>84172.12</v>
      </c>
      <c r="CC257" s="26">
        <f t="shared" si="1572"/>
        <v>85125.13</v>
      </c>
      <c r="CD257" s="26">
        <f t="shared" si="1572"/>
        <v>87812.580000000016</v>
      </c>
      <c r="CE257" s="26">
        <f t="shared" si="1572"/>
        <v>88783.62000000001</v>
      </c>
      <c r="CF257" s="26">
        <f t="shared" ref="CF257:CG257" si="1574">CF255+CF253+CF249+CF232+CF230+CF256</f>
        <v>93904.550000000017</v>
      </c>
      <c r="CG257" s="26">
        <f t="shared" si="1574"/>
        <v>94935.250000000015</v>
      </c>
      <c r="CH257" s="26">
        <f t="shared" ref="CH257:CI257" si="1575">CH255+CH253+CH249+CH232+CH230+CH256</f>
        <v>100751.59999999999</v>
      </c>
      <c r="CI257" s="26">
        <f t="shared" si="1575"/>
        <v>101812.26999999999</v>
      </c>
      <c r="CJ257" s="26">
        <f t="shared" ref="CJ257:DB257" si="1576">CJ255+CJ253+CJ249+CJ232+CJ230+CJ256</f>
        <v>109887.04000000001</v>
      </c>
      <c r="CK257" s="26">
        <f t="shared" si="1576"/>
        <v>110659.02000000002</v>
      </c>
      <c r="CL257" s="26">
        <f t="shared" ref="CL257" si="1577">CL255+CL253+CL249+CL232+CL230+CL256</f>
        <v>118660.45999999999</v>
      </c>
      <c r="CM257" s="27">
        <f t="shared" si="1576"/>
        <v>119747.2731274762</v>
      </c>
      <c r="CN257" s="27">
        <f t="shared" si="1576"/>
        <v>121550.93665521752</v>
      </c>
      <c r="CO257" s="27">
        <f t="shared" si="1576"/>
        <v>122993.95585496798</v>
      </c>
      <c r="CP257" s="27">
        <f t="shared" si="1576"/>
        <v>124474.39067190104</v>
      </c>
      <c r="CQ257" s="27">
        <f t="shared" si="1576"/>
        <v>125923.8653341091</v>
      </c>
      <c r="CR257" s="27">
        <f t="shared" si="1576"/>
        <v>127578.16217932946</v>
      </c>
      <c r="CS257" s="27">
        <f t="shared" si="1576"/>
        <v>128829.91710030743</v>
      </c>
      <c r="CT257" s="27">
        <f t="shared" si="1576"/>
        <v>130232.12094991148</v>
      </c>
      <c r="CU257" s="27">
        <f t="shared" si="1576"/>
        <v>131837.36563746727</v>
      </c>
      <c r="CV257" s="27">
        <f t="shared" si="1576"/>
        <v>133654.83422962675</v>
      </c>
      <c r="CW257" s="27">
        <f t="shared" si="1576"/>
        <v>135075.88709091363</v>
      </c>
      <c r="CX257" s="27">
        <f t="shared" si="1576"/>
        <v>136701.82177786165</v>
      </c>
      <c r="CY257" s="27">
        <f t="shared" si="1576"/>
        <v>138566.7747260106</v>
      </c>
      <c r="CZ257" s="27">
        <f t="shared" si="1576"/>
        <v>140660.46129311554</v>
      </c>
      <c r="DA257" s="27">
        <f t="shared" si="1576"/>
        <v>142336.69786387024</v>
      </c>
      <c r="DB257" s="27">
        <f t="shared" si="1576"/>
        <v>144238.87404660397</v>
      </c>
      <c r="DE257" s="121"/>
      <c r="DF257" s="26">
        <v>111850.31856058547</v>
      </c>
    </row>
    <row r="258" spans="1:110" s="23" customFormat="1" x14ac:dyDescent="0.2">
      <c r="A258" s="28" t="s">
        <v>439</v>
      </c>
      <c r="B258" s="23">
        <f t="shared" ref="B258:W258" si="1578">B257-B221</f>
        <v>0</v>
      </c>
      <c r="C258" s="23">
        <f t="shared" si="1578"/>
        <v>0</v>
      </c>
      <c r="D258" s="23">
        <f t="shared" si="1578"/>
        <v>0</v>
      </c>
      <c r="E258" s="23">
        <f t="shared" si="1578"/>
        <v>0</v>
      </c>
      <c r="F258" s="23">
        <f t="shared" si="1578"/>
        <v>0</v>
      </c>
      <c r="G258" s="23">
        <f t="shared" si="1578"/>
        <v>0</v>
      </c>
      <c r="H258" s="23">
        <f t="shared" si="1578"/>
        <v>0</v>
      </c>
      <c r="I258" s="23">
        <f t="shared" si="1578"/>
        <v>0</v>
      </c>
      <c r="J258" s="23">
        <f t="shared" si="1578"/>
        <v>0</v>
      </c>
      <c r="K258" s="23">
        <f t="shared" si="1578"/>
        <v>0</v>
      </c>
      <c r="L258" s="23">
        <f t="shared" si="1578"/>
        <v>0</v>
      </c>
      <c r="M258" s="23">
        <f t="shared" si="1578"/>
        <v>0</v>
      </c>
      <c r="N258" s="23">
        <f t="shared" si="1578"/>
        <v>0</v>
      </c>
      <c r="O258" s="23">
        <f t="shared" si="1578"/>
        <v>0</v>
      </c>
      <c r="P258" s="23">
        <f t="shared" si="1578"/>
        <v>0</v>
      </c>
      <c r="Q258" s="23">
        <f t="shared" si="1578"/>
        <v>0</v>
      </c>
      <c r="R258" s="23">
        <f t="shared" si="1578"/>
        <v>0</v>
      </c>
      <c r="S258" s="23">
        <f t="shared" si="1578"/>
        <v>0</v>
      </c>
      <c r="T258" s="23">
        <f t="shared" si="1578"/>
        <v>0</v>
      </c>
      <c r="U258" s="23">
        <f t="shared" si="1578"/>
        <v>0</v>
      </c>
      <c r="V258" s="23">
        <f t="shared" si="1578"/>
        <v>0</v>
      </c>
      <c r="W258" s="23">
        <f t="shared" si="1578"/>
        <v>0</v>
      </c>
      <c r="X258" s="23">
        <f t="shared" ref="X258:Y258" si="1579">X257-X221</f>
        <v>0</v>
      </c>
      <c r="Y258" s="23">
        <f t="shared" si="1579"/>
        <v>0</v>
      </c>
      <c r="Z258" s="23">
        <f t="shared" ref="Z258:AA258" si="1580">Z257-Z221</f>
        <v>0</v>
      </c>
      <c r="AA258" s="23">
        <f t="shared" si="1580"/>
        <v>0</v>
      </c>
      <c r="AB258" s="24">
        <f t="shared" ref="AA258:AD258" si="1581">AB257-AB221</f>
        <v>0</v>
      </c>
      <c r="AC258" s="24">
        <f t="shared" si="1581"/>
        <v>0</v>
      </c>
      <c r="AD258" s="24">
        <f t="shared" si="1581"/>
        <v>0</v>
      </c>
      <c r="AE258" s="24">
        <f t="shared" ref="AE258" si="1582">AE257-AE221</f>
        <v>0</v>
      </c>
      <c r="AJ258" s="23">
        <f t="shared" ref="AJ258" si="1583">AJ257-AJ221</f>
        <v>0</v>
      </c>
      <c r="AK258" s="23">
        <f t="shared" ref="AK258" si="1584">AK257-AK221</f>
        <v>0</v>
      </c>
      <c r="AL258" s="23">
        <f t="shared" ref="AL258:AM258" si="1585">AL257-AL221</f>
        <v>0</v>
      </c>
      <c r="AM258" s="23">
        <f t="shared" si="1585"/>
        <v>0</v>
      </c>
      <c r="AN258" s="23">
        <f t="shared" ref="AN258:AO258" si="1586">AN257-AN221</f>
        <v>0</v>
      </c>
      <c r="AO258" s="23">
        <f t="shared" si="1586"/>
        <v>0</v>
      </c>
      <c r="AP258" s="23">
        <f t="shared" ref="AP258:CE258" si="1587">AP257-AP221</f>
        <v>0</v>
      </c>
      <c r="AQ258" s="23">
        <f t="shared" si="1587"/>
        <v>0</v>
      </c>
      <c r="AR258" s="23">
        <f t="shared" si="1587"/>
        <v>0</v>
      </c>
      <c r="AS258" s="23">
        <f t="shared" si="1587"/>
        <v>0</v>
      </c>
      <c r="AT258" s="23">
        <f t="shared" si="1587"/>
        <v>0</v>
      </c>
      <c r="AU258" s="23">
        <f t="shared" si="1587"/>
        <v>0</v>
      </c>
      <c r="AV258" s="23">
        <f t="shared" si="1587"/>
        <v>0</v>
      </c>
      <c r="AW258" s="23">
        <f t="shared" si="1587"/>
        <v>0</v>
      </c>
      <c r="AX258" s="23">
        <f t="shared" si="1587"/>
        <v>0</v>
      </c>
      <c r="AY258" s="23">
        <f t="shared" si="1587"/>
        <v>0</v>
      </c>
      <c r="AZ258" s="23">
        <f t="shared" si="1587"/>
        <v>0</v>
      </c>
      <c r="BA258" s="23">
        <f t="shared" si="1587"/>
        <v>0</v>
      </c>
      <c r="BB258" s="23">
        <f t="shared" si="1587"/>
        <v>0</v>
      </c>
      <c r="BC258" s="23">
        <f t="shared" si="1587"/>
        <v>0</v>
      </c>
      <c r="BD258" s="23">
        <f t="shared" si="1587"/>
        <v>0</v>
      </c>
      <c r="BE258" s="23">
        <f t="shared" si="1587"/>
        <v>0</v>
      </c>
      <c r="BF258" s="23">
        <f t="shared" si="1587"/>
        <v>0</v>
      </c>
      <c r="BG258" s="23">
        <f t="shared" si="1587"/>
        <v>0</v>
      </c>
      <c r="BH258" s="23">
        <f t="shared" ref="BH258" si="1588">BH257-BH221</f>
        <v>0</v>
      </c>
      <c r="BI258" s="23">
        <f t="shared" si="1587"/>
        <v>0</v>
      </c>
      <c r="BJ258" s="23">
        <f t="shared" si="1587"/>
        <v>0</v>
      </c>
      <c r="BK258" s="23">
        <f t="shared" si="1587"/>
        <v>0</v>
      </c>
      <c r="BL258" s="23">
        <f t="shared" si="1587"/>
        <v>0</v>
      </c>
      <c r="BM258" s="23">
        <f t="shared" si="1587"/>
        <v>0</v>
      </c>
      <c r="BN258" s="23">
        <f t="shared" si="1587"/>
        <v>0</v>
      </c>
      <c r="BO258" s="23">
        <f t="shared" si="1587"/>
        <v>0</v>
      </c>
      <c r="BP258" s="23">
        <f t="shared" si="1587"/>
        <v>-1.0000000002037268E-2</v>
      </c>
      <c r="BQ258" s="23">
        <f t="shared" si="1587"/>
        <v>-9.9999999947613105E-3</v>
      </c>
      <c r="BR258" s="23">
        <f t="shared" si="1587"/>
        <v>0</v>
      </c>
      <c r="BS258" s="23">
        <f t="shared" si="1587"/>
        <v>0</v>
      </c>
      <c r="BT258" s="23">
        <f t="shared" si="1587"/>
        <v>0</v>
      </c>
      <c r="BU258" s="23">
        <f t="shared" si="1587"/>
        <v>0</v>
      </c>
      <c r="BV258" s="23">
        <f t="shared" si="1587"/>
        <v>0</v>
      </c>
      <c r="BW258" s="23">
        <f t="shared" si="1587"/>
        <v>0</v>
      </c>
      <c r="BX258" s="23">
        <f t="shared" si="1587"/>
        <v>0</v>
      </c>
      <c r="BY258" s="23">
        <f t="shared" si="1587"/>
        <v>0</v>
      </c>
      <c r="BZ258" s="23">
        <f t="shared" si="1587"/>
        <v>0</v>
      </c>
      <c r="CA258" s="23">
        <f t="shared" si="1587"/>
        <v>0</v>
      </c>
      <c r="CB258" s="23">
        <f t="shared" si="1587"/>
        <v>0</v>
      </c>
      <c r="CC258" s="23">
        <f t="shared" si="1587"/>
        <v>0</v>
      </c>
      <c r="CD258" s="23">
        <f t="shared" si="1587"/>
        <v>0</v>
      </c>
      <c r="CE258" s="23">
        <f t="shared" si="1587"/>
        <v>0</v>
      </c>
      <c r="CF258" s="23">
        <f t="shared" ref="CF258:CG258" si="1589">CF257-CF221</f>
        <v>0</v>
      </c>
      <c r="CG258" s="23">
        <f t="shared" si="1589"/>
        <v>0</v>
      </c>
      <c r="CH258" s="23">
        <f t="shared" ref="CH258:CI258" si="1590">CH257-CH221</f>
        <v>0</v>
      </c>
      <c r="CI258" s="23">
        <f t="shared" si="1590"/>
        <v>0</v>
      </c>
      <c r="CJ258" s="23">
        <f t="shared" ref="CJ258:DB258" si="1591">CJ257-CJ221</f>
        <v>0</v>
      </c>
      <c r="CK258" s="23">
        <f t="shared" si="1591"/>
        <v>0</v>
      </c>
      <c r="CL258" s="23">
        <f t="shared" ref="CL258" si="1592">CL257-CL221</f>
        <v>0</v>
      </c>
      <c r="CM258" s="24">
        <f t="shared" si="1591"/>
        <v>0</v>
      </c>
      <c r="CN258" s="24">
        <f t="shared" si="1591"/>
        <v>0</v>
      </c>
      <c r="CO258" s="24">
        <f t="shared" si="1591"/>
        <v>0</v>
      </c>
      <c r="CP258" s="24">
        <f t="shared" si="1591"/>
        <v>0</v>
      </c>
      <c r="CQ258" s="24">
        <f t="shared" si="1591"/>
        <v>0</v>
      </c>
      <c r="CR258" s="24">
        <f t="shared" si="1591"/>
        <v>0</v>
      </c>
      <c r="CS258" s="24">
        <f t="shared" si="1591"/>
        <v>0</v>
      </c>
      <c r="CT258" s="24">
        <f t="shared" si="1591"/>
        <v>0</v>
      </c>
      <c r="CU258" s="24">
        <f t="shared" si="1591"/>
        <v>0</v>
      </c>
      <c r="CV258" s="24">
        <f t="shared" si="1591"/>
        <v>0</v>
      </c>
      <c r="CW258" s="24">
        <f t="shared" si="1591"/>
        <v>0</v>
      </c>
      <c r="CX258" s="24">
        <f t="shared" si="1591"/>
        <v>0</v>
      </c>
      <c r="CY258" s="24">
        <f t="shared" si="1591"/>
        <v>0</v>
      </c>
      <c r="CZ258" s="24">
        <f t="shared" si="1591"/>
        <v>0</v>
      </c>
      <c r="DA258" s="24">
        <f t="shared" si="1591"/>
        <v>0</v>
      </c>
      <c r="DB258" s="24">
        <f t="shared" si="1591"/>
        <v>0</v>
      </c>
      <c r="DE258" s="123"/>
      <c r="DF258" s="23">
        <v>0</v>
      </c>
    </row>
    <row r="259" spans="1:110" s="23" customFormat="1" x14ac:dyDescent="0.2">
      <c r="A259" s="28"/>
      <c r="AB259" s="24"/>
      <c r="AC259" s="24"/>
      <c r="AD259" s="24"/>
      <c r="AE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E259" s="123"/>
    </row>
    <row r="260" spans="1:110" s="22" customFormat="1" x14ac:dyDescent="0.2">
      <c r="A260" s="22" t="s">
        <v>80</v>
      </c>
      <c r="B260" s="22">
        <f t="shared" ref="B260:W260" si="1593">B220-B253</f>
        <v>1537.9487961</v>
      </c>
      <c r="C260" s="22">
        <f t="shared" si="1593"/>
        <v>2275.12</v>
      </c>
      <c r="D260" s="22">
        <f t="shared" si="1593"/>
        <v>2508.0700000000002</v>
      </c>
      <c r="E260" s="22">
        <f t="shared" si="1593"/>
        <v>1845.47</v>
      </c>
      <c r="F260" s="22">
        <f t="shared" si="1593"/>
        <v>1705.7199999999998</v>
      </c>
      <c r="G260" s="22">
        <f t="shared" si="1593"/>
        <v>2573.2099999999991</v>
      </c>
      <c r="H260" s="22">
        <f t="shared" si="1593"/>
        <v>3340.3500000000004</v>
      </c>
      <c r="I260" s="22">
        <f t="shared" si="1593"/>
        <v>8419.48</v>
      </c>
      <c r="J260" s="22">
        <f t="shared" si="1593"/>
        <v>12510.08</v>
      </c>
      <c r="K260" s="22">
        <f t="shared" si="1593"/>
        <v>15865.839999999998</v>
      </c>
      <c r="L260" s="22">
        <f t="shared" si="1593"/>
        <v>22303.770000000004</v>
      </c>
      <c r="M260" s="22">
        <f t="shared" si="1593"/>
        <v>30888.22</v>
      </c>
      <c r="N260" s="22">
        <f t="shared" si="1593"/>
        <v>36914.999999999993</v>
      </c>
      <c r="O260" s="22">
        <f t="shared" si="1593"/>
        <v>39776.99</v>
      </c>
      <c r="P260" s="22">
        <f t="shared" si="1593"/>
        <v>40017.680000000008</v>
      </c>
      <c r="Q260" s="22">
        <f t="shared" si="1593"/>
        <v>39349.479999999996</v>
      </c>
      <c r="R260" s="22">
        <f t="shared" si="1593"/>
        <v>48263.329999999994</v>
      </c>
      <c r="S260" s="22">
        <f t="shared" si="1593"/>
        <v>48467.299999999996</v>
      </c>
      <c r="T260" s="22">
        <f t="shared" si="1593"/>
        <v>49051.609999999993</v>
      </c>
      <c r="U260" s="22">
        <f t="shared" si="1593"/>
        <v>47082.239999999998</v>
      </c>
      <c r="V260" s="22">
        <f t="shared" si="1593"/>
        <v>38300.430000000008</v>
      </c>
      <c r="W260" s="22">
        <f t="shared" si="1593"/>
        <v>40538.78</v>
      </c>
      <c r="X260" s="22">
        <f t="shared" ref="X260:Y260" si="1594">X220-X253</f>
        <v>36618.300000000003</v>
      </c>
      <c r="Y260" s="22">
        <f t="shared" si="1594"/>
        <v>38850.009999999995</v>
      </c>
      <c r="Z260" s="22">
        <f t="shared" ref="Z260:AA260" si="1595">Z220-Z253</f>
        <v>45092.159999999996</v>
      </c>
      <c r="AA260" s="22">
        <f t="shared" si="1595"/>
        <v>56122.28</v>
      </c>
      <c r="AB260" s="21">
        <f t="shared" ref="AA260:AD260" si="1596">AB220-AB253</f>
        <v>62257.898592127611</v>
      </c>
      <c r="AC260" s="21">
        <f t="shared" si="1596"/>
        <v>64745.679573379821</v>
      </c>
      <c r="AD260" s="21">
        <f t="shared" si="1596"/>
        <v>61154.255040744254</v>
      </c>
      <c r="AE260" s="21">
        <f t="shared" ref="AE260" si="1597">AE220-AE253</f>
        <v>56440.842477480735</v>
      </c>
      <c r="AJ260" s="22">
        <f t="shared" ref="AJ260:AM260" si="1598">AJ220-AJ253</f>
        <v>10291.209999999999</v>
      </c>
      <c r="AK260" s="22">
        <f t="shared" si="1598"/>
        <v>11013.278293962028</v>
      </c>
      <c r="AL260" s="22">
        <f t="shared" si="1598"/>
        <v>34179.229999999996</v>
      </c>
      <c r="AM260" s="22">
        <f t="shared" si="1598"/>
        <v>34296.759003494066</v>
      </c>
      <c r="AN260" s="22">
        <f t="shared" ref="AN260:AO260" si="1599">AN220-AN253</f>
        <v>37366.14</v>
      </c>
      <c r="AO260" s="22">
        <f t="shared" si="1599"/>
        <v>37367.289649183251</v>
      </c>
      <c r="AP260" s="22">
        <f t="shared" ref="AP260:CE260" si="1600">AP220-AP253</f>
        <v>34781.17</v>
      </c>
      <c r="AQ260" s="22">
        <f t="shared" si="1600"/>
        <v>34816.53897738774</v>
      </c>
      <c r="AR260" s="22">
        <f t="shared" si="1600"/>
        <v>36586.21</v>
      </c>
      <c r="AS260" s="22">
        <f t="shared" si="1600"/>
        <v>36372.014757688718</v>
      </c>
      <c r="AT260" s="22">
        <f t="shared" si="1600"/>
        <v>36390.67</v>
      </c>
      <c r="AU260" s="22">
        <f t="shared" si="1600"/>
        <v>35841.617410782485</v>
      </c>
      <c r="AV260" s="22">
        <f t="shared" si="1600"/>
        <v>34902.86</v>
      </c>
      <c r="AW260" s="22">
        <f t="shared" si="1600"/>
        <v>34364.699880686072</v>
      </c>
      <c r="AX260" s="22">
        <f t="shared" si="1600"/>
        <v>36003.68</v>
      </c>
      <c r="AY260" s="22">
        <f t="shared" si="1600"/>
        <v>35842.816734194421</v>
      </c>
      <c r="AZ260" s="22">
        <f t="shared" si="1600"/>
        <v>40502.629999999997</v>
      </c>
      <c r="BA260" s="22">
        <f t="shared" si="1600"/>
        <v>39695.469857256525</v>
      </c>
      <c r="BB260" s="22">
        <f t="shared" si="1600"/>
        <v>39370.67</v>
      </c>
      <c r="BC260" s="22">
        <f t="shared" si="1600"/>
        <v>38935.641127727242</v>
      </c>
      <c r="BD260" s="22">
        <f t="shared" si="1600"/>
        <v>38092.83</v>
      </c>
      <c r="BE260" s="22">
        <f t="shared" si="1600"/>
        <v>37352.984013660862</v>
      </c>
      <c r="BF260" s="22">
        <f t="shared" si="1600"/>
        <v>39561.649999999994</v>
      </c>
      <c r="BG260" s="22">
        <f t="shared" si="1600"/>
        <v>37885.459485375308</v>
      </c>
      <c r="BH260" s="22">
        <f t="shared" si="1600"/>
        <v>43800.68</v>
      </c>
      <c r="BI260" s="22">
        <f t="shared" si="1600"/>
        <v>43831.186202346944</v>
      </c>
      <c r="BJ260" s="22">
        <f t="shared" si="1600"/>
        <v>44060.18</v>
      </c>
      <c r="BK260" s="22">
        <f t="shared" si="1600"/>
        <v>44011.429811226808</v>
      </c>
      <c r="BL260" s="22">
        <f t="shared" si="1600"/>
        <v>42916.36</v>
      </c>
      <c r="BM260" s="22">
        <f t="shared" si="1600"/>
        <v>42512.785259969627</v>
      </c>
      <c r="BN260" s="22">
        <f t="shared" si="1600"/>
        <v>41745.81</v>
      </c>
      <c r="BO260" s="22">
        <f t="shared" si="1600"/>
        <v>41490.641741738145</v>
      </c>
      <c r="BP260" s="22">
        <f t="shared" si="1600"/>
        <v>34415.96</v>
      </c>
      <c r="BQ260" s="22">
        <f t="shared" si="1600"/>
        <v>34006.591195154047</v>
      </c>
      <c r="BR260" s="22">
        <f t="shared" si="1600"/>
        <v>36800.43</v>
      </c>
      <c r="BS260" s="22">
        <f t="shared" si="1600"/>
        <v>36409.827944241784</v>
      </c>
      <c r="BT260" s="22">
        <f t="shared" si="1600"/>
        <v>40694.869999999995</v>
      </c>
      <c r="BU260" s="22">
        <f t="shared" si="1600"/>
        <v>40606.244650864101</v>
      </c>
      <c r="BV260" s="22">
        <f t="shared" si="1600"/>
        <v>40538.78</v>
      </c>
      <c r="BW260" s="22">
        <f t="shared" si="1600"/>
        <v>40176.074204462224</v>
      </c>
      <c r="BX260" s="22">
        <f t="shared" si="1600"/>
        <v>41283.880000000005</v>
      </c>
      <c r="BY260" s="22">
        <f t="shared" si="1600"/>
        <v>40377.702932080472</v>
      </c>
      <c r="BZ260" s="22">
        <f t="shared" si="1600"/>
        <v>36618.300000000003</v>
      </c>
      <c r="CA260" s="22">
        <f t="shared" si="1600"/>
        <v>36963.013516544408</v>
      </c>
      <c r="CB260" s="22">
        <f t="shared" si="1600"/>
        <v>37584.629999999997</v>
      </c>
      <c r="CC260" s="22">
        <f t="shared" si="1600"/>
        <v>36322.808198942294</v>
      </c>
      <c r="CD260" s="22">
        <f t="shared" si="1600"/>
        <v>38850.009999999995</v>
      </c>
      <c r="CE260" s="22">
        <f t="shared" si="1600"/>
        <v>38390.093561247922</v>
      </c>
      <c r="CF260" s="22">
        <f t="shared" ref="CF260:CG260" si="1601">CF220-CF253</f>
        <v>44335.76</v>
      </c>
      <c r="CG260" s="22">
        <f t="shared" si="1601"/>
        <v>43262.666731298341</v>
      </c>
      <c r="CH260" s="22">
        <f t="shared" ref="CH260:CI260" si="1602">CH220-CH253</f>
        <v>45092.159999999996</v>
      </c>
      <c r="CI260" s="22">
        <f t="shared" si="1602"/>
        <v>42058.455124380838</v>
      </c>
      <c r="CJ260" s="22">
        <f t="shared" ref="CJ260:DB260" si="1603">CJ220-CJ253</f>
        <v>54000.83</v>
      </c>
      <c r="CK260" s="22">
        <f t="shared" si="1603"/>
        <v>55240.286897415295</v>
      </c>
      <c r="CL260" s="22">
        <f t="shared" ref="CL260" si="1604">CL220-CL253</f>
        <v>56122.270000000004</v>
      </c>
      <c r="CM260" s="21">
        <f t="shared" si="1603"/>
        <v>57364.22466751407</v>
      </c>
      <c r="CN260" s="21">
        <f t="shared" si="1603"/>
        <v>58580.838215511736</v>
      </c>
      <c r="CO260" s="21">
        <f t="shared" si="1603"/>
        <v>60285.978779324359</v>
      </c>
      <c r="CP260" s="21">
        <f t="shared" si="1603"/>
        <v>62257.898592127611</v>
      </c>
      <c r="CQ260" s="21">
        <f t="shared" si="1603"/>
        <v>63061.514957554697</v>
      </c>
      <c r="CR260" s="21">
        <f t="shared" si="1603"/>
        <v>63939.682923749126</v>
      </c>
      <c r="CS260" s="21">
        <f t="shared" si="1603"/>
        <v>63665.397944532997</v>
      </c>
      <c r="CT260" s="21">
        <f t="shared" si="1603"/>
        <v>64745.679573379821</v>
      </c>
      <c r="CU260" s="21">
        <f t="shared" si="1603"/>
        <v>64393.01080144463</v>
      </c>
      <c r="CV260" s="21">
        <f t="shared" si="1603"/>
        <v>63840.401123547519</v>
      </c>
      <c r="CW260" s="21">
        <f t="shared" si="1603"/>
        <v>61640.391832032794</v>
      </c>
      <c r="CX260" s="21">
        <f t="shared" si="1603"/>
        <v>61154.255040744254</v>
      </c>
      <c r="CY260" s="21">
        <f t="shared" si="1603"/>
        <v>60596.782288133443</v>
      </c>
      <c r="CZ260" s="21">
        <f t="shared" si="1603"/>
        <v>59776.521223816606</v>
      </c>
      <c r="DA260" s="21">
        <f t="shared" si="1603"/>
        <v>57192.167078081591</v>
      </c>
      <c r="DB260" s="21">
        <f t="shared" si="1603"/>
        <v>56440.842477480735</v>
      </c>
      <c r="DE260" s="126"/>
      <c r="DF260" s="22">
        <v>63208.211444011707</v>
      </c>
    </row>
    <row r="261" spans="1:110" x14ac:dyDescent="0.2">
      <c r="AA261" s="2"/>
      <c r="CE261" s="111"/>
      <c r="CG261" s="111"/>
      <c r="CL261" s="2"/>
      <c r="CM261" s="24">
        <v>0</v>
      </c>
      <c r="CN261" s="24">
        <v>0</v>
      </c>
      <c r="CO261" s="24">
        <v>0</v>
      </c>
      <c r="CP261" s="24">
        <v>72311.638500000001</v>
      </c>
      <c r="CQ261" s="24">
        <v>0</v>
      </c>
      <c r="CR261" s="24">
        <v>0</v>
      </c>
      <c r="CS261" s="24">
        <v>0</v>
      </c>
      <c r="CT261" s="24">
        <v>81545.45</v>
      </c>
      <c r="DF261" s="2">
        <v>61054.753800000006</v>
      </c>
    </row>
    <row r="262" spans="1:110" s="49" customFormat="1" x14ac:dyDescent="0.2">
      <c r="A262" s="49" t="s">
        <v>81</v>
      </c>
      <c r="B262" s="49">
        <f>'Annual Raw'!C85</f>
        <v>1.792868E-3</v>
      </c>
      <c r="C262" s="49">
        <f>'Annual Raw'!D85</f>
        <v>191.29</v>
      </c>
      <c r="D262" s="49">
        <f>'Annual Raw'!E85</f>
        <v>191.71</v>
      </c>
      <c r="E262" s="49">
        <f>'Annual Raw'!F85</f>
        <v>297.3</v>
      </c>
      <c r="F262" s="49">
        <f>'Annual Raw'!G85</f>
        <v>295.14</v>
      </c>
      <c r="G262" s="49">
        <f>'Annual Raw'!H85</f>
        <v>867.67</v>
      </c>
      <c r="H262" s="49">
        <f>'Annual Raw'!I85</f>
        <v>859.67</v>
      </c>
      <c r="I262" s="49">
        <f>'Annual Raw'!J85</f>
        <v>1101.28</v>
      </c>
      <c r="J262" s="49">
        <f>'Annual Raw'!K85</f>
        <v>1787.75</v>
      </c>
      <c r="K262" s="49">
        <f>'Annual Raw'!L85</f>
        <v>2245.6799999999998</v>
      </c>
      <c r="L262" s="49">
        <f>'Annual Raw'!M85</f>
        <v>1955.17</v>
      </c>
      <c r="M262" s="49">
        <f>'Annual Raw'!N85</f>
        <v>2277.79</v>
      </c>
      <c r="N262" s="49">
        <f>'Annual Raw'!O85</f>
        <v>3397.43</v>
      </c>
      <c r="O262" s="49">
        <f>'Annual Raw'!P85</f>
        <v>2676.02</v>
      </c>
      <c r="P262" s="49">
        <f>'Annual Raw'!Q85</f>
        <v>3554.29</v>
      </c>
      <c r="Q262" s="49">
        <f>'Annual Raw'!R85</f>
        <v>8801.66</v>
      </c>
      <c r="R262" s="49">
        <f>'Annual Raw'!S85</f>
        <v>5260.24</v>
      </c>
      <c r="S262" s="49">
        <f>'Annual Raw'!T85</f>
        <v>4717.04</v>
      </c>
      <c r="T262" s="49">
        <f>'Annual Raw'!U85</f>
        <v>3255.36</v>
      </c>
      <c r="U262" s="49">
        <f>'Annual Raw'!V85</f>
        <v>2336.89</v>
      </c>
      <c r="V262" s="49">
        <f>'Annual Raw'!W85</f>
        <v>3550.08</v>
      </c>
      <c r="W262" s="49">
        <f>'Annual Raw'!X85</f>
        <v>3645.72</v>
      </c>
      <c r="X262" s="49">
        <f>'Annual Raw'!Y85</f>
        <v>4979.43</v>
      </c>
      <c r="Y262" s="49">
        <f>'Annual Raw'!Z85</f>
        <v>4910.2299999999996</v>
      </c>
      <c r="Z262" s="49">
        <f>'Annual Raw'!AA85</f>
        <v>4850.5200000000004</v>
      </c>
      <c r="AA262" s="49">
        <f>'Annual Raw'!AB85</f>
        <v>4295.13</v>
      </c>
      <c r="AB262" s="50"/>
      <c r="AC262" s="50"/>
      <c r="AD262" s="50"/>
      <c r="AE262" s="50"/>
      <c r="CM262" s="50"/>
      <c r="CN262" s="50"/>
      <c r="CO262" s="50"/>
      <c r="CP262" s="50"/>
      <c r="CQ262" s="50"/>
      <c r="CR262" s="50"/>
      <c r="CS262" s="50"/>
      <c r="CT262" s="50"/>
      <c r="CU262" s="50"/>
      <c r="CV262" s="50"/>
      <c r="CW262" s="50"/>
      <c r="CX262" s="50"/>
      <c r="CY262" s="50"/>
      <c r="CZ262" s="50"/>
      <c r="DA262" s="50"/>
      <c r="DB262" s="50"/>
      <c r="DE262" s="138"/>
    </row>
    <row r="263" spans="1:110" s="29" customFormat="1" x14ac:dyDescent="0.2">
      <c r="A263" s="29" t="s">
        <v>82</v>
      </c>
      <c r="B263" s="29">
        <f>'Annual Raw'!C95</f>
        <v>0</v>
      </c>
      <c r="C263" s="29">
        <f>'Annual Raw'!D95</f>
        <v>0</v>
      </c>
      <c r="D263" s="29">
        <f>'Annual Raw'!E95</f>
        <v>0</v>
      </c>
      <c r="E263" s="29">
        <f>'Annual Raw'!F95</f>
        <v>0.02</v>
      </c>
      <c r="F263" s="29">
        <f>'Annual Raw'!G95</f>
        <v>0.16</v>
      </c>
      <c r="G263" s="29">
        <f>'Annual Raw'!H95</f>
        <v>607.39</v>
      </c>
      <c r="H263" s="29">
        <f>'Annual Raw'!I95</f>
        <v>550</v>
      </c>
      <c r="I263" s="29">
        <f>'Annual Raw'!J95</f>
        <v>550</v>
      </c>
      <c r="J263" s="29">
        <f>'Annual Raw'!K95</f>
        <v>300</v>
      </c>
      <c r="K263" s="29">
        <f>'Annual Raw'!L95</f>
        <v>250</v>
      </c>
      <c r="L263" s="29">
        <f>'Annual Raw'!M95</f>
        <v>0</v>
      </c>
      <c r="M263" s="29">
        <f>'Annual Raw'!N95</f>
        <v>0</v>
      </c>
      <c r="N263" s="29">
        <f>'Annual Raw'!O95</f>
        <v>0</v>
      </c>
      <c r="O263" s="29">
        <f>'Annual Raw'!P95</f>
        <v>0</v>
      </c>
      <c r="P263" s="29">
        <f>'Annual Raw'!Q95</f>
        <v>0</v>
      </c>
      <c r="Q263" s="29">
        <f>'Annual Raw'!R95</f>
        <v>78.34</v>
      </c>
      <c r="R263" s="29">
        <f>'Annual Raw'!S95</f>
        <v>31.62</v>
      </c>
      <c r="S263" s="29">
        <f>'Annual Raw'!T95</f>
        <v>0</v>
      </c>
      <c r="T263" s="29">
        <f>'Annual Raw'!U95</f>
        <v>0</v>
      </c>
      <c r="U263" s="29">
        <f>'Annual Raw'!V95</f>
        <v>0</v>
      </c>
      <c r="V263" s="29">
        <f>'Annual Raw'!W95</f>
        <v>0</v>
      </c>
      <c r="W263" s="29">
        <f>'Annual Raw'!X95</f>
        <v>0</v>
      </c>
      <c r="X263" s="29">
        <f>'Annual Raw'!Y95</f>
        <v>0</v>
      </c>
      <c r="Y263" s="29">
        <f>'Annual Raw'!Z95</f>
        <v>0</v>
      </c>
      <c r="Z263" s="29">
        <f>'Annual Raw'!AA95</f>
        <v>0</v>
      </c>
      <c r="AA263" s="29">
        <f>'Annual Raw'!AB95</f>
        <v>0</v>
      </c>
      <c r="AB263" s="30"/>
      <c r="AC263" s="30"/>
      <c r="AD263" s="30"/>
      <c r="AE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E263" s="139"/>
    </row>
    <row r="264" spans="1:110" s="29" customFormat="1" x14ac:dyDescent="0.2">
      <c r="A264" s="29" t="s">
        <v>83</v>
      </c>
      <c r="B264" s="29">
        <f>'Annual Raw'!C93</f>
        <v>1.792868E-3</v>
      </c>
      <c r="C264" s="29">
        <f>'Annual Raw'!D93</f>
        <v>185.29</v>
      </c>
      <c r="D264" s="29">
        <f>'Annual Raw'!E93</f>
        <v>191.71</v>
      </c>
      <c r="E264" s="29">
        <f>'Annual Raw'!F93</f>
        <v>237.13</v>
      </c>
      <c r="F264" s="29">
        <f>'Annual Raw'!G93</f>
        <v>284.25</v>
      </c>
      <c r="G264" s="29">
        <f>'Annual Raw'!H93</f>
        <v>260.27999999999997</v>
      </c>
      <c r="H264" s="29">
        <f>'Annual Raw'!I93</f>
        <v>309.67</v>
      </c>
      <c r="I264" s="29">
        <f>'Annual Raw'!J93</f>
        <v>551.28</v>
      </c>
      <c r="J264" s="29">
        <f>'Annual Raw'!K93</f>
        <v>1487.75</v>
      </c>
      <c r="K264" s="29">
        <f>'Annual Raw'!L93</f>
        <v>1401.75</v>
      </c>
      <c r="L264" s="29">
        <f>'Annual Raw'!M93</f>
        <v>1569.18</v>
      </c>
      <c r="M264" s="29">
        <f>'Annual Raw'!N93</f>
        <v>2277.79</v>
      </c>
      <c r="N264" s="29">
        <f>'Annual Raw'!O93</f>
        <v>3397.43</v>
      </c>
      <c r="O264" s="29">
        <f>'Annual Raw'!P93</f>
        <v>2676.02</v>
      </c>
      <c r="P264" s="29">
        <f>'Annual Raw'!Q93</f>
        <v>3554.29</v>
      </c>
      <c r="Q264" s="29">
        <f>'Annual Raw'!R93</f>
        <v>8723.32</v>
      </c>
      <c r="R264" s="29">
        <f>'Annual Raw'!S93</f>
        <v>5228.62</v>
      </c>
      <c r="S264" s="29">
        <f>'Annual Raw'!T93</f>
        <v>4717.04</v>
      </c>
      <c r="T264" s="29">
        <f>'Annual Raw'!U93</f>
        <v>3255.36</v>
      </c>
      <c r="U264" s="29">
        <f>'Annual Raw'!V93</f>
        <v>2336.89</v>
      </c>
      <c r="V264" s="29">
        <f>'Annual Raw'!W93</f>
        <v>3550.08</v>
      </c>
      <c r="W264" s="29">
        <f>'Annual Raw'!X93</f>
        <v>3645.72</v>
      </c>
      <c r="X264" s="29">
        <f>'Annual Raw'!Y93</f>
        <v>4979.43</v>
      </c>
      <c r="Y264" s="29">
        <f>'Annual Raw'!Z93</f>
        <v>4910.2299999999996</v>
      </c>
      <c r="Z264" s="29">
        <f>'Annual Raw'!AA93</f>
        <v>4850.5200000000004</v>
      </c>
      <c r="AA264" s="29">
        <f>'Annual Raw'!AB93</f>
        <v>4295.13</v>
      </c>
      <c r="AB264" s="30"/>
      <c r="AC264" s="30"/>
      <c r="AD264" s="30"/>
      <c r="AE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E264" s="139"/>
    </row>
    <row r="265" spans="1:110" s="29" customFormat="1" x14ac:dyDescent="0.2">
      <c r="A265" s="29" t="s">
        <v>84</v>
      </c>
      <c r="B265" s="29">
        <f t="shared" ref="B265:V265" si="1605">B262-B263-B264</f>
        <v>0</v>
      </c>
      <c r="C265" s="29">
        <f t="shared" si="1605"/>
        <v>6</v>
      </c>
      <c r="D265" s="29">
        <f t="shared" si="1605"/>
        <v>0</v>
      </c>
      <c r="E265" s="29">
        <f t="shared" si="1605"/>
        <v>60.150000000000034</v>
      </c>
      <c r="F265" s="29">
        <f t="shared" si="1605"/>
        <v>10.729999999999961</v>
      </c>
      <c r="G265" s="29">
        <f t="shared" si="1605"/>
        <v>0</v>
      </c>
      <c r="H265" s="29">
        <f t="shared" si="1605"/>
        <v>0</v>
      </c>
      <c r="I265" s="29">
        <f t="shared" si="1605"/>
        <v>0</v>
      </c>
      <c r="J265" s="29">
        <f t="shared" si="1605"/>
        <v>0</v>
      </c>
      <c r="K265" s="29">
        <f t="shared" si="1605"/>
        <v>593.92999999999984</v>
      </c>
      <c r="L265" s="29">
        <f t="shared" si="1605"/>
        <v>385.99</v>
      </c>
      <c r="M265" s="29">
        <f t="shared" si="1605"/>
        <v>0</v>
      </c>
      <c r="N265" s="29">
        <f t="shared" si="1605"/>
        <v>0</v>
      </c>
      <c r="O265" s="29">
        <f t="shared" si="1605"/>
        <v>0</v>
      </c>
      <c r="P265" s="29">
        <f t="shared" si="1605"/>
        <v>0</v>
      </c>
      <c r="Q265" s="29">
        <f t="shared" si="1605"/>
        <v>0</v>
      </c>
      <c r="R265" s="29">
        <f t="shared" si="1605"/>
        <v>0</v>
      </c>
      <c r="S265" s="29">
        <f t="shared" si="1605"/>
        <v>0</v>
      </c>
      <c r="T265" s="29">
        <f t="shared" si="1605"/>
        <v>0</v>
      </c>
      <c r="U265" s="29">
        <f t="shared" si="1605"/>
        <v>0</v>
      </c>
      <c r="V265" s="29">
        <f t="shared" si="1605"/>
        <v>0</v>
      </c>
      <c r="W265" s="29">
        <f t="shared" ref="W265" si="1606">W262-W263-W264</f>
        <v>0</v>
      </c>
      <c r="X265" s="29">
        <f t="shared" ref="X265:Y265" si="1607">X262-X263-X264</f>
        <v>0</v>
      </c>
      <c r="Y265" s="29">
        <f t="shared" si="1607"/>
        <v>0</v>
      </c>
      <c r="Z265" s="29">
        <f t="shared" ref="Z265:AA265" si="1608">Z262-Z263-Z264</f>
        <v>0</v>
      </c>
      <c r="AA265" s="29">
        <f t="shared" si="1608"/>
        <v>0</v>
      </c>
      <c r="AB265" s="30">
        <f t="shared" ref="AA265:AD265" si="1609">AB262-AB263-AB264</f>
        <v>0</v>
      </c>
      <c r="AC265" s="30">
        <f t="shared" si="1609"/>
        <v>0</v>
      </c>
      <c r="AD265" s="30">
        <f t="shared" si="1609"/>
        <v>0</v>
      </c>
      <c r="AE265" s="30">
        <f t="shared" ref="AE265" si="1610">AE262-AE263-AE264</f>
        <v>0</v>
      </c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E265" s="139"/>
      <c r="DF265" s="29">
        <v>0</v>
      </c>
    </row>
    <row r="266" spans="1:110" s="5" customFormat="1" x14ac:dyDescent="0.2">
      <c r="AB266" s="63"/>
      <c r="AC266" s="63"/>
      <c r="AD266" s="63"/>
      <c r="AE266" s="63"/>
      <c r="CE266" s="112"/>
      <c r="CG266" s="112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E266" s="139"/>
    </row>
    <row r="267" spans="1:110" s="95" customFormat="1" x14ac:dyDescent="0.2">
      <c r="A267" s="95" t="s">
        <v>85</v>
      </c>
      <c r="B267" s="95">
        <f t="shared" ref="B267:W267" si="1611">B262/B212</f>
        <v>4.6350517175685391E-7</v>
      </c>
      <c r="C267" s="95">
        <f t="shared" si="1611"/>
        <v>4.5266846986272521E-2</v>
      </c>
      <c r="D267" s="95">
        <f t="shared" si="1611"/>
        <v>4.29050364349274E-2</v>
      </c>
      <c r="E267" s="95">
        <f t="shared" si="1611"/>
        <v>6.2064732702039181E-2</v>
      </c>
      <c r="F267" s="95">
        <f t="shared" si="1611"/>
        <v>5.9972933540869938E-2</v>
      </c>
      <c r="G267" s="95">
        <f t="shared" si="1611"/>
        <v>0.15827877509846019</v>
      </c>
      <c r="H267" s="95">
        <f t="shared" si="1611"/>
        <v>0.14271603216659692</v>
      </c>
      <c r="I267" s="95">
        <f t="shared" si="1611"/>
        <v>0.13197169022219774</v>
      </c>
      <c r="J267" s="95">
        <f t="shared" si="1611"/>
        <v>0.19094018079907038</v>
      </c>
      <c r="K267" s="95">
        <f t="shared" si="1611"/>
        <v>0.18245842101414536</v>
      </c>
      <c r="L267" s="95">
        <f t="shared" si="1611"/>
        <v>0.13938846933399493</v>
      </c>
      <c r="M267" s="95">
        <f t="shared" si="1611"/>
        <v>0.17971608867652697</v>
      </c>
      <c r="N267" s="95">
        <f t="shared" si="1611"/>
        <v>0.27541243811705612</v>
      </c>
      <c r="O267" s="95">
        <f t="shared" si="1611"/>
        <v>0.21578944397539887</v>
      </c>
      <c r="P267" s="95">
        <f t="shared" si="1611"/>
        <v>0.24822384975371695</v>
      </c>
      <c r="Q267" s="95">
        <f t="shared" si="1611"/>
        <v>0.75658664979567425</v>
      </c>
      <c r="R267" s="95">
        <f t="shared" si="1611"/>
        <v>0.39806425493111758</v>
      </c>
      <c r="S267" s="95">
        <f t="shared" si="1611"/>
        <v>0.31658241542884913</v>
      </c>
      <c r="T267" s="95">
        <f t="shared" si="1611"/>
        <v>0.19370789699330757</v>
      </c>
      <c r="U267" s="95">
        <f t="shared" si="1611"/>
        <v>0.1293527849520813</v>
      </c>
      <c r="V267" s="95">
        <f t="shared" si="1611"/>
        <v>0.17049446121602552</v>
      </c>
      <c r="W267" s="95">
        <f t="shared" si="1611"/>
        <v>0.16245394705180921</v>
      </c>
      <c r="X267" s="95">
        <f t="shared" ref="X267:Y267" si="1612">X262/X212</f>
        <v>0.17297237023242437</v>
      </c>
      <c r="Y267" s="95">
        <f t="shared" si="1612"/>
        <v>0.15175972769831453</v>
      </c>
      <c r="Z267" s="95">
        <f t="shared" ref="Z267:AA267" si="1613">Z262/Z212</f>
        <v>0.13533563965182568</v>
      </c>
      <c r="AA267" s="95">
        <f t="shared" si="1613"/>
        <v>0.10882780921174819</v>
      </c>
      <c r="AB267" s="87">
        <f t="shared" ref="AA267:AD267" si="1614">AB262/AB212</f>
        <v>0</v>
      </c>
      <c r="AC267" s="87">
        <f t="shared" si="1614"/>
        <v>0</v>
      </c>
      <c r="AD267" s="87">
        <f t="shared" si="1614"/>
        <v>0</v>
      </c>
      <c r="AE267" s="87">
        <f t="shared" ref="AE267" si="1615">AE262/AE212</f>
        <v>0</v>
      </c>
      <c r="CM267" s="96"/>
      <c r="CN267" s="96"/>
      <c r="CO267" s="96"/>
      <c r="CP267" s="96"/>
      <c r="CQ267" s="96"/>
      <c r="CR267" s="96"/>
      <c r="CS267" s="96"/>
      <c r="CT267" s="96"/>
      <c r="CU267" s="96"/>
      <c r="CV267" s="96"/>
      <c r="CW267" s="96"/>
      <c r="CX267" s="96"/>
      <c r="CY267" s="96"/>
      <c r="CZ267" s="96"/>
      <c r="DA267" s="96"/>
      <c r="DB267" s="96"/>
      <c r="DE267" s="140"/>
      <c r="DF267" s="95">
        <v>0</v>
      </c>
    </row>
    <row r="268" spans="1:110" x14ac:dyDescent="0.2">
      <c r="A268" s="152" t="s">
        <v>492</v>
      </c>
      <c r="AA268" s="2"/>
      <c r="CE268" s="111"/>
      <c r="CG268" s="111"/>
      <c r="CL268" s="2"/>
    </row>
    <row r="269" spans="1:110" s="6" customFormat="1" x14ac:dyDescent="0.2">
      <c r="AB269" s="19"/>
      <c r="AC269" s="19"/>
      <c r="AD269" s="19"/>
      <c r="AE269" s="19"/>
      <c r="CE269" s="113"/>
      <c r="CG269" s="113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E269" s="123"/>
    </row>
    <row r="270" spans="1:110" s="62" customFormat="1" x14ac:dyDescent="0.2">
      <c r="A270" s="153" t="s">
        <v>493</v>
      </c>
      <c r="AB270" s="63"/>
      <c r="AC270" s="63"/>
      <c r="AD270" s="63"/>
      <c r="AE270" s="63"/>
      <c r="CE270" s="114"/>
      <c r="CG270" s="114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E270" s="139"/>
    </row>
    <row r="271" spans="1:110" s="62" customFormat="1" outlineLevel="1" x14ac:dyDescent="0.2">
      <c r="A271" s="68" t="s">
        <v>464</v>
      </c>
      <c r="B271" s="67">
        <f t="shared" ref="B271:AE271" si="1616">B236/B99*365</f>
        <v>33.687963420817894</v>
      </c>
      <c r="C271" s="67">
        <f t="shared" si="1616"/>
        <v>32.566833978233952</v>
      </c>
      <c r="D271" s="67">
        <f t="shared" si="1616"/>
        <v>26.85024295331343</v>
      </c>
      <c r="E271" s="67">
        <f t="shared" si="1616"/>
        <v>24.791959378590096</v>
      </c>
      <c r="F271" s="67">
        <f t="shared" si="1616"/>
        <v>24.113962020822026</v>
      </c>
      <c r="G271" s="67">
        <f t="shared" si="1616"/>
        <v>32.230834345507283</v>
      </c>
      <c r="H271" s="67">
        <f t="shared" si="1616"/>
        <v>26.242028737413694</v>
      </c>
      <c r="I271" s="67">
        <f t="shared" si="1616"/>
        <v>21.855768287236373</v>
      </c>
      <c r="J271" s="67">
        <f t="shared" si="1616"/>
        <v>20.496711392903869</v>
      </c>
      <c r="K271" s="67">
        <f t="shared" si="1616"/>
        <v>18.328209660684777</v>
      </c>
      <c r="L271" s="67">
        <f t="shared" si="1616"/>
        <v>21.167992609521303</v>
      </c>
      <c r="M271" s="67">
        <f t="shared" si="1616"/>
        <v>23.632449660470236</v>
      </c>
      <c r="N271" s="67">
        <f t="shared" si="1616"/>
        <v>22.385869844834318</v>
      </c>
      <c r="O271" s="67">
        <f t="shared" si="1616"/>
        <v>21.174830460004902</v>
      </c>
      <c r="P271" s="67">
        <f t="shared" si="1616"/>
        <v>20.035326323133539</v>
      </c>
      <c r="Q271" s="67">
        <f t="shared" si="1616"/>
        <v>16.992402602090991</v>
      </c>
      <c r="R271" s="67">
        <f t="shared" si="1616"/>
        <v>21.163117184212176</v>
      </c>
      <c r="S271" s="67">
        <f t="shared" si="1616"/>
        <v>22.07221462377241</v>
      </c>
      <c r="T271" s="67">
        <f t="shared" si="1616"/>
        <v>20.844083175094859</v>
      </c>
      <c r="U271" s="67">
        <f t="shared" si="1616"/>
        <v>21.952211274088022</v>
      </c>
      <c r="V271" s="67">
        <f t="shared" si="1616"/>
        <v>21.045310092464643</v>
      </c>
      <c r="W271" s="67">
        <f t="shared" si="1616"/>
        <v>36.073353517532254</v>
      </c>
      <c r="X271" s="67">
        <f t="shared" si="1616"/>
        <v>26.114593094277751</v>
      </c>
      <c r="Y271" s="67">
        <f t="shared" si="1616"/>
        <v>26.252137141592446</v>
      </c>
      <c r="Z271" s="67">
        <f t="shared" si="1616"/>
        <v>25.485020672516548</v>
      </c>
      <c r="AA271" s="67">
        <f t="shared" ref="AA271" si="1617">AA236/AA99*365</f>
        <v>29.862737569437339</v>
      </c>
      <c r="AB271" s="18">
        <f t="shared" si="1616"/>
        <v>32.326225054971822</v>
      </c>
      <c r="AC271" s="18">
        <f t="shared" si="1616"/>
        <v>39.343836297104424</v>
      </c>
      <c r="AD271" s="18">
        <f t="shared" si="1616"/>
        <v>39.326711041899898</v>
      </c>
      <c r="AE271" s="18">
        <f t="shared" si="1616"/>
        <v>39.327584412913176</v>
      </c>
      <c r="AI271" s="67">
        <f>AJ236/AI99*90</f>
        <v>10.168516478744509</v>
      </c>
      <c r="AJ271" s="67">
        <f>AJ236/AJ99*90</f>
        <v>9.5796757565485731</v>
      </c>
      <c r="AK271" s="67">
        <f t="shared" ref="AK271:CE271" si="1618">+AJ271</f>
        <v>9.5796757565485731</v>
      </c>
      <c r="AL271" s="67">
        <f>AL236/AL99*90</f>
        <v>20.192273201320571</v>
      </c>
      <c r="AM271" s="67">
        <f t="shared" ref="AM271:AM272" si="1619">+AL271</f>
        <v>20.192273201320571</v>
      </c>
      <c r="AN271" s="67">
        <f>AN236/AN99*90</f>
        <v>27.081767866290761</v>
      </c>
      <c r="AO271" s="67">
        <f t="shared" ref="AO271:AO272" si="1620">+AN271</f>
        <v>27.081767866290761</v>
      </c>
      <c r="AP271" s="67">
        <f>AP236/AP99*90</f>
        <v>20.961388751276427</v>
      </c>
      <c r="AQ271" s="67">
        <f t="shared" ref="AQ271:AQ272" si="1621">+AP271</f>
        <v>20.961388751276427</v>
      </c>
      <c r="AR271" s="67">
        <f>AR236/AR99*90</f>
        <v>21.722774930102517</v>
      </c>
      <c r="AS271" s="67">
        <f t="shared" ref="AS271:AS272" si="1622">+AR271</f>
        <v>21.722774930102517</v>
      </c>
      <c r="AT271" s="67">
        <f>AT236/AT99*90</f>
        <v>20.989233197262397</v>
      </c>
      <c r="AU271" s="67">
        <f t="shared" ref="AU271:AU272" si="1623">+AT271</f>
        <v>20.989233197262397</v>
      </c>
      <c r="AV271" s="67">
        <f>AV236/AV99*90</f>
        <v>24.036455513916046</v>
      </c>
      <c r="AW271" s="67">
        <f t="shared" ref="AW271:AW272" si="1624">+AV271</f>
        <v>24.036455513916046</v>
      </c>
      <c r="AX271" s="67">
        <f>AX236/AX99*90</f>
        <v>16.937572453937797</v>
      </c>
      <c r="AY271" s="67">
        <f t="shared" ref="AY271:AY272" si="1625">+AX271</f>
        <v>16.937572453937797</v>
      </c>
      <c r="AZ271" s="67">
        <f>AZ236/AZ99*90</f>
        <v>18.561960397247436</v>
      </c>
      <c r="BA271" s="67">
        <f t="shared" ref="BA271:BA272" si="1626">+AZ271</f>
        <v>18.561960397247436</v>
      </c>
      <c r="BB271" s="67">
        <f>BB236/BB99*90</f>
        <v>20.550387995272111</v>
      </c>
      <c r="BC271" s="67">
        <f t="shared" ref="BC271:BC272" si="1627">+BB271</f>
        <v>20.550387995272111</v>
      </c>
      <c r="BD271" s="67">
        <f>BD236/BD99*90</f>
        <v>24.369978104791489</v>
      </c>
      <c r="BE271" s="67">
        <f t="shared" ref="BE271:BE272" si="1628">+BD271</f>
        <v>24.369978104791489</v>
      </c>
      <c r="BF271" s="67">
        <f>BF236/BF99*90</f>
        <v>20.240961852094593</v>
      </c>
      <c r="BG271" s="67">
        <f t="shared" ref="BG271:BG272" si="1629">+BF271</f>
        <v>20.240961852094593</v>
      </c>
      <c r="BH271" s="67">
        <f>BH236/BH99*90</f>
        <v>23.612392073881374</v>
      </c>
      <c r="BI271" s="67">
        <f t="shared" ref="BI271:BI272" si="1630">+BH271</f>
        <v>23.612392073881374</v>
      </c>
      <c r="BJ271" s="67">
        <f>BJ236/BJ99*90</f>
        <v>21.242212829052924</v>
      </c>
      <c r="BK271" s="67">
        <f t="shared" ref="BK271:BK272" si="1631">+BJ271</f>
        <v>21.242212829052924</v>
      </c>
      <c r="BL271" s="67">
        <f>BL236/BL99*90</f>
        <v>17.825763042113518</v>
      </c>
      <c r="BM271" s="67">
        <f t="shared" ref="BM271:BM272" si="1632">+BL271</f>
        <v>17.825763042113518</v>
      </c>
      <c r="BN271" s="67">
        <f>BN236/BN99*90</f>
        <v>23.820610802319958</v>
      </c>
      <c r="BO271" s="67">
        <f t="shared" ref="BO271:BO272" si="1633">+BN271</f>
        <v>23.820610802319958</v>
      </c>
      <c r="BP271" s="67">
        <f>BP236/BP99*90</f>
        <v>19.796545397301024</v>
      </c>
      <c r="BQ271" s="67">
        <f t="shared" ref="BQ271:BQ272" si="1634">+BP271</f>
        <v>19.796545397301024</v>
      </c>
      <c r="BR271" s="67">
        <f>BR236/BR99*90</f>
        <v>16.376758728504427</v>
      </c>
      <c r="BS271" s="67">
        <f t="shared" ref="BS271:BS272" si="1635">+BR271</f>
        <v>16.376758728504427</v>
      </c>
      <c r="BT271" s="67">
        <f>BT236/BT99*90</f>
        <v>21.668780108906834</v>
      </c>
      <c r="BU271" s="67">
        <f t="shared" ref="BU271:BU272" si="1636">+BT271</f>
        <v>21.668780108906834</v>
      </c>
      <c r="BV271" s="67">
        <f>BV236/BV99*90</f>
        <v>31.842648303171586</v>
      </c>
      <c r="BW271" s="67">
        <f t="shared" ref="BW271:BW272" si="1637">+BV271</f>
        <v>31.842648303171586</v>
      </c>
      <c r="BX271" s="67">
        <f>BX236/BX99*90</f>
        <v>28.197547951922637</v>
      </c>
      <c r="BY271" s="67">
        <f t="shared" ref="BY271:BY272" si="1638">+BX271</f>
        <v>28.197547951922637</v>
      </c>
      <c r="BZ271" s="67">
        <f>BZ236/BZ99*90</f>
        <v>28.49414152834164</v>
      </c>
      <c r="CA271" s="67">
        <f t="shared" ref="CA271:CA272" si="1639">+BZ271</f>
        <v>28.49414152834164</v>
      </c>
      <c r="CB271" s="67">
        <f>CB236/CB99*90</f>
        <v>20.929677983839145</v>
      </c>
      <c r="CC271" s="67">
        <f t="shared" ref="CC271:CC272" si="1640">+CB271</f>
        <v>20.929677983839145</v>
      </c>
      <c r="CD271" s="67">
        <f>CD236/CD99*90</f>
        <v>25.101106989646979</v>
      </c>
      <c r="CE271" s="67">
        <f t="shared" si="1618"/>
        <v>25.101106989646979</v>
      </c>
      <c r="CF271" s="67">
        <f>CF236/CF99*90</f>
        <v>25.327523129228737</v>
      </c>
      <c r="CG271" s="67">
        <f t="shared" ref="CG271:CI272" si="1641">+CF271</f>
        <v>25.327523129228737</v>
      </c>
      <c r="CH271" s="67">
        <f>CH236/CH99*90</f>
        <v>24.068009368339034</v>
      </c>
      <c r="CI271" s="67">
        <f t="shared" si="1641"/>
        <v>24.068009368339034</v>
      </c>
      <c r="CJ271" s="67">
        <f>CJ236/CJ99*90</f>
        <v>30.404659788959858</v>
      </c>
      <c r="CK271" s="67">
        <f t="shared" ref="CK271:CK272" si="1642">+CJ271</f>
        <v>30.404659788959858</v>
      </c>
      <c r="CL271" s="67">
        <f>CL236/CL99*90</f>
        <v>30.851102669762824</v>
      </c>
      <c r="CM271" s="30">
        <f t="shared" ref="CM271:CP271" si="1643">+CL271</f>
        <v>30.851102669762824</v>
      </c>
      <c r="CN271" s="30">
        <f t="shared" si="1643"/>
        <v>30.851102669762824</v>
      </c>
      <c r="CO271" s="30">
        <f t="shared" si="1643"/>
        <v>30.851102669762824</v>
      </c>
      <c r="CP271" s="30">
        <f t="shared" si="1643"/>
        <v>30.851102669762824</v>
      </c>
      <c r="CQ271" s="30">
        <f t="shared" ref="CQ271:CT272" si="1644">+CP271+2</f>
        <v>32.851102669762824</v>
      </c>
      <c r="CR271" s="30">
        <f t="shared" si="1644"/>
        <v>34.851102669762824</v>
      </c>
      <c r="CS271" s="30">
        <f t="shared" si="1644"/>
        <v>36.851102669762824</v>
      </c>
      <c r="CT271" s="30">
        <f t="shared" si="1644"/>
        <v>38.851102669762824</v>
      </c>
      <c r="CU271" s="30">
        <f t="shared" ref="CU271:CU272" si="1645">+CT271</f>
        <v>38.851102669762824</v>
      </c>
      <c r="CV271" s="30">
        <f t="shared" ref="CV271:CV272" si="1646">+CU271</f>
        <v>38.851102669762824</v>
      </c>
      <c r="CW271" s="30">
        <f t="shared" ref="CW271:CW272" si="1647">+CV271</f>
        <v>38.851102669762824</v>
      </c>
      <c r="CX271" s="30">
        <f t="shared" ref="CX271:CX272" si="1648">+CW271</f>
        <v>38.851102669762824</v>
      </c>
      <c r="CY271" s="30">
        <f t="shared" ref="CY271:CY272" si="1649">+CX271</f>
        <v>38.851102669762824</v>
      </c>
      <c r="CZ271" s="30">
        <f t="shared" ref="CZ271:CZ272" si="1650">+CY271</f>
        <v>38.851102669762824</v>
      </c>
      <c r="DA271" s="30">
        <f t="shared" ref="DA271:DA272" si="1651">+CZ271</f>
        <v>38.851102669762824</v>
      </c>
      <c r="DB271" s="30">
        <f t="shared" ref="DB271:DB272" si="1652">+DA271</f>
        <v>38.851102669762824</v>
      </c>
      <c r="DE271" s="139"/>
      <c r="DF271" s="62">
        <v>30.404659788959858</v>
      </c>
    </row>
    <row r="272" spans="1:110" s="62" customFormat="1" outlineLevel="1" x14ac:dyDescent="0.2">
      <c r="A272" s="68" t="s">
        <v>465</v>
      </c>
      <c r="B272" s="67">
        <f t="shared" ref="B272:AE272" si="1653">B237/B99*365</f>
        <v>62.007932701687174</v>
      </c>
      <c r="C272" s="67">
        <f t="shared" si="1653"/>
        <v>72.485548010131922</v>
      </c>
      <c r="D272" s="67">
        <f t="shared" si="1653"/>
        <v>74.244149871500071</v>
      </c>
      <c r="E272" s="67">
        <f t="shared" si="1653"/>
        <v>61.329362458419894</v>
      </c>
      <c r="F272" s="67">
        <f t="shared" si="1653"/>
        <v>62.479859526831518</v>
      </c>
      <c r="G272" s="67">
        <f t="shared" si="1653"/>
        <v>80.858468739385515</v>
      </c>
      <c r="H272" s="67">
        <f t="shared" si="1653"/>
        <v>97.84625159810804</v>
      </c>
      <c r="I272" s="67">
        <f t="shared" si="1653"/>
        <v>84.749220253865715</v>
      </c>
      <c r="J272" s="67">
        <f t="shared" si="1653"/>
        <v>61.07843842633897</v>
      </c>
      <c r="K272" s="67">
        <f t="shared" si="1653"/>
        <v>75.000192137724312</v>
      </c>
      <c r="L272" s="67">
        <f t="shared" si="1653"/>
        <v>31.298713242849978</v>
      </c>
      <c r="M272" s="67">
        <f t="shared" si="1653"/>
        <v>31.861983235081269</v>
      </c>
      <c r="N272" s="67">
        <f t="shared" si="1653"/>
        <v>36.508837210709977</v>
      </c>
      <c r="O272" s="67">
        <f t="shared" si="1653"/>
        <v>46.39482392352317</v>
      </c>
      <c r="P272" s="67">
        <f t="shared" si="1653"/>
        <v>60.447547620663421</v>
      </c>
      <c r="Q272" s="67">
        <f t="shared" si="1653"/>
        <v>43.80164801807674</v>
      </c>
      <c r="R272" s="67">
        <f t="shared" si="1653"/>
        <v>50.701195718799646</v>
      </c>
      <c r="S272" s="67">
        <f t="shared" si="1653"/>
        <v>37.926572646251323</v>
      </c>
      <c r="T272" s="67">
        <f t="shared" si="1653"/>
        <v>54.2992751930487</v>
      </c>
      <c r="U272" s="67">
        <f t="shared" si="1653"/>
        <v>55.444569793697703</v>
      </c>
      <c r="V272" s="67">
        <f t="shared" si="1653"/>
        <v>58.037831644564413</v>
      </c>
      <c r="W272" s="67">
        <f t="shared" si="1653"/>
        <v>50.976782565822283</v>
      </c>
      <c r="X272" s="67">
        <f t="shared" si="1653"/>
        <v>46.045674324448889</v>
      </c>
      <c r="Y272" s="67">
        <f t="shared" si="1653"/>
        <v>43.965259752412166</v>
      </c>
      <c r="Z272" s="67">
        <f t="shared" si="1653"/>
        <v>31.828431857667521</v>
      </c>
      <c r="AA272" s="67">
        <f t="shared" ref="AA272" si="1654">AA237/AA99*365</f>
        <v>25.865479261985577</v>
      </c>
      <c r="AB272" s="18">
        <f t="shared" si="1653"/>
        <v>45.990207556172265</v>
      </c>
      <c r="AC272" s="18">
        <f t="shared" si="1653"/>
        <v>52.549686023834553</v>
      </c>
      <c r="AD272" s="18">
        <f t="shared" si="1653"/>
        <v>52.526812637078883</v>
      </c>
      <c r="AE272" s="18">
        <f t="shared" si="1653"/>
        <v>52.527979157094443</v>
      </c>
      <c r="AI272" s="67">
        <f>AJ237/AI99*90</f>
        <v>19.793972613315063</v>
      </c>
      <c r="AJ272" s="67">
        <f>AJ237/AJ99*90</f>
        <v>18.64773882856241</v>
      </c>
      <c r="AK272" s="67">
        <f>+AJ272</f>
        <v>18.64773882856241</v>
      </c>
      <c r="AL272" s="67">
        <f>AL237/AL99*90</f>
        <v>32.931327678174057</v>
      </c>
      <c r="AM272" s="67">
        <f t="shared" si="1619"/>
        <v>32.931327678174057</v>
      </c>
      <c r="AN272" s="67">
        <f>AN237/AN99*90</f>
        <v>45.72326003543764</v>
      </c>
      <c r="AO272" s="67">
        <f t="shared" si="1620"/>
        <v>45.72326003543764</v>
      </c>
      <c r="AP272" s="67">
        <f>AP237/AP99*90</f>
        <v>45.927165374232878</v>
      </c>
      <c r="AQ272" s="67">
        <f t="shared" si="1621"/>
        <v>45.927165374232878</v>
      </c>
      <c r="AR272" s="67">
        <f>AR237/AR99*90</f>
        <v>55.591251164958059</v>
      </c>
      <c r="AS272" s="67">
        <f t="shared" si="1622"/>
        <v>55.591251164958059</v>
      </c>
      <c r="AT272" s="67">
        <f>AT237/AT99*90</f>
        <v>63.325530752538057</v>
      </c>
      <c r="AU272" s="67">
        <f t="shared" si="1623"/>
        <v>63.325530752538057</v>
      </c>
      <c r="AV272" s="67">
        <f>AV237/AV99*90</f>
        <v>65.547608829779051</v>
      </c>
      <c r="AW272" s="67">
        <f t="shared" si="1624"/>
        <v>65.547608829779051</v>
      </c>
      <c r="AX272" s="67">
        <f>AX237/AX99*90</f>
        <v>54.654070986360168</v>
      </c>
      <c r="AY272" s="67">
        <f t="shared" si="1625"/>
        <v>54.654070986360168</v>
      </c>
      <c r="AZ272" s="67">
        <f>AZ237/AZ99*90</f>
        <v>61.607662705652068</v>
      </c>
      <c r="BA272" s="67">
        <f t="shared" si="1626"/>
        <v>61.607662705652068</v>
      </c>
      <c r="BB272" s="67">
        <f>BB237/BB99*90</f>
        <v>63.636363636363633</v>
      </c>
      <c r="BC272" s="67">
        <f t="shared" si="1627"/>
        <v>63.636363636363633</v>
      </c>
      <c r="BD272" s="67">
        <f>BD237/BD99*90</f>
        <v>69.630472892858961</v>
      </c>
      <c r="BE272" s="67">
        <f t="shared" si="1628"/>
        <v>69.630472892858961</v>
      </c>
      <c r="BF272" s="67">
        <f>BF237/BF99*90</f>
        <v>44.882338840307007</v>
      </c>
      <c r="BG272" s="67">
        <f t="shared" si="1629"/>
        <v>44.882338840307007</v>
      </c>
      <c r="BH272" s="67">
        <f>BH237/BH99*90</f>
        <v>63.58678490659436</v>
      </c>
      <c r="BI272" s="67">
        <f t="shared" si="1630"/>
        <v>63.58678490659436</v>
      </c>
      <c r="BJ272" s="67">
        <f>BJ237/BJ99*90</f>
        <v>66.238104854325954</v>
      </c>
      <c r="BK272" s="67">
        <f t="shared" si="1631"/>
        <v>66.238104854325954</v>
      </c>
      <c r="BL272" s="67">
        <f>BL237/BL99*90</f>
        <v>69.35988340440386</v>
      </c>
      <c r="BM272" s="67">
        <f t="shared" si="1632"/>
        <v>69.35988340440386</v>
      </c>
      <c r="BN272" s="67">
        <f>BN237/BN99*90</f>
        <v>71.481814886418562</v>
      </c>
      <c r="BO272" s="67">
        <f t="shared" si="1633"/>
        <v>71.481814886418562</v>
      </c>
      <c r="BP272" s="67">
        <f>BP237/BP99*90</f>
        <v>60.401480854205346</v>
      </c>
      <c r="BQ272" s="67">
        <f t="shared" si="1634"/>
        <v>60.401480854205346</v>
      </c>
      <c r="BR272" s="67">
        <f>BR237/BR99*90</f>
        <v>45.523102310231017</v>
      </c>
      <c r="BS272" s="67">
        <f t="shared" si="1635"/>
        <v>45.523102310231017</v>
      </c>
      <c r="BT272" s="67">
        <f>BT237/BT99*90</f>
        <v>70.806210258281666</v>
      </c>
      <c r="BU272" s="67">
        <f t="shared" si="1636"/>
        <v>70.806210258281666</v>
      </c>
      <c r="BV272" s="67">
        <f>BV237/BV99*90</f>
        <v>62.197356847347315</v>
      </c>
      <c r="BW272" s="67">
        <f t="shared" si="1637"/>
        <v>62.197356847347315</v>
      </c>
      <c r="BX272" s="67">
        <f>BX237/BX99*90</f>
        <v>73.897690211193733</v>
      </c>
      <c r="BY272" s="67">
        <f t="shared" si="1638"/>
        <v>73.897690211193733</v>
      </c>
      <c r="BZ272" s="67">
        <f>BZ237/BZ99*90</f>
        <v>67.99532028881238</v>
      </c>
      <c r="CA272" s="67">
        <f t="shared" si="1639"/>
        <v>67.99532028881238</v>
      </c>
      <c r="CB272" s="67">
        <f>CB237/CB99*90</f>
        <v>63.468922095077978</v>
      </c>
      <c r="CC272" s="67">
        <f t="shared" si="1640"/>
        <v>63.468922095077978</v>
      </c>
      <c r="CD272" s="67">
        <f>CD237/CD99*90</f>
        <v>56.53287964974146</v>
      </c>
      <c r="CE272" s="114">
        <f t="shared" ref="CE272" si="1655">+CD272</f>
        <v>56.53287964974146</v>
      </c>
      <c r="CF272" s="67">
        <f>CF237/CF99*90</f>
        <v>39.426195097743808</v>
      </c>
      <c r="CG272" s="67">
        <f t="shared" si="1641"/>
        <v>39.426195097743808</v>
      </c>
      <c r="CH272" s="67">
        <f>CH237/CH99*90</f>
        <v>30.058715901141092</v>
      </c>
      <c r="CI272" s="67">
        <f t="shared" si="1641"/>
        <v>30.058715901141092</v>
      </c>
      <c r="CJ272" s="67">
        <f>CJ237/CJ99*90</f>
        <v>39.36348939942399</v>
      </c>
      <c r="CK272" s="67">
        <f t="shared" si="1642"/>
        <v>39.36348939942399</v>
      </c>
      <c r="CL272" s="67">
        <f>CL237/CL99*90</f>
        <v>43.891565213889749</v>
      </c>
      <c r="CM272" s="30">
        <f t="shared" ref="CM272:CP272" si="1656">+CL272</f>
        <v>43.891565213889749</v>
      </c>
      <c r="CN272" s="30">
        <f t="shared" si="1656"/>
        <v>43.891565213889749</v>
      </c>
      <c r="CO272" s="30">
        <f t="shared" si="1656"/>
        <v>43.891565213889749</v>
      </c>
      <c r="CP272" s="30">
        <f t="shared" si="1656"/>
        <v>43.891565213889749</v>
      </c>
      <c r="CQ272" s="30">
        <f t="shared" si="1644"/>
        <v>45.891565213889749</v>
      </c>
      <c r="CR272" s="30">
        <f t="shared" si="1644"/>
        <v>47.891565213889749</v>
      </c>
      <c r="CS272" s="30">
        <f t="shared" si="1644"/>
        <v>49.891565213889749</v>
      </c>
      <c r="CT272" s="30">
        <f t="shared" si="1644"/>
        <v>51.891565213889749</v>
      </c>
      <c r="CU272" s="30">
        <f t="shared" si="1645"/>
        <v>51.891565213889749</v>
      </c>
      <c r="CV272" s="30">
        <f t="shared" si="1646"/>
        <v>51.891565213889749</v>
      </c>
      <c r="CW272" s="30">
        <f t="shared" si="1647"/>
        <v>51.891565213889749</v>
      </c>
      <c r="CX272" s="30">
        <f t="shared" si="1648"/>
        <v>51.891565213889749</v>
      </c>
      <c r="CY272" s="30">
        <f t="shared" si="1649"/>
        <v>51.891565213889749</v>
      </c>
      <c r="CZ272" s="30">
        <f t="shared" si="1650"/>
        <v>51.891565213889749</v>
      </c>
      <c r="DA272" s="30">
        <f t="shared" si="1651"/>
        <v>51.891565213889749</v>
      </c>
      <c r="DB272" s="30">
        <f t="shared" si="1652"/>
        <v>51.891565213889749</v>
      </c>
      <c r="DE272" s="139"/>
      <c r="DF272" s="62">
        <v>39.36348939942399</v>
      </c>
    </row>
    <row r="273" spans="1:110" s="62" customFormat="1" outlineLevel="1" x14ac:dyDescent="0.2">
      <c r="A273" s="68" t="s">
        <v>466</v>
      </c>
      <c r="B273" s="67">
        <f>B274-B272-B271</f>
        <v>64.749113606958801</v>
      </c>
      <c r="C273" s="67">
        <f t="shared" ref="C273:U273" si="1657">C274-C272-C271</f>
        <v>108.89517386417202</v>
      </c>
      <c r="D273" s="67">
        <f t="shared" si="1657"/>
        <v>70.837549032868935</v>
      </c>
      <c r="E273" s="67">
        <f t="shared" si="1657"/>
        <v>32.08044624307999</v>
      </c>
      <c r="F273" s="67">
        <f t="shared" si="1657"/>
        <v>42.133145464414426</v>
      </c>
      <c r="G273" s="67">
        <f t="shared" si="1657"/>
        <v>30.619779449816015</v>
      </c>
      <c r="H273" s="67">
        <f t="shared" si="1657"/>
        <v>40.80267047899288</v>
      </c>
      <c r="I273" s="67">
        <f t="shared" si="1657"/>
        <v>56.0203646488185</v>
      </c>
      <c r="J273" s="67">
        <f t="shared" si="1657"/>
        <v>56.539280646253907</v>
      </c>
      <c r="K273" s="67">
        <f t="shared" si="1657"/>
        <v>48.457134073704026</v>
      </c>
      <c r="L273" s="67">
        <f t="shared" si="1657"/>
        <v>145.75485231373776</v>
      </c>
      <c r="M273" s="67">
        <f t="shared" si="1657"/>
        <v>143.33649054316692</v>
      </c>
      <c r="N273" s="67">
        <f t="shared" si="1657"/>
        <v>144.75516840636641</v>
      </c>
      <c r="O273" s="67">
        <f t="shared" si="1657"/>
        <v>136.96870659367593</v>
      </c>
      <c r="P273" s="67">
        <f t="shared" si="1657"/>
        <v>160.79268209196363</v>
      </c>
      <c r="Q273" s="67">
        <f t="shared" si="1657"/>
        <v>184.79244016027991</v>
      </c>
      <c r="R273" s="67">
        <f t="shared" si="1657"/>
        <v>209.01098646166631</v>
      </c>
      <c r="S273" s="67">
        <f t="shared" si="1657"/>
        <v>238.74649174542583</v>
      </c>
      <c r="T273" s="67">
        <f t="shared" si="1657"/>
        <v>204.13684286969738</v>
      </c>
      <c r="U273" s="67">
        <f t="shared" si="1657"/>
        <v>220.339644231591</v>
      </c>
      <c r="V273" s="67">
        <f>V274-V272-V271</f>
        <v>190.85235256003136</v>
      </c>
      <c r="W273" s="67">
        <f t="shared" ref="W273" si="1658">W274-W272-W271</f>
        <v>166.34805434552351</v>
      </c>
      <c r="X273" s="67">
        <f t="shared" ref="X273:Y273" si="1659">X274-X272-X271</f>
        <v>147.04804634735328</v>
      </c>
      <c r="Y273" s="67">
        <f t="shared" si="1659"/>
        <v>136.58378180895019</v>
      </c>
      <c r="Z273" s="67">
        <f t="shared" ref="Z273:AA273" si="1660">Z274-Z272-Z271</f>
        <v>149.34313979728225</v>
      </c>
      <c r="AA273" s="67">
        <f t="shared" si="1660"/>
        <v>192.50942877293883</v>
      </c>
      <c r="AB273" s="18">
        <f t="shared" ref="AA273:AD273" si="1661">AB274-AB272-AB271</f>
        <v>225.36973188062325</v>
      </c>
      <c r="AC273" s="18">
        <f t="shared" si="1661"/>
        <v>225.91488479168402</v>
      </c>
      <c r="AD273" s="18">
        <f t="shared" si="1661"/>
        <v>225.81655045470325</v>
      </c>
      <c r="AE273" s="18">
        <f t="shared" ref="AE273" si="1662">AE274-AE272-AE271</f>
        <v>225.82156540826176</v>
      </c>
      <c r="AI273" s="67">
        <f t="shared" ref="AI273:AK273" si="1663">AI274-AI272-AI271</f>
        <v>-29.96248909205957</v>
      </c>
      <c r="AJ273" s="67">
        <f t="shared" ref="AJ273:AM273" si="1664">AJ274-AJ272-AJ271</f>
        <v>80.555795822472632</v>
      </c>
      <c r="AK273" s="67">
        <f t="shared" si="1663"/>
        <v>68.349541671127866</v>
      </c>
      <c r="AL273" s="67">
        <f t="shared" si="1664"/>
        <v>130.57057545784866</v>
      </c>
      <c r="AM273" s="67">
        <f t="shared" si="1664"/>
        <v>124.61291083415895</v>
      </c>
      <c r="AN273" s="67">
        <f t="shared" ref="AN273:AY273" si="1665">AN274-AN272-AN271</f>
        <v>143.19963398591389</v>
      </c>
      <c r="AO273" s="67">
        <f t="shared" si="1665"/>
        <v>142.92773638386723</v>
      </c>
      <c r="AP273" s="67">
        <f t="shared" si="1665"/>
        <v>135.58806579785463</v>
      </c>
      <c r="AQ273" s="67">
        <f t="shared" si="1665"/>
        <v>137.56279797179411</v>
      </c>
      <c r="AR273" s="67">
        <f t="shared" si="1665"/>
        <v>152.23619524697114</v>
      </c>
      <c r="AS273" s="67">
        <f t="shared" si="1665"/>
        <v>153.22868298860283</v>
      </c>
      <c r="AT273" s="67">
        <f t="shared" si="1665"/>
        <v>168.44822222559449</v>
      </c>
      <c r="AU273" s="67">
        <f t="shared" si="1665"/>
        <v>183.41693072956113</v>
      </c>
      <c r="AV273" s="67">
        <f t="shared" si="1665"/>
        <v>180.44657613225627</v>
      </c>
      <c r="AW273" s="67">
        <f t="shared" si="1665"/>
        <v>186.26106841812538</v>
      </c>
      <c r="AX273" s="67">
        <f t="shared" si="1665"/>
        <v>173.20240238758848</v>
      </c>
      <c r="AY273" s="67">
        <f t="shared" si="1665"/>
        <v>184.8392290481552</v>
      </c>
      <c r="AZ273" s="67">
        <f t="shared" ref="AZ273:BC273" si="1666">AZ274-AZ272-AZ271</f>
        <v>177.55251163074396</v>
      </c>
      <c r="BA273" s="67">
        <f t="shared" si="1666"/>
        <v>194.81416752985413</v>
      </c>
      <c r="BB273" s="67">
        <f t="shared" si="1666"/>
        <v>188.5564520273395</v>
      </c>
      <c r="BC273" s="67">
        <f t="shared" si="1666"/>
        <v>205.90540919719405</v>
      </c>
      <c r="BD273" s="67">
        <f t="shared" ref="BD273:CE273" si="1667">BD274-BD272-BD271</f>
        <v>180.68059909945956</v>
      </c>
      <c r="BE273" s="67">
        <f t="shared" si="1667"/>
        <v>195.26607570178388</v>
      </c>
      <c r="BF273" s="67">
        <f t="shared" si="1667"/>
        <v>208.83615009747939</v>
      </c>
      <c r="BG273" s="67">
        <f t="shared" si="1667"/>
        <v>206.03014271653541</v>
      </c>
      <c r="BH273" s="67">
        <f t="shared" si="1667"/>
        <v>182.32949067167476</v>
      </c>
      <c r="BI273" s="67">
        <f t="shared" si="1667"/>
        <v>167.95803628136667</v>
      </c>
      <c r="BJ273" s="67">
        <f t="shared" si="1667"/>
        <v>197.13423810208795</v>
      </c>
      <c r="BK273" s="67">
        <f t="shared" si="1667"/>
        <v>183.50719480037904</v>
      </c>
      <c r="BL273" s="67">
        <f t="shared" si="1667"/>
        <v>174.29134832543613</v>
      </c>
      <c r="BM273" s="67">
        <f t="shared" si="1667"/>
        <v>189.24790306362721</v>
      </c>
      <c r="BN273" s="67">
        <f t="shared" si="1667"/>
        <v>227.77498187530213</v>
      </c>
      <c r="BO273" s="67">
        <f t="shared" si="1667"/>
        <v>233.69827010424615</v>
      </c>
      <c r="BP273" s="67">
        <f t="shared" si="1667"/>
        <v>168.22688336644632</v>
      </c>
      <c r="BQ273" s="67">
        <f t="shared" si="1667"/>
        <v>183.54638315010308</v>
      </c>
      <c r="BR273" s="67">
        <f t="shared" si="1667"/>
        <v>180.13574778530483</v>
      </c>
      <c r="BS273" s="67">
        <f t="shared" si="1667"/>
        <v>184.22919658322104</v>
      </c>
      <c r="BT273" s="67">
        <f t="shared" si="1667"/>
        <v>157.33298539686166</v>
      </c>
      <c r="BU273" s="67">
        <f t="shared" si="1667"/>
        <v>141.4323650205165</v>
      </c>
      <c r="BV273" s="67">
        <f t="shared" si="1667"/>
        <v>157.196361860742</v>
      </c>
      <c r="BW273" s="67">
        <f t="shared" si="1667"/>
        <v>129.69989265619353</v>
      </c>
      <c r="BX273" s="67">
        <f t="shared" si="1667"/>
        <v>141.84984804771241</v>
      </c>
      <c r="BY273" s="67">
        <f t="shared" si="1667"/>
        <v>140.86195743259307</v>
      </c>
      <c r="BZ273" s="67">
        <f t="shared" si="1667"/>
        <v>171.47021461791462</v>
      </c>
      <c r="CA273" s="67">
        <f t="shared" si="1667"/>
        <v>140.36733014357839</v>
      </c>
      <c r="CB273" s="67">
        <f t="shared" si="1667"/>
        <v>142.66465370824685</v>
      </c>
      <c r="CC273" s="67">
        <f t="shared" si="1667"/>
        <v>153.24964848815779</v>
      </c>
      <c r="CD273" s="67">
        <f t="shared" si="1667"/>
        <v>140.91208954865974</v>
      </c>
      <c r="CE273" s="114">
        <f t="shared" si="1667"/>
        <v>129.12130022516976</v>
      </c>
      <c r="CF273" s="67">
        <f t="shared" ref="CF273:CG273" si="1668">CF274-CF272-CF271</f>
        <v>164.33360492353324</v>
      </c>
      <c r="CG273" s="67">
        <f t="shared" si="1668"/>
        <v>167.60734478327032</v>
      </c>
      <c r="CH273" s="67">
        <f t="shared" ref="CH273" si="1669">CH274-CH272-CH271</f>
        <v>141.03940247591817</v>
      </c>
      <c r="CI273" s="67">
        <f>CH273</f>
        <v>141.03940247591817</v>
      </c>
      <c r="CJ273" s="67">
        <f t="shared" ref="CJ273:CL273" si="1670">CJ274-CJ272-CJ271</f>
        <v>202.70166890641377</v>
      </c>
      <c r="CK273" s="67">
        <f t="shared" ref="CK273:DB273" si="1671">CJ273</f>
        <v>202.70166890641377</v>
      </c>
      <c r="CL273" s="67">
        <f t="shared" si="1670"/>
        <v>215.08557603253644</v>
      </c>
      <c r="CM273" s="30">
        <f t="shared" ref="CM273:CP273" si="1672">+CL273</f>
        <v>215.08557603253644</v>
      </c>
      <c r="CN273" s="30">
        <f t="shared" si="1672"/>
        <v>215.08557603253644</v>
      </c>
      <c r="CO273" s="30">
        <f t="shared" si="1672"/>
        <v>215.08557603253644</v>
      </c>
      <c r="CP273" s="30">
        <f t="shared" si="1672"/>
        <v>215.08557603253644</v>
      </c>
      <c r="CQ273" s="30">
        <f t="shared" ref="CQ273:CT273" si="1673">+CP273+2</f>
        <v>217.08557603253644</v>
      </c>
      <c r="CR273" s="30">
        <f t="shared" si="1673"/>
        <v>219.08557603253644</v>
      </c>
      <c r="CS273" s="30">
        <f t="shared" si="1673"/>
        <v>221.08557603253644</v>
      </c>
      <c r="CT273" s="30">
        <f t="shared" si="1673"/>
        <v>223.08557603253644</v>
      </c>
      <c r="CU273" s="30">
        <f t="shared" si="1671"/>
        <v>223.08557603253644</v>
      </c>
      <c r="CV273" s="30">
        <f t="shared" si="1671"/>
        <v>223.08557603253644</v>
      </c>
      <c r="CW273" s="30">
        <f t="shared" si="1671"/>
        <v>223.08557603253644</v>
      </c>
      <c r="CX273" s="30">
        <f t="shared" si="1671"/>
        <v>223.08557603253644</v>
      </c>
      <c r="CY273" s="30">
        <f t="shared" si="1671"/>
        <v>223.08557603253644</v>
      </c>
      <c r="CZ273" s="30">
        <f t="shared" si="1671"/>
        <v>223.08557603253644</v>
      </c>
      <c r="DA273" s="30">
        <f t="shared" si="1671"/>
        <v>223.08557603253644</v>
      </c>
      <c r="DB273" s="30">
        <f t="shared" si="1671"/>
        <v>223.08557603253644</v>
      </c>
      <c r="DE273" s="139"/>
      <c r="DF273" s="62">
        <v>202.70166890641377</v>
      </c>
    </row>
    <row r="274" spans="1:110" s="7" customFormat="1" outlineLevel="1" x14ac:dyDescent="0.2">
      <c r="A274" s="69" t="s">
        <v>467</v>
      </c>
      <c r="B274" s="70">
        <f t="shared" ref="B274:AE274" si="1674">B240/B99*365</f>
        <v>160.44500972946386</v>
      </c>
      <c r="C274" s="70">
        <f t="shared" si="1674"/>
        <v>213.9475558525379</v>
      </c>
      <c r="D274" s="70">
        <f t="shared" si="1674"/>
        <v>171.93194185768243</v>
      </c>
      <c r="E274" s="70">
        <f t="shared" si="1674"/>
        <v>118.20176808008998</v>
      </c>
      <c r="F274" s="70">
        <f t="shared" si="1674"/>
        <v>128.72696701206797</v>
      </c>
      <c r="G274" s="70">
        <f t="shared" si="1674"/>
        <v>143.70908253470881</v>
      </c>
      <c r="H274" s="70">
        <f t="shared" si="1674"/>
        <v>164.89095081451461</v>
      </c>
      <c r="I274" s="70">
        <f t="shared" si="1674"/>
        <v>162.62535318992059</v>
      </c>
      <c r="J274" s="70">
        <f t="shared" si="1674"/>
        <v>138.11443046549675</v>
      </c>
      <c r="K274" s="70">
        <f t="shared" si="1674"/>
        <v>141.78553587211312</v>
      </c>
      <c r="L274" s="70">
        <f t="shared" si="1674"/>
        <v>198.22155816610902</v>
      </c>
      <c r="M274" s="70">
        <f t="shared" si="1674"/>
        <v>198.83092343871843</v>
      </c>
      <c r="N274" s="70">
        <f t="shared" si="1674"/>
        <v>203.64987546191071</v>
      </c>
      <c r="O274" s="70">
        <f t="shared" si="1674"/>
        <v>204.53836097720401</v>
      </c>
      <c r="P274" s="70">
        <f t="shared" si="1674"/>
        <v>241.27555603576059</v>
      </c>
      <c r="Q274" s="70">
        <f t="shared" si="1674"/>
        <v>245.58649078044766</v>
      </c>
      <c r="R274" s="70">
        <f t="shared" si="1674"/>
        <v>280.87529936467814</v>
      </c>
      <c r="S274" s="70">
        <f t="shared" si="1674"/>
        <v>298.74527901544957</v>
      </c>
      <c r="T274" s="70">
        <f t="shared" si="1674"/>
        <v>279.28020123784091</v>
      </c>
      <c r="U274" s="70">
        <f t="shared" si="1674"/>
        <v>297.73642529937672</v>
      </c>
      <c r="V274" s="70">
        <f t="shared" si="1674"/>
        <v>269.93549429706042</v>
      </c>
      <c r="W274" s="70">
        <f t="shared" si="1674"/>
        <v>253.39819042887805</v>
      </c>
      <c r="X274" s="70">
        <f t="shared" si="1674"/>
        <v>219.20831376607993</v>
      </c>
      <c r="Y274" s="70">
        <f t="shared" si="1674"/>
        <v>206.80117870295479</v>
      </c>
      <c r="Z274" s="70">
        <f t="shared" si="1674"/>
        <v>206.65659232746631</v>
      </c>
      <c r="AA274" s="70">
        <f t="shared" ref="AA274" si="1675">AA240/AA99*365</f>
        <v>248.23764560436175</v>
      </c>
      <c r="AB274" s="71">
        <f t="shared" si="1674"/>
        <v>303.68616449176733</v>
      </c>
      <c r="AC274" s="71">
        <f t="shared" si="1674"/>
        <v>317.808407112623</v>
      </c>
      <c r="AD274" s="71">
        <f t="shared" si="1674"/>
        <v>317.67007413368202</v>
      </c>
      <c r="AE274" s="71">
        <f t="shared" si="1674"/>
        <v>317.67712897826937</v>
      </c>
      <c r="AI274" s="70">
        <f t="shared" ref="AI274:CD274" si="1676">AI240/AI99*90</f>
        <v>0</v>
      </c>
      <c r="AJ274" s="70">
        <f t="shared" si="1676"/>
        <v>108.78321040758361</v>
      </c>
      <c r="AK274" s="70">
        <f t="shared" si="1676"/>
        <v>96.576956256238844</v>
      </c>
      <c r="AL274" s="70">
        <f t="shared" si="1676"/>
        <v>183.69417633734329</v>
      </c>
      <c r="AM274" s="70">
        <f t="shared" si="1676"/>
        <v>177.73651171365358</v>
      </c>
      <c r="AN274" s="70">
        <f t="shared" si="1676"/>
        <v>216.0046618876423</v>
      </c>
      <c r="AO274" s="70">
        <f t="shared" si="1676"/>
        <v>215.73276428559564</v>
      </c>
      <c r="AP274" s="70">
        <f t="shared" si="1676"/>
        <v>202.47661992336393</v>
      </c>
      <c r="AQ274" s="70">
        <f t="shared" si="1676"/>
        <v>204.45135209730341</v>
      </c>
      <c r="AR274" s="70">
        <f t="shared" si="1676"/>
        <v>229.5502213420317</v>
      </c>
      <c r="AS274" s="70">
        <f t="shared" si="1676"/>
        <v>230.5427090836634</v>
      </c>
      <c r="AT274" s="70">
        <f t="shared" si="1676"/>
        <v>252.76298617539496</v>
      </c>
      <c r="AU274" s="70">
        <f t="shared" si="1676"/>
        <v>267.73169467936157</v>
      </c>
      <c r="AV274" s="70">
        <f t="shared" si="1676"/>
        <v>270.03064047595137</v>
      </c>
      <c r="AW274" s="70">
        <f t="shared" si="1676"/>
        <v>275.84513276182048</v>
      </c>
      <c r="AX274" s="70">
        <f t="shared" si="1676"/>
        <v>244.79404582788644</v>
      </c>
      <c r="AY274" s="70">
        <f t="shared" si="1676"/>
        <v>256.43087248845319</v>
      </c>
      <c r="AZ274" s="70">
        <f t="shared" si="1676"/>
        <v>257.72213473364349</v>
      </c>
      <c r="BA274" s="70">
        <f t="shared" si="1676"/>
        <v>274.98379063275365</v>
      </c>
      <c r="BB274" s="70">
        <f t="shared" si="1676"/>
        <v>272.74320365897523</v>
      </c>
      <c r="BC274" s="70">
        <f t="shared" si="1676"/>
        <v>290.09216082882978</v>
      </c>
      <c r="BD274" s="70">
        <f t="shared" si="1676"/>
        <v>274.68105009711002</v>
      </c>
      <c r="BE274" s="70">
        <f t="shared" si="1676"/>
        <v>289.26652669943434</v>
      </c>
      <c r="BF274" s="70">
        <f t="shared" si="1676"/>
        <v>273.95945078988098</v>
      </c>
      <c r="BG274" s="70">
        <f t="shared" si="1676"/>
        <v>271.15344340893699</v>
      </c>
      <c r="BH274" s="70">
        <f t="shared" si="1676"/>
        <v>269.52866765215049</v>
      </c>
      <c r="BI274" s="70">
        <f t="shared" si="1676"/>
        <v>255.1572132618424</v>
      </c>
      <c r="BJ274" s="70">
        <f t="shared" si="1676"/>
        <v>284.61455578546685</v>
      </c>
      <c r="BK274" s="70">
        <f t="shared" si="1676"/>
        <v>270.98751248375794</v>
      </c>
      <c r="BL274" s="70">
        <f t="shared" si="1676"/>
        <v>261.47699477195351</v>
      </c>
      <c r="BM274" s="70">
        <f t="shared" si="1676"/>
        <v>276.43354951014459</v>
      </c>
      <c r="BN274" s="70">
        <f t="shared" si="1676"/>
        <v>323.07740756404064</v>
      </c>
      <c r="BO274" s="70">
        <f t="shared" si="1676"/>
        <v>329.00069579298469</v>
      </c>
      <c r="BP274" s="70">
        <f t="shared" si="1676"/>
        <v>248.42490961795269</v>
      </c>
      <c r="BQ274" s="70">
        <f t="shared" si="1676"/>
        <v>263.74440940160946</v>
      </c>
      <c r="BR274" s="70">
        <f t="shared" si="1676"/>
        <v>242.03560882404028</v>
      </c>
      <c r="BS274" s="70">
        <f t="shared" si="1676"/>
        <v>246.12905762195649</v>
      </c>
      <c r="BT274" s="70">
        <f t="shared" si="1676"/>
        <v>249.80797576405016</v>
      </c>
      <c r="BU274" s="70">
        <f t="shared" si="1676"/>
        <v>233.90735538770502</v>
      </c>
      <c r="BV274" s="70">
        <f t="shared" si="1676"/>
        <v>251.23636701126091</v>
      </c>
      <c r="BW274" s="70">
        <f t="shared" si="1676"/>
        <v>223.73989780671243</v>
      </c>
      <c r="BX274" s="70">
        <f t="shared" si="1676"/>
        <v>243.9450862108288</v>
      </c>
      <c r="BY274" s="70">
        <f t="shared" si="1676"/>
        <v>242.95719559570944</v>
      </c>
      <c r="BZ274" s="70">
        <f t="shared" si="1676"/>
        <v>267.95967643506862</v>
      </c>
      <c r="CA274" s="70">
        <f t="shared" si="1676"/>
        <v>236.85679196073241</v>
      </c>
      <c r="CB274" s="70">
        <f t="shared" si="1676"/>
        <v>227.06325378716397</v>
      </c>
      <c r="CC274" s="70">
        <f t="shared" si="1676"/>
        <v>237.64824856707492</v>
      </c>
      <c r="CD274" s="70">
        <f t="shared" si="1676"/>
        <v>222.54607618804818</v>
      </c>
      <c r="CE274" s="115">
        <f>CE240/CE101*90</f>
        <v>210.7552868645582</v>
      </c>
      <c r="CF274" s="70">
        <f>CF240/CF99*90</f>
        <v>229.0873231505058</v>
      </c>
      <c r="CG274" s="70">
        <f>CG240/CG101*90</f>
        <v>232.36106301024284</v>
      </c>
      <c r="CH274" s="70">
        <f>CH240/CH99*90</f>
        <v>195.16612774539828</v>
      </c>
      <c r="CI274" s="70">
        <f>CI271+CI272+CI273</f>
        <v>195.16612774539828</v>
      </c>
      <c r="CJ274" s="70">
        <f>CJ240/CJ99*90</f>
        <v>272.46981809479763</v>
      </c>
      <c r="CK274" s="70">
        <f t="shared" ref="CK274:DB274" si="1677">CK271+CK272+CK273</f>
        <v>272.46981809479763</v>
      </c>
      <c r="CL274" s="70">
        <f>CL240/CL99*90</f>
        <v>289.82824391618902</v>
      </c>
      <c r="CM274" s="50">
        <f t="shared" si="1677"/>
        <v>289.82824391618902</v>
      </c>
      <c r="CN274" s="50">
        <f t="shared" si="1677"/>
        <v>289.82824391618902</v>
      </c>
      <c r="CO274" s="50">
        <f t="shared" si="1677"/>
        <v>289.82824391618902</v>
      </c>
      <c r="CP274" s="50">
        <f t="shared" si="1677"/>
        <v>289.82824391618902</v>
      </c>
      <c r="CQ274" s="50">
        <f t="shared" si="1677"/>
        <v>295.82824391618902</v>
      </c>
      <c r="CR274" s="50">
        <f t="shared" si="1677"/>
        <v>301.82824391618902</v>
      </c>
      <c r="CS274" s="50">
        <f t="shared" si="1677"/>
        <v>307.82824391618902</v>
      </c>
      <c r="CT274" s="50">
        <f t="shared" si="1677"/>
        <v>313.82824391618902</v>
      </c>
      <c r="CU274" s="50">
        <f t="shared" si="1677"/>
        <v>313.82824391618902</v>
      </c>
      <c r="CV274" s="50">
        <f t="shared" si="1677"/>
        <v>313.82824391618902</v>
      </c>
      <c r="CW274" s="50">
        <f t="shared" si="1677"/>
        <v>313.82824391618902</v>
      </c>
      <c r="CX274" s="50">
        <f t="shared" si="1677"/>
        <v>313.82824391618902</v>
      </c>
      <c r="CY274" s="50">
        <f t="shared" si="1677"/>
        <v>313.82824391618902</v>
      </c>
      <c r="CZ274" s="50">
        <f t="shared" si="1677"/>
        <v>313.82824391618902</v>
      </c>
      <c r="DA274" s="50">
        <f t="shared" si="1677"/>
        <v>313.82824391618902</v>
      </c>
      <c r="DB274" s="50">
        <f t="shared" si="1677"/>
        <v>313.82824391618902</v>
      </c>
      <c r="DE274" s="138"/>
      <c r="DF274" s="7">
        <v>272.46981809479763</v>
      </c>
    </row>
    <row r="275" spans="1:110" s="62" customFormat="1" outlineLevel="1" x14ac:dyDescent="0.2">
      <c r="A275" s="68" t="s">
        <v>468</v>
      </c>
      <c r="B275" s="67">
        <f t="shared" ref="B275:AE275" si="1678">B245/B99*365</f>
        <v>77.170487091817122</v>
      </c>
      <c r="C275" s="67">
        <f t="shared" si="1678"/>
        <v>84.516842525109681</v>
      </c>
      <c r="D275" s="67">
        <f t="shared" si="1678"/>
        <v>69.466553600599326</v>
      </c>
      <c r="E275" s="67">
        <f t="shared" si="1678"/>
        <v>52.202864874168895</v>
      </c>
      <c r="F275" s="67">
        <f t="shared" si="1678"/>
        <v>48.221965563259864</v>
      </c>
      <c r="G275" s="67">
        <f t="shared" si="1678"/>
        <v>46.083180247581005</v>
      </c>
      <c r="H275" s="67">
        <f t="shared" si="1678"/>
        <v>57.973498780888413</v>
      </c>
      <c r="I275" s="67">
        <f t="shared" si="1678"/>
        <v>34.973313010870129</v>
      </c>
      <c r="J275" s="67">
        <f t="shared" si="1678"/>
        <v>42.523444193300591</v>
      </c>
      <c r="K275" s="67">
        <f t="shared" si="1678"/>
        <v>56.923298620451135</v>
      </c>
      <c r="L275" s="67">
        <f t="shared" si="1678"/>
        <v>37.947068984651807</v>
      </c>
      <c r="M275" s="67">
        <f t="shared" si="1678"/>
        <v>38.578200609458719</v>
      </c>
      <c r="N275" s="67">
        <f t="shared" si="1678"/>
        <v>39.114046928010026</v>
      </c>
      <c r="O275" s="67">
        <f t="shared" si="1678"/>
        <v>46.715417926301178</v>
      </c>
      <c r="P275" s="67">
        <f t="shared" si="1678"/>
        <v>56.878350769538493</v>
      </c>
      <c r="Q275" s="67">
        <f t="shared" si="1678"/>
        <v>54.455862179073243</v>
      </c>
      <c r="R275" s="67">
        <f t="shared" si="1678"/>
        <v>73.151913595932086</v>
      </c>
      <c r="S275" s="67">
        <f t="shared" si="1678"/>
        <v>76.287768342121737</v>
      </c>
      <c r="T275" s="67">
        <f t="shared" si="1678"/>
        <v>66.956923549566184</v>
      </c>
      <c r="U275" s="67">
        <f t="shared" si="1678"/>
        <v>63.832097134955383</v>
      </c>
      <c r="V275" s="67">
        <f t="shared" si="1678"/>
        <v>79.760722997152271</v>
      </c>
      <c r="W275" s="67">
        <f t="shared" si="1678"/>
        <v>89.167213779441042</v>
      </c>
      <c r="X275" s="67">
        <f t="shared" si="1678"/>
        <v>49.059574211726989</v>
      </c>
      <c r="Y275" s="67">
        <f t="shared" si="1678"/>
        <v>83.713550608717156</v>
      </c>
      <c r="Z275" s="67">
        <f t="shared" si="1678"/>
        <v>77.954679294984103</v>
      </c>
      <c r="AA275" s="67">
        <f t="shared" ref="AA275" si="1679">AA245/AA99*365</f>
        <v>63.063461788901535</v>
      </c>
      <c r="AB275" s="18">
        <f t="shared" si="1678"/>
        <v>36.795303819726492</v>
      </c>
      <c r="AC275" s="18">
        <f t="shared" si="1678"/>
        <v>35.56161264477597</v>
      </c>
      <c r="AD275" s="18">
        <f t="shared" si="1678"/>
        <v>35.546133684172652</v>
      </c>
      <c r="AE275" s="18">
        <f t="shared" si="1678"/>
        <v>35.546923095795734</v>
      </c>
      <c r="AI275" s="67">
        <f>AJ245/AI99*90</f>
        <v>0</v>
      </c>
      <c r="AJ275" s="67">
        <f>AJ245/AJ99*90</f>
        <v>0</v>
      </c>
      <c r="AK275" s="67">
        <f t="shared" ref="AK275:CE275" si="1680">+AJ275</f>
        <v>0</v>
      </c>
      <c r="AL275" s="67">
        <f>AL245/AL99*90</f>
        <v>35.281252283431094</v>
      </c>
      <c r="AM275" s="67">
        <f t="shared" ref="AM275" si="1681">+AL275</f>
        <v>35.281252283431094</v>
      </c>
      <c r="AN275" s="67">
        <f>AN245/AN99*90</f>
        <v>43.216725292052544</v>
      </c>
      <c r="AO275" s="67">
        <f t="shared" ref="AO275" si="1682">+AN275</f>
        <v>43.216725292052544</v>
      </c>
      <c r="AP275" s="67">
        <f>AP245/AP99*90</f>
        <v>46.244527798279229</v>
      </c>
      <c r="AQ275" s="67">
        <f t="shared" ref="AQ275" si="1683">+AP275</f>
        <v>46.244527798279229</v>
      </c>
      <c r="AR275" s="67">
        <f>AR245/AR99*90</f>
        <v>50.677842497670078</v>
      </c>
      <c r="AS275" s="67">
        <f t="shared" ref="AS275" si="1684">+AR275</f>
        <v>50.677842497670078</v>
      </c>
      <c r="AT275" s="67">
        <f>AT245/AT99*90</f>
        <v>59.586399987859849</v>
      </c>
      <c r="AU275" s="67">
        <f t="shared" ref="AU275" si="1685">+AT275</f>
        <v>59.586399987859849</v>
      </c>
      <c r="AV275" s="67">
        <f>AV245/AV99*90</f>
        <v>69.355010806996304</v>
      </c>
      <c r="AW275" s="67">
        <f t="shared" ref="AW275" si="1686">+AV275</f>
        <v>69.355010806996304</v>
      </c>
      <c r="AX275" s="67">
        <f>AX245/AX99*90</f>
        <v>54.280147004415063</v>
      </c>
      <c r="AY275" s="67">
        <f t="shared" ref="AY275" si="1687">+AX275</f>
        <v>54.280147004415063</v>
      </c>
      <c r="AZ275" s="67">
        <f>AZ245/AZ99*90</f>
        <v>53.7076288808424</v>
      </c>
      <c r="BA275" s="67">
        <f t="shared" ref="BA275" si="1688">+AZ275</f>
        <v>53.7076288808424</v>
      </c>
      <c r="BB275" s="67">
        <f>BB245/BB99*90</f>
        <v>71.03396885759804</v>
      </c>
      <c r="BC275" s="67">
        <f t="shared" ref="BC275" si="1689">+BB275</f>
        <v>71.03396885759804</v>
      </c>
      <c r="BD275" s="67">
        <f>BD245/BD99*90</f>
        <v>67.875684679900786</v>
      </c>
      <c r="BE275" s="67">
        <f t="shared" ref="BE275" si="1690">+BD275</f>
        <v>67.875684679900786</v>
      </c>
      <c r="BF275" s="67">
        <f>BF245/BF99*90</f>
        <v>69.958444819181608</v>
      </c>
      <c r="BG275" s="67">
        <f t="shared" ref="BG275" si="1691">+BF275</f>
        <v>69.958444819181608</v>
      </c>
      <c r="BH275" s="67">
        <f>BH245/BH99*90</f>
        <v>62.544125786539858</v>
      </c>
      <c r="BI275" s="67">
        <f t="shared" ref="BI275" si="1692">+BH275</f>
        <v>62.544125786539858</v>
      </c>
      <c r="BJ275" s="67">
        <f>BJ245/BJ99*90</f>
        <v>68.23582541245726</v>
      </c>
      <c r="BK275" s="67">
        <f t="shared" ref="BK275" si="1693">+BJ275</f>
        <v>68.23582541245726</v>
      </c>
      <c r="BL275" s="67">
        <f>BL245/BL99*90</f>
        <v>56.000349057414745</v>
      </c>
      <c r="BM275" s="67">
        <f t="shared" ref="BM275" si="1694">+BL275</f>
        <v>56.000349057414745</v>
      </c>
      <c r="BN275" s="67">
        <f>BN245/BN99*90</f>
        <v>69.264983083615263</v>
      </c>
      <c r="BO275" s="67">
        <f t="shared" ref="BO275" si="1695">+BN275</f>
        <v>69.264983083615263</v>
      </c>
      <c r="BP275" s="67">
        <f>BP245/BP99*90</f>
        <v>59.235036749937571</v>
      </c>
      <c r="BQ275" s="67">
        <f t="shared" ref="BQ275" si="1696">+BP275</f>
        <v>59.235036749937571</v>
      </c>
      <c r="BR275" s="67">
        <f>BR245/BR99*90</f>
        <v>62.067135660934518</v>
      </c>
      <c r="BS275" s="67">
        <f t="shared" ref="BS275" si="1697">+BR275</f>
        <v>62.067135660934518</v>
      </c>
      <c r="BT275" s="67">
        <f>BT245/BT99*90</f>
        <v>64.96019457259878</v>
      </c>
      <c r="BU275" s="67">
        <f t="shared" ref="BU275" si="1698">+BT275</f>
        <v>64.96019457259878</v>
      </c>
      <c r="BV275" s="67">
        <f>BV245/BV99*90</f>
        <v>78.70962779139731</v>
      </c>
      <c r="BW275" s="67">
        <f t="shared" ref="BW275" si="1699">+BV275</f>
        <v>78.70962779139731</v>
      </c>
      <c r="BX275" s="67">
        <f>BX245/BX99*90</f>
        <v>66.568166138302246</v>
      </c>
      <c r="BY275" s="67">
        <f t="shared" ref="BY275" si="1700">+BX275</f>
        <v>66.568166138302246</v>
      </c>
      <c r="BZ275" s="67">
        <f>BZ245/BZ99*90</f>
        <v>53.529857649416712</v>
      </c>
      <c r="CA275" s="67">
        <f t="shared" ref="CA275" si="1701">+BZ275</f>
        <v>53.529857649416712</v>
      </c>
      <c r="CB275" s="67">
        <f>CB245/CB99*90</f>
        <v>58.830711340618862</v>
      </c>
      <c r="CC275" s="67">
        <f t="shared" ref="CC275" si="1702">+CB275</f>
        <v>58.830711340618862</v>
      </c>
      <c r="CD275" s="67">
        <f>CD245/CD99*90</f>
        <v>49.844180889504237</v>
      </c>
      <c r="CE275" s="114">
        <f t="shared" si="1680"/>
        <v>49.844180889504237</v>
      </c>
      <c r="CF275" s="67">
        <f>CF245/CF99*90</f>
        <v>52.309916057606003</v>
      </c>
      <c r="CG275" s="67">
        <f t="shared" ref="CG275:CI275" si="1703">+CF275</f>
        <v>52.309916057606003</v>
      </c>
      <c r="CH275" s="67">
        <f>CH245/CH99*90</f>
        <v>73.620264063622344</v>
      </c>
      <c r="CI275" s="67">
        <f t="shared" si="1703"/>
        <v>73.620264063622344</v>
      </c>
      <c r="CJ275" s="67">
        <f>CJ245/CJ99*90</f>
        <v>41.742699057119019</v>
      </c>
      <c r="CK275" s="67">
        <f t="shared" ref="CK275" si="1704">+CJ275</f>
        <v>41.742699057119019</v>
      </c>
      <c r="CL275" s="67">
        <f>CL245/CL99*90</f>
        <v>43.116246761788425</v>
      </c>
      <c r="CM275" s="30">
        <f t="shared" ref="CM275:CP275" si="1705">+CL275-2</f>
        <v>41.116246761788425</v>
      </c>
      <c r="CN275" s="30">
        <f t="shared" si="1705"/>
        <v>39.116246761788425</v>
      </c>
      <c r="CO275" s="30">
        <f t="shared" si="1705"/>
        <v>37.116246761788425</v>
      </c>
      <c r="CP275" s="30">
        <f t="shared" si="1705"/>
        <v>35.116246761788425</v>
      </c>
      <c r="CQ275" s="30">
        <f t="shared" ref="CQ275" si="1706">+CP275</f>
        <v>35.116246761788425</v>
      </c>
      <c r="CR275" s="30">
        <f t="shared" ref="CR275" si="1707">+CQ275</f>
        <v>35.116246761788425</v>
      </c>
      <c r="CS275" s="30">
        <f t="shared" ref="CS275" si="1708">+CR275</f>
        <v>35.116246761788425</v>
      </c>
      <c r="CT275" s="30">
        <f t="shared" ref="CT275" si="1709">+CS275</f>
        <v>35.116246761788425</v>
      </c>
      <c r="CU275" s="30">
        <f t="shared" ref="CU275" si="1710">+CT275</f>
        <v>35.116246761788425</v>
      </c>
      <c r="CV275" s="30">
        <f t="shared" ref="CV275" si="1711">+CU275</f>
        <v>35.116246761788425</v>
      </c>
      <c r="CW275" s="30">
        <f t="shared" ref="CW275" si="1712">+CV275</f>
        <v>35.116246761788425</v>
      </c>
      <c r="CX275" s="30">
        <f t="shared" ref="CX275" si="1713">+CW275</f>
        <v>35.116246761788425</v>
      </c>
      <c r="CY275" s="30">
        <f t="shared" ref="CY275" si="1714">+CX275</f>
        <v>35.116246761788425</v>
      </c>
      <c r="CZ275" s="30">
        <f t="shared" ref="CZ275" si="1715">+CY275</f>
        <v>35.116246761788425</v>
      </c>
      <c r="DA275" s="30">
        <f t="shared" ref="DA275" si="1716">+CZ275</f>
        <v>35.116246761788425</v>
      </c>
      <c r="DB275" s="30">
        <f t="shared" ref="DB275" si="1717">+DA275</f>
        <v>35.116246761788425</v>
      </c>
      <c r="DE275" s="139"/>
      <c r="DF275" s="62">
        <v>36.742699057119019</v>
      </c>
    </row>
    <row r="276" spans="1:110" s="62" customFormat="1" outlineLevel="1" x14ac:dyDescent="0.2">
      <c r="A276" s="68" t="s">
        <v>466</v>
      </c>
      <c r="B276" s="67">
        <f>B277-B275</f>
        <v>54.179981635439574</v>
      </c>
      <c r="C276" s="67">
        <f t="shared" ref="C276:V276" si="1718">C277-C275</f>
        <v>45.788306838018585</v>
      </c>
      <c r="D276" s="67">
        <f t="shared" si="1718"/>
        <v>52.893839286643285</v>
      </c>
      <c r="E276" s="67">
        <f t="shared" si="1718"/>
        <v>45.744258843402633</v>
      </c>
      <c r="F276" s="67">
        <f t="shared" si="1718"/>
        <v>70.467199800839921</v>
      </c>
      <c r="G276" s="67">
        <f t="shared" si="1718"/>
        <v>65.134131572535978</v>
      </c>
      <c r="H276" s="67">
        <f t="shared" si="1718"/>
        <v>67.206815612647915</v>
      </c>
      <c r="I276" s="67">
        <f t="shared" si="1718"/>
        <v>100.43852409028088</v>
      </c>
      <c r="J276" s="67">
        <f t="shared" si="1718"/>
        <v>94.462762142166113</v>
      </c>
      <c r="K276" s="67">
        <f t="shared" si="1718"/>
        <v>85.413672520462654</v>
      </c>
      <c r="L276" s="67">
        <f t="shared" si="1718"/>
        <v>143.56048796478217</v>
      </c>
      <c r="M276" s="67">
        <f t="shared" si="1718"/>
        <v>119.9296074798394</v>
      </c>
      <c r="N276" s="67">
        <f t="shared" si="1718"/>
        <v>98.672649438141008</v>
      </c>
      <c r="O276" s="67">
        <f t="shared" si="1718"/>
        <v>95.386265217746541</v>
      </c>
      <c r="P276" s="67">
        <f t="shared" si="1718"/>
        <v>104.68927063204902</v>
      </c>
      <c r="Q276" s="67">
        <f t="shared" si="1718"/>
        <v>121.61816643497872</v>
      </c>
      <c r="R276" s="67">
        <f t="shared" si="1718"/>
        <v>135.50369930827591</v>
      </c>
      <c r="S276" s="67">
        <f t="shared" si="1718"/>
        <v>120.74769367074175</v>
      </c>
      <c r="T276" s="67">
        <f t="shared" si="1718"/>
        <v>105.6168455871378</v>
      </c>
      <c r="U276" s="67">
        <f t="shared" si="1718"/>
        <v>165.41896605514003</v>
      </c>
      <c r="V276" s="67">
        <f t="shared" si="1718"/>
        <v>248.84565201504066</v>
      </c>
      <c r="W276" s="67">
        <f t="shared" ref="W276" si="1719">W277-W275</f>
        <v>236.7644591337704</v>
      </c>
      <c r="X276" s="67">
        <f t="shared" ref="X276:Y276" si="1720">X277-X275</f>
        <v>237.40245346138963</v>
      </c>
      <c r="Y276" s="67">
        <f t="shared" si="1720"/>
        <v>207.15466184097679</v>
      </c>
      <c r="Z276" s="67">
        <f t="shared" ref="Z276:AA276" si="1721">Z277-Z275</f>
        <v>211.10750456945703</v>
      </c>
      <c r="AA276" s="67">
        <f t="shared" si="1721"/>
        <v>239.22995778056173</v>
      </c>
      <c r="AB276" s="18">
        <f t="shared" ref="AA276:AD276" si="1722">AB277-AB275</f>
        <v>240.14039531373834</v>
      </c>
      <c r="AC276" s="18">
        <f t="shared" si="1722"/>
        <v>232.08884917352523</v>
      </c>
      <c r="AD276" s="18">
        <f t="shared" si="1722"/>
        <v>231.98782748509078</v>
      </c>
      <c r="AE276" s="18">
        <f t="shared" ref="AE276" si="1723">AE277-AE275</f>
        <v>231.99297949090547</v>
      </c>
      <c r="AI276" s="67">
        <f t="shared" ref="AI276:AK276" si="1724">AI277-AI275</f>
        <v>0</v>
      </c>
      <c r="AJ276" s="67">
        <f t="shared" ref="AJ276:AM276" si="1725">AJ277-AJ275</f>
        <v>37.765011162671094</v>
      </c>
      <c r="AK276" s="67">
        <f t="shared" si="1724"/>
        <v>32.1685947268099</v>
      </c>
      <c r="AL276" s="67">
        <f t="shared" si="1725"/>
        <v>116.26307783261703</v>
      </c>
      <c r="AM276" s="67">
        <f t="shared" si="1725"/>
        <v>111.33505797227713</v>
      </c>
      <c r="AN276" s="67">
        <f t="shared" ref="AN276:AY276" si="1726">AN277-AN275</f>
        <v>130.52607679221967</v>
      </c>
      <c r="AO276" s="67">
        <f t="shared" si="1726"/>
        <v>130.70306977893296</v>
      </c>
      <c r="AP276" s="67">
        <f t="shared" si="1726"/>
        <v>144.93403027024843</v>
      </c>
      <c r="AQ276" s="67">
        <f t="shared" si="1726"/>
        <v>147.44149728150069</v>
      </c>
      <c r="AR276" s="67">
        <f t="shared" si="1726"/>
        <v>152.34041239515372</v>
      </c>
      <c r="AS276" s="67">
        <f t="shared" si="1726"/>
        <v>153.33357956943857</v>
      </c>
      <c r="AT276" s="67">
        <f t="shared" si="1726"/>
        <v>150.95410261468658</v>
      </c>
      <c r="AU276" s="67">
        <f t="shared" si="1726"/>
        <v>164.7485257738839</v>
      </c>
      <c r="AV276" s="67">
        <f t="shared" si="1726"/>
        <v>188.5705285319051</v>
      </c>
      <c r="AW276" s="67">
        <f t="shared" si="1726"/>
        <v>195.15351257493313</v>
      </c>
      <c r="AX276" s="67">
        <f t="shared" si="1726"/>
        <v>143.98922132057322</v>
      </c>
      <c r="AY276" s="67">
        <f t="shared" si="1726"/>
        <v>153.66332275565563</v>
      </c>
      <c r="AZ276" s="67">
        <f t="shared" ref="AZ276:BC276" si="1727">AZ277-AZ275</f>
        <v>195.55777665644533</v>
      </c>
      <c r="BA276" s="67">
        <f t="shared" si="1727"/>
        <v>214.56990449420258</v>
      </c>
      <c r="BB276" s="67">
        <f t="shared" si="1727"/>
        <v>226.55789095020293</v>
      </c>
      <c r="BC276" s="67">
        <f t="shared" si="1727"/>
        <v>247.40333593141071</v>
      </c>
      <c r="BD276" s="67">
        <f t="shared" ref="BD276:CE276" si="1728">BD277-BD275</f>
        <v>260.78834389298265</v>
      </c>
      <c r="BE276" s="67">
        <f t="shared" si="1728"/>
        <v>281.84053381801266</v>
      </c>
      <c r="BF276" s="67">
        <f t="shared" si="1728"/>
        <v>203.08341104433893</v>
      </c>
      <c r="BG276" s="67">
        <f t="shared" si="1728"/>
        <v>200.3546998031496</v>
      </c>
      <c r="BH276" s="67">
        <f t="shared" si="1728"/>
        <v>158.71697620559712</v>
      </c>
      <c r="BI276" s="67">
        <f t="shared" si="1728"/>
        <v>146.20669179629218</v>
      </c>
      <c r="BJ276" s="67">
        <f t="shared" si="1728"/>
        <v>151.09691224148804</v>
      </c>
      <c r="BK276" s="67">
        <f t="shared" si="1728"/>
        <v>140.65223157265871</v>
      </c>
      <c r="BL276" s="67">
        <f t="shared" si="1728"/>
        <v>176.75122625953719</v>
      </c>
      <c r="BM276" s="67">
        <f t="shared" si="1728"/>
        <v>191.91887179095551</v>
      </c>
      <c r="BN276" s="67">
        <f t="shared" si="1728"/>
        <v>231.64872825036241</v>
      </c>
      <c r="BO276" s="67">
        <f t="shared" si="1728"/>
        <v>237.67275325081857</v>
      </c>
      <c r="BP276" s="67">
        <f t="shared" si="1728"/>
        <v>245.16181914905169</v>
      </c>
      <c r="BQ276" s="67">
        <f t="shared" si="1728"/>
        <v>267.48736165603441</v>
      </c>
      <c r="BR276" s="67">
        <f t="shared" si="1728"/>
        <v>193.64339065485498</v>
      </c>
      <c r="BS276" s="67">
        <f t="shared" si="1728"/>
        <v>198.04379043361115</v>
      </c>
      <c r="BT276" s="67">
        <f t="shared" si="1728"/>
        <v>232.28460727690106</v>
      </c>
      <c r="BU276" s="67">
        <f t="shared" si="1728"/>
        <v>208.80911451699512</v>
      </c>
      <c r="BV276" s="67">
        <f t="shared" si="1728"/>
        <v>208.99657691162847</v>
      </c>
      <c r="BW276" s="67">
        <f t="shared" si="1728"/>
        <v>172.43931901530684</v>
      </c>
      <c r="BX276" s="67">
        <f t="shared" si="1728"/>
        <v>195.37978093782786</v>
      </c>
      <c r="BY276" s="67">
        <f t="shared" si="1728"/>
        <v>194.01908965314189</v>
      </c>
      <c r="BZ276" s="67">
        <f t="shared" si="1728"/>
        <v>259.03444421604399</v>
      </c>
      <c r="CA276" s="67">
        <f t="shared" si="1728"/>
        <v>212.04833405528979</v>
      </c>
      <c r="CB276" s="67">
        <f t="shared" si="1728"/>
        <v>202.68432580189517</v>
      </c>
      <c r="CC276" s="67">
        <f t="shared" si="1728"/>
        <v>217.72247628148256</v>
      </c>
      <c r="CD276" s="67">
        <f t="shared" si="1728"/>
        <v>228.270857181802</v>
      </c>
      <c r="CE276" s="114">
        <f t="shared" si="1728"/>
        <v>209.17034143227386</v>
      </c>
      <c r="CF276" s="67">
        <f t="shared" ref="CF276:CG276" si="1729">CF277-CF275</f>
        <v>219.66831383256238</v>
      </c>
      <c r="CG276" s="67">
        <f t="shared" si="1729"/>
        <v>224.04439330364505</v>
      </c>
      <c r="CH276" s="67">
        <f t="shared" ref="CH276" si="1730">CH277-CH275</f>
        <v>199.36956155518175</v>
      </c>
      <c r="CI276" s="67">
        <f>CH276</f>
        <v>199.36956155518175</v>
      </c>
      <c r="CJ276" s="67">
        <f t="shared" ref="CJ276:CL276" si="1731">CJ277-CJ275</f>
        <v>243.71197388727239</v>
      </c>
      <c r="CK276" s="67">
        <f t="shared" ref="CK276:DB276" si="1732">CJ276</f>
        <v>243.71197388727239</v>
      </c>
      <c r="CL276" s="67">
        <f t="shared" si="1731"/>
        <v>269.18221903061703</v>
      </c>
      <c r="CM276" s="30">
        <f t="shared" ref="CM276:CP276" si="1733">CL276-10</f>
        <v>259.18221903061703</v>
      </c>
      <c r="CN276" s="30">
        <f t="shared" si="1733"/>
        <v>249.18221903061703</v>
      </c>
      <c r="CO276" s="30">
        <f t="shared" si="1733"/>
        <v>239.18221903061703</v>
      </c>
      <c r="CP276" s="30">
        <f t="shared" si="1733"/>
        <v>229.18221903061703</v>
      </c>
      <c r="CQ276" s="30">
        <f t="shared" si="1732"/>
        <v>229.18221903061703</v>
      </c>
      <c r="CR276" s="30">
        <f t="shared" si="1732"/>
        <v>229.18221903061703</v>
      </c>
      <c r="CS276" s="30">
        <f t="shared" si="1732"/>
        <v>229.18221903061703</v>
      </c>
      <c r="CT276" s="30">
        <f t="shared" si="1732"/>
        <v>229.18221903061703</v>
      </c>
      <c r="CU276" s="30">
        <f t="shared" si="1732"/>
        <v>229.18221903061703</v>
      </c>
      <c r="CV276" s="30">
        <f t="shared" si="1732"/>
        <v>229.18221903061703</v>
      </c>
      <c r="CW276" s="30">
        <f t="shared" si="1732"/>
        <v>229.18221903061703</v>
      </c>
      <c r="CX276" s="30">
        <f t="shared" si="1732"/>
        <v>229.18221903061703</v>
      </c>
      <c r="CY276" s="30">
        <f t="shared" si="1732"/>
        <v>229.18221903061703</v>
      </c>
      <c r="CZ276" s="30">
        <f t="shared" si="1732"/>
        <v>229.18221903061703</v>
      </c>
      <c r="DA276" s="30">
        <f t="shared" si="1732"/>
        <v>229.18221903061703</v>
      </c>
      <c r="DB276" s="30">
        <f t="shared" si="1732"/>
        <v>229.18221903061703</v>
      </c>
      <c r="DE276" s="139"/>
      <c r="DF276" s="62">
        <v>203.71197388727239</v>
      </c>
    </row>
    <row r="277" spans="1:110" s="7" customFormat="1" outlineLevel="1" x14ac:dyDescent="0.2">
      <c r="A277" s="69" t="s">
        <v>469</v>
      </c>
      <c r="B277" s="70">
        <f t="shared" ref="B277:AE277" si="1734">B248/B99*365</f>
        <v>131.3504687272567</v>
      </c>
      <c r="C277" s="70">
        <f t="shared" si="1734"/>
        <v>130.30514936312827</v>
      </c>
      <c r="D277" s="70">
        <f t="shared" si="1734"/>
        <v>122.36039288724261</v>
      </c>
      <c r="E277" s="70">
        <f t="shared" si="1734"/>
        <v>97.947123717571529</v>
      </c>
      <c r="F277" s="70">
        <f t="shared" si="1734"/>
        <v>118.68916536409978</v>
      </c>
      <c r="G277" s="70">
        <f t="shared" si="1734"/>
        <v>111.21731182011699</v>
      </c>
      <c r="H277" s="70">
        <f t="shared" si="1734"/>
        <v>125.18031439353632</v>
      </c>
      <c r="I277" s="70">
        <f t="shared" si="1734"/>
        <v>135.41183710115101</v>
      </c>
      <c r="J277" s="70">
        <f t="shared" si="1734"/>
        <v>136.9862063354667</v>
      </c>
      <c r="K277" s="70">
        <f t="shared" si="1734"/>
        <v>142.33697114091379</v>
      </c>
      <c r="L277" s="70">
        <f t="shared" si="1734"/>
        <v>181.50755694943396</v>
      </c>
      <c r="M277" s="70">
        <f t="shared" si="1734"/>
        <v>158.50780808929812</v>
      </c>
      <c r="N277" s="70">
        <f t="shared" si="1734"/>
        <v>137.78669636615103</v>
      </c>
      <c r="O277" s="70">
        <f t="shared" si="1734"/>
        <v>142.10168314404771</v>
      </c>
      <c r="P277" s="70">
        <f t="shared" si="1734"/>
        <v>161.5676214015875</v>
      </c>
      <c r="Q277" s="70">
        <f t="shared" si="1734"/>
        <v>176.07402861405197</v>
      </c>
      <c r="R277" s="70">
        <f t="shared" si="1734"/>
        <v>208.655612904208</v>
      </c>
      <c r="S277" s="70">
        <f t="shared" si="1734"/>
        <v>197.03546201286349</v>
      </c>
      <c r="T277" s="70">
        <f t="shared" si="1734"/>
        <v>172.57376913670399</v>
      </c>
      <c r="U277" s="70">
        <f t="shared" si="1734"/>
        <v>229.25106319009541</v>
      </c>
      <c r="V277" s="70">
        <f t="shared" si="1734"/>
        <v>328.60637501219293</v>
      </c>
      <c r="W277" s="70">
        <f t="shared" si="1734"/>
        <v>325.93167291321146</v>
      </c>
      <c r="X277" s="70">
        <f t="shared" si="1734"/>
        <v>286.46202767311661</v>
      </c>
      <c r="Y277" s="70">
        <f t="shared" si="1734"/>
        <v>290.86821244969394</v>
      </c>
      <c r="Z277" s="70">
        <f t="shared" si="1734"/>
        <v>289.06218386444112</v>
      </c>
      <c r="AA277" s="70">
        <f t="shared" ref="AA277" si="1735">AA248/AA99*365</f>
        <v>302.29341956946325</v>
      </c>
      <c r="AB277" s="71">
        <f t="shared" si="1734"/>
        <v>276.93569913346482</v>
      </c>
      <c r="AC277" s="71">
        <f t="shared" si="1734"/>
        <v>267.65046181830121</v>
      </c>
      <c r="AD277" s="71">
        <f t="shared" si="1734"/>
        <v>267.53396116926342</v>
      </c>
      <c r="AE277" s="71">
        <f t="shared" si="1734"/>
        <v>267.5399025867012</v>
      </c>
      <c r="AI277" s="70">
        <f t="shared" ref="AI277:CD277" si="1736">AI248/AI99*90</f>
        <v>0</v>
      </c>
      <c r="AJ277" s="70">
        <f t="shared" si="1736"/>
        <v>37.765011162671094</v>
      </c>
      <c r="AK277" s="70">
        <f t="shared" si="1736"/>
        <v>32.1685947268099</v>
      </c>
      <c r="AL277" s="70">
        <f t="shared" si="1736"/>
        <v>151.54433011604812</v>
      </c>
      <c r="AM277" s="70">
        <f t="shared" si="1736"/>
        <v>146.61631025570821</v>
      </c>
      <c r="AN277" s="70">
        <f t="shared" si="1736"/>
        <v>173.74280208427223</v>
      </c>
      <c r="AO277" s="70">
        <f t="shared" si="1736"/>
        <v>173.91979507098549</v>
      </c>
      <c r="AP277" s="70">
        <f t="shared" si="1736"/>
        <v>191.17855806852765</v>
      </c>
      <c r="AQ277" s="70">
        <f t="shared" si="1736"/>
        <v>193.68602507977991</v>
      </c>
      <c r="AR277" s="70">
        <f t="shared" si="1736"/>
        <v>203.01825489282379</v>
      </c>
      <c r="AS277" s="70">
        <f t="shared" si="1736"/>
        <v>204.01142206710864</v>
      </c>
      <c r="AT277" s="70">
        <f t="shared" si="1736"/>
        <v>210.54050260254641</v>
      </c>
      <c r="AU277" s="70">
        <f t="shared" si="1736"/>
        <v>224.33492576174373</v>
      </c>
      <c r="AV277" s="70">
        <f t="shared" si="1736"/>
        <v>257.92553933890139</v>
      </c>
      <c r="AW277" s="70">
        <f t="shared" si="1736"/>
        <v>264.50852338192942</v>
      </c>
      <c r="AX277" s="70">
        <f t="shared" si="1736"/>
        <v>198.26936832498828</v>
      </c>
      <c r="AY277" s="70">
        <f t="shared" si="1736"/>
        <v>207.94346976007068</v>
      </c>
      <c r="AZ277" s="70">
        <f t="shared" si="1736"/>
        <v>249.26540553728773</v>
      </c>
      <c r="BA277" s="70">
        <f t="shared" si="1736"/>
        <v>268.27753337504498</v>
      </c>
      <c r="BB277" s="70">
        <f t="shared" si="1736"/>
        <v>297.59185980780097</v>
      </c>
      <c r="BC277" s="70">
        <f t="shared" si="1736"/>
        <v>318.43730478900875</v>
      </c>
      <c r="BD277" s="70">
        <f t="shared" si="1736"/>
        <v>328.66402857288347</v>
      </c>
      <c r="BE277" s="70">
        <f t="shared" si="1736"/>
        <v>349.71621849791342</v>
      </c>
      <c r="BF277" s="70">
        <f t="shared" si="1736"/>
        <v>273.04185586352054</v>
      </c>
      <c r="BG277" s="70">
        <f t="shared" si="1736"/>
        <v>270.31314462233121</v>
      </c>
      <c r="BH277" s="70">
        <f t="shared" si="1736"/>
        <v>221.26110199213699</v>
      </c>
      <c r="BI277" s="70">
        <f t="shared" si="1736"/>
        <v>208.75081758283204</v>
      </c>
      <c r="BJ277" s="70">
        <f t="shared" si="1736"/>
        <v>219.33273765394532</v>
      </c>
      <c r="BK277" s="70">
        <f t="shared" si="1736"/>
        <v>208.88805698511595</v>
      </c>
      <c r="BL277" s="70">
        <f t="shared" si="1736"/>
        <v>232.75157531695194</v>
      </c>
      <c r="BM277" s="70">
        <f t="shared" si="1736"/>
        <v>247.91922084837026</v>
      </c>
      <c r="BN277" s="70">
        <f t="shared" si="1736"/>
        <v>300.91371133397769</v>
      </c>
      <c r="BO277" s="70">
        <f t="shared" si="1736"/>
        <v>306.93773633443385</v>
      </c>
      <c r="BP277" s="70">
        <f t="shared" si="1736"/>
        <v>304.39685589898926</v>
      </c>
      <c r="BQ277" s="70">
        <f t="shared" si="1736"/>
        <v>326.722398405972</v>
      </c>
      <c r="BR277" s="70">
        <f t="shared" si="1736"/>
        <v>255.71052631578951</v>
      </c>
      <c r="BS277" s="70">
        <f t="shared" si="1736"/>
        <v>260.11092609454568</v>
      </c>
      <c r="BT277" s="70">
        <f t="shared" si="1736"/>
        <v>297.24480184949982</v>
      </c>
      <c r="BU277" s="70">
        <f t="shared" si="1736"/>
        <v>273.76930908959389</v>
      </c>
      <c r="BV277" s="70">
        <f t="shared" si="1736"/>
        <v>287.70620470302578</v>
      </c>
      <c r="BW277" s="70">
        <f t="shared" si="1736"/>
        <v>251.14894680670415</v>
      </c>
      <c r="BX277" s="70">
        <f t="shared" si="1736"/>
        <v>261.94794707613011</v>
      </c>
      <c r="BY277" s="70">
        <f t="shared" si="1736"/>
        <v>260.58725579144414</v>
      </c>
      <c r="BZ277" s="70">
        <f t="shared" si="1736"/>
        <v>312.56430186546072</v>
      </c>
      <c r="CA277" s="70">
        <f t="shared" si="1736"/>
        <v>265.57819170470651</v>
      </c>
      <c r="CB277" s="70">
        <f t="shared" si="1736"/>
        <v>261.51503714251402</v>
      </c>
      <c r="CC277" s="70">
        <f t="shared" si="1736"/>
        <v>276.5531876221014</v>
      </c>
      <c r="CD277" s="70">
        <f t="shared" si="1736"/>
        <v>278.11503807130623</v>
      </c>
      <c r="CE277" s="115">
        <f>CE248/CE101*90</f>
        <v>259.01452232177809</v>
      </c>
      <c r="CF277" s="70">
        <f>CF248/CF99*90</f>
        <v>271.97822989016839</v>
      </c>
      <c r="CG277" s="70">
        <f>CG248/CG101*90</f>
        <v>276.35430936125107</v>
      </c>
      <c r="CH277" s="70">
        <f>CH248/CH99*90</f>
        <v>272.9898256188041</v>
      </c>
      <c r="CI277" s="70">
        <f>CI275+CI276</f>
        <v>272.9898256188041</v>
      </c>
      <c r="CJ277" s="70">
        <f>CJ248/CJ99*90</f>
        <v>285.4546729443914</v>
      </c>
      <c r="CK277" s="70">
        <f t="shared" ref="CK277:DB277" si="1737">CK275+CK276</f>
        <v>285.4546729443914</v>
      </c>
      <c r="CL277" s="70">
        <f>CL248/CL99*90</f>
        <v>312.29846579240547</v>
      </c>
      <c r="CM277" s="50">
        <f t="shared" si="1737"/>
        <v>300.29846579240547</v>
      </c>
      <c r="CN277" s="50">
        <f t="shared" si="1737"/>
        <v>288.29846579240547</v>
      </c>
      <c r="CO277" s="50">
        <f t="shared" si="1737"/>
        <v>276.29846579240547</v>
      </c>
      <c r="CP277" s="50">
        <f t="shared" si="1737"/>
        <v>264.29846579240547</v>
      </c>
      <c r="CQ277" s="50">
        <f t="shared" si="1737"/>
        <v>264.29846579240547</v>
      </c>
      <c r="CR277" s="50">
        <f t="shared" si="1737"/>
        <v>264.29846579240547</v>
      </c>
      <c r="CS277" s="50">
        <f t="shared" si="1737"/>
        <v>264.29846579240547</v>
      </c>
      <c r="CT277" s="50">
        <f t="shared" si="1737"/>
        <v>264.29846579240547</v>
      </c>
      <c r="CU277" s="50">
        <f t="shared" si="1737"/>
        <v>264.29846579240547</v>
      </c>
      <c r="CV277" s="50">
        <f t="shared" si="1737"/>
        <v>264.29846579240547</v>
      </c>
      <c r="CW277" s="50">
        <f t="shared" si="1737"/>
        <v>264.29846579240547</v>
      </c>
      <c r="CX277" s="50">
        <f t="shared" si="1737"/>
        <v>264.29846579240547</v>
      </c>
      <c r="CY277" s="50">
        <f t="shared" si="1737"/>
        <v>264.29846579240547</v>
      </c>
      <c r="CZ277" s="50">
        <f t="shared" si="1737"/>
        <v>264.29846579240547</v>
      </c>
      <c r="DA277" s="50">
        <f t="shared" si="1737"/>
        <v>264.29846579240547</v>
      </c>
      <c r="DB277" s="50">
        <f t="shared" si="1737"/>
        <v>264.29846579240547</v>
      </c>
      <c r="DE277" s="138"/>
      <c r="DF277" s="7">
        <v>240.4546729443914</v>
      </c>
    </row>
    <row r="278" spans="1:110" s="7" customFormat="1" x14ac:dyDescent="0.2">
      <c r="A278" s="69" t="s">
        <v>470</v>
      </c>
      <c r="B278" s="70">
        <f>B274-B277</f>
        <v>29.094541002207166</v>
      </c>
      <c r="C278" s="70">
        <f t="shared" ref="C278:V278" si="1738">C274-C277</f>
        <v>83.642406489409638</v>
      </c>
      <c r="D278" s="70">
        <f t="shared" si="1738"/>
        <v>49.571548970439821</v>
      </c>
      <c r="E278" s="70">
        <f t="shared" si="1738"/>
        <v>20.254644362518448</v>
      </c>
      <c r="F278" s="70">
        <f t="shared" si="1738"/>
        <v>10.037801647968195</v>
      </c>
      <c r="G278" s="70">
        <f t="shared" si="1738"/>
        <v>32.491770714591823</v>
      </c>
      <c r="H278" s="70">
        <f t="shared" si="1738"/>
        <v>39.71063642097829</v>
      </c>
      <c r="I278" s="70">
        <f t="shared" si="1738"/>
        <v>27.21351608876958</v>
      </c>
      <c r="J278" s="70">
        <f t="shared" si="1738"/>
        <v>1.1282241300300484</v>
      </c>
      <c r="K278" s="70">
        <f t="shared" si="1738"/>
        <v>-0.55143526880067384</v>
      </c>
      <c r="L278" s="70">
        <f t="shared" si="1738"/>
        <v>16.714001216675058</v>
      </c>
      <c r="M278" s="70">
        <f t="shared" si="1738"/>
        <v>40.323115349420306</v>
      </c>
      <c r="N278" s="70">
        <f t="shared" si="1738"/>
        <v>65.863179095759676</v>
      </c>
      <c r="O278" s="70">
        <f t="shared" si="1738"/>
        <v>62.436677833156295</v>
      </c>
      <c r="P278" s="70">
        <f t="shared" si="1738"/>
        <v>79.707934634173085</v>
      </c>
      <c r="Q278" s="70">
        <f t="shared" si="1738"/>
        <v>69.512462166395693</v>
      </c>
      <c r="R278" s="70">
        <f t="shared" si="1738"/>
        <v>72.219686460470143</v>
      </c>
      <c r="S278" s="70">
        <f t="shared" si="1738"/>
        <v>101.70981700258608</v>
      </c>
      <c r="T278" s="70">
        <f t="shared" si="1738"/>
        <v>106.70643210113693</v>
      </c>
      <c r="U278" s="70">
        <f t="shared" si="1738"/>
        <v>68.485362109281311</v>
      </c>
      <c r="V278" s="70">
        <f t="shared" si="1738"/>
        <v>-58.670880715132512</v>
      </c>
      <c r="W278" s="70">
        <f t="shared" ref="W278" si="1739">W274-W277</f>
        <v>-72.533482484333405</v>
      </c>
      <c r="X278" s="70">
        <f t="shared" ref="X278:Y278" si="1740">X274-X277</f>
        <v>-67.253713907036683</v>
      </c>
      <c r="Y278" s="70">
        <f t="shared" si="1740"/>
        <v>-84.067033746739156</v>
      </c>
      <c r="Z278" s="70">
        <f t="shared" ref="Z278:AA278" si="1741">Z274-Z277</f>
        <v>-82.405591536974811</v>
      </c>
      <c r="AA278" s="70">
        <f t="shared" si="1741"/>
        <v>-54.055773965101508</v>
      </c>
      <c r="AB278" s="71">
        <f t="shared" ref="AA278:AD278" si="1742">AB274-AB277</f>
        <v>26.750465358302506</v>
      </c>
      <c r="AC278" s="71">
        <f t="shared" si="1742"/>
        <v>50.157945294321792</v>
      </c>
      <c r="AD278" s="71">
        <f t="shared" si="1742"/>
        <v>50.136112964418601</v>
      </c>
      <c r="AE278" s="71">
        <f t="shared" ref="AE278" si="1743">AE274-AE277</f>
        <v>50.137226391568163</v>
      </c>
      <c r="AI278" s="70">
        <f t="shared" ref="AI278:AK278" si="1744">AI274-AI277</f>
        <v>0</v>
      </c>
      <c r="AJ278" s="70">
        <f t="shared" ref="AJ278:AM278" si="1745">AJ274-AJ277</f>
        <v>71.018199244912523</v>
      </c>
      <c r="AK278" s="70">
        <f t="shared" si="1744"/>
        <v>64.408361529428944</v>
      </c>
      <c r="AL278" s="70">
        <f t="shared" si="1745"/>
        <v>32.149846221295178</v>
      </c>
      <c r="AM278" s="70">
        <f t="shared" si="1745"/>
        <v>31.12020145794537</v>
      </c>
      <c r="AN278" s="70">
        <f t="shared" ref="AN278:AY278" si="1746">AN274-AN277</f>
        <v>42.261859803370072</v>
      </c>
      <c r="AO278" s="70">
        <f t="shared" si="1746"/>
        <v>41.812969214610149</v>
      </c>
      <c r="AP278" s="70">
        <f t="shared" si="1746"/>
        <v>11.298061854836277</v>
      </c>
      <c r="AQ278" s="70">
        <f t="shared" si="1746"/>
        <v>10.765327017523504</v>
      </c>
      <c r="AR278" s="70">
        <f t="shared" si="1746"/>
        <v>26.531966449207914</v>
      </c>
      <c r="AS278" s="70">
        <f t="shared" si="1746"/>
        <v>26.531287016554757</v>
      </c>
      <c r="AT278" s="70">
        <f t="shared" si="1746"/>
        <v>42.222483572848546</v>
      </c>
      <c r="AU278" s="70">
        <f t="shared" si="1746"/>
        <v>43.396768917617834</v>
      </c>
      <c r="AV278" s="70">
        <f t="shared" si="1746"/>
        <v>12.105101137049985</v>
      </c>
      <c r="AW278" s="70">
        <f t="shared" si="1746"/>
        <v>11.336609379891058</v>
      </c>
      <c r="AX278" s="70">
        <f t="shared" si="1746"/>
        <v>46.524677502898157</v>
      </c>
      <c r="AY278" s="70">
        <f t="shared" si="1746"/>
        <v>48.487402728382506</v>
      </c>
      <c r="AZ278" s="70">
        <f t="shared" ref="AZ278:BC278" si="1747">AZ274-AZ277</f>
        <v>8.4567291963557523</v>
      </c>
      <c r="BA278" s="70">
        <f t="shared" si="1747"/>
        <v>6.7062572577086712</v>
      </c>
      <c r="BB278" s="70">
        <f t="shared" si="1747"/>
        <v>-24.848656148825739</v>
      </c>
      <c r="BC278" s="70">
        <f t="shared" si="1747"/>
        <v>-28.345143960178973</v>
      </c>
      <c r="BD278" s="70">
        <f t="shared" ref="BD278:CE278" si="1748">BD274-BD277</f>
        <v>-53.98297847577345</v>
      </c>
      <c r="BE278" s="70">
        <f t="shared" si="1748"/>
        <v>-60.44969179847908</v>
      </c>
      <c r="BF278" s="70">
        <f t="shared" si="1748"/>
        <v>0.9175949263604366</v>
      </c>
      <c r="BG278" s="70">
        <f t="shared" si="1748"/>
        <v>0.84029878660578561</v>
      </c>
      <c r="BH278" s="70">
        <f t="shared" si="1748"/>
        <v>48.267565660013503</v>
      </c>
      <c r="BI278" s="70">
        <f t="shared" si="1748"/>
        <v>46.406395679010359</v>
      </c>
      <c r="BJ278" s="70">
        <f t="shared" si="1748"/>
        <v>65.281818131521533</v>
      </c>
      <c r="BK278" s="70">
        <f t="shared" si="1748"/>
        <v>62.099455498641987</v>
      </c>
      <c r="BL278" s="70">
        <f t="shared" si="1748"/>
        <v>28.725419455001571</v>
      </c>
      <c r="BM278" s="70">
        <f t="shared" si="1748"/>
        <v>28.514328661774329</v>
      </c>
      <c r="BN278" s="70">
        <f t="shared" si="1748"/>
        <v>22.163696230062953</v>
      </c>
      <c r="BO278" s="70">
        <f t="shared" si="1748"/>
        <v>22.062959458550836</v>
      </c>
      <c r="BP278" s="70">
        <f t="shared" si="1748"/>
        <v>-55.971946281036566</v>
      </c>
      <c r="BQ278" s="70">
        <f t="shared" si="1748"/>
        <v>-62.977989004362541</v>
      </c>
      <c r="BR278" s="70">
        <f t="shared" si="1748"/>
        <v>-13.674917491749227</v>
      </c>
      <c r="BS278" s="70">
        <f t="shared" si="1748"/>
        <v>-13.981868472589184</v>
      </c>
      <c r="BT278" s="70">
        <f t="shared" si="1748"/>
        <v>-47.436826085449667</v>
      </c>
      <c r="BU278" s="70">
        <f t="shared" si="1748"/>
        <v>-39.861953701888865</v>
      </c>
      <c r="BV278" s="70">
        <f t="shared" si="1748"/>
        <v>-36.469837691764866</v>
      </c>
      <c r="BW278" s="70">
        <f t="shared" si="1748"/>
        <v>-27.409048999991711</v>
      </c>
      <c r="BX278" s="70">
        <f t="shared" si="1748"/>
        <v>-18.002860865301301</v>
      </c>
      <c r="BY278" s="70">
        <f t="shared" si="1748"/>
        <v>-17.6300601957347</v>
      </c>
      <c r="BZ278" s="70">
        <f t="shared" si="1748"/>
        <v>-44.604625430392105</v>
      </c>
      <c r="CA278" s="70">
        <f t="shared" si="1748"/>
        <v>-28.721399743974104</v>
      </c>
      <c r="CB278" s="70">
        <f t="shared" si="1748"/>
        <v>-34.451783355350045</v>
      </c>
      <c r="CC278" s="70">
        <f t="shared" si="1748"/>
        <v>-38.904939055026489</v>
      </c>
      <c r="CD278" s="70">
        <f t="shared" si="1748"/>
        <v>-55.568961883258055</v>
      </c>
      <c r="CE278" s="115">
        <f t="shared" si="1748"/>
        <v>-48.259235457219887</v>
      </c>
      <c r="CF278" s="70">
        <f t="shared" ref="CF278:CG278" si="1749">CF274-CF277</f>
        <v>-42.890906739662597</v>
      </c>
      <c r="CG278" s="70">
        <f t="shared" si="1749"/>
        <v>-43.993246351008224</v>
      </c>
      <c r="CH278" s="70">
        <f t="shared" ref="CH278:CI278" si="1750">CH274-CH277</f>
        <v>-77.82369787340582</v>
      </c>
      <c r="CI278" s="70">
        <f t="shared" si="1750"/>
        <v>-77.82369787340582</v>
      </c>
      <c r="CJ278" s="70">
        <f t="shared" ref="CJ278:DB278" si="1751">CJ274-CJ277</f>
        <v>-12.984854849593773</v>
      </c>
      <c r="CK278" s="70">
        <f t="shared" si="1751"/>
        <v>-12.984854849593773</v>
      </c>
      <c r="CL278" s="70">
        <f t="shared" ref="CL278" si="1752">CL274-CL277</f>
        <v>-22.470221876216442</v>
      </c>
      <c r="CM278" s="50">
        <f t="shared" si="1751"/>
        <v>-10.470221876216442</v>
      </c>
      <c r="CN278" s="50">
        <f t="shared" si="1751"/>
        <v>1.5297781237835579</v>
      </c>
      <c r="CO278" s="50">
        <f t="shared" si="1751"/>
        <v>13.529778123783558</v>
      </c>
      <c r="CP278" s="50">
        <f t="shared" si="1751"/>
        <v>25.529778123783558</v>
      </c>
      <c r="CQ278" s="50">
        <f t="shared" si="1751"/>
        <v>31.529778123783558</v>
      </c>
      <c r="CR278" s="50">
        <f t="shared" si="1751"/>
        <v>37.529778123783558</v>
      </c>
      <c r="CS278" s="50">
        <f t="shared" si="1751"/>
        <v>43.529778123783558</v>
      </c>
      <c r="CT278" s="50">
        <f t="shared" si="1751"/>
        <v>49.529778123783558</v>
      </c>
      <c r="CU278" s="50">
        <f t="shared" si="1751"/>
        <v>49.529778123783558</v>
      </c>
      <c r="CV278" s="50">
        <f t="shared" si="1751"/>
        <v>49.529778123783558</v>
      </c>
      <c r="CW278" s="50">
        <f t="shared" si="1751"/>
        <v>49.529778123783558</v>
      </c>
      <c r="CX278" s="50">
        <f t="shared" si="1751"/>
        <v>49.529778123783558</v>
      </c>
      <c r="CY278" s="50">
        <f t="shared" si="1751"/>
        <v>49.529778123783558</v>
      </c>
      <c r="CZ278" s="50">
        <f t="shared" si="1751"/>
        <v>49.529778123783558</v>
      </c>
      <c r="DA278" s="50">
        <f t="shared" si="1751"/>
        <v>49.529778123783558</v>
      </c>
      <c r="DB278" s="50">
        <f t="shared" si="1751"/>
        <v>49.529778123783558</v>
      </c>
      <c r="DE278" s="138"/>
      <c r="DF278" s="7">
        <v>32.015145150406227</v>
      </c>
    </row>
    <row r="279" spans="1:110" s="7" customFormat="1" x14ac:dyDescent="0.2">
      <c r="A279" s="69" t="s">
        <v>86</v>
      </c>
      <c r="AB279" s="77"/>
      <c r="AC279" s="77"/>
      <c r="AD279" s="77"/>
      <c r="AE279" s="77"/>
      <c r="CE279" s="115"/>
      <c r="CG279" s="115"/>
      <c r="CM279" s="50"/>
      <c r="CN279" s="50"/>
      <c r="CO279" s="50"/>
      <c r="CP279" s="50"/>
      <c r="CQ279" s="50"/>
      <c r="CR279" s="50"/>
      <c r="CS279" s="50"/>
      <c r="CT279" s="50"/>
      <c r="CU279" s="50"/>
      <c r="CV279" s="50"/>
      <c r="CW279" s="50"/>
      <c r="CX279" s="50"/>
      <c r="CY279" s="50"/>
      <c r="CZ279" s="50"/>
      <c r="DA279" s="50"/>
      <c r="DB279" s="50"/>
      <c r="DE279" s="138"/>
    </row>
    <row r="280" spans="1:110" s="86" customFormat="1" x14ac:dyDescent="0.2">
      <c r="A280" s="86" t="s">
        <v>440</v>
      </c>
      <c r="C280" s="86">
        <f t="shared" ref="C280:AE280" si="1753">C101/B101-1</f>
        <v>0.14420030942571738</v>
      </c>
      <c r="D280" s="86">
        <f t="shared" si="1753"/>
        <v>0.24459345361118445</v>
      </c>
      <c r="E280" s="86">
        <f t="shared" si="1753"/>
        <v>3.917843282106781E-2</v>
      </c>
      <c r="F280" s="86">
        <f t="shared" si="1753"/>
        <v>-1.8709499130908469E-2</v>
      </c>
      <c r="G280" s="86">
        <f t="shared" si="1753"/>
        <v>0.14712802711676254</v>
      </c>
      <c r="H280" s="86">
        <f t="shared" si="1753"/>
        <v>0.15199083479504583</v>
      </c>
      <c r="I280" s="86">
        <f t="shared" si="1753"/>
        <v>0.68181986645335457</v>
      </c>
      <c r="J280" s="86">
        <f t="shared" si="1753"/>
        <v>0.65839245018299741</v>
      </c>
      <c r="K280" s="86">
        <f t="shared" si="1753"/>
        <v>5.1187842306099407E-2</v>
      </c>
      <c r="L280" s="86">
        <f t="shared" si="1753"/>
        <v>2.4487723482342627E-2</v>
      </c>
      <c r="M280" s="86">
        <f t="shared" si="1753"/>
        <v>0.3367806707809875</v>
      </c>
      <c r="N280" s="86">
        <f t="shared" si="1753"/>
        <v>0.27014045397555519</v>
      </c>
      <c r="O280" s="86">
        <f t="shared" si="1753"/>
        <v>8.1537469761937986E-2</v>
      </c>
      <c r="P280" s="86">
        <f t="shared" si="1753"/>
        <v>-5.9506011494407263E-2</v>
      </c>
      <c r="Q280" s="86">
        <f t="shared" si="1753"/>
        <v>-0.12200504929778089</v>
      </c>
      <c r="R280" s="86">
        <f t="shared" si="1753"/>
        <v>-6.4646728350901683E-2</v>
      </c>
      <c r="S280" s="86">
        <f t="shared" si="1753"/>
        <v>-2.7088991825672371E-2</v>
      </c>
      <c r="T280" s="86">
        <f t="shared" si="1753"/>
        <v>0.1132920794015857</v>
      </c>
      <c r="U280" s="86">
        <f t="shared" si="1753"/>
        <v>-2.4921806656122758E-2</v>
      </c>
      <c r="V280" s="86">
        <f t="shared" si="1753"/>
        <v>0.12242225095301862</v>
      </c>
      <c r="W280" s="86">
        <f t="shared" si="1753"/>
        <v>0.30921518341721366</v>
      </c>
      <c r="X280" s="86">
        <f t="shared" si="1753"/>
        <v>0.28712408330875139</v>
      </c>
      <c r="Y280" s="86">
        <f t="shared" si="1753"/>
        <v>0.11504129628003223</v>
      </c>
      <c r="Z280" s="86">
        <f t="shared" si="1753"/>
        <v>6.5572207150982331E-2</v>
      </c>
      <c r="AA280" s="86">
        <f t="shared" si="1753"/>
        <v>-4.6575014844626228E-2</v>
      </c>
      <c r="AB280" s="87">
        <f t="shared" si="1753"/>
        <v>0.25491785942946987</v>
      </c>
      <c r="AC280" s="87">
        <f t="shared" si="1753"/>
        <v>8.345946360882861E-2</v>
      </c>
      <c r="AD280" s="87">
        <f t="shared" si="1753"/>
        <v>6.1277645258537294E-2</v>
      </c>
      <c r="AE280" s="87">
        <f t="shared" si="1753"/>
        <v>6.4508785107130873E-2</v>
      </c>
      <c r="AN280" s="86">
        <f t="shared" ref="AN280:BS280" si="1754">+(AN101+AM101)/(AJ101+AI101)-1</f>
        <v>0.17343111421811153</v>
      </c>
      <c r="AO280" s="86">
        <f t="shared" si="1754"/>
        <v>1.9798549101099683E-2</v>
      </c>
      <c r="AP280" s="86">
        <f t="shared" si="1754"/>
        <v>-2.8887605861369514E-2</v>
      </c>
      <c r="AQ280" s="86">
        <f t="shared" si="1754"/>
        <v>-3.2227529627061213E-2</v>
      </c>
      <c r="AR280" s="86">
        <f t="shared" si="1754"/>
        <v>-2.4226523609575445E-2</v>
      </c>
      <c r="AS280" s="86">
        <f t="shared" si="1754"/>
        <v>2.4247072357745925E-3</v>
      </c>
      <c r="AT280" s="86">
        <f t="shared" si="1754"/>
        <v>-6.3362064517312633E-2</v>
      </c>
      <c r="AU280" s="86">
        <f t="shared" si="1754"/>
        <v>-0.15174567708622488</v>
      </c>
      <c r="AV280" s="86">
        <f t="shared" si="1754"/>
        <v>-0.15350787073837135</v>
      </c>
      <c r="AW280" s="86">
        <f t="shared" si="1754"/>
        <v>-0.14039407707337725</v>
      </c>
      <c r="AX280" s="86">
        <f t="shared" si="1754"/>
        <v>-0.11739998298338061</v>
      </c>
      <c r="AY280" s="86">
        <f t="shared" si="1754"/>
        <v>-5.1512023317949907E-2</v>
      </c>
      <c r="AZ280" s="86">
        <f t="shared" si="1754"/>
        <v>-2.546547537888888E-2</v>
      </c>
      <c r="BA280" s="86">
        <f t="shared" si="1754"/>
        <v>-5.6002021076154707E-2</v>
      </c>
      <c r="BB280" s="86">
        <f t="shared" si="1754"/>
        <v>-5.820787973654229E-2</v>
      </c>
      <c r="BC280" s="86">
        <f t="shared" si="1754"/>
        <v>-4.5348004265268971E-2</v>
      </c>
      <c r="BD280" s="86">
        <f t="shared" si="1754"/>
        <v>-5.4319190090478697E-2</v>
      </c>
      <c r="BE280" s="86">
        <f t="shared" si="1754"/>
        <v>-4.0196952301657096E-2</v>
      </c>
      <c r="BF280" s="86">
        <f t="shared" si="1754"/>
        <v>-1.8998932966884929E-4</v>
      </c>
      <c r="BG280" s="86">
        <f t="shared" si="1754"/>
        <v>8.2850232186607808E-2</v>
      </c>
      <c r="BH280" s="86">
        <f t="shared" si="1754"/>
        <v>0.10384501059174567</v>
      </c>
      <c r="BI280" s="86">
        <f t="shared" si="1754"/>
        <v>0.15884620296254992</v>
      </c>
      <c r="BJ280" s="86">
        <f t="shared" si="1754"/>
        <v>0.12044666288088868</v>
      </c>
      <c r="BK280" s="86">
        <f t="shared" si="1754"/>
        <v>3.1960259040153094E-2</v>
      </c>
      <c r="BL280" s="86">
        <f t="shared" si="1754"/>
        <v>5.289730928833758E-2</v>
      </c>
      <c r="BM280" s="86">
        <f t="shared" si="1754"/>
        <v>-3.8286987106172399E-2</v>
      </c>
      <c r="BN280" s="86">
        <f t="shared" si="1754"/>
        <v>-9.9958915230617063E-2</v>
      </c>
      <c r="BO280" s="86">
        <f t="shared" si="1754"/>
        <v>-0.12821407042681787</v>
      </c>
      <c r="BP280" s="86">
        <f t="shared" si="1754"/>
        <v>-4.5436121762124415E-2</v>
      </c>
      <c r="BQ280" s="86">
        <f t="shared" si="1754"/>
        <v>7.7217545774755481E-2</v>
      </c>
      <c r="BR280" s="86">
        <f t="shared" si="1754"/>
        <v>0.31176840495390334</v>
      </c>
      <c r="BS280" s="86">
        <f t="shared" si="1754"/>
        <v>0.56763646960827718</v>
      </c>
      <c r="BT280" s="86">
        <f t="shared" ref="BT280:CL280" si="1755">+(BT101+BS101)/(BP101+BO101)-1</f>
        <v>0.35269894456955275</v>
      </c>
      <c r="BU280" s="86">
        <f t="shared" si="1755"/>
        <v>0.30436336994861457</v>
      </c>
      <c r="BV280" s="86">
        <f t="shared" si="1755"/>
        <v>0.27352174297945853</v>
      </c>
      <c r="BW280" s="86">
        <f t="shared" si="1755"/>
        <v>0.29082725256709563</v>
      </c>
      <c r="BX280" s="86">
        <f t="shared" si="1755"/>
        <v>0.43041744368955448</v>
      </c>
      <c r="BY280" s="86">
        <f t="shared" si="1755"/>
        <v>0.35884528377637603</v>
      </c>
      <c r="BZ280" s="86">
        <f t="shared" si="1755"/>
        <v>0.16218964635313982</v>
      </c>
      <c r="CA280" s="86">
        <f t="shared" si="1755"/>
        <v>4.5798142083443016E-2</v>
      </c>
      <c r="CB280" s="86">
        <f t="shared" si="1755"/>
        <v>8.5013776808688268E-2</v>
      </c>
      <c r="CC280" s="86">
        <f t="shared" si="1755"/>
        <v>7.9162026488786896E-2</v>
      </c>
      <c r="CD280" s="86">
        <f t="shared" si="1755"/>
        <v>0.14726395334139863</v>
      </c>
      <c r="CE280" s="86">
        <f t="shared" si="1755"/>
        <v>0.19782195788853496</v>
      </c>
      <c r="CF280" s="86">
        <f t="shared" si="1755"/>
        <v>6.5908982234037294E-2</v>
      </c>
      <c r="CG280" s="86">
        <f t="shared" si="1755"/>
        <v>2.302475597279674E-2</v>
      </c>
      <c r="CH280" s="86">
        <f t="shared" si="1755"/>
        <v>6.5230093666448274E-2</v>
      </c>
      <c r="CI280" s="86">
        <f t="shared" si="1755"/>
        <v>6.0070548759512565E-2</v>
      </c>
      <c r="CJ280" s="86">
        <f t="shared" si="1755"/>
        <v>1.7843800591004433E-2</v>
      </c>
      <c r="CL280" s="86">
        <f t="shared" si="1755"/>
        <v>-0.11199361958990295</v>
      </c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7"/>
      <c r="CY280" s="87"/>
      <c r="CZ280" s="87"/>
      <c r="DA280" s="87"/>
      <c r="DB280" s="87"/>
      <c r="DE280" s="141"/>
      <c r="DF280" s="86">
        <v>-4.6575014844626228E-2</v>
      </c>
    </row>
    <row r="281" spans="1:110" s="86" customFormat="1" x14ac:dyDescent="0.2">
      <c r="A281" s="86" t="s">
        <v>441</v>
      </c>
      <c r="C281" s="86">
        <f t="shared" ref="C281" si="1756">C278/B278-1</f>
        <v>1.8748488069656908</v>
      </c>
      <c r="D281" s="86">
        <f t="shared" ref="D281" si="1757">D278/C278-1</f>
        <v>-0.4073395177036625</v>
      </c>
      <c r="E281" s="86">
        <f>E278/D278-1</f>
        <v>-0.59140586116047</v>
      </c>
      <c r="F281" s="86">
        <f t="shared" ref="F281" si="1758">F278/E278-1</f>
        <v>-0.50441975340019729</v>
      </c>
      <c r="G281" s="86">
        <f t="shared" ref="G281" si="1759">G278/F278-1</f>
        <v>2.2369409014142709</v>
      </c>
      <c r="H281" s="86">
        <f t="shared" ref="H281" si="1760">H278/G278-1</f>
        <v>0.22217520152401304</v>
      </c>
      <c r="I281" s="86">
        <f t="shared" ref="I281" si="1761">I278/H278-1</f>
        <v>-0.31470460960949864</v>
      </c>
      <c r="J281" s="86">
        <f t="shared" ref="J281" si="1762">J278/I278-1</f>
        <v>-0.95854177290616105</v>
      </c>
      <c r="K281" s="86">
        <f>K278/J278-1</f>
        <v>-1.4887639380536801</v>
      </c>
      <c r="L281" s="86">
        <f t="shared" ref="L281" si="1763">L278/K278-1</f>
        <v>-31.309996770838815</v>
      </c>
      <c r="M281" s="86">
        <f t="shared" ref="M281" si="1764">M278/L278-1</f>
        <v>1.4125351450370327</v>
      </c>
      <c r="N281" s="86">
        <f t="shared" ref="N281" si="1765">N278/M278-1</f>
        <v>0.63338518180010972</v>
      </c>
      <c r="O281" s="86">
        <f t="shared" ref="O281" si="1766">O278/N278-1</f>
        <v>-5.2024534947235468E-2</v>
      </c>
      <c r="P281" s="86">
        <f t="shared" ref="P281" si="1767">P278/O278-1</f>
        <v>0.27662036803382062</v>
      </c>
      <c r="Q281" s="86">
        <f t="shared" ref="Q281" si="1768">Q278/P278-1</f>
        <v>-0.12791038325820958</v>
      </c>
      <c r="R281" s="86">
        <f t="shared" ref="R281" si="1769">R278/Q278-1</f>
        <v>3.8945884086137195E-2</v>
      </c>
      <c r="S281" s="86">
        <f t="shared" ref="S281" si="1770">S278/R278-1</f>
        <v>0.40833922144286139</v>
      </c>
      <c r="T281" s="86">
        <f t="shared" ref="T281" si="1771">T278/S278-1</f>
        <v>4.9126183153233027E-2</v>
      </c>
      <c r="U281" s="86">
        <f t="shared" ref="U281" si="1772">U278/T278-1</f>
        <v>-0.35818899797558112</v>
      </c>
      <c r="V281" s="86">
        <f t="shared" ref="V281" si="1773">V278/U278-1</f>
        <v>-1.8566922756648649</v>
      </c>
      <c r="W281" s="86">
        <f t="shared" ref="W281:AA281" si="1774">W278/V278-1</f>
        <v>0.23627737644690616</v>
      </c>
      <c r="X281" s="86">
        <f t="shared" si="1774"/>
        <v>-7.2790777396316342E-2</v>
      </c>
      <c r="Y281" s="86">
        <f t="shared" si="1774"/>
        <v>0.24999838466828983</v>
      </c>
      <c r="Z281" s="86">
        <f t="shared" si="1774"/>
        <v>-1.9763302399482985E-2</v>
      </c>
      <c r="AA281" s="86">
        <f t="shared" si="1774"/>
        <v>-0.34402783892586875</v>
      </c>
      <c r="AB281" s="87">
        <f t="shared" ref="AB281" si="1775">AB278/AA278-1</f>
        <v>-1.4948678632475534</v>
      </c>
      <c r="AC281" s="87">
        <f t="shared" ref="AC281" si="1776">AC278/AB278-1</f>
        <v>0.87503075638100403</v>
      </c>
      <c r="AD281" s="87">
        <f t="shared" ref="AD281" si="1777">AD278/AC278-1</f>
        <v>-4.3527161599388187E-4</v>
      </c>
      <c r="AE281" s="87">
        <f t="shared" ref="AE281" si="1778">AE278/AD278-1</f>
        <v>2.2208086820629802E-5</v>
      </c>
      <c r="AN281" s="86">
        <f t="shared" ref="AN281:CI281" si="1779">+AN278/AJ278-1</f>
        <v>-0.40491507454833764</v>
      </c>
      <c r="AO281" s="86">
        <f t="shared" si="1779"/>
        <v>-0.35081458025437728</v>
      </c>
      <c r="AP281" s="86">
        <f t="shared" si="1779"/>
        <v>-0.64858115410353812</v>
      </c>
      <c r="AQ281" s="86">
        <f t="shared" si="1779"/>
        <v>-0.65407270797808459</v>
      </c>
      <c r="AR281" s="86">
        <f t="shared" si="1779"/>
        <v>-0.37220068940051276</v>
      </c>
      <c r="AS281" s="86">
        <f t="shared" si="1779"/>
        <v>-0.36547708725539918</v>
      </c>
      <c r="AT281" s="86">
        <f t="shared" si="1779"/>
        <v>2.7371439557816442</v>
      </c>
      <c r="AU281" s="86">
        <f t="shared" si="1779"/>
        <v>3.0311612315146359</v>
      </c>
      <c r="AV281" s="86">
        <f t="shared" si="1779"/>
        <v>-0.5437540914947383</v>
      </c>
      <c r="AW281" s="86">
        <f t="shared" si="1779"/>
        <v>-0.57270789868515082</v>
      </c>
      <c r="AX281" s="86">
        <f t="shared" si="1779"/>
        <v>0.10189343605585921</v>
      </c>
      <c r="AY281" s="86">
        <f t="shared" si="1779"/>
        <v>0.11730444311253829</v>
      </c>
      <c r="AZ281" s="86">
        <f t="shared" si="1779"/>
        <v>-0.30139128119530456</v>
      </c>
      <c r="BA281" s="86">
        <f t="shared" si="1779"/>
        <v>-0.40844241580694596</v>
      </c>
      <c r="BB281" s="86">
        <f t="shared" si="1779"/>
        <v>-1.5340962577822888</v>
      </c>
      <c r="BC281" s="86">
        <f t="shared" si="1779"/>
        <v>-1.5845877973494114</v>
      </c>
      <c r="BD281" s="86">
        <f t="shared" si="1779"/>
        <v>-7.3834346852487922</v>
      </c>
      <c r="BE281" s="86">
        <f t="shared" si="1779"/>
        <v>-10.013923784238028</v>
      </c>
      <c r="BF281" s="86">
        <f t="shared" si="1779"/>
        <v>-1.0369273461254684</v>
      </c>
      <c r="BG281" s="86">
        <f t="shared" si="1779"/>
        <v>-1.0296452467408981</v>
      </c>
      <c r="BH281" s="86">
        <f t="shared" si="1779"/>
        <v>-1.8941256489149647</v>
      </c>
      <c r="BI281" s="86">
        <f t="shared" si="1779"/>
        <v>-1.7676862246662099</v>
      </c>
      <c r="BJ281" s="86">
        <f t="shared" si="1779"/>
        <v>70.144484626191641</v>
      </c>
      <c r="BK281" s="86">
        <f t="shared" si="1779"/>
        <v>72.901636523218116</v>
      </c>
      <c r="BL281" s="86">
        <f t="shared" si="1779"/>
        <v>-0.40487117876759449</v>
      </c>
      <c r="BM281" s="86">
        <f t="shared" si="1779"/>
        <v>-0.38555174896568456</v>
      </c>
      <c r="BN281" s="86">
        <f t="shared" si="1779"/>
        <v>-0.66049205024574609</v>
      </c>
      <c r="BO281" s="86">
        <f t="shared" si="1779"/>
        <v>-0.64471573411729333</v>
      </c>
      <c r="BP281" s="86">
        <f t="shared" si="1779"/>
        <v>-2.9485162390306163</v>
      </c>
      <c r="BQ281" s="86">
        <f t="shared" si="1779"/>
        <v>-3.2086435823680963</v>
      </c>
      <c r="BR281" s="86">
        <f t="shared" si="1779"/>
        <v>-1.6169962514285183</v>
      </c>
      <c r="BS281" s="86">
        <f t="shared" si="1779"/>
        <v>-1.633725883368303</v>
      </c>
      <c r="BT281" s="86">
        <f t="shared" si="1779"/>
        <v>-0.15248925153918791</v>
      </c>
      <c r="BU281" s="86">
        <f t="shared" si="1779"/>
        <v>-0.36704943533323064</v>
      </c>
      <c r="BV281" s="86">
        <f t="shared" si="1779"/>
        <v>1.6669146423566339</v>
      </c>
      <c r="BW281" s="86">
        <f t="shared" si="1779"/>
        <v>0.96032805298704549</v>
      </c>
      <c r="BX281" s="86">
        <f t="shared" si="1779"/>
        <v>-0.62048766009614353</v>
      </c>
      <c r="BY281" s="86">
        <f t="shared" si="1779"/>
        <v>-0.55772212452047243</v>
      </c>
      <c r="BZ281" s="86">
        <f t="shared" si="1779"/>
        <v>0.22305522188995441</v>
      </c>
      <c r="CA281" s="86">
        <f t="shared" si="1779"/>
        <v>4.7880199855996119E-2</v>
      </c>
      <c r="CB281" s="86">
        <f t="shared" si="1779"/>
        <v>0.91368380909683</v>
      </c>
      <c r="CC281" s="86">
        <f t="shared" si="1779"/>
        <v>1.2067388666340966</v>
      </c>
      <c r="CD281" s="86">
        <f t="shared" si="1779"/>
        <v>0.24581164726910165</v>
      </c>
      <c r="CE281" s="86">
        <f t="shared" si="1779"/>
        <v>0.68025360488723807</v>
      </c>
      <c r="CF281" s="86">
        <f t="shared" si="1779"/>
        <v>0.2449546166382135</v>
      </c>
      <c r="CG281" s="86">
        <f t="shared" si="1779"/>
        <v>0.13078820889000542</v>
      </c>
      <c r="CH281" s="86">
        <f t="shared" si="1779"/>
        <v>0.40048860435617972</v>
      </c>
      <c r="CI281" s="86">
        <f t="shared" si="1779"/>
        <v>0.61261771215571348</v>
      </c>
      <c r="CJ281" s="86">
        <f>+CJ278/CF278-1</f>
        <v>-0.69725856045877754</v>
      </c>
      <c r="CL281" s="86">
        <f>+CL278/CH278-1</f>
        <v>-0.71126761526073612</v>
      </c>
      <c r="CM281" s="87"/>
      <c r="CN281" s="87"/>
      <c r="CO281" s="87"/>
      <c r="CP281" s="87"/>
      <c r="CQ281" s="87"/>
      <c r="CR281" s="87"/>
      <c r="CS281" s="87"/>
      <c r="CT281" s="87"/>
      <c r="CU281" s="87"/>
      <c r="CV281" s="87"/>
      <c r="CW281" s="87"/>
      <c r="CX281" s="87"/>
      <c r="CY281" s="87"/>
      <c r="CZ281" s="87"/>
      <c r="DA281" s="87"/>
      <c r="DB281" s="87"/>
      <c r="DE281" s="141"/>
      <c r="DF281" s="86">
        <v>-0.73605732964992898</v>
      </c>
    </row>
    <row r="282" spans="1:110" s="103" customFormat="1" x14ac:dyDescent="0.2">
      <c r="A282" s="147" t="s">
        <v>87</v>
      </c>
      <c r="C282" s="103" t="str">
        <f>IF(C281&gt;C280,"RF",0)</f>
        <v>RF</v>
      </c>
      <c r="D282" s="103">
        <f>IF(D281&gt;D280,"RF",0)</f>
        <v>0</v>
      </c>
      <c r="E282" s="103">
        <f t="shared" ref="E282:U282" si="1780">IF(E281&gt;E280,"RF",0)</f>
        <v>0</v>
      </c>
      <c r="F282" s="103">
        <f t="shared" si="1780"/>
        <v>0</v>
      </c>
      <c r="G282" s="103" t="str">
        <f t="shared" si="1780"/>
        <v>RF</v>
      </c>
      <c r="H282" s="103" t="str">
        <f t="shared" si="1780"/>
        <v>RF</v>
      </c>
      <c r="I282" s="103">
        <f t="shared" si="1780"/>
        <v>0</v>
      </c>
      <c r="J282" s="103">
        <f t="shared" si="1780"/>
        <v>0</v>
      </c>
      <c r="K282" s="103">
        <f t="shared" si="1780"/>
        <v>0</v>
      </c>
      <c r="L282" s="103">
        <f t="shared" si="1780"/>
        <v>0</v>
      </c>
      <c r="M282" s="103" t="str">
        <f t="shared" si="1780"/>
        <v>RF</v>
      </c>
      <c r="N282" s="103" t="str">
        <f t="shared" si="1780"/>
        <v>RF</v>
      </c>
      <c r="O282" s="103">
        <f t="shared" si="1780"/>
        <v>0</v>
      </c>
      <c r="P282" s="103" t="str">
        <f t="shared" si="1780"/>
        <v>RF</v>
      </c>
      <c r="Q282" s="103">
        <f t="shared" si="1780"/>
        <v>0</v>
      </c>
      <c r="R282" s="103" t="str">
        <f t="shared" si="1780"/>
        <v>RF</v>
      </c>
      <c r="S282" s="103" t="str">
        <f t="shared" si="1780"/>
        <v>RF</v>
      </c>
      <c r="T282" s="103">
        <f t="shared" si="1780"/>
        <v>0</v>
      </c>
      <c r="U282" s="103">
        <f t="shared" si="1780"/>
        <v>0</v>
      </c>
      <c r="V282" s="103">
        <f>IF(V281&gt;V280,"RF",0)</f>
        <v>0</v>
      </c>
      <c r="W282" s="103">
        <f t="shared" ref="W282" si="1781">IF(W281&gt;W280,"RF",0)</f>
        <v>0</v>
      </c>
      <c r="X282" s="103">
        <f t="shared" ref="X282:Y282" si="1782">IF(X281&gt;X280,"RF",0)</f>
        <v>0</v>
      </c>
      <c r="Y282" s="103" t="str">
        <f t="shared" si="1782"/>
        <v>RF</v>
      </c>
      <c r="Z282" s="103">
        <f t="shared" ref="Z282:AA282" si="1783">IF(Z281&gt;Z280,"RF",0)</f>
        <v>0</v>
      </c>
      <c r="AA282" s="103">
        <f t="shared" si="1783"/>
        <v>0</v>
      </c>
      <c r="AB282" s="73">
        <f t="shared" ref="AA282:AD282" si="1784">IF(AB281&gt;AB280,"RF",0)</f>
        <v>0</v>
      </c>
      <c r="AC282" s="73" t="str">
        <f t="shared" si="1784"/>
        <v>RF</v>
      </c>
      <c r="AD282" s="73">
        <f t="shared" si="1784"/>
        <v>0</v>
      </c>
      <c r="AE282" s="73">
        <f t="shared" ref="AE282" si="1785">IF(AE281&gt;AE280,"RF",0)</f>
        <v>0</v>
      </c>
      <c r="CM282" s="73"/>
      <c r="CN282" s="73"/>
      <c r="CO282" s="73"/>
      <c r="CP282" s="73"/>
      <c r="CQ282" s="73"/>
      <c r="CR282" s="73"/>
      <c r="CS282" s="73"/>
      <c r="CT282" s="73"/>
      <c r="CU282" s="73"/>
      <c r="CV282" s="73"/>
      <c r="CW282" s="73"/>
      <c r="CX282" s="73"/>
      <c r="CY282" s="73"/>
      <c r="CZ282" s="73"/>
      <c r="DA282" s="73"/>
      <c r="DB282" s="73"/>
      <c r="DE282" s="142"/>
      <c r="DF282" s="103">
        <v>0</v>
      </c>
    </row>
    <row r="283" spans="1:110" x14ac:dyDescent="0.2">
      <c r="A283" s="153" t="s">
        <v>494</v>
      </c>
      <c r="AA283" s="2"/>
      <c r="CL283" s="2"/>
    </row>
    <row r="284" spans="1:110" x14ac:dyDescent="0.2">
      <c r="A284" s="152" t="s">
        <v>495</v>
      </c>
      <c r="AA284" s="2"/>
      <c r="CL284" s="2"/>
    </row>
    <row r="285" spans="1:110" s="23" customFormat="1" x14ac:dyDescent="0.2">
      <c r="A285" s="23" t="s">
        <v>22</v>
      </c>
      <c r="C285" s="23">
        <f t="shared" ref="C285:AE285" si="1786">C140</f>
        <v>487.42000000000013</v>
      </c>
      <c r="D285" s="23">
        <f t="shared" si="1786"/>
        <v>389.80999999999989</v>
      </c>
      <c r="E285" s="23">
        <f t="shared" si="1786"/>
        <v>502.41000000000037</v>
      </c>
      <c r="F285" s="23">
        <f t="shared" si="1786"/>
        <v>590.97000000000014</v>
      </c>
      <c r="G285" s="23">
        <f t="shared" si="1786"/>
        <v>747.40000000000032</v>
      </c>
      <c r="H285" s="23">
        <f t="shared" si="1786"/>
        <v>759.76999999999953</v>
      </c>
      <c r="I285" s="23">
        <f t="shared" si="1786"/>
        <v>1055.0700000000008</v>
      </c>
      <c r="J285" s="23">
        <f t="shared" si="1786"/>
        <v>1218.7400000000014</v>
      </c>
      <c r="K285" s="23">
        <f t="shared" si="1786"/>
        <v>1966.8400000000008</v>
      </c>
      <c r="L285" s="23">
        <f t="shared" si="1786"/>
        <v>2059.6000000000035</v>
      </c>
      <c r="M285" s="23">
        <f t="shared" si="1786"/>
        <v>-1087.6799999999962</v>
      </c>
      <c r="N285" s="23">
        <f t="shared" si="1786"/>
        <v>-85.430000000001996</v>
      </c>
      <c r="O285" s="23">
        <f t="shared" si="1786"/>
        <v>-259.96999999999616</v>
      </c>
      <c r="P285" s="23">
        <f t="shared" si="1786"/>
        <v>167.83000000000095</v>
      </c>
      <c r="Q285" s="23">
        <f t="shared" si="1786"/>
        <v>662.20000000000232</v>
      </c>
      <c r="R285" s="23">
        <f t="shared" si="1786"/>
        <v>896.54999999999507</v>
      </c>
      <c r="S285" s="23">
        <f t="shared" si="1786"/>
        <v>2408.3000000000043</v>
      </c>
      <c r="T285" s="23">
        <f t="shared" si="1786"/>
        <v>2356.1900000000078</v>
      </c>
      <c r="U285" s="23">
        <f t="shared" si="1786"/>
        <v>1017.3799999999985</v>
      </c>
      <c r="V285" s="23">
        <f t="shared" si="1786"/>
        <v>1127.3800000000001</v>
      </c>
      <c r="W285" s="23">
        <f t="shared" si="1786"/>
        <v>1741.4599999999944</v>
      </c>
      <c r="X285" s="23">
        <f t="shared" si="1786"/>
        <v>4260.4399999999987</v>
      </c>
      <c r="Y285" s="23">
        <f t="shared" si="1786"/>
        <v>3696.249999999995</v>
      </c>
      <c r="Z285" s="23">
        <f t="shared" si="1786"/>
        <v>3970.9999999999991</v>
      </c>
      <c r="AA285" s="23">
        <f t="shared" ref="AA285" si="1787">AA140</f>
        <v>3747.1899999999896</v>
      </c>
      <c r="AB285" s="24">
        <f t="shared" si="1786"/>
        <v>5813.9306719010174</v>
      </c>
      <c r="AC285" s="24">
        <f t="shared" si="1786"/>
        <v>5757.730278010421</v>
      </c>
      <c r="AD285" s="24">
        <f t="shared" si="1786"/>
        <v>6469.7008279501688</v>
      </c>
      <c r="AE285" s="24">
        <f t="shared" si="1786"/>
        <v>7537.052268742299</v>
      </c>
      <c r="AI285" s="23">
        <f t="shared" ref="AI285:BN285" si="1788">AI140</f>
        <v>145.9299999999995</v>
      </c>
      <c r="AJ285" s="23">
        <f t="shared" si="1788"/>
        <v>-83.800000000000864</v>
      </c>
      <c r="AK285" s="23">
        <f t="shared" si="1788"/>
        <v>-328.92000000000081</v>
      </c>
      <c r="AL285" s="23">
        <f t="shared" si="1788"/>
        <v>181.35999999999882</v>
      </c>
      <c r="AM285" s="23">
        <f t="shared" si="1788"/>
        <v>-114.69999999999956</v>
      </c>
      <c r="AN285" s="23">
        <f t="shared" si="1788"/>
        <v>74.970000000000041</v>
      </c>
      <c r="AO285" s="23">
        <f t="shared" si="1788"/>
        <v>-74.910000000000764</v>
      </c>
      <c r="AP285" s="23">
        <f t="shared" si="1788"/>
        <v>-145.33000000000305</v>
      </c>
      <c r="AQ285" s="23">
        <f t="shared" si="1788"/>
        <v>-111.2999999999986</v>
      </c>
      <c r="AR285" s="23">
        <f t="shared" si="1788"/>
        <v>-77.750000000000256</v>
      </c>
      <c r="AS285" s="23">
        <f t="shared" si="1788"/>
        <v>197.73999999999876</v>
      </c>
      <c r="AT285" s="23">
        <f t="shared" si="1788"/>
        <v>159.14000000000084</v>
      </c>
      <c r="AU285" s="23">
        <f t="shared" si="1788"/>
        <v>303.13999999999919</v>
      </c>
      <c r="AV285" s="23">
        <f t="shared" si="1788"/>
        <v>-95.869999999999038</v>
      </c>
      <c r="AW285" s="23">
        <f t="shared" si="1788"/>
        <v>433.25000000000097</v>
      </c>
      <c r="AX285" s="23">
        <f t="shared" si="1788"/>
        <v>21.679999999998302</v>
      </c>
      <c r="AY285" s="23">
        <f t="shared" si="1788"/>
        <v>72.490000000000009</v>
      </c>
      <c r="AZ285" s="23">
        <f t="shared" si="1788"/>
        <v>427.32000000000028</v>
      </c>
      <c r="BA285" s="23">
        <f t="shared" si="1788"/>
        <v>619.23000000000104</v>
      </c>
      <c r="BB285" s="23">
        <f t="shared" si="1788"/>
        <v>-242.47999999999934</v>
      </c>
      <c r="BC285" s="23">
        <f t="shared" si="1788"/>
        <v>348.7699999999997</v>
      </c>
      <c r="BD285" s="23">
        <f t="shared" si="1788"/>
        <v>178.15999999999954</v>
      </c>
      <c r="BE285" s="23">
        <f t="shared" si="1788"/>
        <v>590.8100000000004</v>
      </c>
      <c r="BF285" s="23">
        <f t="shared" si="1788"/>
        <v>1290.5600000000006</v>
      </c>
      <c r="BG285" s="23">
        <f t="shared" si="1788"/>
        <v>1670.9100000000003</v>
      </c>
      <c r="BH285" s="23">
        <f t="shared" si="1788"/>
        <v>335.77000000000106</v>
      </c>
      <c r="BI285" s="23">
        <f t="shared" si="1788"/>
        <v>141.85999999999984</v>
      </c>
      <c r="BJ285" s="23">
        <f t="shared" si="1788"/>
        <v>121.82999999999981</v>
      </c>
      <c r="BK285" s="23">
        <f t="shared" si="1788"/>
        <v>163.54999999999939</v>
      </c>
      <c r="BL285" s="23">
        <f t="shared" si="1788"/>
        <v>257.91999999999825</v>
      </c>
      <c r="BM285" s="23">
        <f t="shared" si="1788"/>
        <v>193.31999999999965</v>
      </c>
      <c r="BN285" s="23">
        <f t="shared" si="1788"/>
        <v>402.59000000000088</v>
      </c>
      <c r="BO285" s="23">
        <f t="shared" ref="BO285:CT285" si="1789">BO140</f>
        <v>206.61999999999992</v>
      </c>
      <c r="BP285" s="23">
        <f t="shared" si="1789"/>
        <v>279.60999999999825</v>
      </c>
      <c r="BQ285" s="23">
        <f t="shared" si="1789"/>
        <v>248.20999999999958</v>
      </c>
      <c r="BR285" s="23">
        <f t="shared" si="1789"/>
        <v>392.94</v>
      </c>
      <c r="BS285" s="23">
        <f t="shared" si="1789"/>
        <v>391.03000000000031</v>
      </c>
      <c r="BT285" s="23">
        <f t="shared" si="1789"/>
        <v>421.50999999999863</v>
      </c>
      <c r="BU285" s="23">
        <f t="shared" si="1789"/>
        <v>425.80999999999943</v>
      </c>
      <c r="BV285" s="23">
        <f t="shared" si="1789"/>
        <v>503.11000000000047</v>
      </c>
      <c r="BW285" s="23">
        <f t="shared" si="1789"/>
        <v>794.59999999999945</v>
      </c>
      <c r="BX285" s="23">
        <f t="shared" si="1789"/>
        <v>819.09000000000151</v>
      </c>
      <c r="BY285" s="23">
        <f t="shared" si="1789"/>
        <v>945.02000000000089</v>
      </c>
      <c r="BZ285" s="23">
        <f t="shared" si="1789"/>
        <v>777.72999999999865</v>
      </c>
      <c r="CA285" s="23">
        <f t="shared" si="1789"/>
        <v>972.49000000000115</v>
      </c>
      <c r="CB285" s="23">
        <f t="shared" si="1789"/>
        <v>875.53000000000077</v>
      </c>
      <c r="CC285" s="23">
        <f t="shared" si="1789"/>
        <v>953.01000000000136</v>
      </c>
      <c r="CD285" s="23">
        <f t="shared" si="1789"/>
        <v>895.21000000000083</v>
      </c>
      <c r="CE285" s="23">
        <f t="shared" si="1789"/>
        <v>971.03999999999837</v>
      </c>
      <c r="CF285" s="23">
        <f t="shared" si="1789"/>
        <v>926.52999999999906</v>
      </c>
      <c r="CG285" s="23">
        <f t="shared" si="1789"/>
        <v>1030.7000000000007</v>
      </c>
      <c r="CH285" s="23">
        <f t="shared" si="1789"/>
        <v>1042.8300000000008</v>
      </c>
      <c r="CI285" s="23">
        <f t="shared" si="1789"/>
        <v>1060.6700000000014</v>
      </c>
      <c r="CJ285" s="23">
        <f t="shared" si="1789"/>
        <v>919.44000000000017</v>
      </c>
      <c r="CK285" s="23">
        <f t="shared" si="1789"/>
        <v>771.97999999999979</v>
      </c>
      <c r="CL285" s="23">
        <f t="shared" ref="CL285" si="1790">CL140</f>
        <v>995.91</v>
      </c>
      <c r="CM285" s="24">
        <f t="shared" si="1789"/>
        <v>1086.8131274761972</v>
      </c>
      <c r="CN285" s="24">
        <f t="shared" si="1789"/>
        <v>1803.6635277413063</v>
      </c>
      <c r="CO285" s="24">
        <f t="shared" si="1789"/>
        <v>1443.0191997504637</v>
      </c>
      <c r="CP285" s="24">
        <f t="shared" si="1789"/>
        <v>1480.434816933059</v>
      </c>
      <c r="CQ285" s="24">
        <f t="shared" si="1789"/>
        <v>1449.4746622080563</v>
      </c>
      <c r="CR285" s="24">
        <f t="shared" si="1789"/>
        <v>1654.2968452203711</v>
      </c>
      <c r="CS285" s="24">
        <f t="shared" si="1789"/>
        <v>1251.7549209779656</v>
      </c>
      <c r="CT285" s="24">
        <f t="shared" si="1789"/>
        <v>1402.2038496040425</v>
      </c>
      <c r="CU285" s="24">
        <f t="shared" ref="CU285:DB285" si="1791">CU140</f>
        <v>1605.2446875557951</v>
      </c>
      <c r="CV285" s="24">
        <f t="shared" si="1791"/>
        <v>1817.4685921594948</v>
      </c>
      <c r="CW285" s="24">
        <f t="shared" si="1791"/>
        <v>1421.0528612868591</v>
      </c>
      <c r="CX285" s="24">
        <f t="shared" si="1791"/>
        <v>1625.9346869480407</v>
      </c>
      <c r="CY285" s="24">
        <f t="shared" si="1791"/>
        <v>1864.9529481489424</v>
      </c>
      <c r="CZ285" s="24">
        <f t="shared" si="1791"/>
        <v>2093.6865671049309</v>
      </c>
      <c r="DA285" s="24">
        <f t="shared" si="1791"/>
        <v>1676.2365707546953</v>
      </c>
      <c r="DB285" s="24">
        <f t="shared" si="1791"/>
        <v>1902.1761827337189</v>
      </c>
      <c r="DE285" s="123"/>
      <c r="DF285" s="23">
        <v>1191.2985605854431</v>
      </c>
    </row>
    <row r="286" spans="1:110" s="23" customFormat="1" x14ac:dyDescent="0.2">
      <c r="A286" s="23" t="s">
        <v>88</v>
      </c>
      <c r="C286" s="23">
        <f t="shared" ref="C286:AE286" si="1792">C124</f>
        <v>316.44</v>
      </c>
      <c r="D286" s="23">
        <f t="shared" si="1792"/>
        <v>387.16</v>
      </c>
      <c r="E286" s="23">
        <f t="shared" si="1792"/>
        <v>429.49</v>
      </c>
      <c r="F286" s="23">
        <f t="shared" si="1792"/>
        <v>475.12</v>
      </c>
      <c r="G286" s="23">
        <f t="shared" si="1792"/>
        <v>345.73</v>
      </c>
      <c r="H286" s="23">
        <f t="shared" si="1792"/>
        <v>414.78</v>
      </c>
      <c r="I286" s="23">
        <f t="shared" si="1792"/>
        <v>559.28</v>
      </c>
      <c r="J286" s="23">
        <f t="shared" si="1792"/>
        <v>936.86</v>
      </c>
      <c r="K286" s="23">
        <f t="shared" si="1792"/>
        <v>877.68</v>
      </c>
      <c r="L286" s="23">
        <f t="shared" si="1792"/>
        <v>980.24</v>
      </c>
      <c r="M286" s="23">
        <f t="shared" si="1792"/>
        <v>1334.64</v>
      </c>
      <c r="N286" s="23">
        <f t="shared" si="1792"/>
        <v>2051.69</v>
      </c>
      <c r="O286" s="23">
        <f t="shared" si="1792"/>
        <v>2729.62</v>
      </c>
      <c r="P286" s="23">
        <f t="shared" si="1792"/>
        <v>2174.15</v>
      </c>
      <c r="Q286" s="23">
        <f t="shared" si="1792"/>
        <v>1648.73</v>
      </c>
      <c r="R286" s="23">
        <f t="shared" si="1792"/>
        <v>1955.59</v>
      </c>
      <c r="S286" s="23">
        <f t="shared" si="1792"/>
        <v>2346.17</v>
      </c>
      <c r="T286" s="23">
        <f t="shared" si="1792"/>
        <v>2393.13</v>
      </c>
      <c r="U286" s="23">
        <f t="shared" si="1792"/>
        <v>2633.56</v>
      </c>
      <c r="V286" s="23">
        <f t="shared" si="1792"/>
        <v>2744.94</v>
      </c>
      <c r="W286" s="23">
        <f t="shared" si="1792"/>
        <v>3122.2</v>
      </c>
      <c r="X286" s="23">
        <f t="shared" si="1792"/>
        <v>3439.2</v>
      </c>
      <c r="Y286" s="23">
        <f t="shared" si="1792"/>
        <v>3786.37</v>
      </c>
      <c r="Z286" s="23">
        <f t="shared" si="1792"/>
        <v>4116.8599999999997</v>
      </c>
      <c r="AA286" s="23">
        <f t="shared" ref="AA286" si="1793">AA124</f>
        <v>4811.09</v>
      </c>
      <c r="AB286" s="24">
        <f t="shared" si="1792"/>
        <v>5512.2185102941839</v>
      </c>
      <c r="AC286" s="24">
        <f t="shared" si="1792"/>
        <v>5677.1225205908668</v>
      </c>
      <c r="AD286" s="24">
        <f t="shared" si="1792"/>
        <v>5831.0957748205674</v>
      </c>
      <c r="AE286" s="24">
        <f t="shared" si="1792"/>
        <v>5974.8628243630919</v>
      </c>
      <c r="AI286" s="23">
        <f t="shared" ref="AI286:BN286" si="1794">AI124</f>
        <v>505.97</v>
      </c>
      <c r="AJ286" s="23">
        <f t="shared" si="1794"/>
        <v>542.04</v>
      </c>
      <c r="AK286" s="23">
        <f t="shared" si="1794"/>
        <v>587.30999999999995</v>
      </c>
      <c r="AL286" s="23">
        <f t="shared" si="1794"/>
        <v>416.37</v>
      </c>
      <c r="AM286" s="23">
        <f t="shared" si="1794"/>
        <v>650.79999999999995</v>
      </c>
      <c r="AN286" s="23">
        <f t="shared" si="1794"/>
        <v>689.05</v>
      </c>
      <c r="AO286" s="23">
        <f t="shared" si="1794"/>
        <v>665.54</v>
      </c>
      <c r="AP286" s="23">
        <f t="shared" si="1794"/>
        <v>724.23</v>
      </c>
      <c r="AQ286" s="23">
        <f t="shared" si="1794"/>
        <v>542.53</v>
      </c>
      <c r="AR286" s="23">
        <f t="shared" si="1794"/>
        <v>535.88</v>
      </c>
      <c r="AS286" s="23">
        <f t="shared" si="1794"/>
        <v>542.05999999999995</v>
      </c>
      <c r="AT286" s="23">
        <f t="shared" si="1794"/>
        <v>553.67999999999995</v>
      </c>
      <c r="AU286" s="23">
        <f t="shared" si="1794"/>
        <v>397.75</v>
      </c>
      <c r="AV286" s="23">
        <f t="shared" si="1794"/>
        <v>398.26</v>
      </c>
      <c r="AW286" s="23">
        <f t="shared" si="1794"/>
        <v>411.73</v>
      </c>
      <c r="AX286" s="23">
        <f t="shared" si="1794"/>
        <v>440.99</v>
      </c>
      <c r="AY286" s="23">
        <f t="shared" si="1794"/>
        <v>439.31</v>
      </c>
      <c r="AZ286" s="23">
        <f t="shared" si="1794"/>
        <v>447.64</v>
      </c>
      <c r="BA286" s="23">
        <f t="shared" si="1794"/>
        <v>524.09</v>
      </c>
      <c r="BB286" s="23">
        <f t="shared" si="1794"/>
        <v>559.44000000000005</v>
      </c>
      <c r="BC286" s="23">
        <f t="shared" si="1794"/>
        <v>576.22</v>
      </c>
      <c r="BD286" s="23">
        <f t="shared" si="1794"/>
        <v>579.29999999999995</v>
      </c>
      <c r="BE286" s="23">
        <f t="shared" si="1794"/>
        <v>584</v>
      </c>
      <c r="BF286" s="23">
        <f t="shared" si="1794"/>
        <v>632.16</v>
      </c>
      <c r="BG286" s="23">
        <f t="shared" si="1794"/>
        <v>589.97</v>
      </c>
      <c r="BH286" s="23">
        <f t="shared" si="1794"/>
        <v>596.97</v>
      </c>
      <c r="BI286" s="23">
        <f t="shared" si="1794"/>
        <v>602.74</v>
      </c>
      <c r="BJ286" s="23">
        <f t="shared" si="1794"/>
        <v>603.45000000000005</v>
      </c>
      <c r="BK286" s="23">
        <f t="shared" si="1794"/>
        <v>619.95000000000005</v>
      </c>
      <c r="BL286" s="23">
        <f t="shared" si="1794"/>
        <v>654.44000000000005</v>
      </c>
      <c r="BM286" s="23">
        <f t="shared" si="1794"/>
        <v>671.87</v>
      </c>
      <c r="BN286" s="23">
        <f t="shared" si="1794"/>
        <v>687.3</v>
      </c>
      <c r="BO286" s="23">
        <f t="shared" ref="BO286:CT286" si="1795">BO124</f>
        <v>644.49</v>
      </c>
      <c r="BP286" s="23">
        <f t="shared" si="1795"/>
        <v>698.88</v>
      </c>
      <c r="BQ286" s="23">
        <f t="shared" si="1795"/>
        <v>738.29</v>
      </c>
      <c r="BR286" s="23">
        <f t="shared" si="1795"/>
        <v>663.28</v>
      </c>
      <c r="BS286" s="23">
        <f t="shared" si="1795"/>
        <v>747.2</v>
      </c>
      <c r="BT286" s="23">
        <f t="shared" si="1795"/>
        <v>771.17</v>
      </c>
      <c r="BU286" s="23">
        <f t="shared" si="1795"/>
        <v>758.12</v>
      </c>
      <c r="BV286" s="23">
        <f t="shared" si="1795"/>
        <v>845.71</v>
      </c>
      <c r="BW286" s="23">
        <f t="shared" si="1795"/>
        <v>822.01</v>
      </c>
      <c r="BX286" s="23">
        <f t="shared" si="1795"/>
        <v>837.63</v>
      </c>
      <c r="BY286" s="23">
        <f t="shared" si="1795"/>
        <v>853.26</v>
      </c>
      <c r="BZ286" s="23">
        <f t="shared" si="1795"/>
        <v>926.3</v>
      </c>
      <c r="CA286" s="23">
        <f t="shared" si="1795"/>
        <v>893.44</v>
      </c>
      <c r="CB286" s="23">
        <f t="shared" si="1795"/>
        <v>925.89</v>
      </c>
      <c r="CC286" s="23">
        <f t="shared" si="1795"/>
        <v>926.27</v>
      </c>
      <c r="CD286" s="23">
        <f t="shared" si="1795"/>
        <v>1040.77</v>
      </c>
      <c r="CE286" s="23">
        <f t="shared" si="1795"/>
        <v>972.89</v>
      </c>
      <c r="CF286" s="23">
        <f t="shared" si="1795"/>
        <v>986.69</v>
      </c>
      <c r="CG286" s="23">
        <f t="shared" si="1795"/>
        <v>1040.99</v>
      </c>
      <c r="CH286" s="23">
        <f t="shared" si="1795"/>
        <v>1116.28</v>
      </c>
      <c r="CI286" s="23">
        <f t="shared" si="1795"/>
        <v>1160.9100000000001</v>
      </c>
      <c r="CJ286" s="23">
        <f t="shared" si="1795"/>
        <v>1162.05</v>
      </c>
      <c r="CK286" s="23">
        <f t="shared" si="1795"/>
        <v>1207.9000000000001</v>
      </c>
      <c r="CL286" s="23">
        <f t="shared" ref="CL286" si="1796">CL124</f>
        <v>1280.23</v>
      </c>
      <c r="CM286" s="24">
        <f t="shared" si="1795"/>
        <v>1361.9684299999999</v>
      </c>
      <c r="CN286" s="24">
        <f t="shared" si="1795"/>
        <v>1372.8149666900001</v>
      </c>
      <c r="CO286" s="24">
        <f t="shared" si="1795"/>
        <v>1383.4771122562702</v>
      </c>
      <c r="CP286" s="24">
        <f t="shared" si="1795"/>
        <v>1393.9580013479133</v>
      </c>
      <c r="CQ286" s="24">
        <f t="shared" si="1795"/>
        <v>1404.260715324999</v>
      </c>
      <c r="CR286" s="24">
        <f t="shared" si="1795"/>
        <v>1414.3882831644737</v>
      </c>
      <c r="CS286" s="24">
        <f t="shared" si="1795"/>
        <v>1424.3436823506777</v>
      </c>
      <c r="CT286" s="24">
        <f t="shared" si="1795"/>
        <v>1434.1298397507162</v>
      </c>
      <c r="CU286" s="24">
        <f t="shared" ref="CU286:DB286" si="1797">CU124</f>
        <v>1443.7496324749543</v>
      </c>
      <c r="CV286" s="24">
        <f t="shared" si="1797"/>
        <v>1453.20588872288</v>
      </c>
      <c r="CW286" s="24">
        <f t="shared" si="1797"/>
        <v>1462.5013886145912</v>
      </c>
      <c r="CX286" s="24">
        <f t="shared" si="1797"/>
        <v>1471.6388650081431</v>
      </c>
      <c r="CY286" s="24">
        <f t="shared" si="1797"/>
        <v>1480.6210043030046</v>
      </c>
      <c r="CZ286" s="24">
        <f t="shared" si="1797"/>
        <v>1489.4504472298536</v>
      </c>
      <c r="DA286" s="24">
        <f t="shared" si="1797"/>
        <v>1498.1297896269459</v>
      </c>
      <c r="DB286" s="24">
        <f t="shared" si="1797"/>
        <v>1506.661583203288</v>
      </c>
      <c r="DE286" s="123"/>
      <c r="DF286" s="23">
        <v>1109.2012499999998</v>
      </c>
    </row>
    <row r="287" spans="1:110" s="22" customFormat="1" x14ac:dyDescent="0.2">
      <c r="A287" s="22" t="s">
        <v>89</v>
      </c>
      <c r="C287" s="22">
        <f t="shared" ref="C287:W287" si="1798">C285+C286</f>
        <v>803.86000000000013</v>
      </c>
      <c r="D287" s="22">
        <f t="shared" si="1798"/>
        <v>776.96999999999991</v>
      </c>
      <c r="E287" s="22">
        <f t="shared" si="1798"/>
        <v>931.90000000000032</v>
      </c>
      <c r="F287" s="22">
        <f t="shared" si="1798"/>
        <v>1066.0900000000001</v>
      </c>
      <c r="G287" s="22">
        <f t="shared" si="1798"/>
        <v>1093.1300000000003</v>
      </c>
      <c r="H287" s="22">
        <f t="shared" si="1798"/>
        <v>1174.5499999999995</v>
      </c>
      <c r="I287" s="22">
        <f t="shared" si="1798"/>
        <v>1614.3500000000008</v>
      </c>
      <c r="J287" s="22">
        <f t="shared" si="1798"/>
        <v>2155.6000000000013</v>
      </c>
      <c r="K287" s="22">
        <f t="shared" si="1798"/>
        <v>2844.5200000000009</v>
      </c>
      <c r="L287" s="22">
        <f t="shared" si="1798"/>
        <v>3039.8400000000038</v>
      </c>
      <c r="M287" s="22">
        <f t="shared" si="1798"/>
        <v>246.9600000000039</v>
      </c>
      <c r="N287" s="22">
        <f t="shared" si="1798"/>
        <v>1966.2599999999979</v>
      </c>
      <c r="O287" s="22">
        <f t="shared" si="1798"/>
        <v>2469.6500000000037</v>
      </c>
      <c r="P287" s="22">
        <f t="shared" si="1798"/>
        <v>2341.9800000000009</v>
      </c>
      <c r="Q287" s="22">
        <f t="shared" si="1798"/>
        <v>2310.9300000000021</v>
      </c>
      <c r="R287" s="22">
        <f t="shared" si="1798"/>
        <v>2852.1399999999949</v>
      </c>
      <c r="S287" s="22">
        <f t="shared" si="1798"/>
        <v>4754.4700000000048</v>
      </c>
      <c r="T287" s="22">
        <f t="shared" si="1798"/>
        <v>4749.3200000000079</v>
      </c>
      <c r="U287" s="22">
        <f t="shared" si="1798"/>
        <v>3650.9399999999987</v>
      </c>
      <c r="V287" s="22">
        <f t="shared" si="1798"/>
        <v>3872.32</v>
      </c>
      <c r="W287" s="22">
        <f t="shared" si="1798"/>
        <v>4863.6599999999944</v>
      </c>
      <c r="X287" s="22">
        <f t="shared" ref="X287:Y287" si="1799">X285+X286</f>
        <v>7699.6399999999985</v>
      </c>
      <c r="Y287" s="22">
        <f t="shared" si="1799"/>
        <v>7482.6199999999953</v>
      </c>
      <c r="Z287" s="22">
        <f t="shared" ref="Z287:AA287" si="1800">Z285+Z286</f>
        <v>8087.8599999999988</v>
      </c>
      <c r="AA287" s="22">
        <f t="shared" si="1800"/>
        <v>8558.2799999999897</v>
      </c>
      <c r="AB287" s="21">
        <f t="shared" ref="AA287:AD287" si="1801">AB285+AB286</f>
        <v>11326.1491821952</v>
      </c>
      <c r="AC287" s="21">
        <f t="shared" si="1801"/>
        <v>11434.852798601289</v>
      </c>
      <c r="AD287" s="21">
        <f t="shared" si="1801"/>
        <v>12300.796602770737</v>
      </c>
      <c r="AE287" s="21">
        <f t="shared" ref="AE287" si="1802">AE285+AE286</f>
        <v>13511.915093105392</v>
      </c>
      <c r="AI287" s="22">
        <f t="shared" ref="AI287" si="1803">AI285+AI286</f>
        <v>651.89999999999952</v>
      </c>
      <c r="AJ287" s="22">
        <f t="shared" ref="AJ287:AL287" si="1804">AJ285+AJ286</f>
        <v>458.2399999999991</v>
      </c>
      <c r="AK287" s="22">
        <f t="shared" si="1804"/>
        <v>258.38999999999913</v>
      </c>
      <c r="AL287" s="22">
        <f t="shared" si="1804"/>
        <v>597.72999999999888</v>
      </c>
      <c r="AM287" s="22">
        <f t="shared" ref="AM287" si="1805">AM285+AM286</f>
        <v>536.10000000000036</v>
      </c>
      <c r="AN287" s="22">
        <f t="shared" ref="AN287:CD287" si="1806">AN285+AN286</f>
        <v>764.02</v>
      </c>
      <c r="AO287" s="22">
        <f t="shared" si="1806"/>
        <v>590.6299999999992</v>
      </c>
      <c r="AP287" s="22">
        <f t="shared" si="1806"/>
        <v>578.89999999999691</v>
      </c>
      <c r="AQ287" s="22">
        <f t="shared" si="1806"/>
        <v>431.23000000000138</v>
      </c>
      <c r="AR287" s="22">
        <f t="shared" si="1806"/>
        <v>458.12999999999977</v>
      </c>
      <c r="AS287" s="22">
        <f t="shared" si="1806"/>
        <v>739.7999999999987</v>
      </c>
      <c r="AT287" s="22">
        <f t="shared" si="1806"/>
        <v>712.82000000000085</v>
      </c>
      <c r="AU287" s="22">
        <f t="shared" si="1806"/>
        <v>700.88999999999919</v>
      </c>
      <c r="AV287" s="22">
        <f t="shared" si="1806"/>
        <v>302.39000000000095</v>
      </c>
      <c r="AW287" s="22">
        <f t="shared" si="1806"/>
        <v>844.98000000000093</v>
      </c>
      <c r="AX287" s="22">
        <f t="shared" si="1806"/>
        <v>462.66999999999831</v>
      </c>
      <c r="AY287" s="22">
        <f t="shared" si="1806"/>
        <v>511.8</v>
      </c>
      <c r="AZ287" s="22">
        <f t="shared" si="1806"/>
        <v>874.96000000000026</v>
      </c>
      <c r="BA287" s="22">
        <f t="shared" si="1806"/>
        <v>1143.3200000000011</v>
      </c>
      <c r="BB287" s="22">
        <f t="shared" si="1806"/>
        <v>316.96000000000072</v>
      </c>
      <c r="BC287" s="22">
        <f t="shared" si="1806"/>
        <v>924.98999999999978</v>
      </c>
      <c r="BD287" s="22">
        <f t="shared" si="1806"/>
        <v>757.45999999999947</v>
      </c>
      <c r="BE287" s="22">
        <f t="shared" si="1806"/>
        <v>1174.8100000000004</v>
      </c>
      <c r="BF287" s="22">
        <f t="shared" si="1806"/>
        <v>1922.7200000000007</v>
      </c>
      <c r="BG287" s="22">
        <f t="shared" si="1806"/>
        <v>2260.88</v>
      </c>
      <c r="BH287" s="22">
        <f t="shared" si="1806"/>
        <v>932.74000000000115</v>
      </c>
      <c r="BI287" s="22">
        <f t="shared" si="1806"/>
        <v>744.59999999999991</v>
      </c>
      <c r="BJ287" s="22">
        <f t="shared" si="1806"/>
        <v>725.27999999999986</v>
      </c>
      <c r="BK287" s="22">
        <f t="shared" si="1806"/>
        <v>783.49999999999943</v>
      </c>
      <c r="BL287" s="22">
        <f t="shared" si="1806"/>
        <v>912.35999999999831</v>
      </c>
      <c r="BM287" s="22">
        <f t="shared" si="1806"/>
        <v>865.1899999999996</v>
      </c>
      <c r="BN287" s="22">
        <f t="shared" si="1806"/>
        <v>1089.8900000000008</v>
      </c>
      <c r="BO287" s="22">
        <f t="shared" si="1806"/>
        <v>851.1099999999999</v>
      </c>
      <c r="BP287" s="22">
        <f t="shared" si="1806"/>
        <v>978.48999999999819</v>
      </c>
      <c r="BQ287" s="22">
        <f t="shared" si="1806"/>
        <v>986.49999999999955</v>
      </c>
      <c r="BR287" s="22">
        <f t="shared" si="1806"/>
        <v>1056.22</v>
      </c>
      <c r="BS287" s="22">
        <f t="shared" si="1806"/>
        <v>1138.2300000000005</v>
      </c>
      <c r="BT287" s="22">
        <f t="shared" si="1806"/>
        <v>1192.6799999999985</v>
      </c>
      <c r="BU287" s="22">
        <f t="shared" si="1806"/>
        <v>1183.9299999999994</v>
      </c>
      <c r="BV287" s="22">
        <f t="shared" si="1806"/>
        <v>1348.8200000000006</v>
      </c>
      <c r="BW287" s="22">
        <f t="shared" si="1806"/>
        <v>1616.6099999999994</v>
      </c>
      <c r="BX287" s="22">
        <f t="shared" si="1806"/>
        <v>1656.7200000000016</v>
      </c>
      <c r="BY287" s="22">
        <f t="shared" si="1806"/>
        <v>1798.2800000000009</v>
      </c>
      <c r="BZ287" s="22">
        <f t="shared" si="1806"/>
        <v>1704.0299999999986</v>
      </c>
      <c r="CA287" s="22">
        <f t="shared" si="1806"/>
        <v>1865.9300000000012</v>
      </c>
      <c r="CB287" s="22">
        <f t="shared" si="1806"/>
        <v>1801.4200000000008</v>
      </c>
      <c r="CC287" s="22">
        <f t="shared" si="1806"/>
        <v>1879.2800000000013</v>
      </c>
      <c r="CD287" s="22">
        <f t="shared" si="1806"/>
        <v>1935.9800000000009</v>
      </c>
      <c r="CE287" s="22">
        <f t="shared" ref="CE287:CF287" si="1807">CE285+CE286</f>
        <v>1943.9299999999985</v>
      </c>
      <c r="CF287" s="22">
        <f t="shared" si="1807"/>
        <v>1913.2199999999991</v>
      </c>
      <c r="CG287" s="22">
        <f t="shared" ref="CG287:CH287" si="1808">CG285+CG286</f>
        <v>2071.6900000000005</v>
      </c>
      <c r="CH287" s="22">
        <f t="shared" si="1808"/>
        <v>2159.1100000000006</v>
      </c>
      <c r="CI287" s="22">
        <f t="shared" ref="CI287:CJ287" si="1809">CI285+CI286</f>
        <v>2221.5800000000017</v>
      </c>
      <c r="CJ287" s="22">
        <f t="shared" si="1809"/>
        <v>2081.4900000000002</v>
      </c>
      <c r="CK287" s="22">
        <f t="shared" ref="CK287:DB287" si="1810">CK285+CK286</f>
        <v>1979.8799999999999</v>
      </c>
      <c r="CL287" s="22">
        <f t="shared" si="1810"/>
        <v>2276.14</v>
      </c>
      <c r="CM287" s="21">
        <f t="shared" si="1810"/>
        <v>2448.7815574761971</v>
      </c>
      <c r="CN287" s="21">
        <f t="shared" si="1810"/>
        <v>3176.4784944313064</v>
      </c>
      <c r="CO287" s="21">
        <f t="shared" si="1810"/>
        <v>2826.4963120067341</v>
      </c>
      <c r="CP287" s="21">
        <f t="shared" si="1810"/>
        <v>2874.3928182809723</v>
      </c>
      <c r="CQ287" s="21">
        <f t="shared" si="1810"/>
        <v>2853.7353775330553</v>
      </c>
      <c r="CR287" s="21">
        <f t="shared" si="1810"/>
        <v>3068.6851283848446</v>
      </c>
      <c r="CS287" s="21">
        <f t="shared" si="1810"/>
        <v>2676.0986033286435</v>
      </c>
      <c r="CT287" s="21">
        <f t="shared" si="1810"/>
        <v>2836.3336893547585</v>
      </c>
      <c r="CU287" s="21">
        <f t="shared" si="1810"/>
        <v>3048.9943200307493</v>
      </c>
      <c r="CV287" s="21">
        <f t="shared" si="1810"/>
        <v>3270.6744808823751</v>
      </c>
      <c r="CW287" s="21">
        <f t="shared" si="1810"/>
        <v>2883.55424990145</v>
      </c>
      <c r="CX287" s="21">
        <f t="shared" si="1810"/>
        <v>3097.573551956184</v>
      </c>
      <c r="CY287" s="21">
        <f t="shared" si="1810"/>
        <v>3345.5739524519468</v>
      </c>
      <c r="CZ287" s="21">
        <f t="shared" si="1810"/>
        <v>3583.1370143347845</v>
      </c>
      <c r="DA287" s="21">
        <f t="shared" si="1810"/>
        <v>3174.3663603816412</v>
      </c>
      <c r="DB287" s="21">
        <f t="shared" si="1810"/>
        <v>3408.8377659370071</v>
      </c>
      <c r="DE287" s="126"/>
      <c r="DF287" s="22">
        <v>2300.4998105854429</v>
      </c>
    </row>
    <row r="288" spans="1:110" s="23" customFormat="1" x14ac:dyDescent="0.2">
      <c r="A288" s="23" t="s">
        <v>65</v>
      </c>
      <c r="C288" s="23">
        <f t="shared" ref="C288:AA288" si="1811">B240-C240+B255+B256-C255-C256</f>
        <v>-636.05069490000017</v>
      </c>
      <c r="D288" s="23">
        <f t="shared" si="1811"/>
        <v>-146.47000000000008</v>
      </c>
      <c r="E288" s="23">
        <f>D240-E240+D255+D256-E255-E256</f>
        <v>627.39000000000021</v>
      </c>
      <c r="F288" s="23">
        <f t="shared" si="1811"/>
        <v>-40.850000000000193</v>
      </c>
      <c r="G288" s="23">
        <f t="shared" si="1811"/>
        <v>-474.35999999999967</v>
      </c>
      <c r="H288" s="23">
        <f t="shared" si="1811"/>
        <v>-680.42000000000019</v>
      </c>
      <c r="I288" s="23">
        <f t="shared" si="1811"/>
        <v>-1689.1100000000004</v>
      </c>
      <c r="J288" s="23">
        <f>I240-J240+I255+I256-J255-J256</f>
        <v>-1743.5599999999995</v>
      </c>
      <c r="K288" s="23">
        <f>J240-K240+J255+J256-K255-K256</f>
        <v>-1015.7499999999993</v>
      </c>
      <c r="L288" s="23">
        <f t="shared" si="1811"/>
        <v>-2756.380000000001</v>
      </c>
      <c r="M288" s="23">
        <f t="shared" si="1811"/>
        <v>-3440.84</v>
      </c>
      <c r="N288" s="23">
        <f t="shared" si="1811"/>
        <v>-3899.7899999999981</v>
      </c>
      <c r="O288" s="23">
        <f t="shared" si="1811"/>
        <v>-1468.6999999999998</v>
      </c>
      <c r="P288" s="23">
        <f t="shared" si="1811"/>
        <v>-1909.070000000002</v>
      </c>
      <c r="Q288" s="23">
        <f t="shared" si="1811"/>
        <v>3057.1999999999975</v>
      </c>
      <c r="R288" s="23">
        <f t="shared" si="1811"/>
        <v>-1813.9200000000026</v>
      </c>
      <c r="S288" s="23">
        <f t="shared" si="1811"/>
        <v>-2000.2099999999941</v>
      </c>
      <c r="T288" s="23">
        <f t="shared" si="1811"/>
        <v>-326.3699999999991</v>
      </c>
      <c r="U288" s="23">
        <f t="shared" si="1811"/>
        <v>-771.00000000000341</v>
      </c>
      <c r="V288" s="23">
        <f t="shared" si="1811"/>
        <v>-726.36999999999705</v>
      </c>
      <c r="W288" s="23">
        <f t="shared" si="1811"/>
        <v>-5632.1400000000031</v>
      </c>
      <c r="X288" s="23">
        <f t="shared" si="1811"/>
        <v>-2404.7099999999991</v>
      </c>
      <c r="Y288" s="23">
        <f t="shared" si="1811"/>
        <v>-1111.9599999999964</v>
      </c>
      <c r="Z288" s="23">
        <f t="shared" si="1811"/>
        <v>-944.10999999999967</v>
      </c>
      <c r="AA288" s="23">
        <f t="shared" si="1811"/>
        <v>-4771.0400000000009</v>
      </c>
      <c r="AB288" s="24">
        <f t="shared" ref="AB288" si="1812">AA240-AB240+AA255+AA256-AB255-AB256</f>
        <v>-22724.613237160003</v>
      </c>
      <c r="AC288" s="24">
        <f t="shared" ref="AC288" si="1813">AB240-AC240+AB255+AB256-AC255-AC256</f>
        <v>-8724.2407244813512</v>
      </c>
      <c r="AD288" s="24">
        <f t="shared" ref="AD288" si="1814">AC240-AD240+AC255+AC256-AD255-AD256</f>
        <v>-4494.6898509689636</v>
      </c>
      <c r="AE288" s="24">
        <f t="shared" ref="AE288" si="1815">AD240-AE240+AD255+AD256-AE255-AE256</f>
        <v>-5059.4340656369313</v>
      </c>
      <c r="AI288" s="23">
        <f>AH240-AI240+AH255+AH256-AI255-AJ256</f>
        <v>0</v>
      </c>
      <c r="AJ288" s="23">
        <f t="shared" ref="AJ288:AL288" si="1816">AI240-AJ240+AI255+AI256-AJ255-AK256</f>
        <v>-8856.67</v>
      </c>
      <c r="AK288" s="23">
        <f t="shared" si="1816"/>
        <v>-393.14829396202725</v>
      </c>
      <c r="AL288" s="23">
        <f t="shared" si="1816"/>
        <v>-8185.3217060379711</v>
      </c>
      <c r="AM288" s="23">
        <f t="shared" ref="AM288" si="1817">AL240-AM240+AL255+AL256-AM255-AM256</f>
        <v>-8.423042050562799</v>
      </c>
      <c r="AN288" s="23">
        <f t="shared" ref="AN288" si="1818">AM240-AN240+AM255+AM256-AN255-AN256</f>
        <v>-2587.196957949438</v>
      </c>
      <c r="AO288" s="23">
        <f t="shared" ref="AO288" si="1819">AN240-AO240+AN255+AN256-AO255-AO256</f>
        <v>181.49484511146511</v>
      </c>
      <c r="AP288" s="23">
        <f t="shared" ref="AP288" si="1820">AO240-AP240+AO255+AO256-AP255-AP256</f>
        <v>945.42515488853201</v>
      </c>
      <c r="AQ288" s="23">
        <f t="shared" ref="AQ288" si="1821">AP240-AQ240+AP255+AP256-AQ255-AQ256</f>
        <v>246.0235341351945</v>
      </c>
      <c r="AR288" s="23">
        <f t="shared" ref="AR288" si="1822">AQ240-AR240+AQ255+AQ256-AR255-AR256</f>
        <v>-2001.9835341351941</v>
      </c>
      <c r="AS288" s="23">
        <f t="shared" ref="AS288" si="1823">AR240-AS240+AR255+AR256-AS255-AS256</f>
        <v>47.762887232060166</v>
      </c>
      <c r="AT288" s="23">
        <f t="shared" ref="AT288" si="1824">AS240-AT240+AS255+AS256-AT255-AT256</f>
        <v>-200.87288723205893</v>
      </c>
      <c r="AU288" s="23">
        <f t="shared" ref="AU288" si="1825">AT240-AU240+AT255+AT256-AU255-AU256</f>
        <v>838.4728542523444</v>
      </c>
      <c r="AV288" s="23">
        <f t="shared" ref="AV288" si="1826">AU240-AV240+AU255+AU256-AV255-AV256</f>
        <v>-1554.4828542523462</v>
      </c>
      <c r="AW288" s="23">
        <f t="shared" ref="AW288" si="1827">AV240-AW240+AV255+AV256-AW255-AW256</f>
        <v>464.59291147132899</v>
      </c>
      <c r="AX288" s="23">
        <f t="shared" ref="AX288" si="1828">AW240-AX240+AW255+AW256-AX255-AX256</f>
        <v>3308.6170885286738</v>
      </c>
      <c r="AY288" s="23">
        <f t="shared" ref="AY288" si="1829">AX240-AY240+AX255+AX256-AY255-AY256</f>
        <v>365.46738513567107</v>
      </c>
      <c r="AZ288" s="23">
        <f t="shared" ref="AZ288" si="1830">AY240-AZ240+AY255+AY256-AZ255-AZ256</f>
        <v>-179.3473851356739</v>
      </c>
      <c r="BA288" s="23">
        <f t="shared" ref="BA288" si="1831">AZ240-BA240+AZ255+AZ256-BA255-BA256</f>
        <v>569.35575554089155</v>
      </c>
      <c r="BB288" s="23">
        <f t="shared" ref="BB288" si="1832">BA240-BB240+BA255+BA256-BB255-BB256</f>
        <v>-2569.3957555408842</v>
      </c>
      <c r="BC288" s="23">
        <f t="shared" ref="BC288" si="1833">BB240-BC240+BB255+BB256-BC255-BC256</f>
        <v>552.11542536729394</v>
      </c>
      <c r="BD288" s="23">
        <f t="shared" ref="BD288" si="1834">BC240-BD240+BC255+BC256-BD255-BD256</f>
        <v>-867.32542536729875</v>
      </c>
      <c r="BE288" s="23">
        <f t="shared" ref="BE288" si="1835">BD240-BE240+BD255+BD256-BE255-BE256</f>
        <v>536.25168395248329</v>
      </c>
      <c r="BF288" s="23">
        <f t="shared" ref="BF288" si="1836">BE240-BF240+BE255+BE256-BF255-BF256</f>
        <v>-2221.2516839524837</v>
      </c>
      <c r="BG288" s="23">
        <f t="shared" ref="BG288" si="1837">BF240-BG240+BF255+BF256-BG255-BG256</f>
        <v>-71.121880278398748</v>
      </c>
      <c r="BH288" s="23">
        <f t="shared" ref="BH288" si="1838">BG240-BH240+BG255+BG256-BH255-BH256</f>
        <v>559.00188027839715</v>
      </c>
      <c r="BI288" s="23">
        <f t="shared" ref="BI288" si="1839">BH240-BI240+BH255+BH256-BI255-BI256</f>
        <v>-609.61913506795099</v>
      </c>
      <c r="BJ288" s="23">
        <f t="shared" ref="BJ288" si="1840">BI240-BJ240+BI255+BI256-BJ255-BJ256</f>
        <v>-204.63086493204662</v>
      </c>
      <c r="BK288" s="23">
        <f t="shared" ref="BK288" si="1841">BJ240-BK240+BJ255+BJ256-BK255-BK256</f>
        <v>-521.84925508725075</v>
      </c>
      <c r="BL288" s="23">
        <f t="shared" ref="BL288" si="1842">BK240-BL240+BK255+BK256-BL255-BL256</f>
        <v>1233.2292550872467</v>
      </c>
      <c r="BM288" s="23">
        <f t="shared" ref="BM288" si="1843">BL240-BM240+BL255+BL256-BM255-BM256</f>
        <v>587.8153156364715</v>
      </c>
      <c r="BN288" s="23">
        <f t="shared" ref="BN288" si="1844">BM240-BN240+BM255+BM256-BN255-BN256</f>
        <v>-2070.1953156364707</v>
      </c>
      <c r="BO288" s="23">
        <f t="shared" ref="BO288" si="1845">BN240-BO240+BN255+BN256-BO255-BO256</f>
        <v>177.69666727586446</v>
      </c>
      <c r="BP288" s="23">
        <f t="shared" ref="BP288" si="1846">BO240-BP240+BO255+BO256-BP255-BP256</f>
        <v>894.75333272413582</v>
      </c>
      <c r="BQ288" s="23">
        <f t="shared" ref="BQ288" si="1847">BP240-BQ240+BP255+BP256-BQ255-BQ256</f>
        <v>616.54460403797202</v>
      </c>
      <c r="BR288" s="23">
        <f t="shared" ref="BR288" si="1848">BQ240-BR240+BQ255+BQ256-BR255-BR256</f>
        <v>-6097.6346040379694</v>
      </c>
      <c r="BS288" s="23">
        <f t="shared" ref="BS288" si="1849">BR240-BS240+BR255+BR256-BS255-BS256</f>
        <v>158.36047782409878</v>
      </c>
      <c r="BT288" s="23">
        <f t="shared" ref="BT288" si="1850">BS240-BT240+BS255+BS256-BT255-BT256</f>
        <v>899.07952217590048</v>
      </c>
      <c r="BU288" s="23">
        <f t="shared" ref="BU288" si="1851">BT240-BU240+BT255+BT256-BU255-BU256</f>
        <v>-1133.2501819531026</v>
      </c>
      <c r="BV288" s="23">
        <f t="shared" ref="BV288" si="1852">BU240-BV240+BU255+BU256-BV255-BV256</f>
        <v>-5536.049818046894</v>
      </c>
      <c r="BW288" s="23">
        <f t="shared" ref="BW288" si="1853">BV240-BW240+BV255+BV256-BW255-BW256</f>
        <v>-2649.3368206582672</v>
      </c>
      <c r="BX288" s="23">
        <f t="shared" ref="BX288" si="1854">BW240-BX240+BW255+BW256-BX255-BX256</f>
        <v>-1628.1931793417352</v>
      </c>
      <c r="BY288" s="23">
        <f t="shared" ref="BY288" si="1855">BX240-BY240+BX255+BX256-BY255-BY256</f>
        <v>-111.6241270583414</v>
      </c>
      <c r="BZ288" s="23">
        <f t="shared" ref="BZ288" si="1856">BY240-BZ240+BY255+BY256-BZ255-BZ256</f>
        <v>1664.3841270583359</v>
      </c>
      <c r="CA288" s="23">
        <f t="shared" ref="CA288" si="1857">BZ240-CA240+BZ255+BZ256-CA255-CA256</f>
        <v>-2958.5062729810088</v>
      </c>
      <c r="CB288" s="23">
        <f t="shared" ref="CB288" si="1858">CA240-CB240+CA255+CA256-CB255-CB256</f>
        <v>511.55627298101058</v>
      </c>
      <c r="CC288" s="23">
        <f t="shared" ref="CC288" si="1859">CB240-CC240+CB255+CB256-CC255-CC256</f>
        <v>1019.3756693753967</v>
      </c>
      <c r="CD288" s="23">
        <f t="shared" ref="CD288" si="1860">CC240-CD240+CC255+CC256-CD255-CD256</f>
        <v>-71.085669375398993</v>
      </c>
      <c r="CE288" s="23">
        <f t="shared" ref="CE288" si="1861">CD240-CE240+CD255+CD256-CE255-CE256</f>
        <v>-1312.529378074003</v>
      </c>
      <c r="CF288" s="23">
        <f t="shared" ref="CF288" si="1862">CE240-CF240+CE255+CE256-CF255-CF256</f>
        <v>1502.7593780740062</v>
      </c>
      <c r="CG288" s="23">
        <f t="shared" ref="CG288" si="1863">CF240-CG240+CF255+CF256-CG255-CG256</f>
        <v>220.60152828413266</v>
      </c>
      <c r="CH288" s="23">
        <f t="shared" ref="CH288:CL288" si="1864">CG240-CH240+CG255+CG256-CH255-CH256</f>
        <v>3013.8084717158717</v>
      </c>
      <c r="CI288" s="23">
        <f t="shared" si="1864"/>
        <v>-2036.645283524449</v>
      </c>
      <c r="CJ288" s="23">
        <f t="shared" si="1864"/>
        <v>-7482.9947164755613</v>
      </c>
      <c r="CK288" s="23">
        <f t="shared" ref="CK288" si="1865">CJ240-CK240+CJ255+CJ256-CK255-CK256</f>
        <v>4833.3118287593825</v>
      </c>
      <c r="CL288" s="23">
        <f t="shared" si="1864"/>
        <v>-5610.1518287593753</v>
      </c>
      <c r="CM288" s="24">
        <f t="shared" ref="CM288" si="1866">CL240-CM240+CL255+CL256-CM255-CM256</f>
        <v>-8192.4461582260628</v>
      </c>
      <c r="CN288" s="24">
        <f t="shared" ref="CN288" si="1867">CM240-CN240+CM255+CM256-CN255-CN256</f>
        <v>-12731.565437808895</v>
      </c>
      <c r="CO288" s="24">
        <f t="shared" ref="CO288" si="1868">CN240-CO240+CN255+CN256-CO255-CO256</f>
        <v>6884.6738171173638</v>
      </c>
      <c r="CP288" s="24">
        <f t="shared" ref="CP288" si="1869">CO240-CP240+CO255+CO256-CP255-CP256</f>
        <v>-3159.8354582424072</v>
      </c>
      <c r="CQ288" s="24">
        <f t="shared" ref="CQ288" si="1870">CP240-CQ240+CP255+CP256-CQ255-CQ256</f>
        <v>-4238.7371826605231</v>
      </c>
      <c r="CR288" s="24">
        <f t="shared" ref="CR288" si="1871">CQ240-CR240+CQ255+CQ256-CR255-CR256</f>
        <v>-5741.6253454448015</v>
      </c>
      <c r="CS288" s="24">
        <f t="shared" ref="CS288" si="1872">CR240-CS240+CR255+CR256-CS255-CS256</f>
        <v>6230.5021600852779</v>
      </c>
      <c r="CT288" s="24">
        <f t="shared" ref="CT288" si="1873">CS240-CT240+CS255+CS256-CT255-CT256</f>
        <v>-4974.3803564613045</v>
      </c>
      <c r="CU288" s="24">
        <f t="shared" ref="CU288" si="1874">CT240-CU240+CT255+CT256-CU255-CU256</f>
        <v>-4412.0250934027717</v>
      </c>
      <c r="CV288" s="24">
        <f t="shared" ref="CV288" si="1875">CU240-CV240+CU255+CU256-CV255-CV256</f>
        <v>-4549.7683348328574</v>
      </c>
      <c r="CW288" s="24">
        <f t="shared" ref="CW288" si="1876">CV240-CW240+CV255+CV256-CW255-CW256</f>
        <v>8341.2603398221545</v>
      </c>
      <c r="CX288" s="24">
        <f t="shared" ref="CX288" si="1877">CW240-CX240+CW255+CW256-CX255-CX256</f>
        <v>-3874.156762555489</v>
      </c>
      <c r="CY288" s="24">
        <f t="shared" ref="CY288" si="1878">CX240-CY240+CX255+CX256-CY255-CY256</f>
        <v>-4993.5296490986657</v>
      </c>
      <c r="CZ288" s="24">
        <f t="shared" ref="CZ288" si="1879">CY240-CZ240+CY255+CY256-CZ255-CZ256</f>
        <v>-4833.6986109990539</v>
      </c>
      <c r="DA288" s="24">
        <f t="shared" ref="DA288" si="1880">CZ240-DA240+CZ255+CZ256-DA255-DA256</f>
        <v>8933.8980989346601</v>
      </c>
      <c r="DB288" s="24">
        <f t="shared" ref="DB288" si="1881">DA240-DB240+DA255+DA256-DB255-DB256</f>
        <v>-4166.1039044738718</v>
      </c>
      <c r="DE288" s="123"/>
      <c r="DF288" s="23">
        <v>-11014.652945330658</v>
      </c>
    </row>
    <row r="289" spans="1:110" s="23" customFormat="1" x14ac:dyDescent="0.2">
      <c r="A289" s="23" t="s">
        <v>73</v>
      </c>
      <c r="C289" s="23">
        <f t="shared" ref="C289:AA289" si="1882">B248-C248</f>
        <v>-163.92366880000009</v>
      </c>
      <c r="D289" s="23">
        <f t="shared" si="1882"/>
        <v>-232.54999999999995</v>
      </c>
      <c r="E289" s="23">
        <f>D248-E248</f>
        <v>270.18000000000006</v>
      </c>
      <c r="F289" s="23">
        <f t="shared" si="1882"/>
        <v>-252.7800000000002</v>
      </c>
      <c r="G289" s="23">
        <f t="shared" si="1882"/>
        <v>-119.86999999999989</v>
      </c>
      <c r="H289" s="23">
        <f t="shared" si="1882"/>
        <v>-510.40999999999985</v>
      </c>
      <c r="I289" s="23">
        <f t="shared" si="1882"/>
        <v>-1821.5299999999997</v>
      </c>
      <c r="J289" s="23">
        <f>I248-J248</f>
        <v>-2735.8100000000004</v>
      </c>
      <c r="K289" s="23">
        <f>J248-K248</f>
        <v>-626.89999999999964</v>
      </c>
      <c r="L289" s="23">
        <f t="shared" si="1882"/>
        <v>-2270.4499999999989</v>
      </c>
      <c r="M289" s="23">
        <f t="shared" si="1882"/>
        <v>-1621.0500000000029</v>
      </c>
      <c r="N289" s="23">
        <f t="shared" si="1882"/>
        <v>-1173.7499999999964</v>
      </c>
      <c r="O289" s="23">
        <f t="shared" si="1882"/>
        <v>-1440.1400000000012</v>
      </c>
      <c r="P289" s="23">
        <f t="shared" si="1882"/>
        <v>-958.17999999999847</v>
      </c>
      <c r="Q289" s="23">
        <f t="shared" si="1882"/>
        <v>640.56999999999789</v>
      </c>
      <c r="R289" s="23">
        <f t="shared" si="1882"/>
        <v>-1539.6299999999992</v>
      </c>
      <c r="S289" s="23">
        <f t="shared" si="1882"/>
        <v>1281.6999999999989</v>
      </c>
      <c r="T289" s="23">
        <f t="shared" si="1882"/>
        <v>361.09000000000015</v>
      </c>
      <c r="U289" s="23">
        <f t="shared" si="1882"/>
        <v>-4172.2099999999991</v>
      </c>
      <c r="V289" s="23">
        <f t="shared" si="1882"/>
        <v>-11142.39</v>
      </c>
      <c r="W289" s="23">
        <f t="shared" si="1882"/>
        <v>-8790.3200000000033</v>
      </c>
      <c r="X289" s="23">
        <f t="shared" si="1882"/>
        <v>-5018.2899999999936</v>
      </c>
      <c r="Y289" s="23">
        <f t="shared" si="1882"/>
        <v>-5717.4599999999991</v>
      </c>
      <c r="Z289" s="23">
        <f t="shared" si="1882"/>
        <v>-2886.9900000000125</v>
      </c>
      <c r="AA289" s="23">
        <f t="shared" si="1882"/>
        <v>152.14000000001397</v>
      </c>
      <c r="AB289" s="24">
        <f t="shared" ref="AB289" si="1883">AA248-AB248</f>
        <v>-7737.4054628371887</v>
      </c>
      <c r="AC289" s="24">
        <f t="shared" ref="AC289" si="1884">AB248-AC248</f>
        <v>-2801.6069446278416</v>
      </c>
      <c r="AD289" s="24">
        <f t="shared" ref="AD289" si="1885">AC248-AD248</f>
        <v>-3785.3177808337714</v>
      </c>
      <c r="AE289" s="24">
        <f t="shared" ref="AE289" si="1886">AD248-AE248</f>
        <v>-4260.9315357950691</v>
      </c>
      <c r="AI289" s="23">
        <f t="shared" ref="AI289" si="1887">AH248-AI248</f>
        <v>0</v>
      </c>
      <c r="AJ289" s="23">
        <f t="shared" ref="AJ289" si="1888">AI248-AJ248</f>
        <v>-3230.91</v>
      </c>
      <c r="AK289" s="23">
        <f t="shared" ref="AK289" si="1889">AJ248-AK248</f>
        <v>0</v>
      </c>
      <c r="AL289" s="23">
        <f t="shared" ref="AL289" si="1890">AK248-AL248</f>
        <v>-11978.179999999998</v>
      </c>
      <c r="AM289" s="23">
        <f t="shared" ref="AM289" si="1891">AL248-AM248</f>
        <v>-5.594038556495434</v>
      </c>
      <c r="AN289" s="23">
        <f t="shared" ref="AN289" si="1892">AM248-AN248</f>
        <v>-1705.3359614435067</v>
      </c>
      <c r="AO289" s="23">
        <f t="shared" ref="AO289" si="1893">AN248-AO248</f>
        <v>107.73449429472021</v>
      </c>
      <c r="AP289" s="23">
        <f t="shared" ref="AP289" si="1894">AO248-AP248</f>
        <v>-2096.9944942947186</v>
      </c>
      <c r="AQ289" s="23">
        <f t="shared" ref="AQ289" si="1895">AP248-AQ248</f>
        <v>170.09251152293291</v>
      </c>
      <c r="AR289" s="23">
        <f t="shared" ref="AR289" si="1896">AQ248-AR248</f>
        <v>-624.24251152293073</v>
      </c>
      <c r="AS289" s="23">
        <f t="shared" ref="AS289" si="1897">AR248-AS248</f>
        <v>31.307644920780149</v>
      </c>
      <c r="AT289" s="23">
        <f t="shared" ref="AT289" si="1898">AS248-AT248</f>
        <v>833.47235507921505</v>
      </c>
      <c r="AU289" s="23">
        <f t="shared" ref="AU289" si="1899">AT248-AU248</f>
        <v>592.56026503483008</v>
      </c>
      <c r="AV289" s="23">
        <f t="shared" ref="AV289" si="1900">AU248-AV248</f>
        <v>-4064.3802650348262</v>
      </c>
      <c r="AW289" s="23">
        <f t="shared" ref="AW289" si="1901">AV248-AW248</f>
        <v>359.68279215739312</v>
      </c>
      <c r="AX289" s="23">
        <f t="shared" ref="AX289" si="1902">AW248-AX248</f>
        <v>5533.9172078426036</v>
      </c>
      <c r="AY289" s="23">
        <f t="shared" ref="AY289" si="1903">AX248-AY248</f>
        <v>277.09411933009505</v>
      </c>
      <c r="AZ289" s="23">
        <f t="shared" ref="AZ289" si="1904">AY248-AZ248</f>
        <v>-4179.2341193300963</v>
      </c>
      <c r="BA289" s="23">
        <f t="shared" ref="BA289" si="1905">AZ248-BA248</f>
        <v>381.42561279742222</v>
      </c>
      <c r="BB289" s="23">
        <f t="shared" ref="BB289" si="1906">BA248-BB248</f>
        <v>-3565.7756127974171</v>
      </c>
      <c r="BC289" s="23">
        <f t="shared" ref="BC289" si="1907">BB248-BC248</f>
        <v>465.85655309453796</v>
      </c>
      <c r="BD289" s="23">
        <f t="shared" ref="BD289" si="1908">BC248-BD248</f>
        <v>-2403.8465530945432</v>
      </c>
      <c r="BE289" s="23">
        <f t="shared" ref="BE289" si="1909">BD248-BE248</f>
        <v>387.21569761334831</v>
      </c>
      <c r="BF289" s="23">
        <f t="shared" ref="BF289" si="1910">BE248-BF248</f>
        <v>2819.4843023866561</v>
      </c>
      <c r="BG289" s="23">
        <f t="shared" ref="BG289" si="1911">BF248-BG248</f>
        <v>-76.402394903081586</v>
      </c>
      <c r="BH289" s="23">
        <f t="shared" ref="BH289" si="1912">BG248-BH248</f>
        <v>3893.0123949030785</v>
      </c>
      <c r="BI289" s="23">
        <f t="shared" ref="BI289" si="1913">BH248-BI248</f>
        <v>-437.25293272101044</v>
      </c>
      <c r="BJ289" s="23">
        <f t="shared" ref="BJ289" si="1914">BI248-BJ248</f>
        <v>895.95293272101117</v>
      </c>
      <c r="BK289" s="23">
        <f t="shared" ref="BK289" si="1915">BJ248-BK248</f>
        <v>-407.04944386044372</v>
      </c>
      <c r="BL289" s="23">
        <f t="shared" ref="BL289" si="1916">BK248-BL248</f>
        <v>-1829.4405561395542</v>
      </c>
      <c r="BM289" s="23">
        <f t="shared" ref="BM289" si="1917">BL248-BM248</f>
        <v>377.56057560609406</v>
      </c>
      <c r="BN289" s="23">
        <f t="shared" ref="BN289" si="1918">BM248-BN248</f>
        <v>-2658.2805756060916</v>
      </c>
      <c r="BO289" s="23">
        <f t="shared" ref="BO289" si="1919">BN248-BO248</f>
        <v>129.14840901401476</v>
      </c>
      <c r="BP289" s="23">
        <f t="shared" ref="BP289" si="1920">BO248-BP248</f>
        <v>-6030.2884090140178</v>
      </c>
      <c r="BQ289" s="23">
        <f t="shared" ref="BQ289" si="1921">BP248-BQ248</f>
        <v>455.38579919201584</v>
      </c>
      <c r="BR289" s="23">
        <f t="shared" ref="BR289" si="1922">BQ248-BR248</f>
        <v>-1860.2057991920192</v>
      </c>
      <c r="BS289" s="23">
        <f t="shared" ref="BS289" si="1923">BR248-BS248</f>
        <v>158.78842206588888</v>
      </c>
      <c r="BT289" s="23">
        <f t="shared" ref="BT289" si="1924">BS248-BT248</f>
        <v>-3116.6884220658867</v>
      </c>
      <c r="BU289" s="23">
        <f t="shared" ref="BU289" si="1925">BT248-BU248</f>
        <v>-796.06553108900334</v>
      </c>
      <c r="BV289" s="23">
        <f t="shared" ref="BV289" si="1926">BU248-BV248</f>
        <v>-5036.3544689109985</v>
      </c>
      <c r="BW289" s="23">
        <f t="shared" ref="BW289" si="1927">BV248-BW248</f>
        <v>-2217.4426161960437</v>
      </c>
      <c r="BX289" s="23">
        <f t="shared" ref="BX289" si="1928">BW248-BX248</f>
        <v>-386.5973838039572</v>
      </c>
      <c r="BY289" s="23">
        <f t="shared" ref="BY289" si="1929">BX248-BY248</f>
        <v>-72.781194977877021</v>
      </c>
      <c r="BZ289" s="23">
        <f t="shared" ref="BZ289" si="1930">BY248-BZ248</f>
        <v>-2341.468805022123</v>
      </c>
      <c r="CA289" s="23">
        <f t="shared" ref="CA289" si="1931">BZ248-CA248</f>
        <v>-1641.3027564366057</v>
      </c>
      <c r="CB289" s="23">
        <f t="shared" ref="CB289" si="1932">CA248-CB248</f>
        <v>-837.9272435633975</v>
      </c>
      <c r="CC289" s="23">
        <f t="shared" ref="CC289" si="1933">CB248-CC248</f>
        <v>710.56386831770214</v>
      </c>
      <c r="CD289" s="23">
        <f t="shared" ref="CD289" si="1934">CC248-CD248</f>
        <v>-3948.7938683176981</v>
      </c>
      <c r="CE289" s="23">
        <f t="shared" ref="CE289" si="1935">CD248-CE248</f>
        <v>-801.40581682608172</v>
      </c>
      <c r="CF289" s="23">
        <f t="shared" ref="CF289" si="1936">CE248-CF248</f>
        <v>2331.9358168260878</v>
      </c>
      <c r="CG289" s="23">
        <f t="shared" ref="CG289" si="1937">CF248-CG248</f>
        <v>178.20825958247588</v>
      </c>
      <c r="CH289" s="23">
        <f t="shared" ref="CH289:CL289" si="1938">CG248-CH248</f>
        <v>-4595.7282595824872</v>
      </c>
      <c r="CI289" s="23">
        <f t="shared" si="1938"/>
        <v>-2848.7701591436053</v>
      </c>
      <c r="CJ289" s="23">
        <f t="shared" si="1938"/>
        <v>5400.2601591436178</v>
      </c>
      <c r="CK289" s="23">
        <f t="shared" ref="CK289" si="1939">CJ248-CK248</f>
        <v>5063.6487261746734</v>
      </c>
      <c r="CL289" s="23">
        <f t="shared" si="1938"/>
        <v>-7463.0087261746812</v>
      </c>
      <c r="CM289" s="24">
        <f t="shared" ref="CM289" si="1940">CL248-CM248</f>
        <v>-6501.7099332357975</v>
      </c>
      <c r="CN289" s="24">
        <f t="shared" ref="CN289" si="1941">CM248-CN248</f>
        <v>-10338.473395379922</v>
      </c>
      <c r="CO289" s="24">
        <f t="shared" ref="CO289" si="1942">CN248-CO248</f>
        <v>9416.310692936735</v>
      </c>
      <c r="CP289" s="24">
        <f t="shared" ref="CP289" si="1943">CO248-CP248</f>
        <v>-313.52282715819456</v>
      </c>
      <c r="CQ289" s="24">
        <f t="shared" ref="CQ289" si="1944">CP248-CQ248</f>
        <v>-2581.385439700367</v>
      </c>
      <c r="CR289" s="24">
        <f t="shared" ref="CR289" si="1945">CQ248-CR248</f>
        <v>-3794.7722508655279</v>
      </c>
      <c r="CS289" s="24">
        <f t="shared" ref="CS289" si="1946">CR248-CS248</f>
        <v>6632.3157841977954</v>
      </c>
      <c r="CT289" s="24">
        <f t="shared" ref="CT289" si="1947">CS248-CT248</f>
        <v>-3057.7650382597421</v>
      </c>
      <c r="CU289" s="24">
        <f t="shared" ref="CU289" si="1948">CT248-CU248</f>
        <v>-3715.6995453072086</v>
      </c>
      <c r="CV289" s="24">
        <f t="shared" ref="CV289" si="1949">CU248-CV248</f>
        <v>-3831.7035318475973</v>
      </c>
      <c r="CW289" s="24">
        <f t="shared" ref="CW289" si="1950">CV248-CW248</f>
        <v>7024.8052982088848</v>
      </c>
      <c r="CX289" s="24">
        <f t="shared" ref="CX289" si="1951">CW248-CX248</f>
        <v>-3262.7200018878502</v>
      </c>
      <c r="CY289" s="24">
        <f t="shared" ref="CY289" si="1952">CX248-CY248</f>
        <v>-4205.4284492575243</v>
      </c>
      <c r="CZ289" s="24">
        <f t="shared" ref="CZ289" si="1953">CY248-CZ248</f>
        <v>-4070.8226609811099</v>
      </c>
      <c r="DA289" s="24">
        <f t="shared" ref="DA289" si="1954">CZ248-DA248</f>
        <v>7523.9103135812911</v>
      </c>
      <c r="DB289" s="24">
        <f t="shared" ref="DB289" si="1955">DA248-DB248</f>
        <v>-3508.5907391377259</v>
      </c>
      <c r="DE289" s="123"/>
      <c r="DF289" s="23">
        <v>-2746.2285881487842</v>
      </c>
    </row>
    <row r="290" spans="1:110" s="22" customFormat="1" x14ac:dyDescent="0.2">
      <c r="A290" s="22" t="s">
        <v>90</v>
      </c>
      <c r="C290" s="22">
        <f t="shared" ref="C290:W290" si="1956">C288-C289</f>
        <v>-472.12702610000008</v>
      </c>
      <c r="D290" s="22">
        <f t="shared" si="1956"/>
        <v>86.07999999999987</v>
      </c>
      <c r="E290" s="22">
        <f t="shared" si="1956"/>
        <v>357.21000000000015</v>
      </c>
      <c r="F290" s="22">
        <f t="shared" si="1956"/>
        <v>211.93</v>
      </c>
      <c r="G290" s="22">
        <f t="shared" si="1956"/>
        <v>-354.48999999999978</v>
      </c>
      <c r="H290" s="22">
        <f t="shared" si="1956"/>
        <v>-170.01000000000033</v>
      </c>
      <c r="I290" s="22">
        <f t="shared" si="1956"/>
        <v>132.41999999999939</v>
      </c>
      <c r="J290" s="22">
        <f>J288-J289</f>
        <v>992.25000000000091</v>
      </c>
      <c r="K290" s="22">
        <f t="shared" si="1956"/>
        <v>-388.84999999999968</v>
      </c>
      <c r="L290" s="22">
        <f t="shared" si="1956"/>
        <v>-485.93000000000211</v>
      </c>
      <c r="M290" s="22">
        <f t="shared" si="1956"/>
        <v>-1819.7899999999972</v>
      </c>
      <c r="N290" s="22">
        <f t="shared" si="1956"/>
        <v>-2726.0400000000018</v>
      </c>
      <c r="O290" s="22">
        <f t="shared" si="1956"/>
        <v>-28.559999999998581</v>
      </c>
      <c r="P290" s="22">
        <f t="shared" si="1956"/>
        <v>-950.89000000000351</v>
      </c>
      <c r="Q290" s="22">
        <f t="shared" si="1956"/>
        <v>2416.6299999999997</v>
      </c>
      <c r="R290" s="22">
        <f t="shared" si="1956"/>
        <v>-274.29000000000337</v>
      </c>
      <c r="S290" s="22">
        <f t="shared" si="1956"/>
        <v>-3281.909999999993</v>
      </c>
      <c r="T290" s="22">
        <f t="shared" si="1956"/>
        <v>-687.45999999999924</v>
      </c>
      <c r="U290" s="22">
        <f t="shared" si="1956"/>
        <v>3401.2099999999955</v>
      </c>
      <c r="V290" s="22">
        <f t="shared" si="1956"/>
        <v>10416.020000000002</v>
      </c>
      <c r="W290" s="22">
        <f t="shared" si="1956"/>
        <v>3158.1800000000003</v>
      </c>
      <c r="X290" s="22">
        <f t="shared" ref="X290:Y290" si="1957">X288-X289</f>
        <v>2613.5799999999945</v>
      </c>
      <c r="Y290" s="22">
        <f t="shared" si="1957"/>
        <v>4605.5000000000027</v>
      </c>
      <c r="Z290" s="22">
        <f t="shared" ref="Z290:AA290" si="1958">Z288-Z289</f>
        <v>1942.8800000000128</v>
      </c>
      <c r="AA290" s="22">
        <f t="shared" si="1958"/>
        <v>-4923.1800000000148</v>
      </c>
      <c r="AB290" s="21">
        <f t="shared" ref="AA290:AD290" si="1959">AB288-AB289</f>
        <v>-14987.207774322815</v>
      </c>
      <c r="AC290" s="21">
        <f t="shared" si="1959"/>
        <v>-5922.6337798535096</v>
      </c>
      <c r="AD290" s="21">
        <f t="shared" si="1959"/>
        <v>-709.37207013519219</v>
      </c>
      <c r="AE290" s="21">
        <f t="shared" ref="AE290" si="1960">AE288-AE289</f>
        <v>-798.50252984186227</v>
      </c>
      <c r="AI290" s="22">
        <f t="shared" ref="AI290" si="1961">AI288-AI289</f>
        <v>0</v>
      </c>
      <c r="AJ290" s="22">
        <f t="shared" ref="AJ290:AL290" si="1962">AJ288-AJ289</f>
        <v>-5625.76</v>
      </c>
      <c r="AK290" s="22">
        <f t="shared" si="1962"/>
        <v>-393.14829396202725</v>
      </c>
      <c r="AL290" s="22">
        <f t="shared" si="1962"/>
        <v>3792.8582939620273</v>
      </c>
      <c r="AM290" s="22">
        <f t="shared" ref="AM290" si="1963">AM288-AM289</f>
        <v>-2.829003494067365</v>
      </c>
      <c r="AN290" s="22">
        <f t="shared" ref="AN290:CD290" si="1964">AN288-AN289</f>
        <v>-881.86099650593133</v>
      </c>
      <c r="AO290" s="22">
        <f t="shared" si="1964"/>
        <v>73.760350816744904</v>
      </c>
      <c r="AP290" s="22">
        <f t="shared" si="1964"/>
        <v>3042.4196491832508</v>
      </c>
      <c r="AQ290" s="22">
        <f t="shared" si="1964"/>
        <v>75.931022612261586</v>
      </c>
      <c r="AR290" s="22">
        <f t="shared" si="1964"/>
        <v>-1377.7410226122634</v>
      </c>
      <c r="AS290" s="22">
        <f t="shared" si="1964"/>
        <v>16.455242311280017</v>
      </c>
      <c r="AT290" s="22">
        <f t="shared" si="1964"/>
        <v>-1034.345242311274</v>
      </c>
      <c r="AU290" s="22">
        <f t="shared" si="1964"/>
        <v>245.91258921751432</v>
      </c>
      <c r="AV290" s="22">
        <f t="shared" si="1964"/>
        <v>2509.8974107824797</v>
      </c>
      <c r="AW290" s="22">
        <f t="shared" si="1964"/>
        <v>104.91011931393587</v>
      </c>
      <c r="AX290" s="22">
        <f t="shared" si="1964"/>
        <v>-2225.3001193139298</v>
      </c>
      <c r="AY290" s="22">
        <f t="shared" si="1964"/>
        <v>88.373265805576011</v>
      </c>
      <c r="AZ290" s="22">
        <f t="shared" si="1964"/>
        <v>3999.8867341944224</v>
      </c>
      <c r="BA290" s="22">
        <f t="shared" si="1964"/>
        <v>187.93014274346933</v>
      </c>
      <c r="BB290" s="22">
        <f t="shared" si="1964"/>
        <v>996.37985725653289</v>
      </c>
      <c r="BC290" s="22">
        <f t="shared" si="1964"/>
        <v>86.25887227275598</v>
      </c>
      <c r="BD290" s="22">
        <f t="shared" si="1964"/>
        <v>1536.5211277272444</v>
      </c>
      <c r="BE290" s="22">
        <f t="shared" si="1964"/>
        <v>149.03598633913498</v>
      </c>
      <c r="BF290" s="22">
        <f t="shared" si="1964"/>
        <v>-5040.7359863391393</v>
      </c>
      <c r="BG290" s="22">
        <f t="shared" si="1964"/>
        <v>5.2805146246828372</v>
      </c>
      <c r="BH290" s="22">
        <f t="shared" si="1964"/>
        <v>-3334.0105146246815</v>
      </c>
      <c r="BI290" s="22">
        <f t="shared" si="1964"/>
        <v>-172.36620234694055</v>
      </c>
      <c r="BJ290" s="22">
        <f t="shared" si="1964"/>
        <v>-1100.5837976530579</v>
      </c>
      <c r="BK290" s="22">
        <f t="shared" si="1964"/>
        <v>-114.79981122680704</v>
      </c>
      <c r="BL290" s="22">
        <f t="shared" si="1964"/>
        <v>3062.6698112268009</v>
      </c>
      <c r="BM290" s="22">
        <f t="shared" si="1964"/>
        <v>210.25474003037743</v>
      </c>
      <c r="BN290" s="22">
        <f t="shared" si="1964"/>
        <v>588.08525996962089</v>
      </c>
      <c r="BO290" s="22">
        <f t="shared" si="1964"/>
        <v>48.548258261849696</v>
      </c>
      <c r="BP290" s="22">
        <f t="shared" si="1964"/>
        <v>6925.0417417381541</v>
      </c>
      <c r="BQ290" s="22">
        <f t="shared" si="1964"/>
        <v>161.15880484595618</v>
      </c>
      <c r="BR290" s="22">
        <f t="shared" si="1964"/>
        <v>-4237.4288048459503</v>
      </c>
      <c r="BS290" s="22">
        <f t="shared" si="1964"/>
        <v>-0.42794424179010093</v>
      </c>
      <c r="BT290" s="22">
        <f t="shared" si="1964"/>
        <v>4015.7679442417871</v>
      </c>
      <c r="BU290" s="22">
        <f t="shared" si="1964"/>
        <v>-337.18465086409924</v>
      </c>
      <c r="BV290" s="22">
        <f t="shared" si="1964"/>
        <v>-499.69534913589541</v>
      </c>
      <c r="BW290" s="22">
        <f t="shared" si="1964"/>
        <v>-431.89420446222357</v>
      </c>
      <c r="BX290" s="22">
        <f t="shared" si="1964"/>
        <v>-1241.595795537778</v>
      </c>
      <c r="BY290" s="22">
        <f t="shared" si="1964"/>
        <v>-38.842932080464379</v>
      </c>
      <c r="BZ290" s="22">
        <f t="shared" si="1964"/>
        <v>4005.8529320804591</v>
      </c>
      <c r="CA290" s="22">
        <f t="shared" si="1964"/>
        <v>-1317.2035165444031</v>
      </c>
      <c r="CB290" s="22">
        <f t="shared" si="1964"/>
        <v>1349.4835165444081</v>
      </c>
      <c r="CC290" s="22">
        <f t="shared" si="1964"/>
        <v>308.81180105769454</v>
      </c>
      <c r="CD290" s="22">
        <f t="shared" si="1964"/>
        <v>3877.7081989422991</v>
      </c>
      <c r="CE290" s="22">
        <f t="shared" ref="CE290:CF290" si="1965">CE288-CE289</f>
        <v>-511.12356124792132</v>
      </c>
      <c r="CF290" s="22">
        <f t="shared" si="1965"/>
        <v>-829.17643875208159</v>
      </c>
      <c r="CG290" s="22">
        <f t="shared" ref="CG290:CH290" si="1966">CG288-CG289</f>
        <v>42.39326870165678</v>
      </c>
      <c r="CH290" s="22">
        <f t="shared" si="1966"/>
        <v>7609.536731298359</v>
      </c>
      <c r="CI290" s="22">
        <f t="shared" ref="CI290:CJ290" si="1967">CI288-CI289</f>
        <v>812.12487561915623</v>
      </c>
      <c r="CJ290" s="22">
        <f t="shared" si="1967"/>
        <v>-12883.254875619179</v>
      </c>
      <c r="CK290" s="22">
        <f t="shared" ref="CK290:DB290" si="1968">CK288-CK289</f>
        <v>-230.33689741529088</v>
      </c>
      <c r="CL290" s="22">
        <f t="shared" si="1968"/>
        <v>1852.8568974153059</v>
      </c>
      <c r="CM290" s="21">
        <f t="shared" si="1968"/>
        <v>-1690.7362249902653</v>
      </c>
      <c r="CN290" s="21">
        <f t="shared" si="1968"/>
        <v>-2393.0920424289725</v>
      </c>
      <c r="CO290" s="21">
        <f t="shared" si="1968"/>
        <v>-2531.6368758193712</v>
      </c>
      <c r="CP290" s="21">
        <f t="shared" si="1968"/>
        <v>-2846.3126310842126</v>
      </c>
      <c r="CQ290" s="21">
        <f t="shared" si="1968"/>
        <v>-1657.3517429601561</v>
      </c>
      <c r="CR290" s="21">
        <f t="shared" si="1968"/>
        <v>-1946.8530945792736</v>
      </c>
      <c r="CS290" s="21">
        <f t="shared" si="1968"/>
        <v>-401.81362411251757</v>
      </c>
      <c r="CT290" s="21">
        <f t="shared" si="1968"/>
        <v>-1916.6153182015623</v>
      </c>
      <c r="CU290" s="21">
        <f t="shared" si="1968"/>
        <v>-696.32554809556314</v>
      </c>
      <c r="CV290" s="21">
        <f t="shared" si="1968"/>
        <v>-718.06480298526003</v>
      </c>
      <c r="CW290" s="21">
        <f t="shared" si="1968"/>
        <v>1316.4550416132697</v>
      </c>
      <c r="CX290" s="21">
        <f t="shared" si="1968"/>
        <v>-611.43676066763874</v>
      </c>
      <c r="CY290" s="21">
        <f t="shared" si="1968"/>
        <v>-788.10119984114135</v>
      </c>
      <c r="CZ290" s="21">
        <f t="shared" si="1968"/>
        <v>-762.87595001794398</v>
      </c>
      <c r="DA290" s="21">
        <f t="shared" si="1968"/>
        <v>1409.987785353369</v>
      </c>
      <c r="DB290" s="21">
        <f t="shared" si="1968"/>
        <v>-657.5131653361459</v>
      </c>
      <c r="DE290" s="126"/>
      <c r="DF290" s="22">
        <v>-8268.4243571818733</v>
      </c>
    </row>
    <row r="291" spans="1:110" s="22" customFormat="1" x14ac:dyDescent="0.2">
      <c r="A291" s="22" t="s">
        <v>91</v>
      </c>
      <c r="C291" s="22">
        <f t="shared" ref="C291:W291" si="1969">C287+C290</f>
        <v>331.73297390000005</v>
      </c>
      <c r="D291" s="22">
        <f>D287+D290</f>
        <v>863.04999999999973</v>
      </c>
      <c r="E291" s="22">
        <f t="shared" si="1969"/>
        <v>1289.1100000000006</v>
      </c>
      <c r="F291" s="22">
        <f t="shared" si="1969"/>
        <v>1278.0200000000002</v>
      </c>
      <c r="G291" s="22">
        <f t="shared" si="1969"/>
        <v>738.64000000000055</v>
      </c>
      <c r="H291" s="22">
        <f t="shared" si="1969"/>
        <v>1004.5399999999992</v>
      </c>
      <c r="I291" s="22">
        <f t="shared" si="1969"/>
        <v>1746.7700000000002</v>
      </c>
      <c r="J291" s="22">
        <f>J287+J290</f>
        <v>3147.8500000000022</v>
      </c>
      <c r="K291" s="22">
        <f t="shared" si="1969"/>
        <v>2455.670000000001</v>
      </c>
      <c r="L291" s="22">
        <f t="shared" si="1969"/>
        <v>2553.9100000000017</v>
      </c>
      <c r="M291" s="22">
        <f t="shared" si="1969"/>
        <v>-1572.8299999999933</v>
      </c>
      <c r="N291" s="22">
        <f t="shared" si="1969"/>
        <v>-759.78000000000384</v>
      </c>
      <c r="O291" s="22">
        <f t="shared" si="1969"/>
        <v>2441.0900000000051</v>
      </c>
      <c r="P291" s="22">
        <f t="shared" si="1969"/>
        <v>1391.0899999999974</v>
      </c>
      <c r="Q291" s="22">
        <f t="shared" si="1969"/>
        <v>4727.5600000000013</v>
      </c>
      <c r="R291" s="22">
        <f t="shared" si="1969"/>
        <v>2577.8499999999913</v>
      </c>
      <c r="S291" s="22">
        <f t="shared" si="1969"/>
        <v>1472.5600000000118</v>
      </c>
      <c r="T291" s="22">
        <f t="shared" si="1969"/>
        <v>4061.8600000000088</v>
      </c>
      <c r="U291" s="22">
        <f t="shared" si="1969"/>
        <v>7052.1499999999942</v>
      </c>
      <c r="V291" s="22">
        <f t="shared" si="1969"/>
        <v>14288.340000000002</v>
      </c>
      <c r="W291" s="22">
        <f t="shared" si="1969"/>
        <v>8021.8399999999947</v>
      </c>
      <c r="X291" s="22">
        <f t="shared" ref="X291:Y291" si="1970">X287+X290</f>
        <v>10313.219999999994</v>
      </c>
      <c r="Y291" s="22">
        <f t="shared" si="1970"/>
        <v>12088.119999999999</v>
      </c>
      <c r="Z291" s="22">
        <f t="shared" ref="Z291:AA291" si="1971">Z287+Z290</f>
        <v>10030.740000000013</v>
      </c>
      <c r="AA291" s="22">
        <f t="shared" si="1971"/>
        <v>3635.0999999999749</v>
      </c>
      <c r="AB291" s="21">
        <f t="shared" ref="AA291:AD291" si="1972">AB287+AB290</f>
        <v>-3661.0585921276142</v>
      </c>
      <c r="AC291" s="21">
        <f t="shared" si="1972"/>
        <v>5512.219018747779</v>
      </c>
      <c r="AD291" s="21">
        <f t="shared" si="1972"/>
        <v>11591.424532635545</v>
      </c>
      <c r="AE291" s="21">
        <f t="shared" ref="AE291" si="1973">AE287+AE290</f>
        <v>12713.41256326353</v>
      </c>
      <c r="AI291" s="22">
        <f t="shared" ref="AI291" si="1974">AI287+AI290</f>
        <v>651.89999999999952</v>
      </c>
      <c r="AJ291" s="22">
        <f t="shared" ref="AJ291:AL291" si="1975">AJ287+AJ290</f>
        <v>-5167.5200000000013</v>
      </c>
      <c r="AK291" s="22">
        <f t="shared" si="1975"/>
        <v>-134.75829396202812</v>
      </c>
      <c r="AL291" s="22">
        <f t="shared" si="1975"/>
        <v>4390.588293962026</v>
      </c>
      <c r="AM291" s="22">
        <f t="shared" ref="AM291" si="1976">AM287+AM290</f>
        <v>533.270996505933</v>
      </c>
      <c r="AN291" s="22">
        <f t="shared" ref="AN291:CD291" si="1977">AN287+AN290</f>
        <v>-117.84099650593134</v>
      </c>
      <c r="AO291" s="22">
        <f t="shared" si="1977"/>
        <v>664.3903508167441</v>
      </c>
      <c r="AP291" s="22">
        <f t="shared" si="1977"/>
        <v>3621.3196491832477</v>
      </c>
      <c r="AQ291" s="22">
        <f t="shared" si="1977"/>
        <v>507.16102261226297</v>
      </c>
      <c r="AR291" s="22">
        <f t="shared" si="1977"/>
        <v>-919.61102261226358</v>
      </c>
      <c r="AS291" s="22">
        <f t="shared" si="1977"/>
        <v>756.25524231127872</v>
      </c>
      <c r="AT291" s="22">
        <f t="shared" si="1977"/>
        <v>-321.52524231127313</v>
      </c>
      <c r="AU291" s="22">
        <f t="shared" si="1977"/>
        <v>946.80258921751351</v>
      </c>
      <c r="AV291" s="22">
        <f t="shared" si="1977"/>
        <v>2812.2874107824805</v>
      </c>
      <c r="AW291" s="22">
        <f t="shared" si="1977"/>
        <v>949.89011931393679</v>
      </c>
      <c r="AX291" s="22">
        <f t="shared" si="1977"/>
        <v>-1762.6301193139316</v>
      </c>
      <c r="AY291" s="22">
        <f t="shared" si="1977"/>
        <v>600.17326580557597</v>
      </c>
      <c r="AZ291" s="22">
        <f t="shared" si="1977"/>
        <v>4874.8467341944224</v>
      </c>
      <c r="BA291" s="22">
        <f t="shared" si="1977"/>
        <v>1331.2501427434704</v>
      </c>
      <c r="BB291" s="22">
        <f t="shared" si="1977"/>
        <v>1313.3398572565336</v>
      </c>
      <c r="BC291" s="22">
        <f t="shared" si="1977"/>
        <v>1011.2488722727558</v>
      </c>
      <c r="BD291" s="22">
        <f t="shared" si="1977"/>
        <v>2293.9811277272438</v>
      </c>
      <c r="BE291" s="22">
        <f t="shared" si="1977"/>
        <v>1323.8459863391354</v>
      </c>
      <c r="BF291" s="22">
        <f t="shared" si="1977"/>
        <v>-3118.0159863391386</v>
      </c>
      <c r="BG291" s="22">
        <f t="shared" si="1977"/>
        <v>2266.1605146246829</v>
      </c>
      <c r="BH291" s="22">
        <f t="shared" si="1977"/>
        <v>-2401.2705146246803</v>
      </c>
      <c r="BI291" s="22">
        <f t="shared" si="1977"/>
        <v>572.23379765305936</v>
      </c>
      <c r="BJ291" s="22">
        <f t="shared" si="1977"/>
        <v>-375.30379765305804</v>
      </c>
      <c r="BK291" s="22">
        <f t="shared" si="1977"/>
        <v>668.70018877319239</v>
      </c>
      <c r="BL291" s="22">
        <f t="shared" si="1977"/>
        <v>3975.0298112267992</v>
      </c>
      <c r="BM291" s="22">
        <f t="shared" si="1977"/>
        <v>1075.444740030377</v>
      </c>
      <c r="BN291" s="22">
        <f t="shared" si="1977"/>
        <v>1677.9752599696217</v>
      </c>
      <c r="BO291" s="22">
        <f t="shared" si="1977"/>
        <v>899.6582582618496</v>
      </c>
      <c r="BP291" s="22">
        <f t="shared" si="1977"/>
        <v>7903.531741738152</v>
      </c>
      <c r="BQ291" s="22">
        <f t="shared" si="1977"/>
        <v>1147.6588048459557</v>
      </c>
      <c r="BR291" s="22">
        <f t="shared" si="1977"/>
        <v>-3181.20880484595</v>
      </c>
      <c r="BS291" s="22">
        <f t="shared" si="1977"/>
        <v>1137.8020557582104</v>
      </c>
      <c r="BT291" s="22">
        <f t="shared" si="1977"/>
        <v>5208.4479442417851</v>
      </c>
      <c r="BU291" s="22">
        <f t="shared" si="1977"/>
        <v>846.74534913590014</v>
      </c>
      <c r="BV291" s="22">
        <f t="shared" si="1977"/>
        <v>849.12465086410521</v>
      </c>
      <c r="BW291" s="22">
        <f t="shared" si="1977"/>
        <v>1184.7157955377759</v>
      </c>
      <c r="BX291" s="22">
        <f t="shared" si="1977"/>
        <v>415.12420446222359</v>
      </c>
      <c r="BY291" s="22">
        <f t="shared" si="1977"/>
        <v>1759.4370679195365</v>
      </c>
      <c r="BZ291" s="22">
        <f t="shared" si="1977"/>
        <v>5709.882932080458</v>
      </c>
      <c r="CA291" s="22">
        <f t="shared" si="1977"/>
        <v>548.7264834555981</v>
      </c>
      <c r="CB291" s="22">
        <f t="shared" si="1977"/>
        <v>3150.9035165444088</v>
      </c>
      <c r="CC291" s="22">
        <f t="shared" si="1977"/>
        <v>2188.0918010576961</v>
      </c>
      <c r="CD291" s="22">
        <f t="shared" si="1977"/>
        <v>5813.6881989423</v>
      </c>
      <c r="CE291" s="22">
        <f t="shared" ref="CE291:CF291" si="1978">CE287+CE290</f>
        <v>1432.8064387520772</v>
      </c>
      <c r="CF291" s="22">
        <f t="shared" si="1978"/>
        <v>1084.0435612479175</v>
      </c>
      <c r="CG291" s="22">
        <f t="shared" ref="CG291:CH291" si="1979">CG287+CG290</f>
        <v>2114.0832687016573</v>
      </c>
      <c r="CH291" s="22">
        <f t="shared" si="1979"/>
        <v>9768.6467312983586</v>
      </c>
      <c r="CI291" s="22">
        <f t="shared" ref="CI291:CJ291" si="1980">CI287+CI290</f>
        <v>3033.704875619158</v>
      </c>
      <c r="CJ291" s="22">
        <f t="shared" si="1980"/>
        <v>-10801.764875619179</v>
      </c>
      <c r="CK291" s="22">
        <f t="shared" ref="CK291:DB291" si="1981">CK287+CK290</f>
        <v>1749.543102584709</v>
      </c>
      <c r="CL291" s="22">
        <f t="shared" si="1981"/>
        <v>4128.9968974153053</v>
      </c>
      <c r="CM291" s="21">
        <f t="shared" si="1981"/>
        <v>758.04533248593179</v>
      </c>
      <c r="CN291" s="21">
        <f t="shared" si="1981"/>
        <v>783.38645200233395</v>
      </c>
      <c r="CO291" s="21">
        <f t="shared" si="1981"/>
        <v>294.85943618736292</v>
      </c>
      <c r="CP291" s="21">
        <f t="shared" si="1981"/>
        <v>28.080187196759653</v>
      </c>
      <c r="CQ291" s="21">
        <f t="shared" si="1981"/>
        <v>1196.3836345728992</v>
      </c>
      <c r="CR291" s="21">
        <f t="shared" si="1981"/>
        <v>1121.832033805571</v>
      </c>
      <c r="CS291" s="21">
        <f t="shared" si="1981"/>
        <v>2274.284979216126</v>
      </c>
      <c r="CT291" s="21">
        <f t="shared" si="1981"/>
        <v>919.71837115319613</v>
      </c>
      <c r="CU291" s="21">
        <f t="shared" si="1981"/>
        <v>2352.6687719351862</v>
      </c>
      <c r="CV291" s="21">
        <f t="shared" si="1981"/>
        <v>2552.609677897115</v>
      </c>
      <c r="CW291" s="21">
        <f t="shared" si="1981"/>
        <v>4200.0092915147197</v>
      </c>
      <c r="CX291" s="21">
        <f t="shared" si="1981"/>
        <v>2486.1367912885453</v>
      </c>
      <c r="CY291" s="21">
        <f t="shared" si="1981"/>
        <v>2557.4727526108054</v>
      </c>
      <c r="CZ291" s="21">
        <f t="shared" si="1981"/>
        <v>2820.2610643168405</v>
      </c>
      <c r="DA291" s="21">
        <f t="shared" si="1981"/>
        <v>4584.3541457350102</v>
      </c>
      <c r="DB291" s="21">
        <f t="shared" si="1981"/>
        <v>2751.3246006008612</v>
      </c>
      <c r="DE291" s="126"/>
      <c r="DF291" s="22">
        <v>-5967.9245465964304</v>
      </c>
    </row>
    <row r="292" spans="1:110" s="23" customFormat="1" x14ac:dyDescent="0.2">
      <c r="AB292" s="24"/>
      <c r="AC292" s="24"/>
      <c r="AD292" s="24"/>
      <c r="AE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E292" s="123"/>
    </row>
    <row r="293" spans="1:110" s="22" customFormat="1" x14ac:dyDescent="0.2">
      <c r="A293" s="22" t="s">
        <v>92</v>
      </c>
      <c r="C293" s="22">
        <f t="shared" ref="C293:W293" si="1982">C294+C295</f>
        <v>-948.81946299999936</v>
      </c>
      <c r="D293" s="22">
        <f>D294+D295</f>
        <v>-949.0300000000002</v>
      </c>
      <c r="E293" s="22">
        <f t="shared" si="1982"/>
        <v>-446.11999999999989</v>
      </c>
      <c r="F293" s="22">
        <f t="shared" si="1982"/>
        <v>-763.85999999999922</v>
      </c>
      <c r="G293" s="22">
        <f t="shared" si="1982"/>
        <v>-1530.5700000000011</v>
      </c>
      <c r="H293" s="22">
        <f t="shared" si="1982"/>
        <v>-1596.5100000000002</v>
      </c>
      <c r="I293" s="22">
        <f t="shared" si="1982"/>
        <v>-8648.5599999999977</v>
      </c>
      <c r="J293" s="22">
        <f t="shared" si="1982"/>
        <v>-7175.9699999999975</v>
      </c>
      <c r="K293" s="22">
        <f t="shared" si="1982"/>
        <v>-7054.9500000000035</v>
      </c>
      <c r="L293" s="22">
        <f t="shared" si="1982"/>
        <v>-8855.659999999998</v>
      </c>
      <c r="M293" s="22">
        <f t="shared" si="1982"/>
        <v>-6963.9200000000092</v>
      </c>
      <c r="N293" s="22">
        <f t="shared" si="1982"/>
        <v>-5447.1699999999901</v>
      </c>
      <c r="O293" s="22">
        <f t="shared" si="1982"/>
        <v>-5837.0400000000063</v>
      </c>
      <c r="P293" s="22">
        <f t="shared" si="1982"/>
        <v>-3601.0500000000116</v>
      </c>
      <c r="Q293" s="22">
        <f t="shared" si="1982"/>
        <v>31.1299999999992</v>
      </c>
      <c r="R293" s="22">
        <f t="shared" si="1982"/>
        <v>-12295.499999999998</v>
      </c>
      <c r="S293" s="22">
        <f t="shared" si="1982"/>
        <v>-1099.8599999999933</v>
      </c>
      <c r="T293" s="22">
        <f t="shared" si="1982"/>
        <v>-4346.9799999999923</v>
      </c>
      <c r="U293" s="22">
        <f t="shared" si="1982"/>
        <v>-5491.2899999999918</v>
      </c>
      <c r="V293" s="22">
        <f t="shared" si="1982"/>
        <v>-7730.6500000000015</v>
      </c>
      <c r="W293" s="22">
        <f t="shared" si="1982"/>
        <v>-10797.630000000001</v>
      </c>
      <c r="X293" s="22">
        <f t="shared" ref="X293:Y293" si="1983">X294+X295</f>
        <v>-10307.960000000008</v>
      </c>
      <c r="Y293" s="22">
        <f t="shared" si="1983"/>
        <v>-14752.229999999994</v>
      </c>
      <c r="Z293" s="22">
        <f t="shared" ref="Z293:AA293" si="1984">Z294+Z295</f>
        <v>-16575.160000000007</v>
      </c>
      <c r="AA293" s="22">
        <f t="shared" si="1984"/>
        <v>-15850.059999999987</v>
      </c>
      <c r="AB293" s="21">
        <f t="shared" ref="AA293:AD293" si="1985">AB294+AB295</f>
        <v>-2474.5600000000268</v>
      </c>
      <c r="AC293" s="21">
        <f t="shared" si="1985"/>
        <v>-8000</v>
      </c>
      <c r="AD293" s="21">
        <f t="shared" si="1985"/>
        <v>-8000</v>
      </c>
      <c r="AE293" s="21">
        <f t="shared" ref="AE293" si="1986">AE294+AE295</f>
        <v>-8000.0000000000146</v>
      </c>
      <c r="AI293" s="22">
        <f t="shared" ref="AI293" si="1987">AI294+AI295</f>
        <v>-505.97</v>
      </c>
      <c r="AJ293" s="22">
        <f t="shared" ref="AJ293:AL293" si="1988">AJ294+AJ295</f>
        <v>-17608.84</v>
      </c>
      <c r="AK293" s="22">
        <f t="shared" si="1988"/>
        <v>-587.3100000000004</v>
      </c>
      <c r="AL293" s="22">
        <f t="shared" si="1988"/>
        <v>-29703.140000000003</v>
      </c>
      <c r="AM293" s="22">
        <f t="shared" ref="AM293" si="1989">AM294+AM295</f>
        <v>-650.80000000000291</v>
      </c>
      <c r="AN293" s="22">
        <f t="shared" ref="AN293:CD293" si="1990">AN294+AN295</f>
        <v>-3803.7299999999991</v>
      </c>
      <c r="AO293" s="22">
        <f t="shared" si="1990"/>
        <v>-665.54000000000087</v>
      </c>
      <c r="AP293" s="22">
        <f t="shared" si="1990"/>
        <v>-716.97000000001026</v>
      </c>
      <c r="AQ293" s="22">
        <f t="shared" si="1990"/>
        <v>-542.52999999999884</v>
      </c>
      <c r="AR293" s="22">
        <f t="shared" si="1990"/>
        <v>-1396.4199999999969</v>
      </c>
      <c r="AS293" s="22">
        <f t="shared" si="1990"/>
        <v>-542.05999999999767</v>
      </c>
      <c r="AT293" s="22">
        <f t="shared" si="1990"/>
        <v>-1120.0399999999963</v>
      </c>
      <c r="AU293" s="22">
        <f t="shared" si="1990"/>
        <v>-397.75</v>
      </c>
      <c r="AV293" s="22">
        <f t="shared" si="1990"/>
        <v>-2364.5700000000033</v>
      </c>
      <c r="AW293" s="22">
        <f t="shared" si="1990"/>
        <v>-411.7300000000032</v>
      </c>
      <c r="AX293" s="22">
        <f t="shared" si="1990"/>
        <v>3205.1799999999985</v>
      </c>
      <c r="AY293" s="22">
        <f t="shared" si="1990"/>
        <v>-439.30999999999767</v>
      </c>
      <c r="AZ293" s="22">
        <f t="shared" si="1990"/>
        <v>-12397.969999999996</v>
      </c>
      <c r="BA293" s="22">
        <f t="shared" si="1990"/>
        <v>-524.08999999999651</v>
      </c>
      <c r="BB293" s="22">
        <f t="shared" si="1990"/>
        <v>1050.9799999999977</v>
      </c>
      <c r="BC293" s="22">
        <f t="shared" si="1990"/>
        <v>-576.22000000000116</v>
      </c>
      <c r="BD293" s="22">
        <f t="shared" si="1990"/>
        <v>-718.17000000000371</v>
      </c>
      <c r="BE293" s="22">
        <f t="shared" si="1990"/>
        <v>-584</v>
      </c>
      <c r="BF293" s="22">
        <f t="shared" si="1990"/>
        <v>753.0199999999968</v>
      </c>
      <c r="BG293" s="22">
        <f t="shared" si="1990"/>
        <v>-589.97000000000116</v>
      </c>
      <c r="BH293" s="22">
        <f t="shared" si="1990"/>
        <v>-3684.6299999999992</v>
      </c>
      <c r="BI293" s="22">
        <f t="shared" si="1990"/>
        <v>-602.73999999999796</v>
      </c>
      <c r="BJ293" s="22">
        <f t="shared" si="1990"/>
        <v>530.36000000000604</v>
      </c>
      <c r="BK293" s="22">
        <f t="shared" si="1990"/>
        <v>-619.94999999999709</v>
      </c>
      <c r="BL293" s="22">
        <f t="shared" si="1990"/>
        <v>-2468.8000000000047</v>
      </c>
      <c r="BM293" s="22">
        <f t="shared" si="1990"/>
        <v>-671.87000000000262</v>
      </c>
      <c r="BN293" s="22">
        <f t="shared" si="1990"/>
        <v>-1730.6700000000019</v>
      </c>
      <c r="BO293" s="22">
        <f t="shared" si="1990"/>
        <v>-644.48999999999796</v>
      </c>
      <c r="BP293" s="22">
        <f t="shared" si="1990"/>
        <v>-2740.9299999999967</v>
      </c>
      <c r="BQ293" s="22">
        <f t="shared" si="1990"/>
        <v>-738.29000000000087</v>
      </c>
      <c r="BR293" s="22">
        <f t="shared" si="1990"/>
        <v>75.329999999998108</v>
      </c>
      <c r="BS293" s="22">
        <f t="shared" si="1990"/>
        <v>-747.19999999999709</v>
      </c>
      <c r="BT293" s="22">
        <f t="shared" si="1990"/>
        <v>-7856.73</v>
      </c>
      <c r="BU293" s="22">
        <f t="shared" si="1990"/>
        <v>-758.12000000000262</v>
      </c>
      <c r="BV293" s="22">
        <f t="shared" si="1990"/>
        <v>-1455.8599999999933</v>
      </c>
      <c r="BW293" s="22">
        <f t="shared" si="1990"/>
        <v>-822.01000000000204</v>
      </c>
      <c r="BX293" s="22">
        <f t="shared" si="1990"/>
        <v>-3761.8199999999979</v>
      </c>
      <c r="BY293" s="22">
        <f t="shared" si="1990"/>
        <v>-853.26000000000204</v>
      </c>
      <c r="BZ293" s="22">
        <f t="shared" si="1990"/>
        <v>-4550.8100000000086</v>
      </c>
      <c r="CA293" s="22">
        <f t="shared" si="1990"/>
        <v>-893.44000000000233</v>
      </c>
      <c r="CB293" s="22">
        <f t="shared" si="1990"/>
        <v>-3534.41</v>
      </c>
      <c r="CC293" s="22">
        <f t="shared" si="1990"/>
        <v>-926.2699999999968</v>
      </c>
      <c r="CD293" s="22">
        <f t="shared" si="1990"/>
        <v>-9011.4100000000053</v>
      </c>
      <c r="CE293" s="22">
        <f t="shared" ref="CE293:CF293" si="1991">CE294+CE295</f>
        <v>-972.88999999999942</v>
      </c>
      <c r="CF293" s="22">
        <f t="shared" si="1991"/>
        <v>-6712.239999999998</v>
      </c>
      <c r="CG293" s="22">
        <f t="shared" ref="CG293:CH293" si="1992">CG294+CG295</f>
        <v>-1040.9900000000052</v>
      </c>
      <c r="CH293" s="22">
        <f t="shared" si="1992"/>
        <v>-12217.779999999995</v>
      </c>
      <c r="CI293" s="22">
        <f t="shared" ref="CI293:CJ293" si="1993">CI294+CI295</f>
        <v>0</v>
      </c>
      <c r="CJ293" s="22">
        <f t="shared" si="1993"/>
        <v>-1298</v>
      </c>
      <c r="CK293" s="22">
        <f t="shared" ref="CK293:DB293" si="1994">CK294+CK295</f>
        <v>-2989</v>
      </c>
      <c r="CL293" s="22">
        <f t="shared" si="1994"/>
        <v>-6037.619999999999</v>
      </c>
      <c r="CM293" s="21">
        <f t="shared" si="1994"/>
        <v>-2000</v>
      </c>
      <c r="CN293" s="21">
        <f t="shared" si="1994"/>
        <v>-2000</v>
      </c>
      <c r="CO293" s="21">
        <f t="shared" si="1994"/>
        <v>-1999.9999999999854</v>
      </c>
      <c r="CP293" s="21">
        <f t="shared" si="1994"/>
        <v>-2000.0000000000146</v>
      </c>
      <c r="CQ293" s="21">
        <f t="shared" si="1994"/>
        <v>-1999.9999999999854</v>
      </c>
      <c r="CR293" s="21">
        <f t="shared" si="1994"/>
        <v>-2000</v>
      </c>
      <c r="CS293" s="21">
        <f t="shared" si="1994"/>
        <v>-2000</v>
      </c>
      <c r="CT293" s="21">
        <f t="shared" si="1994"/>
        <v>-2000.0000000000146</v>
      </c>
      <c r="CU293" s="21">
        <f t="shared" si="1994"/>
        <v>-2000</v>
      </c>
      <c r="CV293" s="21">
        <f t="shared" si="1994"/>
        <v>-2000</v>
      </c>
      <c r="CW293" s="21">
        <f t="shared" si="1994"/>
        <v>-2000</v>
      </c>
      <c r="CX293" s="21">
        <f t="shared" si="1994"/>
        <v>-2000</v>
      </c>
      <c r="CY293" s="21">
        <f t="shared" si="1994"/>
        <v>-2000</v>
      </c>
      <c r="CZ293" s="21">
        <f t="shared" si="1994"/>
        <v>-2000</v>
      </c>
      <c r="DA293" s="21">
        <f t="shared" si="1994"/>
        <v>-2000</v>
      </c>
      <c r="DB293" s="21">
        <f t="shared" si="1994"/>
        <v>-2000</v>
      </c>
      <c r="DE293" s="126"/>
      <c r="DF293" s="22">
        <v>-1999.9999999999854</v>
      </c>
    </row>
    <row r="294" spans="1:110" s="23" customFormat="1" x14ac:dyDescent="0.2">
      <c r="A294" s="23" t="s">
        <v>93</v>
      </c>
      <c r="C294" s="23">
        <f t="shared" ref="C294:AA294" si="1995">B232-C232</f>
        <v>-202.15974559999995</v>
      </c>
      <c r="D294" s="23">
        <f t="shared" si="1995"/>
        <v>-250.80999999999995</v>
      </c>
      <c r="E294" s="23">
        <f>D232-E232</f>
        <v>-98.75</v>
      </c>
      <c r="F294" s="23">
        <f t="shared" si="1995"/>
        <v>126.59999999999991</v>
      </c>
      <c r="G294" s="23">
        <f t="shared" si="1995"/>
        <v>-380.55999999999995</v>
      </c>
      <c r="H294" s="23">
        <f t="shared" si="1995"/>
        <v>-360.42000000000007</v>
      </c>
      <c r="I294" s="23">
        <f t="shared" si="1995"/>
        <v>-299.25</v>
      </c>
      <c r="J294" s="23">
        <f>I232-J232</f>
        <v>248.7800000000002</v>
      </c>
      <c r="K294" s="23">
        <f>J232-K232</f>
        <v>-15.130000000000109</v>
      </c>
      <c r="L294" s="23">
        <f t="shared" si="1995"/>
        <v>104.01000000000022</v>
      </c>
      <c r="M294" s="23">
        <f t="shared" si="1995"/>
        <v>-36.200000000000273</v>
      </c>
      <c r="N294" s="23">
        <f t="shared" si="1995"/>
        <v>2.7100000000000364</v>
      </c>
      <c r="O294" s="23">
        <f t="shared" si="1995"/>
        <v>-36.009999999999764</v>
      </c>
      <c r="P294" s="23">
        <f t="shared" si="1995"/>
        <v>-160.2800000000002</v>
      </c>
      <c r="Q294" s="23">
        <f t="shared" si="1995"/>
        <v>-8607.83</v>
      </c>
      <c r="R294" s="23">
        <f t="shared" si="1995"/>
        <v>671.60000000000036</v>
      </c>
      <c r="S294" s="23">
        <f t="shared" si="1995"/>
        <v>-1217.5400000000009</v>
      </c>
      <c r="T294" s="23">
        <f t="shared" si="1995"/>
        <v>-1382.119999999999</v>
      </c>
      <c r="U294" s="23">
        <f t="shared" si="1995"/>
        <v>-460.44000000000051</v>
      </c>
      <c r="V294" s="23">
        <f t="shared" si="1995"/>
        <v>1185.8199999999997</v>
      </c>
      <c r="W294" s="23">
        <f t="shared" si="1995"/>
        <v>-1100.2999999999993</v>
      </c>
      <c r="X294" s="23">
        <f t="shared" si="1995"/>
        <v>-1770.2800000000007</v>
      </c>
      <c r="Y294" s="23">
        <f t="shared" si="1995"/>
        <v>681.98999999999978</v>
      </c>
      <c r="Z294" s="23">
        <f t="shared" si="1995"/>
        <v>-175.86999999999898</v>
      </c>
      <c r="AA294" s="23">
        <f t="shared" si="1995"/>
        <v>-204.45000000000073</v>
      </c>
      <c r="AB294" s="24">
        <f t="shared" ref="AB294" si="1996">AA232-AB232</f>
        <v>0</v>
      </c>
      <c r="AC294" s="24">
        <f t="shared" ref="AC294" si="1997">AB232-AC232</f>
        <v>0</v>
      </c>
      <c r="AD294" s="24">
        <f t="shared" ref="AD294" si="1998">AC232-AD232</f>
        <v>0</v>
      </c>
      <c r="AE294" s="24">
        <f t="shared" ref="AE294" si="1999">AD232-AE232</f>
        <v>0</v>
      </c>
      <c r="AI294" s="23">
        <f t="shared" ref="AI294" si="2000">AH232-AI232</f>
        <v>0</v>
      </c>
      <c r="AJ294" s="23">
        <f t="shared" ref="AJ294" si="2001">AI232-AJ232</f>
        <v>-9282.83</v>
      </c>
      <c r="AK294" s="23">
        <f t="shared" ref="AK294" si="2002">AJ232-AK232</f>
        <v>0</v>
      </c>
      <c r="AL294" s="23">
        <f t="shared" ref="AL294" si="2003">AK232-AL232</f>
        <v>6640.12</v>
      </c>
      <c r="AM294" s="23">
        <f t="shared" ref="AM294" si="2004">AL232-AM232</f>
        <v>0</v>
      </c>
      <c r="AN294" s="23">
        <f t="shared" ref="AN294" si="2005">AM232-AN232</f>
        <v>-168.26999999999998</v>
      </c>
      <c r="AO294" s="23">
        <f t="shared" ref="AO294" si="2006">AN232-AO232</f>
        <v>0</v>
      </c>
      <c r="AP294" s="23">
        <f t="shared" ref="AP294" si="2007">AO232-AP232</f>
        <v>132.26000000000022</v>
      </c>
      <c r="AQ294" s="23">
        <f t="shared" ref="AQ294" si="2008">AP232-AQ232</f>
        <v>0</v>
      </c>
      <c r="AR294" s="23">
        <f t="shared" ref="AR294" si="2009">AQ232-AR232</f>
        <v>-29.580000000000382</v>
      </c>
      <c r="AS294" s="23">
        <f t="shared" ref="AS294" si="2010">AR232-AS232</f>
        <v>0</v>
      </c>
      <c r="AT294" s="23">
        <f t="shared" ref="AT294" si="2011">AS232-AT232</f>
        <v>-130.69999999999982</v>
      </c>
      <c r="AU294" s="23">
        <f t="shared" ref="AU294" si="2012">AT232-AU232</f>
        <v>0</v>
      </c>
      <c r="AV294" s="23">
        <f t="shared" ref="AV294" si="2013">AU232-AV232</f>
        <v>76.159999999999854</v>
      </c>
      <c r="AW294" s="23">
        <f t="shared" ref="AW294" si="2014">AV232-AW232</f>
        <v>0</v>
      </c>
      <c r="AX294" s="23">
        <f t="shared" ref="AX294" si="2015">AW232-AX232</f>
        <v>-8686.56</v>
      </c>
      <c r="AY294" s="23">
        <f t="shared" ref="AY294" si="2016">AX232-AY232</f>
        <v>0</v>
      </c>
      <c r="AZ294" s="23">
        <f t="shared" ref="AZ294" si="2017">AY232-AZ232</f>
        <v>-4448.0300000000007</v>
      </c>
      <c r="BA294" s="23">
        <f t="shared" ref="BA294" si="2018">AZ232-BA232</f>
        <v>0</v>
      </c>
      <c r="BB294" s="23">
        <f t="shared" ref="BB294" si="2019">BA232-BB232</f>
        <v>5119.7100000000009</v>
      </c>
      <c r="BC294" s="23">
        <f t="shared" ref="BC294" si="2020">BB232-BC232</f>
        <v>0</v>
      </c>
      <c r="BD294" s="23">
        <f t="shared" ref="BD294" si="2021">BC232-BD232</f>
        <v>277.01999999999862</v>
      </c>
      <c r="BE294" s="23">
        <f t="shared" ref="BE294" si="2022">BD232-BE232</f>
        <v>0</v>
      </c>
      <c r="BF294" s="23">
        <f t="shared" ref="BF294" si="2023">BE232-BF232</f>
        <v>-1492.0699999999997</v>
      </c>
      <c r="BG294" s="23">
        <f t="shared" ref="BG294" si="2024">BF232-BG232</f>
        <v>0</v>
      </c>
      <c r="BH294" s="23">
        <f t="shared" ref="BH294" si="2025">BG232-BH232</f>
        <v>-1800.2399999999998</v>
      </c>
      <c r="BI294" s="23">
        <f t="shared" ref="BI294" si="2026">BH232-BI232</f>
        <v>0</v>
      </c>
      <c r="BJ294" s="23">
        <f t="shared" ref="BJ294" si="2027">BI232-BJ232</f>
        <v>418.1200000000008</v>
      </c>
      <c r="BK294" s="23">
        <f t="shared" ref="BK294" si="2028">BJ232-BK232</f>
        <v>0</v>
      </c>
      <c r="BL294" s="23">
        <f t="shared" ref="BL294" si="2029">BK232-BL232</f>
        <v>1302.6099999999988</v>
      </c>
      <c r="BM294" s="23">
        <f t="shared" ref="BM294" si="2030">BL232-BM232</f>
        <v>0</v>
      </c>
      <c r="BN294" s="23">
        <f t="shared" ref="BN294" si="2031">BM232-BN232</f>
        <v>-1763.0499999999993</v>
      </c>
      <c r="BO294" s="23">
        <f t="shared" ref="BO294" si="2032">BN232-BO232</f>
        <v>0</v>
      </c>
      <c r="BP294" s="23">
        <f t="shared" ref="BP294" si="2033">BO232-BP232</f>
        <v>368.29999999999927</v>
      </c>
      <c r="BQ294" s="23">
        <f t="shared" ref="BQ294" si="2034">BP232-BQ232</f>
        <v>0</v>
      </c>
      <c r="BR294" s="23">
        <f t="shared" ref="BR294" si="2035">BQ232-BR232</f>
        <v>817.52000000000044</v>
      </c>
      <c r="BS294" s="23">
        <f t="shared" ref="BS294" si="2036">BR232-BS232</f>
        <v>0</v>
      </c>
      <c r="BT294" s="23">
        <f t="shared" ref="BT294" si="2037">BS232-BT232</f>
        <v>-257.84000000000015</v>
      </c>
      <c r="BU294" s="23">
        <f t="shared" ref="BU294" si="2038">BT232-BU232</f>
        <v>0</v>
      </c>
      <c r="BV294" s="23">
        <f t="shared" ref="BV294" si="2039">BU232-BV232</f>
        <v>-842.45999999999913</v>
      </c>
      <c r="BW294" s="23">
        <f t="shared" ref="BW294" si="2040">BV232-BW232</f>
        <v>0</v>
      </c>
      <c r="BX294" s="23">
        <f t="shared" ref="BX294" si="2041">BW232-BX232</f>
        <v>-2065.2600000000002</v>
      </c>
      <c r="BY294" s="23">
        <f t="shared" ref="BY294" si="2042">BX232-BY232</f>
        <v>0</v>
      </c>
      <c r="BZ294" s="23">
        <f t="shared" ref="BZ294" si="2043">BY232-BZ232</f>
        <v>294.97999999999956</v>
      </c>
      <c r="CA294" s="23">
        <f t="shared" ref="CA294" si="2044">BZ232-CA232</f>
        <v>0</v>
      </c>
      <c r="CB294" s="23">
        <f t="shared" ref="CB294" si="2045">CA232-CB232</f>
        <v>-65.770000000000437</v>
      </c>
      <c r="CC294" s="23">
        <f t="shared" ref="CC294" si="2046">CB232-CC232</f>
        <v>0</v>
      </c>
      <c r="CD294" s="23">
        <f t="shared" ref="CD294" si="2047">CC232-CD232</f>
        <v>747.76000000000022</v>
      </c>
      <c r="CE294" s="23">
        <f t="shared" ref="CE294" si="2048">CD232-CE232</f>
        <v>0</v>
      </c>
      <c r="CF294" s="23">
        <f t="shared" ref="CF294" si="2049">CE232-CF232</f>
        <v>-165.81999999999971</v>
      </c>
      <c r="CG294" s="23">
        <f t="shared" ref="CG294" si="2050">CF232-CG232</f>
        <v>0</v>
      </c>
      <c r="CH294" s="23">
        <f t="shared" ref="CH294:CL294" si="2051">CG232-CH232</f>
        <v>-10.049999999999272</v>
      </c>
      <c r="CI294" s="23">
        <f t="shared" si="2051"/>
        <v>0</v>
      </c>
      <c r="CJ294" s="23">
        <f t="shared" si="2051"/>
        <v>-268.11000000000058</v>
      </c>
      <c r="CK294" s="23">
        <f t="shared" ref="CK294" si="2052">CJ232-CK232</f>
        <v>0</v>
      </c>
      <c r="CL294" s="23">
        <f t="shared" si="2051"/>
        <v>63.659999999999854</v>
      </c>
      <c r="CM294" s="24">
        <f t="shared" ref="CM294" si="2053">CL232-CM232</f>
        <v>0</v>
      </c>
      <c r="CN294" s="24">
        <f t="shared" ref="CN294" si="2054">CM232-CN232</f>
        <v>0</v>
      </c>
      <c r="CO294" s="24">
        <f t="shared" ref="CO294" si="2055">CN232-CO232</f>
        <v>0</v>
      </c>
      <c r="CP294" s="24">
        <f t="shared" ref="CP294" si="2056">CO232-CP232</f>
        <v>0</v>
      </c>
      <c r="CQ294" s="24">
        <f t="shared" ref="CQ294" si="2057">CP232-CQ232</f>
        <v>0</v>
      </c>
      <c r="CR294" s="24">
        <f t="shared" ref="CR294" si="2058">CQ232-CR232</f>
        <v>0</v>
      </c>
      <c r="CS294" s="24">
        <f t="shared" ref="CS294" si="2059">CR232-CS232</f>
        <v>0</v>
      </c>
      <c r="CT294" s="24">
        <f t="shared" ref="CT294" si="2060">CS232-CT232</f>
        <v>0</v>
      </c>
      <c r="CU294" s="24">
        <f t="shared" ref="CU294" si="2061">CT232-CU232</f>
        <v>0</v>
      </c>
      <c r="CV294" s="24">
        <f t="shared" ref="CV294" si="2062">CU232-CV232</f>
        <v>0</v>
      </c>
      <c r="CW294" s="24">
        <f t="shared" ref="CW294" si="2063">CV232-CW232</f>
        <v>0</v>
      </c>
      <c r="CX294" s="24">
        <f t="shared" ref="CX294" si="2064">CW232-CX232</f>
        <v>0</v>
      </c>
      <c r="CY294" s="24">
        <f t="shared" ref="CY294" si="2065">CX232-CY232</f>
        <v>0</v>
      </c>
      <c r="CZ294" s="24">
        <f t="shared" ref="CZ294" si="2066">CY232-CZ232</f>
        <v>0</v>
      </c>
      <c r="DA294" s="24">
        <f t="shared" ref="DA294" si="2067">CZ232-DA232</f>
        <v>0</v>
      </c>
      <c r="DB294" s="24">
        <f t="shared" ref="DB294" si="2068">DA232-DB232</f>
        <v>0</v>
      </c>
      <c r="DE294" s="123"/>
      <c r="DF294" s="23">
        <v>0</v>
      </c>
    </row>
    <row r="295" spans="1:110" s="23" customFormat="1" x14ac:dyDescent="0.2">
      <c r="A295" s="23" t="s">
        <v>94</v>
      </c>
      <c r="C295" s="23">
        <f t="shared" ref="C295:AE295" si="2069">B230-C124-C230</f>
        <v>-746.65971739999941</v>
      </c>
      <c r="D295" s="23">
        <f t="shared" si="2069"/>
        <v>-698.22000000000025</v>
      </c>
      <c r="E295" s="23">
        <f t="shared" si="2069"/>
        <v>-347.36999999999989</v>
      </c>
      <c r="F295" s="23">
        <f t="shared" si="2069"/>
        <v>-890.45999999999913</v>
      </c>
      <c r="G295" s="23">
        <f t="shared" si="2069"/>
        <v>-1150.0100000000011</v>
      </c>
      <c r="H295" s="23">
        <f t="shared" si="2069"/>
        <v>-1236.0900000000001</v>
      </c>
      <c r="I295" s="23">
        <f t="shared" si="2069"/>
        <v>-8349.3099999999977</v>
      </c>
      <c r="J295" s="23">
        <f t="shared" si="2069"/>
        <v>-7424.7499999999982</v>
      </c>
      <c r="K295" s="23">
        <f t="shared" si="2069"/>
        <v>-7039.8200000000033</v>
      </c>
      <c r="L295" s="23">
        <f t="shared" si="2069"/>
        <v>-8959.6699999999983</v>
      </c>
      <c r="M295" s="23">
        <f t="shared" si="2069"/>
        <v>-6927.7200000000084</v>
      </c>
      <c r="N295" s="23">
        <f t="shared" si="2069"/>
        <v>-5449.8799999999901</v>
      </c>
      <c r="O295" s="23">
        <f t="shared" si="2069"/>
        <v>-5801.0300000000061</v>
      </c>
      <c r="P295" s="23">
        <f t="shared" si="2069"/>
        <v>-3440.7700000000114</v>
      </c>
      <c r="Q295" s="23">
        <f t="shared" si="2069"/>
        <v>8638.9599999999991</v>
      </c>
      <c r="R295" s="23">
        <f t="shared" si="2069"/>
        <v>-12967.099999999999</v>
      </c>
      <c r="S295" s="23">
        <f t="shared" si="2069"/>
        <v>117.68000000000757</v>
      </c>
      <c r="T295" s="23">
        <f t="shared" si="2069"/>
        <v>-2964.8599999999933</v>
      </c>
      <c r="U295" s="23">
        <f t="shared" si="2069"/>
        <v>-5030.8499999999913</v>
      </c>
      <c r="V295" s="23">
        <f t="shared" si="2069"/>
        <v>-8916.4700000000012</v>
      </c>
      <c r="W295" s="23">
        <f t="shared" si="2069"/>
        <v>-9697.3300000000017</v>
      </c>
      <c r="X295" s="23">
        <f t="shared" si="2069"/>
        <v>-8537.6800000000076</v>
      </c>
      <c r="Y295" s="23">
        <f t="shared" si="2069"/>
        <v>-15434.219999999994</v>
      </c>
      <c r="Z295" s="23">
        <f t="shared" si="2069"/>
        <v>-16399.290000000008</v>
      </c>
      <c r="AA295" s="23">
        <f t="shared" si="2069"/>
        <v>-15645.609999999986</v>
      </c>
      <c r="AB295" s="24">
        <f t="shared" si="2069"/>
        <v>-2474.5600000000268</v>
      </c>
      <c r="AC295" s="24">
        <f t="shared" si="2069"/>
        <v>-8000</v>
      </c>
      <c r="AD295" s="24">
        <f t="shared" si="2069"/>
        <v>-8000</v>
      </c>
      <c r="AE295" s="24">
        <f t="shared" si="2069"/>
        <v>-8000.0000000000146</v>
      </c>
      <c r="AI295" s="23">
        <f t="shared" ref="AI295:BN295" si="2070">AH230-AI124-AI230</f>
        <v>-505.97</v>
      </c>
      <c r="AJ295" s="23">
        <f t="shared" si="2070"/>
        <v>-8326.01</v>
      </c>
      <c r="AK295" s="23">
        <f t="shared" si="2070"/>
        <v>-587.3100000000004</v>
      </c>
      <c r="AL295" s="23">
        <f t="shared" si="2070"/>
        <v>-36343.26</v>
      </c>
      <c r="AM295" s="23">
        <f t="shared" si="2070"/>
        <v>-650.80000000000291</v>
      </c>
      <c r="AN295" s="23">
        <f t="shared" si="2070"/>
        <v>-3635.4599999999991</v>
      </c>
      <c r="AO295" s="23">
        <f t="shared" si="2070"/>
        <v>-665.54000000000087</v>
      </c>
      <c r="AP295" s="23">
        <f t="shared" si="2070"/>
        <v>-849.23000000001048</v>
      </c>
      <c r="AQ295" s="23">
        <f t="shared" si="2070"/>
        <v>-542.52999999999884</v>
      </c>
      <c r="AR295" s="23">
        <f t="shared" si="2070"/>
        <v>-1366.8399999999965</v>
      </c>
      <c r="AS295" s="23">
        <f t="shared" si="2070"/>
        <v>-542.05999999999767</v>
      </c>
      <c r="AT295" s="23">
        <f t="shared" si="2070"/>
        <v>-989.33999999999651</v>
      </c>
      <c r="AU295" s="23">
        <f t="shared" si="2070"/>
        <v>-397.75</v>
      </c>
      <c r="AV295" s="23">
        <f t="shared" si="2070"/>
        <v>-2440.7300000000032</v>
      </c>
      <c r="AW295" s="23">
        <f t="shared" si="2070"/>
        <v>-411.7300000000032</v>
      </c>
      <c r="AX295" s="23">
        <f t="shared" si="2070"/>
        <v>11891.739999999998</v>
      </c>
      <c r="AY295" s="23">
        <f t="shared" si="2070"/>
        <v>-439.30999999999767</v>
      </c>
      <c r="AZ295" s="23">
        <f t="shared" si="2070"/>
        <v>-7949.9399999999951</v>
      </c>
      <c r="BA295" s="23">
        <f t="shared" si="2070"/>
        <v>-524.08999999999651</v>
      </c>
      <c r="BB295" s="23">
        <f t="shared" si="2070"/>
        <v>-4068.7300000000032</v>
      </c>
      <c r="BC295" s="23">
        <f t="shared" si="2070"/>
        <v>-576.22000000000116</v>
      </c>
      <c r="BD295" s="23">
        <f t="shared" si="2070"/>
        <v>-995.19000000000233</v>
      </c>
      <c r="BE295" s="23">
        <f t="shared" si="2070"/>
        <v>-584</v>
      </c>
      <c r="BF295" s="23">
        <f t="shared" si="2070"/>
        <v>2245.0899999999965</v>
      </c>
      <c r="BG295" s="23">
        <f t="shared" si="2070"/>
        <v>-589.97000000000116</v>
      </c>
      <c r="BH295" s="23">
        <f t="shared" si="2070"/>
        <v>-1884.3899999999994</v>
      </c>
      <c r="BI295" s="23">
        <f t="shared" si="2070"/>
        <v>-602.73999999999796</v>
      </c>
      <c r="BJ295" s="23">
        <f t="shared" si="2070"/>
        <v>112.24000000000524</v>
      </c>
      <c r="BK295" s="23">
        <f t="shared" si="2070"/>
        <v>-619.94999999999709</v>
      </c>
      <c r="BL295" s="23">
        <f t="shared" si="2070"/>
        <v>-3771.4100000000035</v>
      </c>
      <c r="BM295" s="23">
        <f t="shared" si="2070"/>
        <v>-671.87000000000262</v>
      </c>
      <c r="BN295" s="23">
        <f t="shared" si="2070"/>
        <v>32.379999999997381</v>
      </c>
      <c r="BO295" s="23">
        <f t="shared" ref="BO295:CT295" si="2071">BN230-BO124-BO230</f>
        <v>-644.48999999999796</v>
      </c>
      <c r="BP295" s="23">
        <f t="shared" si="2071"/>
        <v>-3109.2299999999959</v>
      </c>
      <c r="BQ295" s="23">
        <f t="shared" si="2071"/>
        <v>-738.29000000000087</v>
      </c>
      <c r="BR295" s="23">
        <f t="shared" si="2071"/>
        <v>-742.19000000000233</v>
      </c>
      <c r="BS295" s="23">
        <f t="shared" si="2071"/>
        <v>-747.19999999999709</v>
      </c>
      <c r="BT295" s="23">
        <f t="shared" si="2071"/>
        <v>-7598.8899999999994</v>
      </c>
      <c r="BU295" s="23">
        <f t="shared" si="2071"/>
        <v>-758.12000000000262</v>
      </c>
      <c r="BV295" s="23">
        <f t="shared" si="2071"/>
        <v>-613.39999999999418</v>
      </c>
      <c r="BW295" s="23">
        <f t="shared" si="2071"/>
        <v>-822.01000000000204</v>
      </c>
      <c r="BX295" s="23">
        <f t="shared" si="2071"/>
        <v>-1696.5599999999977</v>
      </c>
      <c r="BY295" s="23">
        <f t="shared" si="2071"/>
        <v>-853.26000000000204</v>
      </c>
      <c r="BZ295" s="23">
        <f t="shared" si="2071"/>
        <v>-4845.7900000000081</v>
      </c>
      <c r="CA295" s="23">
        <f t="shared" si="2071"/>
        <v>-893.44000000000233</v>
      </c>
      <c r="CB295" s="23">
        <f t="shared" si="2071"/>
        <v>-3468.6399999999994</v>
      </c>
      <c r="CC295" s="23">
        <f t="shared" si="2071"/>
        <v>-926.2699999999968</v>
      </c>
      <c r="CD295" s="23">
        <f t="shared" si="2071"/>
        <v>-9759.1700000000055</v>
      </c>
      <c r="CE295" s="23">
        <f t="shared" si="2071"/>
        <v>-972.88999999999942</v>
      </c>
      <c r="CF295" s="23">
        <f t="shared" si="2071"/>
        <v>-6546.4199999999983</v>
      </c>
      <c r="CG295" s="23">
        <f t="shared" si="2071"/>
        <v>-1040.9900000000052</v>
      </c>
      <c r="CH295" s="23">
        <f t="shared" si="2071"/>
        <v>-12207.729999999996</v>
      </c>
      <c r="CI295" s="23">
        <f t="shared" si="2071"/>
        <v>0</v>
      </c>
      <c r="CJ295" s="23">
        <f t="shared" si="2071"/>
        <v>-1029.8899999999994</v>
      </c>
      <c r="CK295" s="23">
        <f t="shared" si="2071"/>
        <v>-2989</v>
      </c>
      <c r="CL295" s="23">
        <f t="shared" si="2071"/>
        <v>-6101.2799999999988</v>
      </c>
      <c r="CM295" s="24">
        <f t="shared" si="2071"/>
        <v>-2000</v>
      </c>
      <c r="CN295" s="24">
        <f t="shared" si="2071"/>
        <v>-2000</v>
      </c>
      <c r="CO295" s="24">
        <f t="shared" si="2071"/>
        <v>-1999.9999999999854</v>
      </c>
      <c r="CP295" s="24">
        <f t="shared" si="2071"/>
        <v>-2000.0000000000146</v>
      </c>
      <c r="CQ295" s="24">
        <f t="shared" si="2071"/>
        <v>-1999.9999999999854</v>
      </c>
      <c r="CR295" s="24">
        <f t="shared" si="2071"/>
        <v>-2000</v>
      </c>
      <c r="CS295" s="24">
        <f t="shared" si="2071"/>
        <v>-2000</v>
      </c>
      <c r="CT295" s="24">
        <f t="shared" si="2071"/>
        <v>-2000.0000000000146</v>
      </c>
      <c r="CU295" s="24">
        <f t="shared" ref="CU295:DB295" si="2072">CT230-CU124-CU230</f>
        <v>-2000</v>
      </c>
      <c r="CV295" s="24">
        <f t="shared" si="2072"/>
        <v>-2000</v>
      </c>
      <c r="CW295" s="24">
        <f t="shared" si="2072"/>
        <v>-2000</v>
      </c>
      <c r="CX295" s="24">
        <f t="shared" si="2072"/>
        <v>-2000</v>
      </c>
      <c r="CY295" s="24">
        <f t="shared" si="2072"/>
        <v>-2000</v>
      </c>
      <c r="CZ295" s="24">
        <f t="shared" si="2072"/>
        <v>-2000</v>
      </c>
      <c r="DA295" s="24">
        <f t="shared" si="2072"/>
        <v>-2000</v>
      </c>
      <c r="DB295" s="24">
        <f t="shared" si="2072"/>
        <v>-2000</v>
      </c>
      <c r="DE295" s="123"/>
      <c r="DF295" s="23">
        <v>-1999.9999999999854</v>
      </c>
    </row>
    <row r="296" spans="1:110" s="23" customFormat="1" x14ac:dyDescent="0.2">
      <c r="AB296" s="24"/>
      <c r="AC296" s="24"/>
      <c r="AD296" s="24"/>
      <c r="AE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E296" s="123"/>
    </row>
    <row r="297" spans="1:110" s="22" customFormat="1" x14ac:dyDescent="0.2">
      <c r="A297" s="22" t="s">
        <v>95</v>
      </c>
      <c r="C297" s="22">
        <f t="shared" ref="C297:W297" si="2073">C298+C299</f>
        <v>88.77971030000009</v>
      </c>
      <c r="D297" s="22">
        <f t="shared" si="2073"/>
        <v>-203.03000000000003</v>
      </c>
      <c r="E297" s="22">
        <f t="shared" si="2073"/>
        <v>-836.79000000000076</v>
      </c>
      <c r="F297" s="22">
        <f t="shared" si="2073"/>
        <v>1287.0700000000002</v>
      </c>
      <c r="G297" s="22">
        <f t="shared" si="2073"/>
        <v>397.13999999999839</v>
      </c>
      <c r="H297" s="22">
        <f t="shared" si="2073"/>
        <v>774.80000000000211</v>
      </c>
      <c r="I297" s="22">
        <f t="shared" si="2073"/>
        <v>5804.3799999999983</v>
      </c>
      <c r="J297" s="22">
        <f t="shared" si="2073"/>
        <v>5018.5399999999981</v>
      </c>
      <c r="K297" s="22">
        <f t="shared" si="2073"/>
        <v>5548.01</v>
      </c>
      <c r="L297" s="22">
        <f t="shared" si="2073"/>
        <v>6060.29</v>
      </c>
      <c r="M297" s="22">
        <f t="shared" si="2073"/>
        <v>10569.979999999994</v>
      </c>
      <c r="N297" s="22">
        <f t="shared" si="2073"/>
        <v>4202.6399999999958</v>
      </c>
      <c r="O297" s="22">
        <f t="shared" si="2073"/>
        <v>2824.2100000000037</v>
      </c>
      <c r="P297" s="22">
        <f t="shared" si="2073"/>
        <v>2403.4299999999998</v>
      </c>
      <c r="Q297" s="22">
        <f t="shared" si="2073"/>
        <v>-5848.6000000000113</v>
      </c>
      <c r="R297" s="22">
        <f t="shared" si="2073"/>
        <v>10770.620000000004</v>
      </c>
      <c r="S297" s="22">
        <f t="shared" si="2073"/>
        <v>-802.8400000000031</v>
      </c>
      <c r="T297" s="22">
        <f t="shared" si="2073"/>
        <v>-382.39000000001306</v>
      </c>
      <c r="U297" s="22">
        <f t="shared" si="2073"/>
        <v>278.40000000001146</v>
      </c>
      <c r="V297" s="22">
        <f t="shared" si="2073"/>
        <v>-2981.1699999999928</v>
      </c>
      <c r="W297" s="22">
        <f t="shared" si="2073"/>
        <v>3456.799999999997</v>
      </c>
      <c r="X297" s="22">
        <f t="shared" ref="X297:Y297" si="2074">X298+X299</f>
        <v>5299.65</v>
      </c>
      <c r="Y297" s="22">
        <f t="shared" si="2074"/>
        <v>937.78000000000156</v>
      </c>
      <c r="Z297" s="22">
        <f t="shared" ref="Z297:AA297" si="2075">Z298+Z299</f>
        <v>8968.0200000000041</v>
      </c>
      <c r="AA297" s="22">
        <f t="shared" si="2075"/>
        <v>14161.680000000002</v>
      </c>
      <c r="AB297" s="21">
        <f t="shared" ref="AA297:AD297" si="2076">AB298+AB299</f>
        <v>-9.9999999802093953E-3</v>
      </c>
      <c r="AC297" s="21">
        <f t="shared" si="2076"/>
        <v>1.4551915228366852E-11</v>
      </c>
      <c r="AD297" s="21">
        <f t="shared" si="2076"/>
        <v>2.1827872842550278E-11</v>
      </c>
      <c r="AE297" s="21">
        <f t="shared" ref="AE297" si="2077">AE298+AE299</f>
        <v>-1.4551915228366852E-11</v>
      </c>
      <c r="AI297" s="22">
        <f t="shared" ref="AI297" si="2078">AI298+AI299</f>
        <v>-145.9299999999995</v>
      </c>
      <c r="AJ297" s="22">
        <f t="shared" ref="AJ297:AL297" si="2079">AJ298+AJ299</f>
        <v>23229.78</v>
      </c>
      <c r="AK297" s="22">
        <f t="shared" si="2079"/>
        <v>0</v>
      </c>
      <c r="AL297" s="22">
        <f t="shared" si="2079"/>
        <v>28048.49</v>
      </c>
      <c r="AM297" s="22">
        <f t="shared" ref="AM297" si="2080">AM298+AM299</f>
        <v>0</v>
      </c>
      <c r="AN297" s="22">
        <f t="shared" ref="AN297:CD297" si="2081">AN298+AN299</f>
        <v>3752.83</v>
      </c>
      <c r="AO297" s="22">
        <f t="shared" si="2081"/>
        <v>0</v>
      </c>
      <c r="AP297" s="22">
        <f t="shared" si="2081"/>
        <v>-3188.6699999999901</v>
      </c>
      <c r="AQ297" s="22">
        <f t="shared" si="2081"/>
        <v>0</v>
      </c>
      <c r="AR297" s="22">
        <f t="shared" si="2081"/>
        <v>2926.2499999999982</v>
      </c>
      <c r="AS297" s="22">
        <f t="shared" si="2081"/>
        <v>0</v>
      </c>
      <c r="AT297" s="22">
        <f t="shared" si="2081"/>
        <v>845.98999999999387</v>
      </c>
      <c r="AU297" s="22">
        <f t="shared" si="2081"/>
        <v>0</v>
      </c>
      <c r="AV297" s="22">
        <f t="shared" si="2081"/>
        <v>-1674.3499999999931</v>
      </c>
      <c r="AW297" s="22">
        <f t="shared" si="2081"/>
        <v>0</v>
      </c>
      <c r="AX297" s="22">
        <f t="shared" si="2081"/>
        <v>-2393.0400000000022</v>
      </c>
      <c r="AY297" s="22">
        <f t="shared" si="2081"/>
        <v>0</v>
      </c>
      <c r="AZ297" s="22">
        <f t="shared" si="2081"/>
        <v>8009.1899999999987</v>
      </c>
      <c r="BA297" s="22">
        <f t="shared" si="2081"/>
        <v>0</v>
      </c>
      <c r="BB297" s="22">
        <f t="shared" si="2081"/>
        <v>-2765.4399999999982</v>
      </c>
      <c r="BC297" s="22">
        <f t="shared" si="2081"/>
        <v>0</v>
      </c>
      <c r="BD297" s="22">
        <f t="shared" si="2081"/>
        <v>-2542.04</v>
      </c>
      <c r="BE297" s="22">
        <f t="shared" si="2081"/>
        <v>0</v>
      </c>
      <c r="BF297" s="22">
        <f t="shared" si="2081"/>
        <v>1726.2099999999919</v>
      </c>
      <c r="BG297" s="22">
        <f t="shared" si="2081"/>
        <v>3.637978807091713E-12</v>
      </c>
      <c r="BH297" s="22">
        <f t="shared" si="2081"/>
        <v>4039.9200000000037</v>
      </c>
      <c r="BI297" s="22">
        <f t="shared" si="2081"/>
        <v>0</v>
      </c>
      <c r="BJ297" s="22">
        <f t="shared" si="2081"/>
        <v>-422.27000000000135</v>
      </c>
      <c r="BK297" s="22">
        <f t="shared" si="2081"/>
        <v>0</v>
      </c>
      <c r="BL297" s="22">
        <f t="shared" si="2081"/>
        <v>-518.51999999999725</v>
      </c>
      <c r="BM297" s="22">
        <f t="shared" si="2081"/>
        <v>0</v>
      </c>
      <c r="BN297" s="22">
        <f t="shared" si="2081"/>
        <v>451.92000000000144</v>
      </c>
      <c r="BO297" s="22">
        <f t="shared" si="2081"/>
        <v>0</v>
      </c>
      <c r="BP297" s="22">
        <f t="shared" si="2081"/>
        <v>-2144.6999999999953</v>
      </c>
      <c r="BQ297" s="22">
        <f t="shared" si="2081"/>
        <v>0</v>
      </c>
      <c r="BR297" s="22">
        <f t="shared" si="2081"/>
        <v>2999.9600000000028</v>
      </c>
      <c r="BS297" s="22">
        <f t="shared" si="2081"/>
        <v>0</v>
      </c>
      <c r="BT297" s="22">
        <f t="shared" si="2081"/>
        <v>704.63000000000056</v>
      </c>
      <c r="BU297" s="22">
        <f t="shared" si="2081"/>
        <v>0</v>
      </c>
      <c r="BV297" s="22">
        <f t="shared" si="2081"/>
        <v>2752.1700000000037</v>
      </c>
      <c r="BW297" s="22">
        <f t="shared" si="2081"/>
        <v>0</v>
      </c>
      <c r="BX297" s="22">
        <f t="shared" si="2081"/>
        <v>4184.190000000006</v>
      </c>
      <c r="BY297" s="22">
        <f t="shared" si="2081"/>
        <v>0</v>
      </c>
      <c r="BZ297" s="22">
        <f t="shared" si="2081"/>
        <v>2039.4599999999946</v>
      </c>
      <c r="CA297" s="22">
        <f t="shared" si="2081"/>
        <v>0</v>
      </c>
      <c r="CB297" s="22">
        <f t="shared" si="2081"/>
        <v>-854.45000000000618</v>
      </c>
      <c r="CC297" s="22">
        <f t="shared" si="2081"/>
        <v>0</v>
      </c>
      <c r="CD297" s="22">
        <f t="shared" si="2081"/>
        <v>1792.2399999999989</v>
      </c>
      <c r="CE297" s="22">
        <f t="shared" ref="CE297:CF297" si="2082">CE298+CE299</f>
        <v>0</v>
      </c>
      <c r="CF297" s="22">
        <f t="shared" si="2082"/>
        <v>4194.4000000000087</v>
      </c>
      <c r="CG297" s="22">
        <f t="shared" ref="CG297:CH297" si="2083">CG298+CG299</f>
        <v>7.2759576141834259E-12</v>
      </c>
      <c r="CH297" s="22">
        <f t="shared" si="2083"/>
        <v>4773.5199999999977</v>
      </c>
      <c r="CI297" s="22">
        <f t="shared" ref="CI297:CJ297" si="2084">CI298+CI299</f>
        <v>0</v>
      </c>
      <c r="CJ297" s="22">
        <f t="shared" si="2084"/>
        <v>7155.3299999999954</v>
      </c>
      <c r="CK297" s="22">
        <f t="shared" ref="CK297:DB297" si="2085">CK298+CK299</f>
        <v>0</v>
      </c>
      <c r="CL297" s="22">
        <f t="shared" si="2085"/>
        <v>7005.5299999999925</v>
      </c>
      <c r="CM297" s="21">
        <f t="shared" si="2085"/>
        <v>0</v>
      </c>
      <c r="CN297" s="21">
        <f t="shared" si="2085"/>
        <v>0</v>
      </c>
      <c r="CO297" s="21">
        <f t="shared" si="2085"/>
        <v>0</v>
      </c>
      <c r="CP297" s="21">
        <f t="shared" si="2085"/>
        <v>0</v>
      </c>
      <c r="CQ297" s="21">
        <f t="shared" si="2085"/>
        <v>0</v>
      </c>
      <c r="CR297" s="21">
        <f t="shared" si="2085"/>
        <v>0</v>
      </c>
      <c r="CS297" s="21">
        <f t="shared" si="2085"/>
        <v>0</v>
      </c>
      <c r="CT297" s="21">
        <f t="shared" si="2085"/>
        <v>0</v>
      </c>
      <c r="CU297" s="21">
        <f t="shared" si="2085"/>
        <v>0</v>
      </c>
      <c r="CV297" s="21">
        <f t="shared" si="2085"/>
        <v>0</v>
      </c>
      <c r="CW297" s="21">
        <f t="shared" si="2085"/>
        <v>0</v>
      </c>
      <c r="CX297" s="21">
        <f t="shared" si="2085"/>
        <v>0</v>
      </c>
      <c r="CY297" s="21">
        <f t="shared" si="2085"/>
        <v>0</v>
      </c>
      <c r="CZ297" s="21">
        <f t="shared" si="2085"/>
        <v>0</v>
      </c>
      <c r="DA297" s="21">
        <f t="shared" si="2085"/>
        <v>0</v>
      </c>
      <c r="DB297" s="21">
        <f t="shared" si="2085"/>
        <v>0</v>
      </c>
      <c r="DE297" s="126"/>
      <c r="DF297" s="22">
        <v>0</v>
      </c>
    </row>
    <row r="298" spans="1:110" s="23" customFormat="1" x14ac:dyDescent="0.2">
      <c r="A298" s="23" t="s">
        <v>49</v>
      </c>
      <c r="C298" s="23">
        <f t="shared" ref="C298:AA298" si="2086">C220-B220</f>
        <v>208.86442510000006</v>
      </c>
      <c r="D298" s="23">
        <f t="shared" si="2086"/>
        <v>-56.059999999999945</v>
      </c>
      <c r="E298" s="23">
        <f>E220-D220</f>
        <v>-656.40000000000009</v>
      </c>
      <c r="F298" s="23">
        <f t="shared" si="2086"/>
        <v>1661.48</v>
      </c>
      <c r="G298" s="23">
        <f t="shared" si="2086"/>
        <v>472.69999999999936</v>
      </c>
      <c r="H298" s="23">
        <f t="shared" si="2086"/>
        <v>949.97000000000116</v>
      </c>
      <c r="I298" s="23">
        <f t="shared" si="2086"/>
        <v>3981.7199999999993</v>
      </c>
      <c r="J298" s="23">
        <f>J220-I220</f>
        <v>5081.0200000000004</v>
      </c>
      <c r="K298" s="23">
        <f>K220-J220</f>
        <v>4304.489999999998</v>
      </c>
      <c r="L298" s="23">
        <f t="shared" si="2086"/>
        <v>6196.4700000000048</v>
      </c>
      <c r="M298" s="23">
        <f t="shared" si="2086"/>
        <v>10617.679999999997</v>
      </c>
      <c r="N298" s="23">
        <f t="shared" si="2086"/>
        <v>4022.4699999999939</v>
      </c>
      <c r="O298" s="23">
        <f t="shared" si="2086"/>
        <v>2290.2500000000073</v>
      </c>
      <c r="P298" s="23">
        <f t="shared" si="2086"/>
        <v>434.16000000000349</v>
      </c>
      <c r="Q298" s="23">
        <f t="shared" si="2086"/>
        <v>-1758.1100000000079</v>
      </c>
      <c r="R298" s="23">
        <f t="shared" si="2086"/>
        <v>9966.82</v>
      </c>
      <c r="S298" s="23">
        <f t="shared" si="2086"/>
        <v>-226.16999999999825</v>
      </c>
      <c r="T298" s="23">
        <f t="shared" si="2086"/>
        <v>-83.200000000004366</v>
      </c>
      <c r="U298" s="23">
        <f t="shared" si="2086"/>
        <v>-130.10999999999331</v>
      </c>
      <c r="V298" s="23">
        <f t="shared" si="2086"/>
        <v>-5205.2899999999936</v>
      </c>
      <c r="W298" s="23">
        <f t="shared" si="2086"/>
        <v>2919.3599999999933</v>
      </c>
      <c r="X298" s="23">
        <f t="shared" si="2086"/>
        <v>1384.4300000000003</v>
      </c>
      <c r="Y298" s="23">
        <f t="shared" si="2086"/>
        <v>505.37999999999738</v>
      </c>
      <c r="Z298" s="23">
        <f t="shared" si="2086"/>
        <v>8665.75</v>
      </c>
      <c r="AA298" s="23">
        <f t="shared" si="2086"/>
        <v>12976.839999999997</v>
      </c>
      <c r="AB298" s="24">
        <f t="shared" ref="AB298" si="2087">AB220-AA220</f>
        <v>-9.9999999947613105E-3</v>
      </c>
      <c r="AC298" s="24">
        <f t="shared" ref="AC298" si="2088">AC220-AB220</f>
        <v>0</v>
      </c>
      <c r="AD298" s="24">
        <f t="shared" ref="AD298" si="2089">AD220-AC220</f>
        <v>0</v>
      </c>
      <c r="AE298" s="24">
        <f t="shared" ref="AE298" si="2090">AE220-AD220</f>
        <v>0</v>
      </c>
      <c r="AI298" s="23">
        <f t="shared" ref="AI298" si="2091">AI220-AH220</f>
        <v>0</v>
      </c>
      <c r="AJ298" s="23">
        <f t="shared" ref="AJ298" si="2092">AJ220-AI220</f>
        <v>10744.63</v>
      </c>
      <c r="AK298" s="23">
        <f t="shared" ref="AK298" si="2093">AK220-AJ220</f>
        <v>0</v>
      </c>
      <c r="AL298" s="23">
        <f t="shared" ref="AL298" si="2094">AL220-AK220</f>
        <v>25901.89</v>
      </c>
      <c r="AM298" s="23">
        <f t="shared" ref="AM298" si="2095">AM220-AL220</f>
        <v>0</v>
      </c>
      <c r="AN298" s="23">
        <f t="shared" ref="AN298" si="2096">AN220-AM220</f>
        <v>2900.6399999999994</v>
      </c>
      <c r="AO298" s="23">
        <f t="shared" ref="AO298" si="2097">AO220-AN220</f>
        <v>0</v>
      </c>
      <c r="AP298" s="23">
        <f t="shared" ref="AP298" si="2098">AP220-AO220</f>
        <v>-2870.4399999999951</v>
      </c>
      <c r="AQ298" s="23">
        <f t="shared" ref="AQ298" si="2099">AQ220-AP220</f>
        <v>0</v>
      </c>
      <c r="AR298" s="23">
        <f t="shared" ref="AR298" si="2100">AR220-AQ220</f>
        <v>2379.8899999999994</v>
      </c>
      <c r="AS298" s="23">
        <f t="shared" ref="AS298" si="2101">AS220-AR220</f>
        <v>0</v>
      </c>
      <c r="AT298" s="23">
        <f t="shared" ref="AT298" si="2102">AT220-AS220</f>
        <v>-576.92000000000553</v>
      </c>
      <c r="AU298" s="23">
        <f t="shared" ref="AU298" si="2103">AU220-AT220</f>
        <v>0</v>
      </c>
      <c r="AV298" s="23">
        <f t="shared" ref="AV298" si="2104">AV220-AU220</f>
        <v>-2165.3899999999921</v>
      </c>
      <c r="AW298" s="23">
        <f t="shared" ref="AW298" si="2105">AW220-AV220</f>
        <v>0</v>
      </c>
      <c r="AX298" s="23">
        <f t="shared" ref="AX298" si="2106">AX220-AW220</f>
        <v>688.48999999999796</v>
      </c>
      <c r="AY298" s="23">
        <f t="shared" ref="AY298" si="2107">AY220-AX220</f>
        <v>0</v>
      </c>
      <c r="AZ298" s="23">
        <f t="shared" ref="AZ298" si="2108">AZ220-AY220</f>
        <v>5145.8799999999974</v>
      </c>
      <c r="BA298" s="23">
        <f t="shared" ref="BA298" si="2109">BA220-AZ220</f>
        <v>0</v>
      </c>
      <c r="BB298" s="23">
        <f t="shared" ref="BB298" si="2110">BB220-BA220</f>
        <v>-725.91999999999825</v>
      </c>
      <c r="BC298" s="23">
        <f t="shared" ref="BC298" si="2111">BC220-BB220</f>
        <v>0</v>
      </c>
      <c r="BD298" s="23">
        <f t="shared" ref="BD298" si="2112">BD220-BC220</f>
        <v>-1809.0400000000009</v>
      </c>
      <c r="BE298" s="23">
        <f t="shared" ref="BE298" si="2113">BE220-BD220</f>
        <v>0</v>
      </c>
      <c r="BF298" s="23">
        <f t="shared" ref="BF298" si="2114">BF220-BE220</f>
        <v>1569.8799999999974</v>
      </c>
      <c r="BG298" s="23">
        <f t="shared" ref="BG298" si="2115">BG220-BF220</f>
        <v>0</v>
      </c>
      <c r="BH298" s="23">
        <f t="shared" ref="BH298" si="2116">BH220-BG220</f>
        <v>3869.2400000000052</v>
      </c>
      <c r="BI298" s="23">
        <f t="shared" ref="BI298" si="2117">BI220-BH220</f>
        <v>0</v>
      </c>
      <c r="BJ298" s="23">
        <f t="shared" ref="BJ298" si="2118">BJ220-BI220</f>
        <v>-38.220000000001164</v>
      </c>
      <c r="BK298" s="23">
        <f t="shared" ref="BK298" si="2119">BK220-BJ220</f>
        <v>0</v>
      </c>
      <c r="BL298" s="23">
        <f t="shared" ref="BL298" si="2120">BL220-BK220</f>
        <v>-107.36000000000058</v>
      </c>
      <c r="BM298" s="23">
        <f t="shared" ref="BM298" si="2121">BM220-BL220</f>
        <v>0</v>
      </c>
      <c r="BN298" s="23">
        <f t="shared" ref="BN298" si="2122">BN220-BM220</f>
        <v>-367.75</v>
      </c>
      <c r="BO298" s="23">
        <f t="shared" ref="BO298" si="2123">BO220-BN220</f>
        <v>0</v>
      </c>
      <c r="BP298" s="23">
        <f t="shared" ref="BP298" si="2124">BP220-BO220</f>
        <v>-4056.7900000000009</v>
      </c>
      <c r="BQ298" s="23">
        <f t="shared" ref="BQ298" si="2125">BQ220-BP220</f>
        <v>0</v>
      </c>
      <c r="BR298" s="23">
        <f t="shared" ref="BR298" si="2126">BR220-BQ220</f>
        <v>2687.9300000000003</v>
      </c>
      <c r="BS298" s="23">
        <f t="shared" ref="BS298" si="2127">BS220-BR220</f>
        <v>0</v>
      </c>
      <c r="BT298" s="23">
        <f t="shared" ref="BT298" si="2128">BT220-BS220</f>
        <v>2341.3899999999994</v>
      </c>
      <c r="BU298" s="23">
        <f t="shared" ref="BU298" si="2129">BU220-BT220</f>
        <v>0</v>
      </c>
      <c r="BV298" s="23">
        <f t="shared" ref="BV298" si="2130">BV220-BU220</f>
        <v>2077.9700000000012</v>
      </c>
      <c r="BW298" s="23">
        <f t="shared" ref="BW298" si="2131">BW220-BV220</f>
        <v>0</v>
      </c>
      <c r="BX298" s="23">
        <f t="shared" ref="BX298" si="2132">BX220-BW220</f>
        <v>1945.3000000000029</v>
      </c>
      <c r="BY298" s="23">
        <f t="shared" ref="BY298" si="2133">BY220-BX220</f>
        <v>0</v>
      </c>
      <c r="BZ298" s="23">
        <f t="shared" ref="BZ298" si="2134">BZ220-BY220</f>
        <v>-560.87000000000262</v>
      </c>
      <c r="CA298" s="23">
        <f t="shared" ref="CA298" si="2135">CA220-BZ220</f>
        <v>0</v>
      </c>
      <c r="CB298" s="23">
        <f t="shared" ref="CB298" si="2136">CB220-CA220</f>
        <v>-616.34000000000378</v>
      </c>
      <c r="CC298" s="23">
        <f t="shared" ref="CC298" si="2137">CC220-CB220</f>
        <v>0</v>
      </c>
      <c r="CD298" s="23">
        <f t="shared" ref="CD298" si="2138">CD220-CC220</f>
        <v>1121.7200000000012</v>
      </c>
      <c r="CE298" s="23">
        <f t="shared" ref="CE298" si="2139">CE220-CD220</f>
        <v>0</v>
      </c>
      <c r="CF298" s="23">
        <f t="shared" ref="CF298" si="2140">CF220-CE220</f>
        <v>4511.8700000000026</v>
      </c>
      <c r="CG298" s="23">
        <f t="shared" ref="CG298" si="2141">CG220-CF220</f>
        <v>0</v>
      </c>
      <c r="CH298" s="23">
        <f t="shared" ref="CH298:CL298" si="2142">CH220-CG220</f>
        <v>4153.8799999999974</v>
      </c>
      <c r="CI298" s="23">
        <f t="shared" si="2142"/>
        <v>0</v>
      </c>
      <c r="CJ298" s="23">
        <f t="shared" si="2142"/>
        <v>6997.9400000000023</v>
      </c>
      <c r="CK298" s="23">
        <f t="shared" ref="CK298" si="2143">CK220-CJ220</f>
        <v>0</v>
      </c>
      <c r="CL298" s="23">
        <f t="shared" si="2142"/>
        <v>5978.8899999999994</v>
      </c>
      <c r="CM298" s="24">
        <f t="shared" ref="CM298" si="2144">CM220-CL220</f>
        <v>0</v>
      </c>
      <c r="CN298" s="24">
        <f t="shared" ref="CN298" si="2145">CN220-CM220</f>
        <v>0</v>
      </c>
      <c r="CO298" s="24">
        <f t="shared" ref="CO298" si="2146">CO220-CN220</f>
        <v>0</v>
      </c>
      <c r="CP298" s="24">
        <f t="shared" ref="CP298" si="2147">CP220-CO220</f>
        <v>0</v>
      </c>
      <c r="CQ298" s="24">
        <f t="shared" ref="CQ298" si="2148">CQ220-CP220</f>
        <v>0</v>
      </c>
      <c r="CR298" s="24">
        <f t="shared" ref="CR298" si="2149">CR220-CQ220</f>
        <v>0</v>
      </c>
      <c r="CS298" s="24">
        <f t="shared" ref="CS298" si="2150">CS220-CR220</f>
        <v>0</v>
      </c>
      <c r="CT298" s="24">
        <f t="shared" ref="CT298" si="2151">CT220-CS220</f>
        <v>0</v>
      </c>
      <c r="CU298" s="24">
        <f t="shared" ref="CU298" si="2152">CU220-CT220</f>
        <v>0</v>
      </c>
      <c r="CV298" s="24">
        <f t="shared" ref="CV298" si="2153">CV220-CU220</f>
        <v>0</v>
      </c>
      <c r="CW298" s="24">
        <f t="shared" ref="CW298" si="2154">CW220-CV220</f>
        <v>0</v>
      </c>
      <c r="CX298" s="24">
        <f t="shared" ref="CX298" si="2155">CX220-CW220</f>
        <v>0</v>
      </c>
      <c r="CY298" s="24">
        <f t="shared" ref="CY298" si="2156">CY220-CX220</f>
        <v>0</v>
      </c>
      <c r="CZ298" s="24">
        <f t="shared" ref="CZ298" si="2157">CZ220-CY220</f>
        <v>0</v>
      </c>
      <c r="DA298" s="24">
        <f t="shared" ref="DA298" si="2158">DA220-CZ220</f>
        <v>0</v>
      </c>
      <c r="DB298" s="24">
        <f t="shared" ref="DB298" si="2159">DB220-DA220</f>
        <v>0</v>
      </c>
      <c r="DE298" s="123"/>
      <c r="DF298" s="23">
        <v>0</v>
      </c>
    </row>
    <row r="299" spans="1:110" s="23" customFormat="1" x14ac:dyDescent="0.2">
      <c r="A299" s="23" t="s">
        <v>27</v>
      </c>
      <c r="C299" s="23">
        <f t="shared" ref="C299:AE299" si="2160">C212-C140-B212+C214-B214</f>
        <v>-120.08471479999997</v>
      </c>
      <c r="D299" s="23">
        <f t="shared" si="2160"/>
        <v>-146.97000000000008</v>
      </c>
      <c r="E299" s="23">
        <f t="shared" si="2160"/>
        <v>-180.3900000000007</v>
      </c>
      <c r="F299" s="23">
        <f t="shared" si="2160"/>
        <v>-374.40999999999985</v>
      </c>
      <c r="G299" s="23">
        <f t="shared" si="2160"/>
        <v>-75.56000000000094</v>
      </c>
      <c r="H299" s="23">
        <f t="shared" si="2160"/>
        <v>-175.16999999999905</v>
      </c>
      <c r="I299" s="23">
        <f t="shared" si="2160"/>
        <v>1822.6599999999989</v>
      </c>
      <c r="J299" s="23">
        <f t="shared" si="2160"/>
        <v>-62.480000000002065</v>
      </c>
      <c r="K299" s="23">
        <f t="shared" si="2160"/>
        <v>1243.5200000000023</v>
      </c>
      <c r="L299" s="23">
        <f t="shared" si="2160"/>
        <v>-136.18000000000507</v>
      </c>
      <c r="M299" s="23">
        <f t="shared" si="2160"/>
        <v>-47.700000000002774</v>
      </c>
      <c r="N299" s="23">
        <f t="shared" si="2160"/>
        <v>180.17000000000189</v>
      </c>
      <c r="O299" s="23">
        <f t="shared" si="2160"/>
        <v>533.9599999999964</v>
      </c>
      <c r="P299" s="23">
        <f t="shared" si="2160"/>
        <v>1969.2699999999963</v>
      </c>
      <c r="Q299" s="23">
        <f t="shared" si="2160"/>
        <v>-4090.490000000003</v>
      </c>
      <c r="R299" s="23">
        <f t="shared" si="2160"/>
        <v>803.80000000000427</v>
      </c>
      <c r="S299" s="23">
        <f t="shared" si="2160"/>
        <v>-576.67000000000485</v>
      </c>
      <c r="T299" s="23">
        <f t="shared" si="2160"/>
        <v>-299.19000000000869</v>
      </c>
      <c r="U299" s="23">
        <f t="shared" si="2160"/>
        <v>408.51000000000477</v>
      </c>
      <c r="V299" s="23">
        <f t="shared" si="2160"/>
        <v>2224.1200000000008</v>
      </c>
      <c r="W299" s="23">
        <f t="shared" si="2160"/>
        <v>537.44000000000369</v>
      </c>
      <c r="X299" s="23">
        <f t="shared" si="2160"/>
        <v>3915.22</v>
      </c>
      <c r="Y299" s="23">
        <f t="shared" si="2160"/>
        <v>432.40000000000418</v>
      </c>
      <c r="Z299" s="23">
        <f t="shared" si="2160"/>
        <v>302.27000000000498</v>
      </c>
      <c r="AA299" s="23">
        <f t="shared" si="2160"/>
        <v>1184.8400000000056</v>
      </c>
      <c r="AB299" s="24">
        <f t="shared" si="2160"/>
        <v>1.4551915228366852E-11</v>
      </c>
      <c r="AC299" s="24">
        <f t="shared" si="2160"/>
        <v>1.4551915228366852E-11</v>
      </c>
      <c r="AD299" s="24">
        <f t="shared" si="2160"/>
        <v>2.1827872842550278E-11</v>
      </c>
      <c r="AE299" s="24">
        <f t="shared" si="2160"/>
        <v>-1.4551915228366852E-11</v>
      </c>
      <c r="AI299" s="23">
        <f t="shared" ref="AI299:BN299" si="2161">AI212-AI140-AH212+AI214-AH214</f>
        <v>-145.9299999999995</v>
      </c>
      <c r="AJ299" s="23">
        <f t="shared" si="2161"/>
        <v>12485.150000000001</v>
      </c>
      <c r="AK299" s="23">
        <f t="shared" si="2161"/>
        <v>0</v>
      </c>
      <c r="AL299" s="23">
        <f t="shared" si="2161"/>
        <v>2146.6000000000017</v>
      </c>
      <c r="AM299" s="23">
        <f t="shared" si="2161"/>
        <v>0</v>
      </c>
      <c r="AN299" s="23">
        <f t="shared" si="2161"/>
        <v>852.19000000000051</v>
      </c>
      <c r="AO299" s="23">
        <f t="shared" si="2161"/>
        <v>0</v>
      </c>
      <c r="AP299" s="23">
        <f t="shared" si="2161"/>
        <v>-318.22999999999502</v>
      </c>
      <c r="AQ299" s="23">
        <f t="shared" si="2161"/>
        <v>0</v>
      </c>
      <c r="AR299" s="23">
        <f t="shared" si="2161"/>
        <v>546.35999999999876</v>
      </c>
      <c r="AS299" s="23">
        <f t="shared" si="2161"/>
        <v>0</v>
      </c>
      <c r="AT299" s="23">
        <f t="shared" si="2161"/>
        <v>1422.9099999999994</v>
      </c>
      <c r="AU299" s="23">
        <f t="shared" si="2161"/>
        <v>0</v>
      </c>
      <c r="AV299" s="23">
        <f t="shared" si="2161"/>
        <v>491.03999999999905</v>
      </c>
      <c r="AW299" s="23">
        <f t="shared" si="2161"/>
        <v>0</v>
      </c>
      <c r="AX299" s="23">
        <f t="shared" si="2161"/>
        <v>-3081.53</v>
      </c>
      <c r="AY299" s="23">
        <f t="shared" si="2161"/>
        <v>0</v>
      </c>
      <c r="AZ299" s="23">
        <f t="shared" si="2161"/>
        <v>2863.3100000000009</v>
      </c>
      <c r="BA299" s="23">
        <f t="shared" si="2161"/>
        <v>0</v>
      </c>
      <c r="BB299" s="23">
        <f t="shared" si="2161"/>
        <v>-2039.52</v>
      </c>
      <c r="BC299" s="23">
        <f t="shared" si="2161"/>
        <v>0</v>
      </c>
      <c r="BD299" s="23">
        <f t="shared" si="2161"/>
        <v>-732.99999999999932</v>
      </c>
      <c r="BE299" s="23">
        <f t="shared" si="2161"/>
        <v>0</v>
      </c>
      <c r="BF299" s="23">
        <f t="shared" si="2161"/>
        <v>156.32999999999447</v>
      </c>
      <c r="BG299" s="23">
        <f t="shared" si="2161"/>
        <v>3.637978807091713E-12</v>
      </c>
      <c r="BH299" s="23">
        <f t="shared" si="2161"/>
        <v>170.67999999999847</v>
      </c>
      <c r="BI299" s="23">
        <f t="shared" si="2161"/>
        <v>0</v>
      </c>
      <c r="BJ299" s="23">
        <f t="shared" si="2161"/>
        <v>-384.05000000000018</v>
      </c>
      <c r="BK299" s="23">
        <f t="shared" si="2161"/>
        <v>0</v>
      </c>
      <c r="BL299" s="23">
        <f t="shared" si="2161"/>
        <v>-411.15999999999667</v>
      </c>
      <c r="BM299" s="23">
        <f t="shared" si="2161"/>
        <v>0</v>
      </c>
      <c r="BN299" s="23">
        <f t="shared" si="2161"/>
        <v>819.67000000000144</v>
      </c>
      <c r="BO299" s="23">
        <f t="shared" ref="BO299:CT299" si="2162">BO212-BO140-BN212+BO214-BN214</f>
        <v>0</v>
      </c>
      <c r="BP299" s="23">
        <f t="shared" si="2162"/>
        <v>1912.0900000000056</v>
      </c>
      <c r="BQ299" s="23">
        <f t="shared" si="2162"/>
        <v>0</v>
      </c>
      <c r="BR299" s="23">
        <f t="shared" si="2162"/>
        <v>312.03000000000247</v>
      </c>
      <c r="BS299" s="23">
        <f t="shared" si="2162"/>
        <v>0</v>
      </c>
      <c r="BT299" s="23">
        <f t="shared" si="2162"/>
        <v>-1636.7599999999989</v>
      </c>
      <c r="BU299" s="23">
        <f t="shared" si="2162"/>
        <v>0</v>
      </c>
      <c r="BV299" s="23">
        <f t="shared" si="2162"/>
        <v>674.20000000000255</v>
      </c>
      <c r="BW299" s="23">
        <f t="shared" si="2162"/>
        <v>0</v>
      </c>
      <c r="BX299" s="23">
        <f t="shared" si="2162"/>
        <v>2238.8900000000026</v>
      </c>
      <c r="BY299" s="23">
        <f t="shared" si="2162"/>
        <v>0</v>
      </c>
      <c r="BZ299" s="23">
        <f t="shared" si="2162"/>
        <v>2600.3299999999972</v>
      </c>
      <c r="CA299" s="23">
        <f t="shared" si="2162"/>
        <v>0</v>
      </c>
      <c r="CB299" s="23">
        <f t="shared" si="2162"/>
        <v>-238.1100000000024</v>
      </c>
      <c r="CC299" s="23">
        <f t="shared" si="2162"/>
        <v>0</v>
      </c>
      <c r="CD299" s="23">
        <f t="shared" si="2162"/>
        <v>670.51999999999771</v>
      </c>
      <c r="CE299" s="23">
        <f t="shared" si="2162"/>
        <v>0</v>
      </c>
      <c r="CF299" s="23">
        <f t="shared" si="2162"/>
        <v>-317.46999999999389</v>
      </c>
      <c r="CG299" s="23">
        <f t="shared" si="2162"/>
        <v>7.2759576141834259E-12</v>
      </c>
      <c r="CH299" s="23">
        <f t="shared" si="2162"/>
        <v>619.64000000000033</v>
      </c>
      <c r="CI299" s="23">
        <f t="shared" si="2162"/>
        <v>0</v>
      </c>
      <c r="CJ299" s="23">
        <f t="shared" si="2162"/>
        <v>157.38999999999305</v>
      </c>
      <c r="CK299" s="23">
        <f t="shared" si="2162"/>
        <v>0</v>
      </c>
      <c r="CL299" s="23">
        <f t="shared" si="2162"/>
        <v>1026.6399999999931</v>
      </c>
      <c r="CM299" s="24">
        <f t="shared" si="2162"/>
        <v>0</v>
      </c>
      <c r="CN299" s="24">
        <f t="shared" si="2162"/>
        <v>0</v>
      </c>
      <c r="CO299" s="24">
        <f t="shared" si="2162"/>
        <v>0</v>
      </c>
      <c r="CP299" s="24">
        <f t="shared" si="2162"/>
        <v>0</v>
      </c>
      <c r="CQ299" s="24">
        <f t="shared" si="2162"/>
        <v>0</v>
      </c>
      <c r="CR299" s="24">
        <f t="shared" si="2162"/>
        <v>0</v>
      </c>
      <c r="CS299" s="24">
        <f t="shared" si="2162"/>
        <v>0</v>
      </c>
      <c r="CT299" s="24">
        <f t="shared" si="2162"/>
        <v>0</v>
      </c>
      <c r="CU299" s="24">
        <f t="shared" ref="CU299:DB299" si="2163">CU212-CU140-CT212+CU214-CT214</f>
        <v>0</v>
      </c>
      <c r="CV299" s="24">
        <f t="shared" si="2163"/>
        <v>0</v>
      </c>
      <c r="CW299" s="24">
        <f t="shared" si="2163"/>
        <v>0</v>
      </c>
      <c r="CX299" s="24">
        <f t="shared" si="2163"/>
        <v>0</v>
      </c>
      <c r="CY299" s="24">
        <f t="shared" si="2163"/>
        <v>0</v>
      </c>
      <c r="CZ299" s="24">
        <f t="shared" si="2163"/>
        <v>0</v>
      </c>
      <c r="DA299" s="24">
        <f t="shared" si="2163"/>
        <v>0</v>
      </c>
      <c r="DB299" s="24">
        <f t="shared" si="2163"/>
        <v>0</v>
      </c>
      <c r="DE299" s="123"/>
      <c r="DF299" s="23">
        <v>0</v>
      </c>
    </row>
    <row r="300" spans="1:110" s="23" customFormat="1" x14ac:dyDescent="0.2">
      <c r="AB300" s="24"/>
      <c r="AC300" s="24"/>
      <c r="AD300" s="24"/>
      <c r="AE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E300" s="123"/>
    </row>
    <row r="301" spans="1:110" s="23" customFormat="1" x14ac:dyDescent="0.2">
      <c r="A301" s="23" t="s">
        <v>442</v>
      </c>
      <c r="C301" s="23">
        <f t="shared" ref="C301" si="2164">B253</f>
        <v>1059.9367788</v>
      </c>
      <c r="D301" s="23">
        <f t="shared" ref="D301" si="2165">C253</f>
        <v>531.63</v>
      </c>
      <c r="E301" s="23">
        <f>D253</f>
        <v>242.62</v>
      </c>
      <c r="F301" s="23">
        <f t="shared" ref="F301" si="2166">E253</f>
        <v>248.82</v>
      </c>
      <c r="G301" s="23">
        <f t="shared" ref="G301" si="2167">F253</f>
        <v>2050.0500000000002</v>
      </c>
      <c r="H301" s="23">
        <f t="shared" ref="H301" si="2168">G253</f>
        <v>1655.26</v>
      </c>
      <c r="I301" s="23">
        <f t="shared" ref="I301" si="2169">H253</f>
        <v>1838.0900000000001</v>
      </c>
      <c r="J301" s="23">
        <f>I253</f>
        <v>740.68</v>
      </c>
      <c r="K301" s="23">
        <f>J253</f>
        <v>1731.1</v>
      </c>
      <c r="L301" s="23">
        <f t="shared" ref="L301" si="2170">K253</f>
        <v>2679.83</v>
      </c>
      <c r="M301" s="23">
        <f t="shared" ref="M301" si="2171">L253</f>
        <v>2438.3700000000003</v>
      </c>
      <c r="N301" s="23">
        <f t="shared" ref="N301" si="2172">M253</f>
        <v>4471.6000000000004</v>
      </c>
      <c r="O301" s="23">
        <f t="shared" ref="O301" si="2173">N253</f>
        <v>2467.29</v>
      </c>
      <c r="P301" s="23">
        <f t="shared" ref="P301" si="2174">O253</f>
        <v>1895.55</v>
      </c>
      <c r="Q301" s="23">
        <f t="shared" ref="Q301" si="2175">P253</f>
        <v>2089.02</v>
      </c>
      <c r="R301" s="23">
        <f t="shared" ref="R301" si="2176">Q253</f>
        <v>999.1099999999999</v>
      </c>
      <c r="S301" s="23">
        <f t="shared" ref="S301" si="2177">R253</f>
        <v>2052.08</v>
      </c>
      <c r="T301" s="23">
        <f t="shared" ref="T301" si="2178">S253</f>
        <v>1621.94</v>
      </c>
      <c r="U301" s="23">
        <f t="shared" ref="U301" si="2179">T253</f>
        <v>954.43000000000006</v>
      </c>
      <c r="V301" s="23">
        <f t="shared" ref="V301" si="2180">U253</f>
        <v>2793.6899999999996</v>
      </c>
      <c r="W301" s="23">
        <f t="shared" ref="W301:AA301" si="2181">V253</f>
        <v>6370.21</v>
      </c>
      <c r="X301" s="23">
        <f t="shared" si="2181"/>
        <v>7051.2199999999993</v>
      </c>
      <c r="Y301" s="23">
        <f t="shared" si="2181"/>
        <v>12356.130000000001</v>
      </c>
      <c r="Z301" s="23">
        <f t="shared" si="2181"/>
        <v>10629.8</v>
      </c>
      <c r="AA301" s="23">
        <f t="shared" si="2181"/>
        <v>13053.4</v>
      </c>
      <c r="AB301" s="24">
        <f t="shared" ref="AB301" si="2182">AA253</f>
        <v>15000.119999999999</v>
      </c>
      <c r="AC301" s="24">
        <f t="shared" ref="AC301" si="2183">AB253</f>
        <v>8864.4914078723887</v>
      </c>
      <c r="AD301" s="24">
        <f t="shared" ref="AD301" si="2184">AC253</f>
        <v>6376.7104266201814</v>
      </c>
      <c r="AE301" s="24">
        <f t="shared" ref="AE301" si="2185">AD253</f>
        <v>9968.1349592557472</v>
      </c>
      <c r="AI301" s="23">
        <f t="shared" ref="AI301" si="2186">AH253</f>
        <v>0</v>
      </c>
      <c r="AJ301" s="23">
        <f t="shared" ref="AJ301" si="2187">AI253</f>
        <v>0</v>
      </c>
      <c r="AK301" s="23">
        <f t="shared" ref="AK301" si="2188">AJ253</f>
        <v>453.42</v>
      </c>
      <c r="AL301" s="23">
        <f t="shared" ref="AL301" si="2189">AK253</f>
        <v>-268.6482939620285</v>
      </c>
      <c r="AM301" s="23">
        <f t="shared" ref="AM301" si="2190">AL253</f>
        <v>2467.29</v>
      </c>
      <c r="AN301" s="23">
        <f t="shared" ref="AN301" si="2191">AM253</f>
        <v>2349.7609965059301</v>
      </c>
      <c r="AO301" s="23">
        <f t="shared" ref="AO301" si="2192">AN253</f>
        <v>2181.02</v>
      </c>
      <c r="AP301" s="23">
        <f t="shared" ref="AP301" si="2193">AO253</f>
        <v>2179.8703508167432</v>
      </c>
      <c r="AQ301" s="23">
        <f t="shared" ref="AQ301" si="2194">AP253</f>
        <v>1895.55</v>
      </c>
      <c r="AR301" s="23">
        <f t="shared" ref="AR301" si="2195">AQ253</f>
        <v>1860.1810226122641</v>
      </c>
      <c r="AS301" s="23">
        <f t="shared" ref="AS301" si="2196">AR253</f>
        <v>2470.3999999999996</v>
      </c>
      <c r="AT301" s="23">
        <f t="shared" ref="AT301" si="2197">AS253</f>
        <v>2684.5952423112808</v>
      </c>
      <c r="AU301" s="23">
        <f t="shared" ref="AU301" si="2198">AT253</f>
        <v>2089.02</v>
      </c>
      <c r="AV301" s="23">
        <f t="shared" ref="AV301" si="2199">AU253</f>
        <v>2638.0725892175133</v>
      </c>
      <c r="AW301" s="23">
        <f t="shared" ref="AW301" si="2200">AV253</f>
        <v>1411.44</v>
      </c>
      <c r="AX301" s="23">
        <f t="shared" ref="AX301" si="2201">AW253</f>
        <v>1949.6001193139336</v>
      </c>
      <c r="AY301" s="23">
        <f t="shared" ref="AY301" si="2202">AX253</f>
        <v>999.1099999999999</v>
      </c>
      <c r="AZ301" s="23">
        <f t="shared" ref="AZ301" si="2203">AY253</f>
        <v>1159.9732658055782</v>
      </c>
      <c r="BA301" s="23">
        <f t="shared" ref="BA301" si="2204">AZ253</f>
        <v>1646.04</v>
      </c>
      <c r="BB301" s="23">
        <f t="shared" ref="BB301" si="2205">BA253</f>
        <v>2453.2001427434739</v>
      </c>
      <c r="BC301" s="23">
        <f t="shared" ref="BC301" si="2206">BB253</f>
        <v>2052.08</v>
      </c>
      <c r="BD301" s="23">
        <f t="shared" ref="BD301" si="2207">BC253</f>
        <v>2487.1088722727545</v>
      </c>
      <c r="BE301" s="23">
        <f t="shared" ref="BE301" si="2208">BD253</f>
        <v>1520.88</v>
      </c>
      <c r="BF301" s="23">
        <f t="shared" ref="BF301" si="2209">BE253</f>
        <v>2260.7259863391355</v>
      </c>
      <c r="BG301" s="23">
        <f t="shared" ref="BG301" si="2210">BF253</f>
        <v>1621.94</v>
      </c>
      <c r="BH301" s="23">
        <f t="shared" ref="BH301" si="2211">BG253</f>
        <v>3298.1305146246855</v>
      </c>
      <c r="BI301" s="23">
        <f t="shared" ref="BI301" si="2212">BH253</f>
        <v>1252.1500000000001</v>
      </c>
      <c r="BJ301" s="23">
        <f t="shared" ref="BJ301" si="2213">BI253</f>
        <v>1221.6437976530615</v>
      </c>
      <c r="BK301" s="23">
        <f t="shared" ref="BK301" si="2214">BJ253</f>
        <v>954.43000000000006</v>
      </c>
      <c r="BL301" s="23">
        <f t="shared" ref="BL301" si="2215">BK253</f>
        <v>1003.1801887731954</v>
      </c>
      <c r="BM301" s="23">
        <f t="shared" ref="BM301" si="2216">BL253</f>
        <v>1990.89</v>
      </c>
      <c r="BN301" s="23">
        <f t="shared" ref="BN301" si="2217">BM253</f>
        <v>2394.4647400303747</v>
      </c>
      <c r="BO301" s="23">
        <f t="shared" ref="BO301" si="2218">BN253</f>
        <v>2793.6899999999996</v>
      </c>
      <c r="BP301" s="23">
        <f t="shared" ref="BP301" si="2219">BO253</f>
        <v>3048.858258261851</v>
      </c>
      <c r="BQ301" s="23">
        <f t="shared" ref="BQ301" si="2220">BP253</f>
        <v>6066.75</v>
      </c>
      <c r="BR301" s="23">
        <f t="shared" ref="BR301" si="2221">BQ253</f>
        <v>6476.1188048459553</v>
      </c>
      <c r="BS301" s="23">
        <f t="shared" ref="BS301" si="2222">BR253</f>
        <v>6370.21</v>
      </c>
      <c r="BT301" s="23">
        <f t="shared" ref="BT301" si="2223">BS253</f>
        <v>6760.8120557582133</v>
      </c>
      <c r="BU301" s="23">
        <f t="shared" ref="BU301" si="2224">BT253</f>
        <v>4817.16</v>
      </c>
      <c r="BV301" s="23">
        <f t="shared" ref="BV301" si="2225">BU253</f>
        <v>4905.7853491358974</v>
      </c>
      <c r="BW301" s="23">
        <f t="shared" ref="BW301" si="2226">BV253</f>
        <v>7051.2199999999993</v>
      </c>
      <c r="BX301" s="23">
        <f t="shared" ref="BX301" si="2227">BW253</f>
        <v>7413.9257955377734</v>
      </c>
      <c r="BY301" s="23">
        <f t="shared" ref="BY301" si="2228">BX253</f>
        <v>8251.42</v>
      </c>
      <c r="BZ301" s="23">
        <f t="shared" ref="BZ301" si="2229">BY253</f>
        <v>9157.5970679195343</v>
      </c>
      <c r="CA301" s="23">
        <f t="shared" ref="CA301" si="2230">BZ253</f>
        <v>12356.130000000001</v>
      </c>
      <c r="CB301" s="23">
        <f t="shared" ref="CB301" si="2231">CA253</f>
        <v>12011.416483455596</v>
      </c>
      <c r="CC301" s="23">
        <f t="shared" ref="CC301" si="2232">CB253</f>
        <v>10773.46</v>
      </c>
      <c r="CD301" s="23">
        <f t="shared" ref="CD301" si="2233">CC253</f>
        <v>12035.281801057699</v>
      </c>
      <c r="CE301" s="23">
        <f t="shared" ref="CE301" si="2234">CD253</f>
        <v>10629.8</v>
      </c>
      <c r="CF301" s="23">
        <f t="shared" ref="CF301" si="2235">CE253</f>
        <v>11089.716438752077</v>
      </c>
      <c r="CG301" s="23">
        <f t="shared" ref="CG301" si="2236">CF253</f>
        <v>9655.92</v>
      </c>
      <c r="CH301" s="23">
        <f t="shared" ref="CH301:CL301" si="2237">CG253</f>
        <v>10729.013268701659</v>
      </c>
      <c r="CI301" s="23">
        <f t="shared" si="2237"/>
        <v>13053.4</v>
      </c>
      <c r="CJ301" s="23">
        <f t="shared" si="2237"/>
        <v>16087.104875619158</v>
      </c>
      <c r="CK301" s="23">
        <f t="shared" ref="CK301" si="2238">CJ253</f>
        <v>11142.67</v>
      </c>
      <c r="CL301" s="23">
        <f t="shared" si="2237"/>
        <v>9903.2131025847084</v>
      </c>
      <c r="CM301" s="24">
        <f t="shared" ref="CM301" si="2239">CL253</f>
        <v>15000.119999999999</v>
      </c>
      <c r="CN301" s="24">
        <f t="shared" ref="CN301" si="2240">CM253</f>
        <v>13758.165332485931</v>
      </c>
      <c r="CO301" s="24">
        <f t="shared" ref="CO301" si="2241">CN253</f>
        <v>12541.551784488265</v>
      </c>
      <c r="CP301" s="24">
        <f t="shared" ref="CP301" si="2242">CO253</f>
        <v>10836.411220675644</v>
      </c>
      <c r="CQ301" s="24">
        <f t="shared" ref="CQ301" si="2243">CP253</f>
        <v>8864.4914078723887</v>
      </c>
      <c r="CR301" s="24">
        <f t="shared" ref="CR301" si="2244">CQ253</f>
        <v>8060.8750424453028</v>
      </c>
      <c r="CS301" s="24">
        <f t="shared" ref="CS301" si="2245">CR253</f>
        <v>7182.7070762508738</v>
      </c>
      <c r="CT301" s="24">
        <f t="shared" ref="CT301" si="2246">CS253</f>
        <v>7456.9920554669998</v>
      </c>
      <c r="CU301" s="24">
        <f t="shared" ref="CU301" si="2247">CT253</f>
        <v>6376.7104266201814</v>
      </c>
      <c r="CV301" s="24">
        <f t="shared" ref="CV301" si="2248">CU253</f>
        <v>6729.3791985553671</v>
      </c>
      <c r="CW301" s="24">
        <f t="shared" ref="CW301" si="2249">CV253</f>
        <v>7281.9888764524821</v>
      </c>
      <c r="CX301" s="24">
        <f t="shared" ref="CX301" si="2250">CW253</f>
        <v>9481.9981679672019</v>
      </c>
      <c r="CY301" s="24">
        <f t="shared" ref="CY301" si="2251">CX253</f>
        <v>9968.1349592557472</v>
      </c>
      <c r="CZ301" s="24">
        <f t="shared" ref="CZ301" si="2252">CY253</f>
        <v>10525.607711866553</v>
      </c>
      <c r="DA301" s="24">
        <f t="shared" ref="DA301" si="2253">CZ253</f>
        <v>11345.868776183393</v>
      </c>
      <c r="DB301" s="24">
        <f t="shared" ref="DB301" si="2254">DA253</f>
        <v>13930.222921918405</v>
      </c>
      <c r="DE301" s="123"/>
      <c r="DF301" s="23">
        <v>9903.2131025847084</v>
      </c>
    </row>
    <row r="302" spans="1:110" s="23" customFormat="1" x14ac:dyDescent="0.2">
      <c r="A302" s="23" t="s">
        <v>443</v>
      </c>
      <c r="C302" s="23">
        <f t="shared" ref="C302:W302" si="2255">C301+C297+C293+C291</f>
        <v>531.63000000000068</v>
      </c>
      <c r="D302" s="23">
        <f t="shared" si="2255"/>
        <v>242.61999999999944</v>
      </c>
      <c r="E302" s="23">
        <f t="shared" si="2255"/>
        <v>248.81999999999994</v>
      </c>
      <c r="F302" s="23">
        <f t="shared" si="2255"/>
        <v>2050.0500000000011</v>
      </c>
      <c r="G302" s="23">
        <f t="shared" si="2255"/>
        <v>1655.2599999999982</v>
      </c>
      <c r="H302" s="23">
        <f t="shared" si="2255"/>
        <v>1838.0900000000011</v>
      </c>
      <c r="I302" s="23">
        <f t="shared" si="2255"/>
        <v>740.68000000000097</v>
      </c>
      <c r="J302" s="23">
        <f>J301+J297+J293+J291</f>
        <v>1731.1000000000031</v>
      </c>
      <c r="K302" s="23">
        <f>K301+K297+K293+K291</f>
        <v>2679.8299999999981</v>
      </c>
      <c r="L302" s="23">
        <f>L301+L297+L293+L291</f>
        <v>2438.3700000000026</v>
      </c>
      <c r="M302" s="23">
        <f>M301+M297+M293+M291</f>
        <v>4471.5999999999922</v>
      </c>
      <c r="N302" s="23">
        <f t="shared" si="2255"/>
        <v>2467.2900000000022</v>
      </c>
      <c r="O302" s="23">
        <f t="shared" si="2255"/>
        <v>1895.5500000000025</v>
      </c>
      <c r="P302" s="23">
        <f t="shared" si="2255"/>
        <v>2089.0199999999854</v>
      </c>
      <c r="Q302" s="23">
        <f t="shared" si="2255"/>
        <v>999.10999999998921</v>
      </c>
      <c r="R302" s="23">
        <f t="shared" si="2255"/>
        <v>2052.0799999999981</v>
      </c>
      <c r="S302" s="23">
        <f t="shared" si="2255"/>
        <v>1621.9400000000153</v>
      </c>
      <c r="T302" s="23">
        <f t="shared" si="2255"/>
        <v>954.43000000000347</v>
      </c>
      <c r="U302" s="23">
        <f t="shared" si="2255"/>
        <v>2793.6900000000142</v>
      </c>
      <c r="V302" s="23">
        <f t="shared" si="2255"/>
        <v>6370.2100000000073</v>
      </c>
      <c r="W302" s="23">
        <f t="shared" si="2255"/>
        <v>7051.2199999999903</v>
      </c>
      <c r="X302" s="23">
        <f t="shared" ref="X302:Y302" si="2256">X301+X297+X293+X291</f>
        <v>12356.129999999985</v>
      </c>
      <c r="Y302" s="23">
        <f t="shared" si="2256"/>
        <v>10629.800000000008</v>
      </c>
      <c r="Z302" s="23">
        <f t="shared" ref="Z302:AA302" si="2257">Z301+Z297+Z293+Z291</f>
        <v>13053.400000000009</v>
      </c>
      <c r="AA302" s="23">
        <f t="shared" si="2257"/>
        <v>15000.11999999999</v>
      </c>
      <c r="AB302" s="24">
        <f t="shared" ref="AA302:AD302" si="2258">AB301+AB297+AB293+AB291</f>
        <v>8864.4914078723777</v>
      </c>
      <c r="AC302" s="24">
        <f t="shared" si="2258"/>
        <v>6376.7104266201823</v>
      </c>
      <c r="AD302" s="24">
        <f t="shared" si="2258"/>
        <v>9968.134959255749</v>
      </c>
      <c r="AE302" s="24">
        <f t="shared" ref="AE302" si="2259">AE301+AE297+AE293+AE291</f>
        <v>14681.547522519248</v>
      </c>
      <c r="AI302" s="23">
        <f t="shared" ref="AI302" si="2260">AI301+AI297+AI293+AI291</f>
        <v>0</v>
      </c>
      <c r="AJ302" s="23">
        <f t="shared" ref="AJ302:AL302" si="2261">AJ301+AJ297+AJ293+AJ291</f>
        <v>453.41999999999734</v>
      </c>
      <c r="AK302" s="23">
        <f t="shared" si="2261"/>
        <v>-268.6482939620285</v>
      </c>
      <c r="AL302" s="23">
        <f t="shared" si="2261"/>
        <v>2467.2899999999954</v>
      </c>
      <c r="AM302" s="23">
        <f t="shared" ref="AM302" si="2262">AM301+AM297+AM293+AM291</f>
        <v>2349.7609965059301</v>
      </c>
      <c r="AN302" s="23">
        <f t="shared" ref="AN302:CD302" si="2263">AN301+AN297+AN293+AN291</f>
        <v>2181.0199999999995</v>
      </c>
      <c r="AO302" s="23">
        <f t="shared" si="2263"/>
        <v>2179.8703508167432</v>
      </c>
      <c r="AP302" s="23">
        <f t="shared" si="2263"/>
        <v>1895.5499999999906</v>
      </c>
      <c r="AQ302" s="23">
        <f t="shared" si="2263"/>
        <v>1860.1810226122641</v>
      </c>
      <c r="AR302" s="23">
        <f t="shared" si="2263"/>
        <v>2470.4000000000019</v>
      </c>
      <c r="AS302" s="23">
        <f t="shared" si="2263"/>
        <v>2684.5952423112808</v>
      </c>
      <c r="AT302" s="23">
        <f t="shared" si="2263"/>
        <v>2089.020000000005</v>
      </c>
      <c r="AU302" s="23">
        <f t="shared" si="2263"/>
        <v>2638.0725892175133</v>
      </c>
      <c r="AV302" s="23">
        <f t="shared" si="2263"/>
        <v>1411.4399999999973</v>
      </c>
      <c r="AW302" s="23">
        <f t="shared" si="2263"/>
        <v>1949.6001193139336</v>
      </c>
      <c r="AX302" s="23">
        <f t="shared" si="2263"/>
        <v>999.10999999999831</v>
      </c>
      <c r="AY302" s="23">
        <f t="shared" si="2263"/>
        <v>1159.9732658055782</v>
      </c>
      <c r="AZ302" s="23">
        <f t="shared" si="2263"/>
        <v>1646.0400000000036</v>
      </c>
      <c r="BA302" s="23">
        <f t="shared" si="2263"/>
        <v>2453.2001427434739</v>
      </c>
      <c r="BB302" s="23">
        <f t="shared" si="2263"/>
        <v>2052.0800000000072</v>
      </c>
      <c r="BC302" s="23">
        <f t="shared" si="2263"/>
        <v>2487.1088722727545</v>
      </c>
      <c r="BD302" s="23">
        <f t="shared" si="2263"/>
        <v>1520.8799999999947</v>
      </c>
      <c r="BE302" s="23">
        <f t="shared" si="2263"/>
        <v>2260.7259863391355</v>
      </c>
      <c r="BF302" s="23">
        <f t="shared" si="2263"/>
        <v>1621.9399999999855</v>
      </c>
      <c r="BG302" s="23">
        <f t="shared" si="2263"/>
        <v>3298.1305146246855</v>
      </c>
      <c r="BH302" s="23">
        <f t="shared" si="2263"/>
        <v>1252.1500000000092</v>
      </c>
      <c r="BI302" s="23">
        <f t="shared" si="2263"/>
        <v>1221.6437976530615</v>
      </c>
      <c r="BJ302" s="23">
        <f t="shared" si="2263"/>
        <v>954.43000000000814</v>
      </c>
      <c r="BK302" s="23">
        <f t="shared" si="2263"/>
        <v>1003.1801887731954</v>
      </c>
      <c r="BL302" s="23">
        <f t="shared" si="2263"/>
        <v>1990.8899999999926</v>
      </c>
      <c r="BM302" s="23">
        <f t="shared" si="2263"/>
        <v>2394.4647400303747</v>
      </c>
      <c r="BN302" s="23">
        <f t="shared" si="2263"/>
        <v>2793.689999999996</v>
      </c>
      <c r="BO302" s="23">
        <f t="shared" si="2263"/>
        <v>3048.858258261851</v>
      </c>
      <c r="BP302" s="23">
        <f t="shared" si="2263"/>
        <v>6066.7600000000111</v>
      </c>
      <c r="BQ302" s="23">
        <f t="shared" si="2263"/>
        <v>6476.1188048459553</v>
      </c>
      <c r="BR302" s="23">
        <f t="shared" si="2263"/>
        <v>6370.2000000000062</v>
      </c>
      <c r="BS302" s="23">
        <f t="shared" si="2263"/>
        <v>6760.8120557582133</v>
      </c>
      <c r="BT302" s="23">
        <f t="shared" si="2263"/>
        <v>4817.16</v>
      </c>
      <c r="BU302" s="23">
        <f t="shared" si="2263"/>
        <v>4905.7853491358974</v>
      </c>
      <c r="BV302" s="23">
        <f t="shared" si="2263"/>
        <v>7051.220000000013</v>
      </c>
      <c r="BW302" s="23">
        <f t="shared" si="2263"/>
        <v>7413.9257955377734</v>
      </c>
      <c r="BX302" s="23">
        <f t="shared" si="2263"/>
        <v>8251.4200000000037</v>
      </c>
      <c r="BY302" s="23">
        <f t="shared" si="2263"/>
        <v>9157.5970679195343</v>
      </c>
      <c r="BZ302" s="23">
        <f t="shared" si="2263"/>
        <v>12356.129999999979</v>
      </c>
      <c r="CA302" s="23">
        <f t="shared" si="2263"/>
        <v>12011.416483455596</v>
      </c>
      <c r="CB302" s="23">
        <f t="shared" si="2263"/>
        <v>10773.46</v>
      </c>
      <c r="CC302" s="23">
        <f t="shared" si="2263"/>
        <v>12035.281801057699</v>
      </c>
      <c r="CD302" s="23">
        <f t="shared" si="2263"/>
        <v>10629.799999999992</v>
      </c>
      <c r="CE302" s="23">
        <f t="shared" ref="CE302:CF302" si="2264">CE301+CE297+CE293+CE291</f>
        <v>11089.716438752077</v>
      </c>
      <c r="CF302" s="23">
        <f t="shared" si="2264"/>
        <v>9655.9200000000055</v>
      </c>
      <c r="CG302" s="23">
        <f t="shared" ref="CG302:CH302" si="2265">CG301+CG297+CG293+CG291</f>
        <v>10729.013268701659</v>
      </c>
      <c r="CH302" s="23">
        <f t="shared" si="2265"/>
        <v>13053.40000000002</v>
      </c>
      <c r="CI302" s="23">
        <f t="shared" ref="CI302:CJ302" si="2266">CI301+CI297+CI293+CI291</f>
        <v>16087.104875619158</v>
      </c>
      <c r="CJ302" s="23">
        <f t="shared" si="2266"/>
        <v>11142.669999999975</v>
      </c>
      <c r="CK302" s="23">
        <f t="shared" ref="CK302:DB302" si="2267">CK301+CK297+CK293+CK291</f>
        <v>9903.2131025847084</v>
      </c>
      <c r="CL302" s="23">
        <f t="shared" si="2267"/>
        <v>15000.120000000006</v>
      </c>
      <c r="CM302" s="24">
        <f t="shared" si="2267"/>
        <v>13758.165332485931</v>
      </c>
      <c r="CN302" s="24">
        <f t="shared" si="2267"/>
        <v>12541.551784488265</v>
      </c>
      <c r="CO302" s="24">
        <f t="shared" si="2267"/>
        <v>10836.411220675644</v>
      </c>
      <c r="CP302" s="24">
        <f t="shared" si="2267"/>
        <v>8864.4914078723887</v>
      </c>
      <c r="CQ302" s="24">
        <f t="shared" si="2267"/>
        <v>8060.8750424453028</v>
      </c>
      <c r="CR302" s="24">
        <f t="shared" si="2267"/>
        <v>7182.7070762508738</v>
      </c>
      <c r="CS302" s="24">
        <f t="shared" si="2267"/>
        <v>7456.9920554669998</v>
      </c>
      <c r="CT302" s="24">
        <f t="shared" si="2267"/>
        <v>6376.7104266201814</v>
      </c>
      <c r="CU302" s="24">
        <f t="shared" si="2267"/>
        <v>6729.3791985553671</v>
      </c>
      <c r="CV302" s="24">
        <f t="shared" si="2267"/>
        <v>7281.9888764524821</v>
      </c>
      <c r="CW302" s="24">
        <f t="shared" si="2267"/>
        <v>9481.9981679672019</v>
      </c>
      <c r="CX302" s="24">
        <f t="shared" si="2267"/>
        <v>9968.1349592557472</v>
      </c>
      <c r="CY302" s="24">
        <f t="shared" si="2267"/>
        <v>10525.607711866553</v>
      </c>
      <c r="CZ302" s="24">
        <f t="shared" si="2267"/>
        <v>11345.868776183393</v>
      </c>
      <c r="DA302" s="24">
        <f t="shared" si="2267"/>
        <v>13930.222921918405</v>
      </c>
      <c r="DB302" s="24">
        <f t="shared" si="2267"/>
        <v>14681.547522519266</v>
      </c>
      <c r="DE302" s="123"/>
      <c r="DF302" s="23">
        <v>1935.2885559882925</v>
      </c>
    </row>
    <row r="303" spans="1:110" s="28" customFormat="1" x14ac:dyDescent="0.2">
      <c r="A303" s="28" t="s">
        <v>444</v>
      </c>
      <c r="C303" s="28">
        <f t="shared" ref="C303:W303" si="2268">C302-C253</f>
        <v>0</v>
      </c>
      <c r="D303" s="28">
        <f t="shared" si="2268"/>
        <v>-5.6843418860808015E-13</v>
      </c>
      <c r="E303" s="28">
        <f t="shared" si="2268"/>
        <v>0</v>
      </c>
      <c r="F303" s="28">
        <f t="shared" si="2268"/>
        <v>0</v>
      </c>
      <c r="G303" s="28">
        <f t="shared" si="2268"/>
        <v>-1.8189894035458565E-12</v>
      </c>
      <c r="H303" s="28">
        <f t="shared" si="2268"/>
        <v>0</v>
      </c>
      <c r="I303" s="28">
        <f t="shared" si="2268"/>
        <v>1.0231815394945443E-12</v>
      </c>
      <c r="J303" s="28">
        <f>J302-J253</f>
        <v>3.1832314562052488E-12</v>
      </c>
      <c r="K303" s="28">
        <f t="shared" si="2268"/>
        <v>0</v>
      </c>
      <c r="L303" s="28">
        <f t="shared" si="2268"/>
        <v>0</v>
      </c>
      <c r="M303" s="28">
        <f t="shared" si="2268"/>
        <v>-8.1854523159563541E-12</v>
      </c>
      <c r="N303" s="28">
        <f t="shared" si="2268"/>
        <v>0</v>
      </c>
      <c r="O303" s="28">
        <f t="shared" si="2268"/>
        <v>2.5011104298755527E-12</v>
      </c>
      <c r="P303" s="28">
        <f t="shared" si="2268"/>
        <v>-1.4551915228366852E-11</v>
      </c>
      <c r="Q303" s="28">
        <f t="shared" si="2268"/>
        <v>-1.0686562745831907E-11</v>
      </c>
      <c r="R303" s="28">
        <f t="shared" si="2268"/>
        <v>0</v>
      </c>
      <c r="S303" s="28">
        <f t="shared" si="2268"/>
        <v>1.5234036254696548E-11</v>
      </c>
      <c r="T303" s="28">
        <f t="shared" si="2268"/>
        <v>3.4106051316484809E-12</v>
      </c>
      <c r="U303" s="28">
        <f t="shared" si="2268"/>
        <v>1.4551915228366852E-11</v>
      </c>
      <c r="V303" s="28">
        <f t="shared" si="2268"/>
        <v>7.2759576141834259E-12</v>
      </c>
      <c r="W303" s="28">
        <f t="shared" si="2268"/>
        <v>-9.0949470177292824E-12</v>
      </c>
      <c r="X303" s="28">
        <f t="shared" ref="X303:Y303" si="2269">X302-X253</f>
        <v>-1.6370904631912708E-11</v>
      </c>
      <c r="Y303" s="28">
        <f t="shared" si="2269"/>
        <v>0</v>
      </c>
      <c r="Z303" s="28">
        <f t="shared" ref="Z303:AA303" si="2270">Z302-Z253</f>
        <v>0</v>
      </c>
      <c r="AA303" s="28">
        <f t="shared" si="2270"/>
        <v>0</v>
      </c>
      <c r="AB303" s="30">
        <f t="shared" ref="AA303:AD303" si="2271">AB302-AB253</f>
        <v>0</v>
      </c>
      <c r="AC303" s="30">
        <f t="shared" si="2271"/>
        <v>0</v>
      </c>
      <c r="AD303" s="30">
        <f t="shared" si="2271"/>
        <v>0</v>
      </c>
      <c r="AE303" s="30">
        <f t="shared" ref="AE303" si="2272">AE302-AE253</f>
        <v>-1.8189894035458565E-11</v>
      </c>
      <c r="AI303" s="28">
        <f t="shared" ref="AI303" si="2273">AI302-AI253</f>
        <v>0</v>
      </c>
      <c r="AJ303" s="28">
        <f t="shared" ref="AJ303:AL303" si="2274">AJ302-AJ253</f>
        <v>-2.6716406864579767E-12</v>
      </c>
      <c r="AK303" s="28">
        <f t="shared" si="2274"/>
        <v>0</v>
      </c>
      <c r="AL303" s="28">
        <f t="shared" si="2274"/>
        <v>-4.5474735088646412E-12</v>
      </c>
      <c r="AM303" s="28">
        <f t="shared" ref="AM303" si="2275">AM302-AM253</f>
        <v>0</v>
      </c>
      <c r="AN303" s="28">
        <f t="shared" ref="AN303:CD303" si="2276">AN302-AN253</f>
        <v>0</v>
      </c>
      <c r="AO303" s="28">
        <f t="shared" si="2276"/>
        <v>0</v>
      </c>
      <c r="AP303" s="28">
        <f t="shared" si="2276"/>
        <v>-9.3223206931725144E-12</v>
      </c>
      <c r="AQ303" s="28">
        <f t="shared" si="2276"/>
        <v>0</v>
      </c>
      <c r="AR303" s="28">
        <f t="shared" si="2276"/>
        <v>0</v>
      </c>
      <c r="AS303" s="28">
        <f t="shared" si="2276"/>
        <v>0</v>
      </c>
      <c r="AT303" s="28">
        <f t="shared" si="2276"/>
        <v>5.0022208597511053E-12</v>
      </c>
      <c r="AU303" s="28">
        <f t="shared" si="2276"/>
        <v>0</v>
      </c>
      <c r="AV303" s="28">
        <f t="shared" si="2276"/>
        <v>-2.7284841053187847E-12</v>
      </c>
      <c r="AW303" s="28">
        <f t="shared" si="2276"/>
        <v>0</v>
      </c>
      <c r="AX303" s="28">
        <f t="shared" si="2276"/>
        <v>-1.5916157281026244E-12</v>
      </c>
      <c r="AY303" s="28">
        <f t="shared" si="2276"/>
        <v>0</v>
      </c>
      <c r="AZ303" s="28">
        <f t="shared" si="2276"/>
        <v>3.637978807091713E-12</v>
      </c>
      <c r="BA303" s="28">
        <f t="shared" si="2276"/>
        <v>0</v>
      </c>
      <c r="BB303" s="28">
        <f t="shared" si="2276"/>
        <v>7.2759576141834259E-12</v>
      </c>
      <c r="BC303" s="28">
        <f t="shared" si="2276"/>
        <v>0</v>
      </c>
      <c r="BD303" s="28">
        <f t="shared" si="2276"/>
        <v>-5.4569682106375694E-12</v>
      </c>
      <c r="BE303" s="28">
        <f t="shared" si="2276"/>
        <v>0</v>
      </c>
      <c r="BF303" s="28">
        <f t="shared" si="2276"/>
        <v>-1.4551915228366852E-11</v>
      </c>
      <c r="BG303" s="28">
        <f t="shared" si="2276"/>
        <v>0</v>
      </c>
      <c r="BH303" s="28">
        <f t="shared" si="2276"/>
        <v>9.0949470177292824E-12</v>
      </c>
      <c r="BI303" s="28">
        <f t="shared" si="2276"/>
        <v>0</v>
      </c>
      <c r="BJ303" s="28">
        <f t="shared" si="2276"/>
        <v>8.0717654782347381E-12</v>
      </c>
      <c r="BK303" s="28">
        <f t="shared" si="2276"/>
        <v>0</v>
      </c>
      <c r="BL303" s="28">
        <f t="shared" si="2276"/>
        <v>-7.503331289626658E-12</v>
      </c>
      <c r="BM303" s="28">
        <f t="shared" si="2276"/>
        <v>0</v>
      </c>
      <c r="BN303" s="28">
        <f t="shared" si="2276"/>
        <v>-3.637978807091713E-12</v>
      </c>
      <c r="BO303" s="28">
        <f t="shared" si="2276"/>
        <v>0</v>
      </c>
      <c r="BP303" s="28">
        <f t="shared" si="2276"/>
        <v>1.0000000011132215E-2</v>
      </c>
      <c r="BQ303" s="28">
        <f t="shared" si="2276"/>
        <v>0</v>
      </c>
      <c r="BR303" s="28">
        <f t="shared" si="2276"/>
        <v>-9.9999999938518158E-3</v>
      </c>
      <c r="BS303" s="28">
        <f t="shared" si="2276"/>
        <v>0</v>
      </c>
      <c r="BT303" s="28">
        <f t="shared" si="2276"/>
        <v>0</v>
      </c>
      <c r="BU303" s="28">
        <f t="shared" si="2276"/>
        <v>0</v>
      </c>
      <c r="BV303" s="28">
        <f t="shared" si="2276"/>
        <v>1.3642420526593924E-11</v>
      </c>
      <c r="BW303" s="28">
        <f t="shared" si="2276"/>
        <v>0</v>
      </c>
      <c r="BX303" s="28">
        <f t="shared" si="2276"/>
        <v>0</v>
      </c>
      <c r="BY303" s="28">
        <f t="shared" si="2276"/>
        <v>0</v>
      </c>
      <c r="BZ303" s="28">
        <f t="shared" si="2276"/>
        <v>-2.1827872842550278E-11</v>
      </c>
      <c r="CA303" s="28">
        <f t="shared" si="2276"/>
        <v>0</v>
      </c>
      <c r="CB303" s="28">
        <f t="shared" si="2276"/>
        <v>0</v>
      </c>
      <c r="CC303" s="28">
        <f t="shared" si="2276"/>
        <v>0</v>
      </c>
      <c r="CD303" s="28">
        <f t="shared" si="2276"/>
        <v>0</v>
      </c>
      <c r="CE303" s="28">
        <f t="shared" ref="CE303:CF303" si="2277">CE302-CE253</f>
        <v>0</v>
      </c>
      <c r="CF303" s="28">
        <f t="shared" si="2277"/>
        <v>0</v>
      </c>
      <c r="CG303" s="28">
        <f t="shared" ref="CG303:CH303" si="2278">CG302-CG253</f>
        <v>0</v>
      </c>
      <c r="CH303" s="28">
        <f t="shared" si="2278"/>
        <v>2.0008883439004421E-11</v>
      </c>
      <c r="CI303" s="28">
        <f t="shared" ref="CI303:CJ303" si="2279">CI302-CI253</f>
        <v>0</v>
      </c>
      <c r="CJ303" s="28">
        <f t="shared" si="2279"/>
        <v>-2.5465851649641991E-11</v>
      </c>
      <c r="CK303" s="28">
        <f t="shared" ref="CK303:DB303" si="2280">CK302-CK253</f>
        <v>0</v>
      </c>
      <c r="CL303" s="28">
        <f t="shared" si="2280"/>
        <v>0</v>
      </c>
      <c r="CM303" s="30">
        <f t="shared" si="2280"/>
        <v>0</v>
      </c>
      <c r="CN303" s="30">
        <f t="shared" si="2280"/>
        <v>0</v>
      </c>
      <c r="CO303" s="30">
        <f t="shared" si="2280"/>
        <v>0</v>
      </c>
      <c r="CP303" s="30">
        <f t="shared" si="2280"/>
        <v>0</v>
      </c>
      <c r="CQ303" s="30">
        <f t="shared" si="2280"/>
        <v>0</v>
      </c>
      <c r="CR303" s="30">
        <f t="shared" si="2280"/>
        <v>0</v>
      </c>
      <c r="CS303" s="30">
        <f t="shared" si="2280"/>
        <v>0</v>
      </c>
      <c r="CT303" s="30">
        <f t="shared" si="2280"/>
        <v>0</v>
      </c>
      <c r="CU303" s="30">
        <f t="shared" si="2280"/>
        <v>0</v>
      </c>
      <c r="CV303" s="30">
        <f t="shared" si="2280"/>
        <v>0</v>
      </c>
      <c r="CW303" s="30">
        <f t="shared" si="2280"/>
        <v>0</v>
      </c>
      <c r="CX303" s="30">
        <f t="shared" si="2280"/>
        <v>0</v>
      </c>
      <c r="CY303" s="30">
        <f t="shared" si="2280"/>
        <v>0</v>
      </c>
      <c r="CZ303" s="30">
        <f t="shared" si="2280"/>
        <v>0</v>
      </c>
      <c r="DA303" s="30">
        <f t="shared" si="2280"/>
        <v>0</v>
      </c>
      <c r="DB303" s="30">
        <f t="shared" si="2280"/>
        <v>0</v>
      </c>
      <c r="DE303" s="139"/>
      <c r="DF303" s="28">
        <v>0</v>
      </c>
    </row>
    <row r="304" spans="1:110" s="23" customFormat="1" x14ac:dyDescent="0.2">
      <c r="AB304" s="24"/>
      <c r="AC304" s="24"/>
      <c r="AD304" s="24"/>
      <c r="AE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E304" s="123"/>
    </row>
    <row r="305" spans="1:110" s="22" customFormat="1" x14ac:dyDescent="0.2">
      <c r="A305" s="22" t="s">
        <v>96</v>
      </c>
      <c r="C305" s="22">
        <f t="shared" ref="C305:W305" si="2281">C291+C293</f>
        <v>-617.08648909999931</v>
      </c>
      <c r="D305" s="22">
        <f t="shared" si="2281"/>
        <v>-85.980000000000473</v>
      </c>
      <c r="E305" s="22">
        <f t="shared" si="2281"/>
        <v>842.99000000000069</v>
      </c>
      <c r="F305" s="22">
        <f t="shared" si="2281"/>
        <v>514.16000000000099</v>
      </c>
      <c r="G305" s="22">
        <f t="shared" si="2281"/>
        <v>-791.93000000000052</v>
      </c>
      <c r="H305" s="22">
        <f t="shared" si="2281"/>
        <v>-591.97000000000105</v>
      </c>
      <c r="I305" s="22">
        <f t="shared" si="2281"/>
        <v>-6901.7899999999972</v>
      </c>
      <c r="J305" s="22">
        <f>J291+J293</f>
        <v>-4028.1199999999953</v>
      </c>
      <c r="K305" s="22">
        <f t="shared" si="2281"/>
        <v>-4599.2800000000025</v>
      </c>
      <c r="L305" s="22">
        <f t="shared" si="2281"/>
        <v>-6301.7499999999964</v>
      </c>
      <c r="M305" s="22">
        <f t="shared" si="2281"/>
        <v>-8536.7500000000018</v>
      </c>
      <c r="N305" s="22">
        <f t="shared" si="2281"/>
        <v>-6206.9499999999935</v>
      </c>
      <c r="O305" s="22">
        <f t="shared" si="2281"/>
        <v>-3395.9500000000012</v>
      </c>
      <c r="P305" s="22">
        <f t="shared" si="2281"/>
        <v>-2209.9600000000141</v>
      </c>
      <c r="Q305" s="22">
        <f t="shared" si="2281"/>
        <v>4758.6900000000005</v>
      </c>
      <c r="R305" s="22">
        <f t="shared" si="2281"/>
        <v>-9717.6500000000069</v>
      </c>
      <c r="S305" s="22">
        <f t="shared" si="2281"/>
        <v>372.70000000001846</v>
      </c>
      <c r="T305" s="22">
        <f t="shared" si="2281"/>
        <v>-285.11999999998352</v>
      </c>
      <c r="U305" s="22">
        <f t="shared" si="2281"/>
        <v>1560.8600000000024</v>
      </c>
      <c r="V305" s="22">
        <f t="shared" si="2281"/>
        <v>6557.6900000000005</v>
      </c>
      <c r="W305" s="22">
        <f t="shared" si="2281"/>
        <v>-2775.7900000000063</v>
      </c>
      <c r="X305" s="22">
        <f t="shared" ref="X305:Y305" si="2282">X291+X293</f>
        <v>5.2599999999856664</v>
      </c>
      <c r="Y305" s="22">
        <f t="shared" si="2282"/>
        <v>-2664.1099999999951</v>
      </c>
      <c r="Z305" s="22">
        <f t="shared" ref="Z305:AA305" si="2283">Z291+Z293</f>
        <v>-6544.4199999999946</v>
      </c>
      <c r="AA305" s="22">
        <f t="shared" si="2283"/>
        <v>-12214.960000000012</v>
      </c>
      <c r="AB305" s="21">
        <f t="shared" ref="AA305:AD305" si="2284">AB291+AB293</f>
        <v>-6135.618592127641</v>
      </c>
      <c r="AC305" s="21">
        <f t="shared" si="2284"/>
        <v>-2487.780981252221</v>
      </c>
      <c r="AD305" s="21">
        <f t="shared" si="2284"/>
        <v>3591.4245326355449</v>
      </c>
      <c r="AE305" s="21">
        <f t="shared" ref="AE305" si="2285">AE291+AE293</f>
        <v>4713.412563263515</v>
      </c>
      <c r="AI305" s="22">
        <f t="shared" ref="AI305" si="2286">AI291+AI293</f>
        <v>145.9299999999995</v>
      </c>
      <c r="AJ305" s="22">
        <f t="shared" ref="AJ305:AL305" si="2287">AJ291+AJ293</f>
        <v>-22776.36</v>
      </c>
      <c r="AK305" s="22">
        <f t="shared" si="2287"/>
        <v>-722.06829396202852</v>
      </c>
      <c r="AL305" s="22">
        <f t="shared" si="2287"/>
        <v>-25312.551706037979</v>
      </c>
      <c r="AM305" s="22">
        <f t="shared" ref="AM305" si="2288">AM291+AM293</f>
        <v>-117.52900349406991</v>
      </c>
      <c r="AN305" s="22">
        <f t="shared" ref="AN305:CD305" si="2289">AN291+AN293</f>
        <v>-3921.5709965059305</v>
      </c>
      <c r="AO305" s="22">
        <f t="shared" si="2289"/>
        <v>-1.1496491832567699</v>
      </c>
      <c r="AP305" s="22">
        <f t="shared" si="2289"/>
        <v>2904.3496491832375</v>
      </c>
      <c r="AQ305" s="22">
        <f t="shared" si="2289"/>
        <v>-35.368977387735868</v>
      </c>
      <c r="AR305" s="22">
        <f t="shared" si="2289"/>
        <v>-2316.0310226122606</v>
      </c>
      <c r="AS305" s="22">
        <f t="shared" si="2289"/>
        <v>214.19524231128105</v>
      </c>
      <c r="AT305" s="22">
        <f t="shared" si="2289"/>
        <v>-1441.5652423112695</v>
      </c>
      <c r="AU305" s="22">
        <f t="shared" si="2289"/>
        <v>549.05258921751351</v>
      </c>
      <c r="AV305" s="22">
        <f t="shared" si="2289"/>
        <v>447.71741078247715</v>
      </c>
      <c r="AW305" s="22">
        <f t="shared" si="2289"/>
        <v>538.16011931393359</v>
      </c>
      <c r="AX305" s="22">
        <f t="shared" si="2289"/>
        <v>1442.5498806860669</v>
      </c>
      <c r="AY305" s="22">
        <f t="shared" si="2289"/>
        <v>160.86326580557829</v>
      </c>
      <c r="AZ305" s="22">
        <f t="shared" si="2289"/>
        <v>-7523.1232658055733</v>
      </c>
      <c r="BA305" s="22">
        <f t="shared" si="2289"/>
        <v>807.1601427434739</v>
      </c>
      <c r="BB305" s="22">
        <f t="shared" si="2289"/>
        <v>2364.3198572565316</v>
      </c>
      <c r="BC305" s="22">
        <f t="shared" si="2289"/>
        <v>435.0288722727546</v>
      </c>
      <c r="BD305" s="22">
        <f t="shared" si="2289"/>
        <v>1575.8111277272401</v>
      </c>
      <c r="BE305" s="22">
        <f t="shared" si="2289"/>
        <v>739.84598633913538</v>
      </c>
      <c r="BF305" s="22">
        <f t="shared" si="2289"/>
        <v>-2364.9959863391418</v>
      </c>
      <c r="BG305" s="22">
        <f t="shared" si="2289"/>
        <v>1676.1905146246818</v>
      </c>
      <c r="BH305" s="22">
        <f t="shared" si="2289"/>
        <v>-6085.90051462468</v>
      </c>
      <c r="BI305" s="22">
        <f t="shared" si="2289"/>
        <v>-30.506202346938608</v>
      </c>
      <c r="BJ305" s="22">
        <f t="shared" si="2289"/>
        <v>155.056202346948</v>
      </c>
      <c r="BK305" s="22">
        <f t="shared" si="2289"/>
        <v>48.750188773195305</v>
      </c>
      <c r="BL305" s="22">
        <f t="shared" si="2289"/>
        <v>1506.2298112267945</v>
      </c>
      <c r="BM305" s="22">
        <f t="shared" si="2289"/>
        <v>403.57474003037441</v>
      </c>
      <c r="BN305" s="22">
        <f t="shared" si="2289"/>
        <v>-52.694740030380217</v>
      </c>
      <c r="BO305" s="22">
        <f t="shared" si="2289"/>
        <v>255.16825826185163</v>
      </c>
      <c r="BP305" s="22">
        <f t="shared" si="2289"/>
        <v>5162.6017417381554</v>
      </c>
      <c r="BQ305" s="22">
        <f t="shared" si="2289"/>
        <v>409.36880484595486</v>
      </c>
      <c r="BR305" s="22">
        <f t="shared" si="2289"/>
        <v>-3105.8788048459519</v>
      </c>
      <c r="BS305" s="22">
        <f t="shared" si="2289"/>
        <v>390.60205575821328</v>
      </c>
      <c r="BT305" s="22">
        <f t="shared" si="2289"/>
        <v>-2648.2820557582145</v>
      </c>
      <c r="BU305" s="22">
        <f t="shared" si="2289"/>
        <v>88.625349135897523</v>
      </c>
      <c r="BV305" s="22">
        <f t="shared" si="2289"/>
        <v>-606.7353491358881</v>
      </c>
      <c r="BW305" s="22">
        <f t="shared" si="2289"/>
        <v>362.70579553777384</v>
      </c>
      <c r="BX305" s="22">
        <f t="shared" si="2289"/>
        <v>-3346.6957955377743</v>
      </c>
      <c r="BY305" s="22">
        <f t="shared" si="2289"/>
        <v>906.17706791953447</v>
      </c>
      <c r="BZ305" s="22">
        <f t="shared" si="2289"/>
        <v>1159.0729320804494</v>
      </c>
      <c r="CA305" s="22">
        <f t="shared" si="2289"/>
        <v>-344.71351654440423</v>
      </c>
      <c r="CB305" s="22">
        <f t="shared" si="2289"/>
        <v>-383.50648345559102</v>
      </c>
      <c r="CC305" s="22">
        <f t="shared" si="2289"/>
        <v>1261.8218010576993</v>
      </c>
      <c r="CD305" s="22">
        <f t="shared" si="2289"/>
        <v>-3197.7218010577053</v>
      </c>
      <c r="CE305" s="22">
        <f t="shared" ref="CE305:CF305" si="2290">CE291+CE293</f>
        <v>459.91643875207774</v>
      </c>
      <c r="CF305" s="22">
        <f t="shared" si="2290"/>
        <v>-5628.1964387520802</v>
      </c>
      <c r="CG305" s="22">
        <f t="shared" ref="CG305:CH305" si="2291">CG291+CG293</f>
        <v>1073.0932687016521</v>
      </c>
      <c r="CH305" s="22">
        <f t="shared" si="2291"/>
        <v>-2449.1332687016366</v>
      </c>
      <c r="CI305" s="22">
        <f t="shared" ref="CI305:CJ305" si="2292">CI291+CI293</f>
        <v>3033.704875619158</v>
      </c>
      <c r="CJ305" s="22">
        <f t="shared" si="2292"/>
        <v>-12099.764875619179</v>
      </c>
      <c r="CK305" s="22">
        <f t="shared" ref="CK305:DB305" si="2293">CK291+CK293</f>
        <v>-1239.456897415291</v>
      </c>
      <c r="CL305" s="22">
        <f t="shared" si="2293"/>
        <v>-1908.6231025846937</v>
      </c>
      <c r="CM305" s="21">
        <f t="shared" si="2293"/>
        <v>-1241.9546675140682</v>
      </c>
      <c r="CN305" s="21">
        <f t="shared" si="2293"/>
        <v>-1216.613547997666</v>
      </c>
      <c r="CO305" s="21">
        <f t="shared" si="2293"/>
        <v>-1705.1405638126225</v>
      </c>
      <c r="CP305" s="21">
        <f t="shared" si="2293"/>
        <v>-1971.9198128032549</v>
      </c>
      <c r="CQ305" s="21">
        <f t="shared" si="2293"/>
        <v>-803.61636542708629</v>
      </c>
      <c r="CR305" s="21">
        <f t="shared" si="2293"/>
        <v>-878.16796619442903</v>
      </c>
      <c r="CS305" s="21">
        <f t="shared" si="2293"/>
        <v>274.28497921612598</v>
      </c>
      <c r="CT305" s="21">
        <f t="shared" si="2293"/>
        <v>-1080.2816288468184</v>
      </c>
      <c r="CU305" s="21">
        <f t="shared" si="2293"/>
        <v>352.66877193518621</v>
      </c>
      <c r="CV305" s="21">
        <f t="shared" si="2293"/>
        <v>552.60967789711503</v>
      </c>
      <c r="CW305" s="21">
        <f t="shared" si="2293"/>
        <v>2200.0092915147197</v>
      </c>
      <c r="CX305" s="21">
        <f t="shared" si="2293"/>
        <v>486.13679128854528</v>
      </c>
      <c r="CY305" s="21">
        <f t="shared" si="2293"/>
        <v>557.4727526108054</v>
      </c>
      <c r="CZ305" s="21">
        <f t="shared" si="2293"/>
        <v>820.26106431684047</v>
      </c>
      <c r="DA305" s="21">
        <f t="shared" si="2293"/>
        <v>2584.3541457350102</v>
      </c>
      <c r="DB305" s="21">
        <f t="shared" si="2293"/>
        <v>751.32460060086123</v>
      </c>
      <c r="DE305" s="126"/>
      <c r="DF305" s="22">
        <v>-7967.9245465964159</v>
      </c>
    </row>
    <row r="306" spans="1:110" x14ac:dyDescent="0.2">
      <c r="A306" s="152" t="s">
        <v>496</v>
      </c>
      <c r="AA306" s="2"/>
      <c r="CL306" s="2"/>
    </row>
    <row r="307" spans="1:110" x14ac:dyDescent="0.2">
      <c r="AA307" s="2"/>
      <c r="CL307" s="2"/>
    </row>
    <row r="308" spans="1:110" s="7" customFormat="1" hidden="1" outlineLevel="1" x14ac:dyDescent="0.2">
      <c r="A308" s="61" t="s">
        <v>97</v>
      </c>
      <c r="AB308" s="77"/>
      <c r="AC308" s="77"/>
      <c r="AD308" s="77"/>
      <c r="AE308" s="77"/>
      <c r="CM308" s="50"/>
      <c r="CN308" s="50"/>
      <c r="CO308" s="50"/>
      <c r="CP308" s="50"/>
      <c r="CQ308" s="50"/>
      <c r="CR308" s="50"/>
      <c r="CS308" s="50"/>
      <c r="CT308" s="50"/>
      <c r="CU308" s="50"/>
      <c r="CV308" s="50"/>
      <c r="CW308" s="50"/>
      <c r="CX308" s="50"/>
      <c r="CY308" s="50"/>
      <c r="CZ308" s="50"/>
      <c r="DA308" s="50"/>
      <c r="DB308" s="50"/>
      <c r="DE308" s="138"/>
    </row>
    <row r="309" spans="1:110" s="62" customFormat="1" hidden="1" outlineLevel="1" x14ac:dyDescent="0.2">
      <c r="A309" s="62" t="s">
        <v>98</v>
      </c>
      <c r="AB309" s="63"/>
      <c r="AC309" s="63"/>
      <c r="AD309" s="63"/>
      <c r="AE309" s="63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E309" s="139"/>
    </row>
    <row r="310" spans="1:110" s="62" customFormat="1" hidden="1" outlineLevel="1" x14ac:dyDescent="0.2">
      <c r="A310" s="62" t="s">
        <v>99</v>
      </c>
      <c r="AB310" s="63"/>
      <c r="AC310" s="63"/>
      <c r="AD310" s="63"/>
      <c r="AE310" s="63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E310" s="139"/>
    </row>
    <row r="311" spans="1:110" s="62" customFormat="1" hidden="1" outlineLevel="1" x14ac:dyDescent="0.2">
      <c r="A311" s="62" t="s">
        <v>100</v>
      </c>
      <c r="AB311" s="63"/>
      <c r="AC311" s="63"/>
      <c r="AD311" s="63"/>
      <c r="AE311" s="63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E311" s="139"/>
    </row>
    <row r="312" spans="1:110" s="62" customFormat="1" hidden="1" outlineLevel="1" x14ac:dyDescent="0.2">
      <c r="AB312" s="63"/>
      <c r="AC312" s="63"/>
      <c r="AD312" s="63"/>
      <c r="AE312" s="63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E312" s="139"/>
    </row>
    <row r="313" spans="1:110" s="62" customFormat="1" hidden="1" outlineLevel="1" x14ac:dyDescent="0.2">
      <c r="AB313" s="63"/>
      <c r="AC313" s="63"/>
      <c r="AD313" s="63"/>
      <c r="AE313" s="63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E313" s="139"/>
    </row>
    <row r="314" spans="1:110" s="62" customFormat="1" hidden="1" outlineLevel="1" x14ac:dyDescent="0.2">
      <c r="AB314" s="63"/>
      <c r="AC314" s="63"/>
      <c r="AD314" s="63"/>
      <c r="AE314" s="63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E314" s="139"/>
    </row>
    <row r="315" spans="1:110" s="11" customFormat="1" collapsed="1" x14ac:dyDescent="0.2">
      <c r="AB315" s="63"/>
      <c r="AC315" s="63"/>
      <c r="AD315" s="63"/>
      <c r="AE315" s="63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E315" s="139"/>
    </row>
    <row r="316" spans="1:110" s="83" customFormat="1" x14ac:dyDescent="0.2">
      <c r="A316" s="82" t="s">
        <v>101</v>
      </c>
      <c r="AB316" s="72"/>
      <c r="AC316" s="72"/>
      <c r="AD316" s="72"/>
      <c r="AE316" s="72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E316" s="139"/>
    </row>
    <row r="317" spans="1:110" s="66" customFormat="1" x14ac:dyDescent="0.2">
      <c r="A317" s="66" t="s">
        <v>471</v>
      </c>
      <c r="AB317" s="50"/>
      <c r="AC317" s="50"/>
      <c r="AD317" s="50"/>
      <c r="AE317" s="50"/>
      <c r="AL317" s="66">
        <f t="shared" ref="AL317:BQ317" si="2294">SUM(AI101:AL101)</f>
        <v>32837.789999999994</v>
      </c>
      <c r="AM317" s="66">
        <f t="shared" si="2294"/>
        <v>34675.86</v>
      </c>
      <c r="AN317" s="66">
        <f t="shared" si="2294"/>
        <v>35417.89</v>
      </c>
      <c r="AO317" s="66">
        <f t="shared" si="2294"/>
        <v>35004.94</v>
      </c>
      <c r="AP317" s="66">
        <f t="shared" si="2294"/>
        <v>34899.040000000001</v>
      </c>
      <c r="AQ317" s="66">
        <f t="shared" si="2294"/>
        <v>34423.089999999997</v>
      </c>
      <c r="AR317" s="66">
        <f t="shared" si="2294"/>
        <v>34476.119999999995</v>
      </c>
      <c r="AS317" s="66">
        <f t="shared" si="2294"/>
        <v>34464.19</v>
      </c>
      <c r="AT317" s="66">
        <f t="shared" si="2294"/>
        <v>33370.950000000004</v>
      </c>
      <c r="AU317" s="66">
        <f t="shared" si="2294"/>
        <v>31812.799999999996</v>
      </c>
      <c r="AV317" s="66">
        <f t="shared" si="2294"/>
        <v>30756.1</v>
      </c>
      <c r="AW317" s="66">
        <f t="shared" si="2294"/>
        <v>29427.279999999999</v>
      </c>
      <c r="AX317" s="66">
        <f t="shared" si="2294"/>
        <v>28838.14</v>
      </c>
      <c r="AY317" s="66">
        <f t="shared" si="2294"/>
        <v>28663.81</v>
      </c>
      <c r="AZ317" s="66">
        <f t="shared" si="2294"/>
        <v>28470.95</v>
      </c>
      <c r="BA317" s="66">
        <f t="shared" si="2294"/>
        <v>27845.84</v>
      </c>
      <c r="BB317" s="66">
        <f t="shared" si="2294"/>
        <v>27631.65</v>
      </c>
      <c r="BC317" s="66">
        <f t="shared" si="2294"/>
        <v>27208.35</v>
      </c>
      <c r="BD317" s="66">
        <f t="shared" si="2294"/>
        <v>26868.36</v>
      </c>
      <c r="BE317" s="66">
        <f t="shared" si="2294"/>
        <v>26654.11</v>
      </c>
      <c r="BF317" s="66">
        <f t="shared" si="2294"/>
        <v>26865.78</v>
      </c>
      <c r="BG317" s="66">
        <f t="shared" si="2294"/>
        <v>27765.98</v>
      </c>
      <c r="BH317" s="66">
        <f t="shared" si="2294"/>
        <v>28245.74</v>
      </c>
      <c r="BI317" s="66">
        <f t="shared" si="2294"/>
        <v>29868.13</v>
      </c>
      <c r="BJ317" s="66">
        <f t="shared" si="2294"/>
        <v>29881.06</v>
      </c>
      <c r="BK317" s="66">
        <f t="shared" si="2294"/>
        <v>30332.58</v>
      </c>
      <c r="BL317" s="66">
        <f t="shared" si="2294"/>
        <v>30656.99</v>
      </c>
      <c r="BM317" s="66">
        <f t="shared" si="2294"/>
        <v>29745.41</v>
      </c>
      <c r="BN317" s="66">
        <f t="shared" si="2294"/>
        <v>29136.37</v>
      </c>
      <c r="BO317" s="66">
        <f t="shared" si="2294"/>
        <v>27822.639999999999</v>
      </c>
      <c r="BP317" s="66">
        <f t="shared" si="2294"/>
        <v>28434.629999999997</v>
      </c>
      <c r="BQ317" s="66">
        <f t="shared" si="2294"/>
        <v>28961.51</v>
      </c>
      <c r="BR317" s="66">
        <f t="shared" ref="BR317:CW317" si="2295">SUM(BO101:BR101)</f>
        <v>32703.309999999998</v>
      </c>
      <c r="BS317" s="66">
        <f t="shared" si="2295"/>
        <v>36382.67</v>
      </c>
      <c r="BT317" s="66">
        <f t="shared" si="2295"/>
        <v>37903.08</v>
      </c>
      <c r="BU317" s="66">
        <f t="shared" si="2295"/>
        <v>41218.31</v>
      </c>
      <c r="BV317" s="66">
        <f t="shared" si="2295"/>
        <v>42815.67</v>
      </c>
      <c r="BW317" s="66">
        <f t="shared" si="2295"/>
        <v>47178.8</v>
      </c>
      <c r="BX317" s="66">
        <f t="shared" si="2295"/>
        <v>51399.3</v>
      </c>
      <c r="BY317" s="66">
        <f t="shared" si="2295"/>
        <v>54615.28</v>
      </c>
      <c r="BZ317" s="66">
        <f t="shared" si="2295"/>
        <v>55109.08</v>
      </c>
      <c r="CA317" s="66">
        <f t="shared" si="2295"/>
        <v>55826.89</v>
      </c>
      <c r="CB317" s="66">
        <f t="shared" si="2295"/>
        <v>57534.2</v>
      </c>
      <c r="CC317" s="66">
        <f t="shared" si="2295"/>
        <v>58056.08</v>
      </c>
      <c r="CD317" s="66">
        <f t="shared" si="2295"/>
        <v>61448.9</v>
      </c>
      <c r="CE317" s="66">
        <f t="shared" si="2295"/>
        <v>63529.229999999996</v>
      </c>
      <c r="CF317" s="66">
        <f t="shared" si="2295"/>
        <v>63488.869999999995</v>
      </c>
      <c r="CG317" s="66">
        <f t="shared" si="2295"/>
        <v>64228.929999999993</v>
      </c>
      <c r="CH317" s="66">
        <f t="shared" si="2295"/>
        <v>65478.229999999996</v>
      </c>
      <c r="CI317" s="66">
        <f t="shared" si="2295"/>
        <v>66219.679999999993</v>
      </c>
      <c r="CJ317" s="66">
        <f t="shared" si="2295"/>
        <v>66066.92</v>
      </c>
      <c r="CK317" s="66">
        <f t="shared" si="2295"/>
        <v>64624.270000000004</v>
      </c>
      <c r="CL317" s="66">
        <f t="shared" si="2295"/>
        <v>62428.59</v>
      </c>
      <c r="CM317" s="50">
        <f t="shared" si="2295"/>
        <v>61837.710000000006</v>
      </c>
      <c r="CN317" s="50">
        <f t="shared" si="2295"/>
        <v>67690.507000000012</v>
      </c>
      <c r="CO317" s="50">
        <f t="shared" si="2295"/>
        <v>73001.914900000003</v>
      </c>
      <c r="CP317" s="50">
        <f t="shared" si="2295"/>
        <v>78342.752529999998</v>
      </c>
      <c r="CQ317" s="50">
        <f t="shared" si="2295"/>
        <v>82018.624141000008</v>
      </c>
      <c r="CR317" s="50">
        <f t="shared" si="2295"/>
        <v>83033.190197699994</v>
      </c>
      <c r="CS317" s="50">
        <f t="shared" si="2295"/>
        <v>83927.181920690011</v>
      </c>
      <c r="CT317" s="50">
        <f t="shared" si="2295"/>
        <v>84881.196633793006</v>
      </c>
      <c r="CU317" s="50">
        <f t="shared" si="2295"/>
        <v>86221.472648862109</v>
      </c>
      <c r="CV317" s="50">
        <f t="shared" si="2295"/>
        <v>87574.324655541379</v>
      </c>
      <c r="CW317" s="50">
        <f t="shared" si="2295"/>
        <v>88793.52451953759</v>
      </c>
      <c r="CX317" s="50">
        <f t="shared" ref="CX317:DB317" si="2296">SUM(CU101:CX101)</f>
        <v>90082.516490238719</v>
      </c>
      <c r="CY317" s="50">
        <f t="shared" si="2296"/>
        <v>91538.272960398404</v>
      </c>
      <c r="CZ317" s="50">
        <f t="shared" si="2296"/>
        <v>93075.455259336508</v>
      </c>
      <c r="DA317" s="50">
        <f t="shared" si="2296"/>
        <v>94442.680266813055</v>
      </c>
      <c r="DB317" s="50">
        <f t="shared" si="2296"/>
        <v>95893.630188417097</v>
      </c>
      <c r="DE317" s="138"/>
      <c r="DF317" s="66">
        <v>65115.07</v>
      </c>
    </row>
    <row r="318" spans="1:110" s="66" customFormat="1" x14ac:dyDescent="0.2">
      <c r="A318" s="66" t="s">
        <v>472</v>
      </c>
      <c r="AB318" s="50"/>
      <c r="AC318" s="50"/>
      <c r="AD318" s="50"/>
      <c r="AE318" s="50"/>
      <c r="AL318" s="66">
        <f t="shared" ref="AL318:BQ318" si="2297">SUM(AI120:AL120)</f>
        <v>6450.4299999999967</v>
      </c>
      <c r="AM318" s="66">
        <f t="shared" si="2297"/>
        <v>6856.5099999999975</v>
      </c>
      <c r="AN318" s="66">
        <f t="shared" si="2297"/>
        <v>7053.9699999999984</v>
      </c>
      <c r="AO318" s="66">
        <f t="shared" si="2297"/>
        <v>6910.5599999999986</v>
      </c>
      <c r="AP318" s="66">
        <f t="shared" si="2297"/>
        <v>6899.4799999999968</v>
      </c>
      <c r="AQ318" s="66">
        <f t="shared" si="2297"/>
        <v>6651.9799999999977</v>
      </c>
      <c r="AR318" s="66">
        <f t="shared" si="2297"/>
        <v>6682.7199999999975</v>
      </c>
      <c r="AS318" s="66">
        <f t="shared" si="2297"/>
        <v>6235.4899999999971</v>
      </c>
      <c r="AT318" s="66">
        <f t="shared" si="2297"/>
        <v>5944.5800000000008</v>
      </c>
      <c r="AU318" s="66">
        <f t="shared" si="2297"/>
        <v>6089.7299999999987</v>
      </c>
      <c r="AV318" s="66">
        <f t="shared" si="2297"/>
        <v>6131.03</v>
      </c>
      <c r="AW318" s="66">
        <f t="shared" si="2297"/>
        <v>6132.8800000000019</v>
      </c>
      <c r="AX318" s="66">
        <f t="shared" si="2297"/>
        <v>5895.5099999999993</v>
      </c>
      <c r="AY318" s="66">
        <f t="shared" si="2297"/>
        <v>5858.38</v>
      </c>
      <c r="AZ318" s="66">
        <f t="shared" si="2297"/>
        <v>5634.3399999999992</v>
      </c>
      <c r="BA318" s="66">
        <f t="shared" si="2297"/>
        <v>5962.0099999999993</v>
      </c>
      <c r="BB318" s="66">
        <f t="shared" si="2297"/>
        <v>5890.0000000000018</v>
      </c>
      <c r="BC318" s="66">
        <f t="shared" si="2297"/>
        <v>5939.6500000000015</v>
      </c>
      <c r="BD318" s="66">
        <f t="shared" si="2297"/>
        <v>5958.420000000001</v>
      </c>
      <c r="BE318" s="66">
        <f t="shared" si="2297"/>
        <v>5782.97</v>
      </c>
      <c r="BF318" s="66">
        <f t="shared" si="2297"/>
        <v>5888.59</v>
      </c>
      <c r="BG318" s="66">
        <f t="shared" si="2297"/>
        <v>5859.380000000001</v>
      </c>
      <c r="BH318" s="66">
        <f t="shared" si="2297"/>
        <v>5989.0000000000027</v>
      </c>
      <c r="BI318" s="66">
        <f t="shared" si="2297"/>
        <v>6460.9000000000024</v>
      </c>
      <c r="BJ318" s="66">
        <f t="shared" si="2297"/>
        <v>6848.4100000000017</v>
      </c>
      <c r="BK318" s="66">
        <f t="shared" si="2297"/>
        <v>7294.5300000000007</v>
      </c>
      <c r="BL318" s="66">
        <f t="shared" si="2297"/>
        <v>7529.0199999999977</v>
      </c>
      <c r="BM318" s="66">
        <f t="shared" si="2297"/>
        <v>7628.6699999999973</v>
      </c>
      <c r="BN318" s="66">
        <f t="shared" si="2297"/>
        <v>7754.1299999999983</v>
      </c>
      <c r="BO318" s="66">
        <f t="shared" si="2297"/>
        <v>7601.8499999999985</v>
      </c>
      <c r="BP318" s="66">
        <f t="shared" si="2297"/>
        <v>7818.8099999999986</v>
      </c>
      <c r="BQ318" s="66">
        <f t="shared" si="2297"/>
        <v>7805.4699999999984</v>
      </c>
      <c r="BR318" s="66">
        <f t="shared" ref="BR318:CW318" si="2298">SUM(BO120:BR120)</f>
        <v>7538.7199999999975</v>
      </c>
      <c r="BS318" s="66">
        <f t="shared" si="2298"/>
        <v>7775.9599999999982</v>
      </c>
      <c r="BT318" s="66">
        <f t="shared" si="2298"/>
        <v>7007.2999999999984</v>
      </c>
      <c r="BU318" s="66">
        <f t="shared" si="2298"/>
        <v>6851.0099999999984</v>
      </c>
      <c r="BV318" s="66">
        <f t="shared" si="2298"/>
        <v>7271.6999999999989</v>
      </c>
      <c r="BW318" s="66">
        <f t="shared" si="2298"/>
        <v>7048.489999999998</v>
      </c>
      <c r="BX318" s="66">
        <f t="shared" si="2298"/>
        <v>7585.630000000001</v>
      </c>
      <c r="BY318" s="66">
        <f t="shared" si="2298"/>
        <v>8394.8600000000024</v>
      </c>
      <c r="BZ318" s="66">
        <f t="shared" si="2298"/>
        <v>8630.3700000000008</v>
      </c>
      <c r="CA318" s="66">
        <f t="shared" si="2298"/>
        <v>9400.1900000000023</v>
      </c>
      <c r="CB318" s="66">
        <f t="shared" si="2298"/>
        <v>10303.070000000002</v>
      </c>
      <c r="CC318" s="66">
        <f t="shared" si="2298"/>
        <v>10365.420000000002</v>
      </c>
      <c r="CD318" s="66">
        <f t="shared" si="2298"/>
        <v>10877.260000000004</v>
      </c>
      <c r="CE318" s="66">
        <f t="shared" si="2298"/>
        <v>11246.460000000001</v>
      </c>
      <c r="CF318" s="66">
        <f t="shared" si="2298"/>
        <v>11745.539999999999</v>
      </c>
      <c r="CG318" s="66">
        <f t="shared" si="2298"/>
        <v>12217.429999999998</v>
      </c>
      <c r="CH318" s="66">
        <f t="shared" si="2298"/>
        <v>12953.819999999998</v>
      </c>
      <c r="CI318" s="66">
        <f t="shared" si="2298"/>
        <v>13420.050000000001</v>
      </c>
      <c r="CJ318" s="66">
        <f t="shared" si="2298"/>
        <v>13651.710000000003</v>
      </c>
      <c r="CK318" s="66">
        <f t="shared" si="2298"/>
        <v>14164.510000000002</v>
      </c>
      <c r="CL318" s="66">
        <f t="shared" si="2298"/>
        <v>14347.910000000002</v>
      </c>
      <c r="CM318" s="50">
        <f t="shared" si="2298"/>
        <v>14691.592034332545</v>
      </c>
      <c r="CN318" s="50">
        <f t="shared" si="2298"/>
        <v>16107.752272953945</v>
      </c>
      <c r="CO318" s="50">
        <f t="shared" si="2298"/>
        <v>16985.177065398944</v>
      </c>
      <c r="CP318" s="50">
        <f t="shared" si="2298"/>
        <v>17890.615996667977</v>
      </c>
      <c r="CQ318" s="50">
        <f t="shared" si="2298"/>
        <v>18798.115289179565</v>
      </c>
      <c r="CR318" s="50">
        <f t="shared" si="2298"/>
        <v>18993.027727678131</v>
      </c>
      <c r="CS318" s="50">
        <f t="shared" si="2298"/>
        <v>19134.423810711807</v>
      </c>
      <c r="CT318" s="50">
        <f t="shared" si="2298"/>
        <v>19399.567129363772</v>
      </c>
      <c r="CU318" s="50">
        <f t="shared" si="2298"/>
        <v>19712.469361706502</v>
      </c>
      <c r="CV318" s="50">
        <f t="shared" si="2298"/>
        <v>20008.48415406069</v>
      </c>
      <c r="CW318" s="50">
        <f t="shared" si="2298"/>
        <v>20280.978943977912</v>
      </c>
      <c r="CX318" s="50">
        <f t="shared" ref="CX318:DB318" si="2299">SUM(CU120:CX120)</f>
        <v>20584.783443481378</v>
      </c>
      <c r="CY318" s="50">
        <f t="shared" si="2299"/>
        <v>20916.665339727922</v>
      </c>
      <c r="CZ318" s="50">
        <f t="shared" si="2299"/>
        <v>21265.037530505022</v>
      </c>
      <c r="DA318" s="50">
        <f t="shared" si="2299"/>
        <v>21577.341246222848</v>
      </c>
      <c r="DB318" s="50">
        <f t="shared" si="2299"/>
        <v>21910.441678926294</v>
      </c>
      <c r="DE318" s="138"/>
      <c r="DF318" s="66">
        <v>14170.318331337636</v>
      </c>
    </row>
    <row r="319" spans="1:110" s="66" customFormat="1" x14ac:dyDescent="0.2">
      <c r="A319" s="66" t="s">
        <v>473</v>
      </c>
      <c r="AB319" s="50"/>
      <c r="AC319" s="50"/>
      <c r="AD319" s="50"/>
      <c r="AE319" s="50"/>
      <c r="AL319" s="66">
        <f t="shared" ref="AL319:BQ319" si="2300">SUM(AI133:AL133)</f>
        <v>948.71999999999662</v>
      </c>
      <c r="AM319" s="66">
        <f t="shared" si="2300"/>
        <v>704.60999999999763</v>
      </c>
      <c r="AN319" s="66">
        <f t="shared" si="2300"/>
        <v>634.72999999999843</v>
      </c>
      <c r="AO319" s="66">
        <f t="shared" si="2300"/>
        <v>312.78999999999854</v>
      </c>
      <c r="AP319" s="66">
        <f t="shared" si="2300"/>
        <v>-33.31000000000337</v>
      </c>
      <c r="AQ319" s="66">
        <f t="shared" si="2300"/>
        <v>-161.6100000000024</v>
      </c>
      <c r="AR319" s="66">
        <f t="shared" si="2300"/>
        <v>-178.68000000000271</v>
      </c>
      <c r="AS319" s="66">
        <f t="shared" si="2300"/>
        <v>-197.79000000000318</v>
      </c>
      <c r="AT319" s="66">
        <f t="shared" si="2300"/>
        <v>-229.84999999999926</v>
      </c>
      <c r="AU319" s="66">
        <f t="shared" si="2300"/>
        <v>462.0399999999986</v>
      </c>
      <c r="AV319" s="66">
        <f t="shared" si="2300"/>
        <v>744.0999999999998</v>
      </c>
      <c r="AW319" s="66">
        <f t="shared" si="2300"/>
        <v>873.49000000000194</v>
      </c>
      <c r="AX319" s="66">
        <f t="shared" si="2300"/>
        <v>1084.7499999999995</v>
      </c>
      <c r="AY319" s="66">
        <f t="shared" si="2300"/>
        <v>782.31000000000017</v>
      </c>
      <c r="AZ319" s="66">
        <f t="shared" si="2300"/>
        <v>677.41999999999962</v>
      </c>
      <c r="BA319" s="66">
        <f t="shared" si="2300"/>
        <v>776.33999999999969</v>
      </c>
      <c r="BB319" s="66">
        <f t="shared" si="2300"/>
        <v>768.78000000000213</v>
      </c>
      <c r="BC319" s="66">
        <f t="shared" si="2300"/>
        <v>557.74000000000183</v>
      </c>
      <c r="BD319" s="66">
        <f t="shared" si="2300"/>
        <v>203.32000000000102</v>
      </c>
      <c r="BE319" s="66">
        <f t="shared" si="2300"/>
        <v>156.95000000000033</v>
      </c>
      <c r="BF319" s="66">
        <f t="shared" si="2300"/>
        <v>26.150000000000333</v>
      </c>
      <c r="BG319" s="66">
        <f t="shared" si="2300"/>
        <v>-472.33999999999895</v>
      </c>
      <c r="BH319" s="66">
        <f t="shared" si="2300"/>
        <v>-404.98999999999739</v>
      </c>
      <c r="BI319" s="66">
        <f t="shared" si="2300"/>
        <v>-552.93999999999801</v>
      </c>
      <c r="BJ319" s="66">
        <f t="shared" si="2300"/>
        <v>-436.10999999999876</v>
      </c>
      <c r="BK319" s="66">
        <f t="shared" si="2300"/>
        <v>164.46000000000021</v>
      </c>
      <c r="BL319" s="66">
        <f t="shared" si="2300"/>
        <v>324.51999999999737</v>
      </c>
      <c r="BM319" s="66">
        <f t="shared" si="2300"/>
        <v>402.80999999999722</v>
      </c>
      <c r="BN319" s="66">
        <f t="shared" si="2300"/>
        <v>547.95999999999822</v>
      </c>
      <c r="BO319" s="66">
        <f t="shared" si="2300"/>
        <v>558.75999999999874</v>
      </c>
      <c r="BP319" s="66">
        <f t="shared" si="2300"/>
        <v>599.52999999999872</v>
      </c>
      <c r="BQ319" s="66">
        <f t="shared" si="2300"/>
        <v>710.32999999999856</v>
      </c>
      <c r="BR319" s="66">
        <f t="shared" ref="BR319:CW319" si="2301">SUM(BO133:BR133)</f>
        <v>720.74999999999773</v>
      </c>
      <c r="BS319" s="66">
        <f t="shared" si="2301"/>
        <v>706.46999999999821</v>
      </c>
      <c r="BT319" s="66">
        <f t="shared" si="2301"/>
        <v>394.98999999999853</v>
      </c>
      <c r="BU319" s="66">
        <f t="shared" si="2301"/>
        <v>98.569999999998458</v>
      </c>
      <c r="BV319" s="66">
        <f t="shared" si="2301"/>
        <v>830.87999999999897</v>
      </c>
      <c r="BW319" s="66">
        <f t="shared" si="2301"/>
        <v>811.68999999999801</v>
      </c>
      <c r="BX319" s="66">
        <f t="shared" si="2301"/>
        <v>644.65000000000077</v>
      </c>
      <c r="BY319" s="66">
        <f t="shared" si="2301"/>
        <v>805.01000000000215</v>
      </c>
      <c r="BZ319" s="66">
        <f t="shared" si="2301"/>
        <v>610.21000000000038</v>
      </c>
      <c r="CA319" s="66">
        <f t="shared" si="2301"/>
        <v>1085.290000000002</v>
      </c>
      <c r="CB319" s="66">
        <f t="shared" si="2301"/>
        <v>2135.4000000000015</v>
      </c>
      <c r="CC319" s="66">
        <f t="shared" si="2301"/>
        <v>2898.3100000000018</v>
      </c>
      <c r="CD319" s="66">
        <f t="shared" si="2301"/>
        <v>2829.1600000000044</v>
      </c>
      <c r="CE319" s="66">
        <f t="shared" si="2301"/>
        <v>3172.8900000000012</v>
      </c>
      <c r="CF319" s="66">
        <f t="shared" si="2301"/>
        <v>3405</v>
      </c>
      <c r="CG319" s="66">
        <f t="shared" si="2301"/>
        <v>3589.2599999999989</v>
      </c>
      <c r="CH319" s="66">
        <f t="shared" si="2301"/>
        <v>4104.1999999999989</v>
      </c>
      <c r="CI319" s="66">
        <f t="shared" si="2301"/>
        <v>4338.3500000000022</v>
      </c>
      <c r="CJ319" s="66">
        <f t="shared" si="2301"/>
        <v>4456.6600000000026</v>
      </c>
      <c r="CK319" s="66">
        <f t="shared" si="2301"/>
        <v>4450.9400000000023</v>
      </c>
      <c r="CL319" s="66">
        <f t="shared" si="2301"/>
        <v>4504.670000000001</v>
      </c>
      <c r="CM319" s="50">
        <f t="shared" si="2301"/>
        <v>4627.1231274761976</v>
      </c>
      <c r="CN319" s="50">
        <f t="shared" si="2301"/>
        <v>5483.6166552175036</v>
      </c>
      <c r="CO319" s="50">
        <f t="shared" si="2301"/>
        <v>6100.135854967968</v>
      </c>
      <c r="CP319" s="50">
        <f t="shared" si="2301"/>
        <v>6490.4906719010269</v>
      </c>
      <c r="CQ319" s="50">
        <f t="shared" si="2301"/>
        <v>6853.1522066328853</v>
      </c>
      <c r="CR319" s="50">
        <f t="shared" si="2301"/>
        <v>6703.7855241119505</v>
      </c>
      <c r="CS319" s="50">
        <f t="shared" si="2301"/>
        <v>6512.5212453394524</v>
      </c>
      <c r="CT319" s="50">
        <f t="shared" si="2301"/>
        <v>6434.2902780104359</v>
      </c>
      <c r="CU319" s="50">
        <f t="shared" si="2301"/>
        <v>6590.0603033581738</v>
      </c>
      <c r="CV319" s="50">
        <f t="shared" si="2301"/>
        <v>6753.232050297298</v>
      </c>
      <c r="CW319" s="50">
        <f t="shared" si="2301"/>
        <v>6922.5299906061919</v>
      </c>
      <c r="CX319" s="50">
        <f t="shared" ref="CX319:DB319" si="2302">SUM(CU133:CX133)</f>
        <v>7146.2608279501901</v>
      </c>
      <c r="CY319" s="50">
        <f t="shared" si="2302"/>
        <v>7405.9690885433374</v>
      </c>
      <c r="CZ319" s="50">
        <f t="shared" si="2302"/>
        <v>7682.1870634887737</v>
      </c>
      <c r="DA319" s="50">
        <f t="shared" si="2302"/>
        <v>7937.3707729566104</v>
      </c>
      <c r="DB319" s="50">
        <f t="shared" si="2302"/>
        <v>8213.6122687422885</v>
      </c>
      <c r="DE319" s="138"/>
      <c r="DF319" s="66">
        <v>4660.4085605854443</v>
      </c>
    </row>
    <row r="320" spans="1:110" s="93" customFormat="1" x14ac:dyDescent="0.2">
      <c r="AB320" s="30"/>
      <c r="AC320" s="30"/>
      <c r="AD320" s="30"/>
      <c r="AE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E320" s="139"/>
    </row>
    <row r="321" spans="1:110" s="11" customFormat="1" x14ac:dyDescent="0.2">
      <c r="AB321" s="63"/>
      <c r="AC321" s="63"/>
      <c r="AD321" s="63"/>
      <c r="AE321" s="63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E321" s="139"/>
    </row>
    <row r="322" spans="1:110" s="62" customFormat="1" hidden="1" outlineLevel="1" x14ac:dyDescent="0.2">
      <c r="A322" s="61" t="s">
        <v>339</v>
      </c>
      <c r="AB322" s="63"/>
      <c r="AC322" s="63"/>
      <c r="AD322" s="63"/>
      <c r="AE322" s="63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E322" s="139"/>
    </row>
    <row r="323" spans="1:110" s="64" customFormat="1" hidden="1" outlineLevel="1" x14ac:dyDescent="0.2">
      <c r="A323" s="64" t="s">
        <v>474</v>
      </c>
      <c r="B323" s="64">
        <f t="shared" ref="B323:Z323" si="2303">B99-B329</f>
        <v>3374.8175030000002</v>
      </c>
      <c r="C323" s="64">
        <f t="shared" si="2303"/>
        <v>3861.06</v>
      </c>
      <c r="D323" s="64">
        <f t="shared" si="2303"/>
        <v>4805.45</v>
      </c>
      <c r="E323" s="64">
        <f t="shared" si="2303"/>
        <v>4996.38</v>
      </c>
      <c r="F323" s="64">
        <f t="shared" si="2303"/>
        <v>4900.58</v>
      </c>
      <c r="G323" s="64">
        <f t="shared" si="2303"/>
        <v>5623.21</v>
      </c>
      <c r="H323" s="64">
        <f t="shared" si="2303"/>
        <v>6484.23</v>
      </c>
      <c r="I323" s="64">
        <f t="shared" si="2303"/>
        <v>10904.19</v>
      </c>
      <c r="J323" s="64">
        <f t="shared" si="2303"/>
        <v>18068.439999999999</v>
      </c>
      <c r="K323" s="64">
        <f t="shared" si="2303"/>
        <v>18996.79</v>
      </c>
      <c r="L323" s="64">
        <f t="shared" si="2303"/>
        <v>19462.88</v>
      </c>
      <c r="M323" s="64">
        <f t="shared" si="2303"/>
        <v>26019.81</v>
      </c>
      <c r="N323" s="64">
        <f t="shared" si="2303"/>
        <v>33042.1</v>
      </c>
      <c r="O323" s="64">
        <f t="shared" si="2303"/>
        <v>35737.879999999997</v>
      </c>
      <c r="P323" s="64">
        <f t="shared" si="2303"/>
        <v>33596.76</v>
      </c>
      <c r="Q323" s="64">
        <f t="shared" si="2303"/>
        <v>29500.89</v>
      </c>
      <c r="R323" s="64">
        <f t="shared" si="2303"/>
        <v>27587.59</v>
      </c>
      <c r="S323" s="64">
        <f t="shared" si="2303"/>
        <v>26840.27</v>
      </c>
      <c r="T323" s="64">
        <f t="shared" si="2303"/>
        <v>29881.06</v>
      </c>
      <c r="U323" s="64">
        <f t="shared" si="2303"/>
        <v>29136.37</v>
      </c>
      <c r="V323" s="64">
        <f t="shared" si="2303"/>
        <v>32703.31</v>
      </c>
      <c r="W323" s="64">
        <f t="shared" si="2303"/>
        <v>42815.67</v>
      </c>
      <c r="X323" s="64">
        <f t="shared" si="2303"/>
        <v>55109.08</v>
      </c>
      <c r="Y323" s="64">
        <f t="shared" si="2303"/>
        <v>61448.9</v>
      </c>
      <c r="Z323" s="64">
        <f t="shared" si="2303"/>
        <v>65478.239999999998</v>
      </c>
      <c r="AA323" s="64">
        <f t="shared" ref="AA323" si="2304">AA99-AA329</f>
        <v>62428.59</v>
      </c>
      <c r="AB323" s="30"/>
      <c r="AC323" s="30"/>
      <c r="AD323" s="30"/>
      <c r="AE323" s="30"/>
      <c r="AI323" s="64">
        <f t="shared" ref="AI323:BN323" si="2305">AI99-AI329</f>
        <v>7253.8899999999994</v>
      </c>
      <c r="AJ323" s="64">
        <f t="shared" si="2305"/>
        <v>7699.7699999999995</v>
      </c>
      <c r="AK323" s="64">
        <f t="shared" si="2305"/>
        <v>9039.31</v>
      </c>
      <c r="AL323" s="64">
        <f t="shared" si="2305"/>
        <v>9032.4599999999991</v>
      </c>
      <c r="AM323" s="64">
        <f t="shared" si="2305"/>
        <v>9339.49</v>
      </c>
      <c r="AN323" s="64">
        <f t="shared" si="2305"/>
        <v>8764.69</v>
      </c>
      <c r="AO323" s="64">
        <f t="shared" si="2305"/>
        <v>8700.02</v>
      </c>
      <c r="AP323" s="64">
        <f t="shared" si="2305"/>
        <v>8901.81</v>
      </c>
      <c r="AQ323" s="64">
        <f t="shared" si="2305"/>
        <v>8707.5300000000007</v>
      </c>
      <c r="AR323" s="64">
        <f t="shared" si="2305"/>
        <v>8584</v>
      </c>
      <c r="AS323" s="64">
        <f t="shared" si="2305"/>
        <v>8528.4</v>
      </c>
      <c r="AT323" s="64">
        <f t="shared" si="2305"/>
        <v>7907.6399999999994</v>
      </c>
      <c r="AU323" s="64">
        <f t="shared" si="2305"/>
        <v>7183.6699999999992</v>
      </c>
      <c r="AV323" s="64">
        <f t="shared" si="2305"/>
        <v>7666.33</v>
      </c>
      <c r="AW323" s="64">
        <f t="shared" si="2305"/>
        <v>7353.1500000000005</v>
      </c>
      <c r="AX323" s="64">
        <f t="shared" si="2305"/>
        <v>7297.74</v>
      </c>
      <c r="AY323" s="64">
        <f t="shared" si="2305"/>
        <v>6838.3</v>
      </c>
      <c r="AZ323" s="64">
        <f t="shared" si="2305"/>
        <v>7213.64</v>
      </c>
      <c r="BA323" s="64">
        <f t="shared" si="2305"/>
        <v>6574.47</v>
      </c>
      <c r="BB323" s="64">
        <f t="shared" si="2305"/>
        <v>7005.24</v>
      </c>
      <c r="BC323" s="64">
        <f t="shared" si="2305"/>
        <v>6415</v>
      </c>
      <c r="BD323" s="64">
        <f t="shared" si="2305"/>
        <v>6873.65</v>
      </c>
      <c r="BE323" s="64">
        <f t="shared" si="2305"/>
        <v>6360.22</v>
      </c>
      <c r="BF323" s="64">
        <f t="shared" si="2305"/>
        <v>7216.91</v>
      </c>
      <c r="BG323" s="64">
        <f t="shared" si="2305"/>
        <v>7315.2</v>
      </c>
      <c r="BH323" s="64">
        <f t="shared" si="2305"/>
        <v>7353.41</v>
      </c>
      <c r="BI323" s="64">
        <f t="shared" si="2305"/>
        <v>7982.61</v>
      </c>
      <c r="BJ323" s="64">
        <f t="shared" si="2305"/>
        <v>7229.84</v>
      </c>
      <c r="BK323" s="64">
        <f t="shared" si="2305"/>
        <v>7766.72</v>
      </c>
      <c r="BL323" s="64">
        <f t="shared" si="2305"/>
        <v>7677.82</v>
      </c>
      <c r="BM323" s="64">
        <f t="shared" si="2305"/>
        <v>7071.03</v>
      </c>
      <c r="BN323" s="64">
        <f t="shared" si="2305"/>
        <v>6620.8</v>
      </c>
      <c r="BO323" s="64">
        <f t="shared" ref="BO323:CT323" si="2306">BO99-BO329</f>
        <v>6452.99</v>
      </c>
      <c r="BP323" s="64">
        <f t="shared" si="2306"/>
        <v>8289.81</v>
      </c>
      <c r="BQ323" s="64">
        <f t="shared" si="2306"/>
        <v>7597.91</v>
      </c>
      <c r="BR323" s="64">
        <f t="shared" si="2306"/>
        <v>10362.6</v>
      </c>
      <c r="BS323" s="64">
        <f t="shared" si="2306"/>
        <v>10132.35</v>
      </c>
      <c r="BT323" s="64">
        <f t="shared" si="2306"/>
        <v>9810.2199999999993</v>
      </c>
      <c r="BU323" s="64">
        <f t="shared" si="2306"/>
        <v>10913.14</v>
      </c>
      <c r="BV323" s="64">
        <f t="shared" si="2306"/>
        <v>11959.96</v>
      </c>
      <c r="BW323" s="64">
        <f t="shared" si="2306"/>
        <v>14495.48</v>
      </c>
      <c r="BX323" s="64">
        <f t="shared" si="2306"/>
        <v>14030.72</v>
      </c>
      <c r="BY323" s="64">
        <f t="shared" si="2306"/>
        <v>14129.12</v>
      </c>
      <c r="BZ323" s="64">
        <f t="shared" si="2306"/>
        <v>12453.76</v>
      </c>
      <c r="CA323" s="64">
        <f t="shared" si="2306"/>
        <v>15213.29</v>
      </c>
      <c r="CB323" s="64">
        <f t="shared" si="2306"/>
        <v>15738.03</v>
      </c>
      <c r="CC323" s="64">
        <f t="shared" si="2306"/>
        <v>14651</v>
      </c>
      <c r="CD323" s="64">
        <f t="shared" si="2306"/>
        <v>15846.58</v>
      </c>
      <c r="CE323" s="64">
        <f t="shared" si="2306"/>
        <v>17293.62</v>
      </c>
      <c r="CF323" s="64">
        <f t="shared" si="2306"/>
        <v>15697.67</v>
      </c>
      <c r="CG323" s="64">
        <f t="shared" si="2306"/>
        <v>15391.06</v>
      </c>
      <c r="CH323" s="64">
        <f t="shared" si="2306"/>
        <v>17095.88</v>
      </c>
      <c r="CI323" s="64">
        <f t="shared" si="2306"/>
        <v>18035.07</v>
      </c>
      <c r="CJ323" s="64">
        <f t="shared" si="2306"/>
        <v>15544.91</v>
      </c>
      <c r="CK323" s="64">
        <f t="shared" si="2306"/>
        <v>13948.41</v>
      </c>
      <c r="CL323" s="64">
        <f t="shared" ref="CL323" si="2307">CL99-CL329</f>
        <v>14900.2</v>
      </c>
      <c r="CM323" s="30">
        <f t="shared" si="2306"/>
        <v>17444.190000000002</v>
      </c>
      <c r="CN323" s="30">
        <f t="shared" si="2306"/>
        <v>21397.707000000002</v>
      </c>
      <c r="CO323" s="30">
        <f t="shared" si="2306"/>
        <v>19259.817900000002</v>
      </c>
      <c r="CP323" s="30">
        <f t="shared" si="2306"/>
        <v>20241.037629999999</v>
      </c>
      <c r="CQ323" s="30">
        <f t="shared" si="2306"/>
        <v>21120.061611000001</v>
      </c>
      <c r="CR323" s="30">
        <f t="shared" si="2306"/>
        <v>22412.273056700004</v>
      </c>
      <c r="CS323" s="30">
        <f t="shared" si="2306"/>
        <v>20153.809622990004</v>
      </c>
      <c r="CT323" s="30">
        <f t="shared" si="2306"/>
        <v>21195.052343103001</v>
      </c>
      <c r="CU323" s="30">
        <f t="shared" ref="CU323:DB323" si="2308">CU99-CU329</f>
        <v>22460.3376260691</v>
      </c>
      <c r="CV323" s="30">
        <f t="shared" si="2308"/>
        <v>23765.125063379273</v>
      </c>
      <c r="CW323" s="30">
        <f t="shared" si="2308"/>
        <v>21373.009486986222</v>
      </c>
      <c r="CX323" s="30">
        <f t="shared" si="2308"/>
        <v>22484.044313804137</v>
      </c>
      <c r="CY323" s="30">
        <f t="shared" si="2308"/>
        <v>23916.094096228764</v>
      </c>
      <c r="CZ323" s="30">
        <f t="shared" si="2308"/>
        <v>25302.307362317377</v>
      </c>
      <c r="DA323" s="30">
        <f t="shared" si="2308"/>
        <v>22740.234494462791</v>
      </c>
      <c r="DB323" s="30">
        <f t="shared" si="2308"/>
        <v>23934.994235408165</v>
      </c>
      <c r="DE323" s="139"/>
      <c r="DF323" s="64">
        <v>17586.68</v>
      </c>
    </row>
    <row r="324" spans="1:110" s="64" customFormat="1" hidden="1" outlineLevel="1" x14ac:dyDescent="0.2">
      <c r="A324" s="64" t="s">
        <v>475</v>
      </c>
      <c r="B324" s="64">
        <f t="shared" ref="B324:Z324" si="2309">B120-B330</f>
        <v>689.63502930000004</v>
      </c>
      <c r="C324" s="64">
        <f t="shared" si="2309"/>
        <v>960.34000000000015</v>
      </c>
      <c r="D324" s="64">
        <f t="shared" si="2309"/>
        <v>1249.9699999999998</v>
      </c>
      <c r="E324" s="64">
        <f t="shared" si="2309"/>
        <v>1324.3900000000003</v>
      </c>
      <c r="F324" s="64">
        <f t="shared" si="2309"/>
        <v>1104.7400000000002</v>
      </c>
      <c r="G324" s="64">
        <f t="shared" si="2309"/>
        <v>976.88000000000011</v>
      </c>
      <c r="H324" s="64">
        <f t="shared" si="2309"/>
        <v>1084.6899999999996</v>
      </c>
      <c r="I324" s="64">
        <f t="shared" si="2309"/>
        <v>2122.1200000000008</v>
      </c>
      <c r="J324" s="64">
        <f t="shared" si="2309"/>
        <v>3648.4100000000017</v>
      </c>
      <c r="K324" s="64">
        <f t="shared" si="2309"/>
        <v>3557.9500000000007</v>
      </c>
      <c r="L324" s="64">
        <f t="shared" si="2309"/>
        <v>4098.0500000000029</v>
      </c>
      <c r="M324" s="64">
        <f t="shared" si="2309"/>
        <v>4645.7700000000041</v>
      </c>
      <c r="N324" s="64">
        <f t="shared" si="2309"/>
        <v>6289.0099999999984</v>
      </c>
      <c r="O324" s="64">
        <f t="shared" si="2309"/>
        <v>6887.0200000000041</v>
      </c>
      <c r="P324" s="64">
        <f t="shared" si="2309"/>
        <v>6278.5400000000009</v>
      </c>
      <c r="Q324" s="64">
        <f t="shared" si="2309"/>
        <v>6484.2400000000016</v>
      </c>
      <c r="R324" s="64">
        <f t="shared" si="2309"/>
        <v>5798.8699999999953</v>
      </c>
      <c r="S324" s="64">
        <f t="shared" si="2309"/>
        <v>6272.1100000000042</v>
      </c>
      <c r="T324" s="64">
        <f t="shared" si="2309"/>
        <v>6712.6100000000079</v>
      </c>
      <c r="U324" s="64">
        <f t="shared" si="2309"/>
        <v>9298.5799999999981</v>
      </c>
      <c r="V324" s="64">
        <f t="shared" si="2309"/>
        <v>7688.7000000000007</v>
      </c>
      <c r="W324" s="64">
        <f t="shared" si="2309"/>
        <v>7470.0799999999945</v>
      </c>
      <c r="X324" s="64">
        <f t="shared" si="2309"/>
        <v>8600.3499999999985</v>
      </c>
      <c r="Y324" s="64">
        <f t="shared" si="2309"/>
        <v>10877.259999999995</v>
      </c>
      <c r="Z324" s="64">
        <f t="shared" si="2309"/>
        <v>12931.14</v>
      </c>
      <c r="AA324" s="64">
        <f t="shared" ref="AA324" si="2310">AA120-AA330</f>
        <v>12119.05999999999</v>
      </c>
      <c r="AB324" s="30"/>
      <c r="AC324" s="30"/>
      <c r="AD324" s="30"/>
      <c r="AE324" s="30"/>
      <c r="AI324" s="64">
        <f t="shared" ref="AI324:BN324" si="2311">AI120-AI330</f>
        <v>1368.8999999999996</v>
      </c>
      <c r="AJ324" s="64">
        <f t="shared" si="2311"/>
        <v>1478.7099999999991</v>
      </c>
      <c r="AK324" s="64">
        <f t="shared" si="2311"/>
        <v>1770.2099999999991</v>
      </c>
      <c r="AL324" s="64">
        <f t="shared" si="2311"/>
        <v>1832.6099999999988</v>
      </c>
      <c r="AM324" s="64">
        <f t="shared" si="2311"/>
        <v>1774.9800000000005</v>
      </c>
      <c r="AN324" s="64">
        <f t="shared" si="2311"/>
        <v>1676.17</v>
      </c>
      <c r="AO324" s="64">
        <f t="shared" si="2311"/>
        <v>1626.7999999999993</v>
      </c>
      <c r="AP324" s="64">
        <f t="shared" si="2311"/>
        <v>1821.529999999997</v>
      </c>
      <c r="AQ324" s="64">
        <f t="shared" si="2311"/>
        <v>1527.4800000000014</v>
      </c>
      <c r="AR324" s="64">
        <f t="shared" si="2311"/>
        <v>1706.9099999999999</v>
      </c>
      <c r="AS324" s="64">
        <f t="shared" si="2311"/>
        <v>1179.5699999999988</v>
      </c>
      <c r="AT324" s="64">
        <f t="shared" si="2311"/>
        <v>1530.6200000000008</v>
      </c>
      <c r="AU324" s="64">
        <f t="shared" si="2311"/>
        <v>1672.6299999999992</v>
      </c>
      <c r="AV324" s="64">
        <f t="shared" si="2311"/>
        <v>1748.2100000000009</v>
      </c>
      <c r="AW324" s="64">
        <f t="shared" si="2311"/>
        <v>1181.420000000001</v>
      </c>
      <c r="AX324" s="64">
        <f t="shared" si="2311"/>
        <v>1293.2499999999982</v>
      </c>
      <c r="AY324" s="64">
        <f t="shared" si="2311"/>
        <v>1635.5</v>
      </c>
      <c r="AZ324" s="64">
        <f t="shared" si="2311"/>
        <v>1524.17</v>
      </c>
      <c r="BA324" s="64">
        <f t="shared" si="2311"/>
        <v>1509.0900000000011</v>
      </c>
      <c r="BB324" s="64">
        <f t="shared" si="2311"/>
        <v>1221.2400000000007</v>
      </c>
      <c r="BC324" s="64">
        <f t="shared" si="2311"/>
        <v>1685.1499999999996</v>
      </c>
      <c r="BD324" s="64">
        <f t="shared" si="2311"/>
        <v>1542.9399999999996</v>
      </c>
      <c r="BE324" s="64">
        <f t="shared" si="2311"/>
        <v>1333.6400000000003</v>
      </c>
      <c r="BF324" s="64">
        <f t="shared" si="2311"/>
        <v>1326.8600000000006</v>
      </c>
      <c r="BG324" s="64">
        <f t="shared" si="2311"/>
        <v>1655.9400000000005</v>
      </c>
      <c r="BH324" s="64">
        <f t="shared" si="2311"/>
        <v>1672.5600000000013</v>
      </c>
      <c r="BI324" s="64">
        <f t="shared" si="2311"/>
        <v>1805.54</v>
      </c>
      <c r="BJ324" s="64">
        <f t="shared" si="2311"/>
        <v>1714.37</v>
      </c>
      <c r="BK324" s="64">
        <f t="shared" si="2311"/>
        <v>2102.0599999999995</v>
      </c>
      <c r="BL324" s="64">
        <f t="shared" si="2311"/>
        <v>1907.0499999999984</v>
      </c>
      <c r="BM324" s="64">
        <f t="shared" si="2311"/>
        <v>1905.1899999999996</v>
      </c>
      <c r="BN324" s="64">
        <f t="shared" si="2311"/>
        <v>1839.8300000000008</v>
      </c>
      <c r="BO324" s="64">
        <f t="shared" ref="BO324:CT324" si="2312">BO120-BO330</f>
        <v>1949.7799999999997</v>
      </c>
      <c r="BP324" s="64">
        <f t="shared" si="2312"/>
        <v>2124.0099999999984</v>
      </c>
      <c r="BQ324" s="64">
        <f t="shared" si="2312"/>
        <v>1891.8499999999995</v>
      </c>
      <c r="BR324" s="64">
        <f t="shared" si="2312"/>
        <v>1573.08</v>
      </c>
      <c r="BS324" s="64">
        <f t="shared" si="2312"/>
        <v>2187.0200000000004</v>
      </c>
      <c r="BT324" s="64">
        <f t="shared" si="2312"/>
        <v>1355.3499999999985</v>
      </c>
      <c r="BU324" s="64">
        <f t="shared" si="2312"/>
        <v>1735.5599999999995</v>
      </c>
      <c r="BV324" s="64">
        <f t="shared" si="2312"/>
        <v>1993.7700000000004</v>
      </c>
      <c r="BW324" s="64">
        <f t="shared" si="2312"/>
        <v>1963.8099999999995</v>
      </c>
      <c r="BX324" s="64">
        <f t="shared" si="2312"/>
        <v>1892.4900000000016</v>
      </c>
      <c r="BY324" s="64">
        <f t="shared" si="2312"/>
        <v>2544.7900000000009</v>
      </c>
      <c r="BZ324" s="64">
        <f t="shared" si="2312"/>
        <v>2229.2799999999988</v>
      </c>
      <c r="CA324" s="64">
        <f t="shared" si="2312"/>
        <v>2733.630000000001</v>
      </c>
      <c r="CB324" s="64">
        <f t="shared" si="2312"/>
        <v>2795.3700000000008</v>
      </c>
      <c r="CC324" s="64">
        <f t="shared" si="2312"/>
        <v>2607.1400000000012</v>
      </c>
      <c r="CD324" s="64">
        <f t="shared" si="2312"/>
        <v>2741.1200000000008</v>
      </c>
      <c r="CE324" s="64">
        <f t="shared" si="2312"/>
        <v>3102.8299999999981</v>
      </c>
      <c r="CF324" s="64">
        <f t="shared" si="2312"/>
        <v>3294.4499999999989</v>
      </c>
      <c r="CG324" s="64">
        <f t="shared" si="2312"/>
        <v>3079.0300000000007</v>
      </c>
      <c r="CH324" s="64">
        <f t="shared" si="2312"/>
        <v>3477.51</v>
      </c>
      <c r="CI324" s="64">
        <f t="shared" si="2312"/>
        <v>3569.0600000000013</v>
      </c>
      <c r="CJ324" s="64">
        <f t="shared" si="2312"/>
        <v>3526.1100000000006</v>
      </c>
      <c r="CK324" s="64">
        <f t="shared" si="2312"/>
        <v>3591.83</v>
      </c>
      <c r="CL324" s="64">
        <f t="shared" ref="CL324" si="2313">CL120-CL330</f>
        <v>3660.91</v>
      </c>
      <c r="CM324" s="30">
        <f t="shared" si="2312"/>
        <v>3912.7420343325448</v>
      </c>
      <c r="CN324" s="30">
        <f t="shared" si="2312"/>
        <v>4942.2702386214005</v>
      </c>
      <c r="CO324" s="30">
        <f t="shared" si="2312"/>
        <v>4469.2547924449991</v>
      </c>
      <c r="CP324" s="30">
        <f t="shared" si="2312"/>
        <v>4566.3489312690344</v>
      </c>
      <c r="CQ324" s="30">
        <f t="shared" si="2312"/>
        <v>4820.2413268441305</v>
      </c>
      <c r="CR324" s="30">
        <f t="shared" si="2312"/>
        <v>5137.1826771199667</v>
      </c>
      <c r="CS324" s="30">
        <f t="shared" si="2312"/>
        <v>4610.6508754786755</v>
      </c>
      <c r="CT324" s="30">
        <f t="shared" si="2312"/>
        <v>4831.4922499209988</v>
      </c>
      <c r="CU324" s="30">
        <f t="shared" ref="CU324:DB324" si="2314">CU120-CU330</f>
        <v>5133.1435591868612</v>
      </c>
      <c r="CV324" s="30">
        <f t="shared" si="2314"/>
        <v>5433.1974694741548</v>
      </c>
      <c r="CW324" s="30">
        <f t="shared" si="2314"/>
        <v>4883.1456653958958</v>
      </c>
      <c r="CX324" s="30">
        <f t="shared" si="2314"/>
        <v>5135.2967494244658</v>
      </c>
      <c r="CY324" s="30">
        <f t="shared" si="2314"/>
        <v>5465.025455433406</v>
      </c>
      <c r="CZ324" s="30">
        <f t="shared" si="2314"/>
        <v>5781.5696602512544</v>
      </c>
      <c r="DA324" s="30">
        <f t="shared" si="2314"/>
        <v>5195.4493811137218</v>
      </c>
      <c r="DB324" s="30">
        <f t="shared" si="2314"/>
        <v>5468.3971821279119</v>
      </c>
      <c r="DE324" s="139"/>
      <c r="DF324" s="64">
        <v>3483.3183313376339</v>
      </c>
    </row>
    <row r="325" spans="1:110" s="89" customFormat="1" hidden="1" outlineLevel="1" x14ac:dyDescent="0.2">
      <c r="A325" s="86" t="s">
        <v>476</v>
      </c>
      <c r="B325" s="86">
        <f>+B324/B323</f>
        <v>0.20434735469013005</v>
      </c>
      <c r="C325" s="86">
        <f t="shared" ref="C325" si="2315">+C324/C323</f>
        <v>0.24872444354659087</v>
      </c>
      <c r="D325" s="86">
        <f t="shared" ref="D325" si="2316">+D324/D323</f>
        <v>0.2601150776722263</v>
      </c>
      <c r="E325" s="86">
        <f t="shared" ref="E325" si="2317">+E324/E323</f>
        <v>0.26506991061528551</v>
      </c>
      <c r="F325" s="86">
        <f t="shared" ref="F325" si="2318">+F324/F323</f>
        <v>0.22543045925176208</v>
      </c>
      <c r="G325" s="86">
        <f t="shared" ref="G325" si="2319">+G324/G323</f>
        <v>0.17372283802312205</v>
      </c>
      <c r="H325" s="86">
        <f t="shared" ref="H325" si="2320">+H324/H323</f>
        <v>0.16728123462616218</v>
      </c>
      <c r="I325" s="86">
        <f t="shared" ref="I325" si="2321">+I324/I323</f>
        <v>0.19461509749921826</v>
      </c>
      <c r="J325" s="86">
        <f t="shared" ref="J325" si="2322">+J324/J323</f>
        <v>0.20192169329504939</v>
      </c>
      <c r="K325" s="86">
        <f t="shared" ref="K325" si="2323">+K324/K323</f>
        <v>0.18729216883484001</v>
      </c>
      <c r="L325" s="86">
        <f t="shared" ref="L325" si="2324">+L324/L323</f>
        <v>0.21055722483003558</v>
      </c>
      <c r="M325" s="86">
        <f t="shared" ref="M325" si="2325">+M324/M323</f>
        <v>0.17854742213721023</v>
      </c>
      <c r="N325" s="86">
        <f t="shared" ref="N325" si="2326">+N324/N323</f>
        <v>0.19033324153125858</v>
      </c>
      <c r="O325" s="86">
        <f t="shared" ref="O325" si="2327">+O324/O323</f>
        <v>0.19270924856203012</v>
      </c>
      <c r="P325" s="86">
        <f t="shared" ref="P325" si="2328">+P324/P323</f>
        <v>0.18687933003063392</v>
      </c>
      <c r="Q325" s="86">
        <f t="shared" ref="Q325" si="2329">+Q324/Q323</f>
        <v>0.21979811456535725</v>
      </c>
      <c r="R325" s="86">
        <f t="shared" ref="R325" si="2330">+R324/R323</f>
        <v>0.21019849867277263</v>
      </c>
      <c r="S325" s="86">
        <f t="shared" ref="S325" si="2331">+S324/S323</f>
        <v>0.23368282062736345</v>
      </c>
      <c r="T325" s="86">
        <f t="shared" ref="T325" si="2332">+T324/T323</f>
        <v>0.22464430646034669</v>
      </c>
      <c r="U325" s="86">
        <f t="shared" ref="U325" si="2333">+U324/U323</f>
        <v>0.31913996149829227</v>
      </c>
      <c r="V325" s="86">
        <f t="shared" ref="V325" si="2334">+V324/V323</f>
        <v>0.23510464231296466</v>
      </c>
      <c r="W325" s="86">
        <f t="shared" ref="W325" si="2335">+W324/W323</f>
        <v>0.17447070196495804</v>
      </c>
      <c r="X325" s="86">
        <f t="shared" ref="X325:Y325" si="2336">+X324/X323</f>
        <v>0.15606048948739479</v>
      </c>
      <c r="Y325" s="86">
        <f t="shared" si="2336"/>
        <v>0.17701309543376684</v>
      </c>
      <c r="Z325" s="86">
        <f t="shared" ref="Z325:AA325" si="2337">+Z324/Z323</f>
        <v>0.19748759282473077</v>
      </c>
      <c r="AA325" s="86">
        <f t="shared" si="2337"/>
        <v>0.19412676147258798</v>
      </c>
      <c r="AB325" s="87"/>
      <c r="AC325" s="87"/>
      <c r="AD325" s="87"/>
      <c r="AE325" s="87"/>
      <c r="AF325" s="86"/>
      <c r="AG325" s="86"/>
      <c r="AH325" s="86"/>
      <c r="AI325" s="86">
        <f t="shared" ref="AI325" si="2338">+AI324/AI323</f>
        <v>0.18871253906524635</v>
      </c>
      <c r="AJ325" s="86">
        <f t="shared" ref="AJ325" si="2339">+AJ324/AJ323</f>
        <v>0.19204599617910656</v>
      </c>
      <c r="AK325" s="86">
        <f t="shared" ref="AK325" si="2340">+AK324/AK323</f>
        <v>0.19583463782080704</v>
      </c>
      <c r="AL325" s="86">
        <f t="shared" ref="AL325" si="2341">+AL324/AL323</f>
        <v>0.20289157106701816</v>
      </c>
      <c r="AM325" s="86">
        <f t="shared" ref="AM325" si="2342">+AM324/AM323</f>
        <v>0.19005106274539621</v>
      </c>
      <c r="AN325" s="86">
        <f t="shared" ref="AN325" si="2343">+AN324/AN323</f>
        <v>0.19124121902771232</v>
      </c>
      <c r="AO325" s="86">
        <f t="shared" ref="AO325" si="2344">+AO324/AO323</f>
        <v>0.18698807588948063</v>
      </c>
      <c r="AP325" s="86">
        <f t="shared" ref="AP325" si="2345">+AP324/AP323</f>
        <v>0.2046246774532367</v>
      </c>
      <c r="AQ325" s="86">
        <f t="shared" ref="AQ325" si="2346">+AQ324/AQ323</f>
        <v>0.17542058425293985</v>
      </c>
      <c r="AR325" s="86">
        <f t="shared" ref="AR325" si="2347">+AR324/AR323</f>
        <v>0.1988478564771668</v>
      </c>
      <c r="AS325" s="86">
        <f t="shared" ref="AS325" si="2348">+AS324/AS323</f>
        <v>0.13831082031799621</v>
      </c>
      <c r="AT325" s="86">
        <f t="shared" ref="AT325" si="2349">+AT324/AT323</f>
        <v>0.19356217531400025</v>
      </c>
      <c r="AU325" s="86">
        <f t="shared" ref="AU325" si="2350">+AU324/AU323</f>
        <v>0.23283781131371561</v>
      </c>
      <c r="AV325" s="86">
        <f t="shared" ref="AV325" si="2351">+AV324/AV323</f>
        <v>0.2280374051208337</v>
      </c>
      <c r="AW325" s="86">
        <f t="shared" ref="AW325" si="2352">+AW324/AW323</f>
        <v>0.16066855701298094</v>
      </c>
      <c r="AX325" s="86">
        <f t="shared" ref="AX325" si="2353">+AX324/AX323</f>
        <v>0.17721239726271396</v>
      </c>
      <c r="AY325" s="86">
        <f t="shared" ref="AY325" si="2354">+AY324/AY323</f>
        <v>0.23916762938157143</v>
      </c>
      <c r="AZ325" s="86">
        <f t="shared" ref="AZ325" si="2355">+AZ324/AZ323</f>
        <v>0.21129000060995559</v>
      </c>
      <c r="BA325" s="86">
        <f t="shared" ref="BA325" si="2356">+BA324/BA323</f>
        <v>0.22953789430935131</v>
      </c>
      <c r="BB325" s="86">
        <f t="shared" ref="BB325" si="2357">+BB324/BB323</f>
        <v>0.17433235692139037</v>
      </c>
      <c r="BC325" s="86">
        <f t="shared" ref="BC325" si="2358">+BC324/BC323</f>
        <v>0.2626890101325019</v>
      </c>
      <c r="BD325" s="86">
        <f t="shared" ref="BD325" si="2359">+BD324/BD323</f>
        <v>0.22447171444574565</v>
      </c>
      <c r="BE325" s="86">
        <f t="shared" ref="BE325" si="2360">+BE324/BE323</f>
        <v>0.20968457065950552</v>
      </c>
      <c r="BF325" s="86">
        <f t="shared" ref="BF325" si="2361">+BF324/BF323</f>
        <v>0.18385430883854734</v>
      </c>
      <c r="BG325" s="86">
        <f t="shared" ref="BG325" si="2362">+BG324/BG323</f>
        <v>0.22636975065616805</v>
      </c>
      <c r="BH325" s="86">
        <f t="shared" ref="BH325" si="2363">+BH324/BH323</f>
        <v>0.22745365755479449</v>
      </c>
      <c r="BI325" s="86">
        <f t="shared" ref="BI325" si="2364">+BI324/BI323</f>
        <v>0.22618416783483097</v>
      </c>
      <c r="BJ325" s="86">
        <f t="shared" ref="BJ325" si="2365">+BJ324/BJ323</f>
        <v>0.23712419638608875</v>
      </c>
      <c r="BK325" s="86">
        <f t="shared" ref="BK325" si="2366">+BK324/BK323</f>
        <v>0.27064964360759747</v>
      </c>
      <c r="BL325" s="86">
        <f t="shared" ref="BL325" si="2367">+BL324/BL323</f>
        <v>0.24838430700381078</v>
      </c>
      <c r="BM325" s="86">
        <f t="shared" ref="BM325" si="2368">+BM324/BM323</f>
        <v>0.26943599447322381</v>
      </c>
      <c r="BN325" s="86">
        <f t="shared" ref="BN325" si="2369">+BN324/BN323</f>
        <v>0.27788635814403106</v>
      </c>
      <c r="BO325" s="86">
        <f t="shared" ref="BO325" si="2370">+BO324/BO323</f>
        <v>0.30215140578243571</v>
      </c>
      <c r="BP325" s="86">
        <f t="shared" ref="BP325" si="2371">+BP324/BP323</f>
        <v>0.2562193825913982</v>
      </c>
      <c r="BQ325" s="86">
        <f t="shared" ref="BQ325" si="2372">+BQ324/BQ323</f>
        <v>0.248996105507962</v>
      </c>
      <c r="BR325" s="86">
        <f t="shared" ref="BR325" si="2373">+BR324/BR323</f>
        <v>0.15180360141277285</v>
      </c>
      <c r="BS325" s="86">
        <f t="shared" ref="BS325" si="2374">+BS324/BS323</f>
        <v>0.21584528761837091</v>
      </c>
      <c r="BT325" s="86">
        <f t="shared" ref="BT325" si="2375">+BT324/BT323</f>
        <v>0.13815694245388979</v>
      </c>
      <c r="BU325" s="86">
        <f t="shared" ref="BU325" si="2376">+BU324/BU323</f>
        <v>0.15903397189076651</v>
      </c>
      <c r="BV325" s="86">
        <f t="shared" ref="BV325" si="2377">+BV324/BV323</f>
        <v>0.1667037347950997</v>
      </c>
      <c r="BW325" s="86">
        <f t="shared" ref="BW325" si="2378">+BW324/BW323</f>
        <v>0.13547740399076122</v>
      </c>
      <c r="BX325" s="86">
        <f t="shared" ref="BX325" si="2379">+BX324/BX323</f>
        <v>0.13488188774346588</v>
      </c>
      <c r="BY325" s="86">
        <f t="shared" ref="BY325" si="2380">+BY324/BY323</f>
        <v>0.18010958927378357</v>
      </c>
      <c r="BZ325" s="86">
        <f t="shared" ref="BZ325" si="2381">+BZ324/BZ323</f>
        <v>0.17900457371910161</v>
      </c>
      <c r="CA325" s="86">
        <f t="shared" ref="CA325" si="2382">+CA324/CA323</f>
        <v>0.17968697106280107</v>
      </c>
      <c r="CB325" s="86">
        <f t="shared" ref="CB325:CC325" si="2383">+CB324/CB323</f>
        <v>0.17761879981166642</v>
      </c>
      <c r="CC325" s="86">
        <f t="shared" si="2383"/>
        <v>0.17794962801173989</v>
      </c>
      <c r="CD325" s="86">
        <f t="shared" ref="CD325" si="2384">+CD324/CD323</f>
        <v>0.17297864902079824</v>
      </c>
      <c r="CE325" s="86">
        <f t="shared" ref="CE325:CF325" si="2385">+CE324/CE323</f>
        <v>0.17942050305257073</v>
      </c>
      <c r="CF325" s="86">
        <f t="shared" si="2385"/>
        <v>0.20986872574082643</v>
      </c>
      <c r="CG325" s="86">
        <f t="shared" ref="CG325:CH325" si="2386">+CG324/CG323</f>
        <v>0.20005314773641328</v>
      </c>
      <c r="CH325" s="86">
        <f t="shared" si="2386"/>
        <v>0.20341216714202487</v>
      </c>
      <c r="CI325" s="86">
        <f t="shared" ref="CI325:CJ325" si="2387">+CI324/CI323</f>
        <v>0.19789554462500014</v>
      </c>
      <c r="CJ325" s="86">
        <f t="shared" si="2387"/>
        <v>0.22683373528698467</v>
      </c>
      <c r="CK325" s="86">
        <f t="shared" ref="CK325:DB325" si="2388">+CK324/CK323</f>
        <v>0.25750820344397679</v>
      </c>
      <c r="CL325" s="86">
        <f t="shared" si="2388"/>
        <v>0.24569535979382826</v>
      </c>
      <c r="CM325" s="47">
        <f t="shared" si="2388"/>
        <v>0.22430058571550437</v>
      </c>
      <c r="CN325" s="47">
        <f t="shared" si="2388"/>
        <v>0.23097195594936409</v>
      </c>
      <c r="CO325" s="47">
        <f t="shared" si="2388"/>
        <v>0.23205072943316865</v>
      </c>
      <c r="CP325" s="47">
        <f t="shared" si="2388"/>
        <v>0.22559855945828972</v>
      </c>
      <c r="CQ325" s="47">
        <f t="shared" si="2388"/>
        <v>0.22823045763908167</v>
      </c>
      <c r="CR325" s="47">
        <f t="shared" si="2388"/>
        <v>0.22921292561997586</v>
      </c>
      <c r="CS325" s="47">
        <f t="shared" si="2388"/>
        <v>0.22877316803762895</v>
      </c>
      <c r="CT325" s="47">
        <f t="shared" si="2388"/>
        <v>0.22795377768874422</v>
      </c>
      <c r="CU325" s="47">
        <f t="shared" si="2388"/>
        <v>0.22854258224635776</v>
      </c>
      <c r="CV325" s="47">
        <f t="shared" si="2388"/>
        <v>0.2286206133981768</v>
      </c>
      <c r="CW325" s="47">
        <f t="shared" si="2388"/>
        <v>0.22847253534272685</v>
      </c>
      <c r="CX325" s="47">
        <f t="shared" si="2388"/>
        <v>0.22839737716900144</v>
      </c>
      <c r="CY325" s="47">
        <f t="shared" si="2388"/>
        <v>0.2285082770390657</v>
      </c>
      <c r="CZ325" s="47">
        <f t="shared" si="2388"/>
        <v>0.22849970073724274</v>
      </c>
      <c r="DA325" s="47">
        <f t="shared" si="2388"/>
        <v>0.22846947257200909</v>
      </c>
      <c r="DB325" s="47">
        <f t="shared" si="2388"/>
        <v>0.2284687068793296</v>
      </c>
      <c r="DE325" s="130"/>
      <c r="DF325" s="89">
        <v>0.19806571401410805</v>
      </c>
    </row>
    <row r="326" spans="1:110" s="64" customFormat="1" hidden="1" outlineLevel="1" x14ac:dyDescent="0.2">
      <c r="A326" s="64" t="s">
        <v>477</v>
      </c>
      <c r="B326" s="64">
        <f t="shared" ref="B326:Z326" si="2389">B133-B332</f>
        <v>389.59788409999999</v>
      </c>
      <c r="C326" s="64">
        <f t="shared" si="2389"/>
        <v>488.46000000000015</v>
      </c>
      <c r="D326" s="64">
        <f t="shared" si="2389"/>
        <v>515.9799999999999</v>
      </c>
      <c r="E326" s="64">
        <f t="shared" si="2389"/>
        <v>542.88000000000034</v>
      </c>
      <c r="F326" s="64">
        <f t="shared" si="2389"/>
        <v>588.29000000000019</v>
      </c>
      <c r="G326" s="64">
        <f t="shared" si="2389"/>
        <v>637.01000000000022</v>
      </c>
      <c r="H326" s="64">
        <f t="shared" si="2389"/>
        <v>759.15999999999951</v>
      </c>
      <c r="I326" s="64">
        <f t="shared" si="2389"/>
        <v>1176.9800000000009</v>
      </c>
      <c r="J326" s="64">
        <f t="shared" si="2389"/>
        <v>1298.7300000000014</v>
      </c>
      <c r="K326" s="64">
        <f t="shared" si="2389"/>
        <v>2138.6400000000008</v>
      </c>
      <c r="L326" s="64">
        <f t="shared" si="2389"/>
        <v>2181.9100000000035</v>
      </c>
      <c r="M326" s="64">
        <f t="shared" si="2389"/>
        <v>831.71000000000367</v>
      </c>
      <c r="N326" s="64">
        <f t="shared" si="2389"/>
        <v>948.71999999999798</v>
      </c>
      <c r="O326" s="64">
        <f t="shared" si="2389"/>
        <v>-33.309999999996194</v>
      </c>
      <c r="P326" s="64">
        <f t="shared" si="2389"/>
        <v>-229.849999999999</v>
      </c>
      <c r="Q326" s="64">
        <f t="shared" si="2389"/>
        <v>1673.4800000000023</v>
      </c>
      <c r="R326" s="64">
        <f t="shared" si="2389"/>
        <v>823.68999999999505</v>
      </c>
      <c r="S326" s="64">
        <f t="shared" si="2389"/>
        <v>436.00000000000432</v>
      </c>
      <c r="T326" s="64">
        <f t="shared" si="2389"/>
        <v>-519.42999999999188</v>
      </c>
      <c r="U326" s="64">
        <f t="shared" si="2389"/>
        <v>2114.6499999999987</v>
      </c>
      <c r="V326" s="64">
        <f t="shared" si="2389"/>
        <v>870.73000000000013</v>
      </c>
      <c r="W326" s="64">
        <f t="shared" si="2389"/>
        <v>1070.3499999999945</v>
      </c>
      <c r="X326" s="64">
        <f t="shared" si="2389"/>
        <v>610.15999999999894</v>
      </c>
      <c r="Y326" s="64">
        <f t="shared" si="2389"/>
        <v>2829.1699999999946</v>
      </c>
      <c r="Z326" s="64">
        <f t="shared" si="2389"/>
        <v>4104.2499999999991</v>
      </c>
      <c r="AA326" s="64">
        <f t="shared" ref="AA326" si="2390">AA133-AA332</f>
        <v>2275.8199999999897</v>
      </c>
      <c r="AB326" s="30"/>
      <c r="AC326" s="30"/>
      <c r="AD326" s="30"/>
      <c r="AE326" s="30"/>
      <c r="AI326" s="64">
        <f t="shared" ref="AI326:BN326" si="2391">AI133-AI332</f>
        <v>195.12999999999951</v>
      </c>
      <c r="AJ326" s="64">
        <f t="shared" si="2391"/>
        <v>190.31999999999914</v>
      </c>
      <c r="AK326" s="64">
        <f t="shared" si="2391"/>
        <v>308.21999999999917</v>
      </c>
      <c r="AL326" s="64">
        <f t="shared" si="2391"/>
        <v>255.04999999999882</v>
      </c>
      <c r="AM326" s="64">
        <f t="shared" si="2391"/>
        <v>-48.979999999999563</v>
      </c>
      <c r="AN326" s="64">
        <f t="shared" si="2391"/>
        <v>120.44000000000004</v>
      </c>
      <c r="AO326" s="64">
        <f t="shared" si="2391"/>
        <v>-13.720000000000766</v>
      </c>
      <c r="AP326" s="64">
        <f t="shared" si="2391"/>
        <v>-91.050000000003081</v>
      </c>
      <c r="AQ326" s="64">
        <f t="shared" si="2391"/>
        <v>-177.27999999999861</v>
      </c>
      <c r="AR326" s="64">
        <f t="shared" si="2391"/>
        <v>103.36999999999975</v>
      </c>
      <c r="AS326" s="64">
        <f t="shared" si="2391"/>
        <v>-32.830000000001235</v>
      </c>
      <c r="AT326" s="64">
        <f t="shared" si="2391"/>
        <v>-123.10999999999916</v>
      </c>
      <c r="AU326" s="64">
        <f t="shared" si="2391"/>
        <v>514.60999999999922</v>
      </c>
      <c r="AV326" s="64">
        <f t="shared" si="2391"/>
        <v>385.43000000000097</v>
      </c>
      <c r="AW326" s="64">
        <f t="shared" si="2391"/>
        <v>96.560000000000969</v>
      </c>
      <c r="AX326" s="64">
        <f t="shared" si="2391"/>
        <v>88.1499999999983</v>
      </c>
      <c r="AY326" s="64">
        <f t="shared" si="2391"/>
        <v>212.17</v>
      </c>
      <c r="AZ326" s="64">
        <f t="shared" si="2391"/>
        <v>280.5400000000003</v>
      </c>
      <c r="BA326" s="64">
        <f t="shared" si="2391"/>
        <v>195.4800000000011</v>
      </c>
      <c r="BB326" s="64">
        <f t="shared" si="2391"/>
        <v>80.590000000000686</v>
      </c>
      <c r="BC326" s="64">
        <f t="shared" si="2391"/>
        <v>1.1299999999997112</v>
      </c>
      <c r="BD326" s="64">
        <f t="shared" si="2391"/>
        <v>-73.88000000000045</v>
      </c>
      <c r="BE326" s="64">
        <f t="shared" si="2391"/>
        <v>149.11000000000038</v>
      </c>
      <c r="BF326" s="64">
        <f t="shared" si="2391"/>
        <v>-50.209999999999312</v>
      </c>
      <c r="BG326" s="64">
        <f t="shared" si="2391"/>
        <v>-497.35999999999956</v>
      </c>
      <c r="BH326" s="64">
        <f t="shared" si="2391"/>
        <v>-6.5299999999988927</v>
      </c>
      <c r="BI326" s="64">
        <f t="shared" si="2391"/>
        <v>1.1599999999998545</v>
      </c>
      <c r="BJ326" s="64">
        <f t="shared" si="2391"/>
        <v>66.619999999999848</v>
      </c>
      <c r="BK326" s="64">
        <f t="shared" si="2391"/>
        <v>103.20999999999941</v>
      </c>
      <c r="BL326" s="64">
        <f t="shared" si="2391"/>
        <v>153.52999999999824</v>
      </c>
      <c r="BM326" s="64">
        <f t="shared" si="2391"/>
        <v>79.44999999999969</v>
      </c>
      <c r="BN326" s="64">
        <f t="shared" si="2391"/>
        <v>211.77000000000089</v>
      </c>
      <c r="BO326" s="64">
        <f t="shared" ref="BO326:CT326" si="2392">BO133-BO332</f>
        <v>114.00999999999991</v>
      </c>
      <c r="BP326" s="64">
        <f t="shared" si="2392"/>
        <v>194.29999999999825</v>
      </c>
      <c r="BQ326" s="64">
        <f t="shared" si="2392"/>
        <v>190.2499999999996</v>
      </c>
      <c r="BR326" s="64">
        <f t="shared" si="2392"/>
        <v>222.19</v>
      </c>
      <c r="BS326" s="64">
        <f t="shared" si="2392"/>
        <v>99.730000000000359</v>
      </c>
      <c r="BT326" s="64">
        <f t="shared" si="2392"/>
        <v>-117.1800000000014</v>
      </c>
      <c r="BU326" s="64">
        <f t="shared" si="2392"/>
        <v>-106.1700000000005</v>
      </c>
      <c r="BV326" s="64">
        <f t="shared" si="2392"/>
        <v>954.50000000000045</v>
      </c>
      <c r="BW326" s="64">
        <f t="shared" si="2392"/>
        <v>80.53999999999948</v>
      </c>
      <c r="BX326" s="64">
        <f t="shared" si="2392"/>
        <v>-284.21999999999861</v>
      </c>
      <c r="BY326" s="64">
        <f t="shared" si="2392"/>
        <v>54.19000000000085</v>
      </c>
      <c r="BZ326" s="64">
        <f t="shared" si="2392"/>
        <v>759.69999999999868</v>
      </c>
      <c r="CA326" s="64">
        <f t="shared" si="2392"/>
        <v>555.62000000000103</v>
      </c>
      <c r="CB326" s="64">
        <f t="shared" si="2392"/>
        <v>765.89000000000078</v>
      </c>
      <c r="CC326" s="64">
        <f t="shared" si="2392"/>
        <v>817.10000000000139</v>
      </c>
      <c r="CD326" s="64">
        <f t="shared" si="2392"/>
        <v>690.55000000000086</v>
      </c>
      <c r="CE326" s="64">
        <f t="shared" si="2392"/>
        <v>899.34999999999832</v>
      </c>
      <c r="CF326" s="64">
        <f t="shared" si="2392"/>
        <v>997.99999999999909</v>
      </c>
      <c r="CG326" s="64">
        <f t="shared" si="2392"/>
        <v>1001.3600000000007</v>
      </c>
      <c r="CH326" s="64">
        <f t="shared" si="2392"/>
        <v>1205.4900000000007</v>
      </c>
      <c r="CI326" s="64">
        <f t="shared" si="2392"/>
        <v>1133.5000000000014</v>
      </c>
      <c r="CJ326" s="64">
        <f t="shared" si="2392"/>
        <v>1116.3100000000002</v>
      </c>
      <c r="CK326" s="64">
        <f t="shared" si="2392"/>
        <v>995.63999999999987</v>
      </c>
      <c r="CL326" s="64">
        <f t="shared" ref="CL326" si="2393">CL133-CL332</f>
        <v>1259.22</v>
      </c>
      <c r="CM326" s="30">
        <f t="shared" si="2392"/>
        <v>1255.9531274761973</v>
      </c>
      <c r="CN326" s="30">
        <f t="shared" si="2392"/>
        <v>1972.8035277413064</v>
      </c>
      <c r="CO326" s="30">
        <f t="shared" si="2392"/>
        <v>1612.1591997504638</v>
      </c>
      <c r="CP326" s="30">
        <f t="shared" si="2392"/>
        <v>1649.5748169330591</v>
      </c>
      <c r="CQ326" s="30">
        <f t="shared" si="2392"/>
        <v>1618.6146622080564</v>
      </c>
      <c r="CR326" s="30">
        <f t="shared" si="2392"/>
        <v>1823.436845220371</v>
      </c>
      <c r="CS326" s="30">
        <f t="shared" si="2392"/>
        <v>1420.8949209779657</v>
      </c>
      <c r="CT326" s="30">
        <f t="shared" si="2392"/>
        <v>1571.3438496040426</v>
      </c>
      <c r="CU326" s="30">
        <f t="shared" ref="CU326:DB326" si="2394">CU133-CU332</f>
        <v>1774.3846875557952</v>
      </c>
      <c r="CV326" s="30">
        <f t="shared" si="2394"/>
        <v>1986.6085921594949</v>
      </c>
      <c r="CW326" s="30">
        <f t="shared" si="2394"/>
        <v>1590.1928612868592</v>
      </c>
      <c r="CX326" s="30">
        <f t="shared" si="2394"/>
        <v>1795.0746869480408</v>
      </c>
      <c r="CY326" s="30">
        <f t="shared" si="2394"/>
        <v>2034.0929481489425</v>
      </c>
      <c r="CZ326" s="30">
        <f t="shared" si="2394"/>
        <v>2262.8265671049312</v>
      </c>
      <c r="DA326" s="30">
        <f t="shared" si="2394"/>
        <v>1845.3765707546954</v>
      </c>
      <c r="DB326" s="30">
        <f t="shared" si="2394"/>
        <v>2071.316182733719</v>
      </c>
      <c r="DE326" s="139"/>
      <c r="DF326" s="64">
        <v>1414.9585605854431</v>
      </c>
    </row>
    <row r="327" spans="1:110" s="64" customFormat="1" hidden="1" outlineLevel="1" x14ac:dyDescent="0.2">
      <c r="AB327" s="30"/>
      <c r="AC327" s="30"/>
      <c r="AD327" s="30"/>
      <c r="AE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E327" s="139"/>
    </row>
    <row r="328" spans="1:110" s="64" customFormat="1" hidden="1" outlineLevel="1" x14ac:dyDescent="0.2">
      <c r="A328" s="65" t="s">
        <v>352</v>
      </c>
      <c r="AB328" s="30"/>
      <c r="AC328" s="30"/>
      <c r="AD328" s="30"/>
      <c r="AE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E328" s="139"/>
    </row>
    <row r="329" spans="1:110" s="64" customFormat="1" hidden="1" outlineLevel="1" x14ac:dyDescent="0.2">
      <c r="A329" s="64" t="s">
        <v>478</v>
      </c>
      <c r="AB329" s="30"/>
      <c r="AC329" s="30"/>
      <c r="AD329" s="30"/>
      <c r="AE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E329" s="139"/>
    </row>
    <row r="330" spans="1:110" s="64" customFormat="1" hidden="1" outlineLevel="1" x14ac:dyDescent="0.2">
      <c r="A330" s="64" t="s">
        <v>479</v>
      </c>
      <c r="AB330" s="30"/>
      <c r="AC330" s="30"/>
      <c r="AD330" s="30"/>
      <c r="AE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E330" s="139"/>
    </row>
    <row r="331" spans="1:110" s="89" customFormat="1" hidden="1" outlineLevel="1" x14ac:dyDescent="0.2">
      <c r="A331" s="86" t="s">
        <v>480</v>
      </c>
      <c r="B331" s="86" t="e">
        <f>+B330/B329</f>
        <v>#DIV/0!</v>
      </c>
      <c r="C331" s="86" t="e">
        <f t="shared" ref="C331:X331" si="2395">+C330/C329</f>
        <v>#DIV/0!</v>
      </c>
      <c r="D331" s="86" t="e">
        <f t="shared" si="2395"/>
        <v>#DIV/0!</v>
      </c>
      <c r="E331" s="86" t="e">
        <f t="shared" si="2395"/>
        <v>#DIV/0!</v>
      </c>
      <c r="F331" s="86" t="e">
        <f t="shared" si="2395"/>
        <v>#DIV/0!</v>
      </c>
      <c r="G331" s="86" t="e">
        <f t="shared" si="2395"/>
        <v>#DIV/0!</v>
      </c>
      <c r="H331" s="86" t="e">
        <f t="shared" si="2395"/>
        <v>#DIV/0!</v>
      </c>
      <c r="I331" s="86" t="e">
        <f t="shared" si="2395"/>
        <v>#DIV/0!</v>
      </c>
      <c r="J331" s="86" t="e">
        <f t="shared" si="2395"/>
        <v>#DIV/0!</v>
      </c>
      <c r="K331" s="86" t="e">
        <f t="shared" si="2395"/>
        <v>#DIV/0!</v>
      </c>
      <c r="L331" s="86" t="e">
        <f t="shared" si="2395"/>
        <v>#DIV/0!</v>
      </c>
      <c r="M331" s="86" t="e">
        <f t="shared" si="2395"/>
        <v>#DIV/0!</v>
      </c>
      <c r="N331" s="86" t="e">
        <f t="shared" si="2395"/>
        <v>#DIV/0!</v>
      </c>
      <c r="O331" s="86" t="e">
        <f t="shared" si="2395"/>
        <v>#DIV/0!</v>
      </c>
      <c r="P331" s="86" t="e">
        <f t="shared" si="2395"/>
        <v>#DIV/0!</v>
      </c>
      <c r="Q331" s="86" t="e">
        <f t="shared" si="2395"/>
        <v>#DIV/0!</v>
      </c>
      <c r="R331" s="86" t="e">
        <f t="shared" si="2395"/>
        <v>#DIV/0!</v>
      </c>
      <c r="S331" s="86" t="e">
        <f t="shared" si="2395"/>
        <v>#DIV/0!</v>
      </c>
      <c r="T331" s="86" t="e">
        <f t="shared" si="2395"/>
        <v>#DIV/0!</v>
      </c>
      <c r="U331" s="86" t="e">
        <f t="shared" si="2395"/>
        <v>#DIV/0!</v>
      </c>
      <c r="V331" s="86" t="e">
        <f t="shared" si="2395"/>
        <v>#DIV/0!</v>
      </c>
      <c r="W331" s="86" t="e">
        <f t="shared" si="2395"/>
        <v>#DIV/0!</v>
      </c>
      <c r="X331" s="86" t="e">
        <f t="shared" si="2395"/>
        <v>#DIV/0!</v>
      </c>
      <c r="Y331" s="86" t="e">
        <f t="shared" ref="Y331:Z331" si="2396">+Y330/Y329</f>
        <v>#DIV/0!</v>
      </c>
      <c r="Z331" s="86" t="e">
        <f t="shared" si="2396"/>
        <v>#DIV/0!</v>
      </c>
      <c r="AA331" s="86" t="e">
        <f t="shared" ref="AA331" si="2397">+AA330/AA329</f>
        <v>#DIV/0!</v>
      </c>
      <c r="AB331" s="87"/>
      <c r="AC331" s="87"/>
      <c r="AD331" s="87"/>
      <c r="AE331" s="87"/>
      <c r="AF331" s="86"/>
      <c r="AG331" s="86"/>
      <c r="AH331" s="86"/>
      <c r="AI331" s="86" t="e">
        <f t="shared" ref="AI331" si="2398">+AI330/AI329</f>
        <v>#DIV/0!</v>
      </c>
      <c r="AJ331" s="86" t="e">
        <f t="shared" ref="AJ331" si="2399">+AJ330/AJ329</f>
        <v>#DIV/0!</v>
      </c>
      <c r="AK331" s="86" t="e">
        <f t="shared" ref="AK331" si="2400">+AK330/AK329</f>
        <v>#DIV/0!</v>
      </c>
      <c r="AL331" s="86" t="e">
        <f t="shared" ref="AL331" si="2401">+AL330/AL329</f>
        <v>#DIV/0!</v>
      </c>
      <c r="AM331" s="86" t="e">
        <f t="shared" ref="AM331" si="2402">+AM330/AM329</f>
        <v>#DIV/0!</v>
      </c>
      <c r="AN331" s="86" t="e">
        <f t="shared" ref="AN331" si="2403">+AN330/AN329</f>
        <v>#DIV/0!</v>
      </c>
      <c r="AO331" s="86" t="e">
        <f t="shared" ref="AO331" si="2404">+AO330/AO329</f>
        <v>#DIV/0!</v>
      </c>
      <c r="AP331" s="86" t="e">
        <f t="shared" ref="AP331" si="2405">+AP330/AP329</f>
        <v>#DIV/0!</v>
      </c>
      <c r="AQ331" s="86" t="e">
        <f t="shared" ref="AQ331" si="2406">+AQ330/AQ329</f>
        <v>#DIV/0!</v>
      </c>
      <c r="AR331" s="86" t="e">
        <f t="shared" ref="AR331" si="2407">+AR330/AR329</f>
        <v>#DIV/0!</v>
      </c>
      <c r="AS331" s="86" t="e">
        <f t="shared" ref="AS331" si="2408">+AS330/AS329</f>
        <v>#DIV/0!</v>
      </c>
      <c r="AT331" s="86" t="e">
        <f t="shared" ref="AT331" si="2409">+AT330/AT329</f>
        <v>#DIV/0!</v>
      </c>
      <c r="AU331" s="86" t="e">
        <f t="shared" ref="AU331" si="2410">+AU330/AU329</f>
        <v>#DIV/0!</v>
      </c>
      <c r="AV331" s="86" t="e">
        <f t="shared" ref="AV331" si="2411">+AV330/AV329</f>
        <v>#DIV/0!</v>
      </c>
      <c r="AW331" s="86" t="e">
        <f t="shared" ref="AW331" si="2412">+AW330/AW329</f>
        <v>#DIV/0!</v>
      </c>
      <c r="AX331" s="86" t="e">
        <f t="shared" ref="AX331" si="2413">+AX330/AX329</f>
        <v>#DIV/0!</v>
      </c>
      <c r="AY331" s="86" t="e">
        <f t="shared" ref="AY331" si="2414">+AY330/AY329</f>
        <v>#DIV/0!</v>
      </c>
      <c r="AZ331" s="86" t="e">
        <f t="shared" ref="AZ331" si="2415">+AZ330/AZ329</f>
        <v>#DIV/0!</v>
      </c>
      <c r="BA331" s="86" t="e">
        <f t="shared" ref="BA331" si="2416">+BA330/BA329</f>
        <v>#DIV/0!</v>
      </c>
      <c r="BB331" s="86" t="e">
        <f t="shared" ref="BB331" si="2417">+BB330/BB329</f>
        <v>#DIV/0!</v>
      </c>
      <c r="BC331" s="86" t="e">
        <f t="shared" ref="BC331" si="2418">+BC330/BC329</f>
        <v>#DIV/0!</v>
      </c>
      <c r="BD331" s="86" t="e">
        <f t="shared" ref="BD331" si="2419">+BD330/BD329</f>
        <v>#DIV/0!</v>
      </c>
      <c r="BE331" s="86" t="e">
        <f t="shared" ref="BE331" si="2420">+BE330/BE329</f>
        <v>#DIV/0!</v>
      </c>
      <c r="BF331" s="86" t="e">
        <f t="shared" ref="BF331" si="2421">+BF330/BF329</f>
        <v>#DIV/0!</v>
      </c>
      <c r="BG331" s="86" t="e">
        <f t="shared" ref="BG331" si="2422">+BG330/BG329</f>
        <v>#DIV/0!</v>
      </c>
      <c r="BH331" s="86" t="e">
        <f t="shared" ref="BH331" si="2423">+BH330/BH329</f>
        <v>#DIV/0!</v>
      </c>
      <c r="BI331" s="86" t="e">
        <f t="shared" ref="BI331" si="2424">+BI330/BI329</f>
        <v>#DIV/0!</v>
      </c>
      <c r="BJ331" s="86" t="e">
        <f t="shared" ref="BJ331" si="2425">+BJ330/BJ329</f>
        <v>#DIV/0!</v>
      </c>
      <c r="BK331" s="86" t="e">
        <f t="shared" ref="BK331" si="2426">+BK330/BK329</f>
        <v>#DIV/0!</v>
      </c>
      <c r="BL331" s="86" t="e">
        <f t="shared" ref="BL331" si="2427">+BL330/BL329</f>
        <v>#DIV/0!</v>
      </c>
      <c r="BM331" s="86" t="e">
        <f t="shared" ref="BM331" si="2428">+BM330/BM329</f>
        <v>#DIV/0!</v>
      </c>
      <c r="BN331" s="86" t="e">
        <f t="shared" ref="BN331" si="2429">+BN330/BN329</f>
        <v>#DIV/0!</v>
      </c>
      <c r="BO331" s="86" t="e">
        <f t="shared" ref="BO331" si="2430">+BO330/BO329</f>
        <v>#DIV/0!</v>
      </c>
      <c r="BP331" s="86" t="e">
        <f t="shared" ref="BP331" si="2431">+BP330/BP329</f>
        <v>#DIV/0!</v>
      </c>
      <c r="BQ331" s="86" t="e">
        <f t="shared" ref="BQ331" si="2432">+BQ330/BQ329</f>
        <v>#DIV/0!</v>
      </c>
      <c r="BR331" s="86" t="e">
        <f t="shared" ref="BR331" si="2433">+BR330/BR329</f>
        <v>#DIV/0!</v>
      </c>
      <c r="BS331" s="86" t="e">
        <f t="shared" ref="BS331" si="2434">+BS330/BS329</f>
        <v>#DIV/0!</v>
      </c>
      <c r="BT331" s="86" t="e">
        <f t="shared" ref="BT331" si="2435">+BT330/BT329</f>
        <v>#DIV/0!</v>
      </c>
      <c r="BU331" s="86" t="e">
        <f t="shared" ref="BU331" si="2436">+BU330/BU329</f>
        <v>#DIV/0!</v>
      </c>
      <c r="BV331" s="86" t="e">
        <f t="shared" ref="BV331" si="2437">+BV330/BV329</f>
        <v>#DIV/0!</v>
      </c>
      <c r="BW331" s="86" t="e">
        <f t="shared" ref="BW331" si="2438">+BW330/BW329</f>
        <v>#DIV/0!</v>
      </c>
      <c r="BX331" s="86" t="e">
        <f t="shared" ref="BX331" si="2439">+BX330/BX329</f>
        <v>#DIV/0!</v>
      </c>
      <c r="BY331" s="86" t="e">
        <f t="shared" ref="BY331" si="2440">+BY330/BY329</f>
        <v>#DIV/0!</v>
      </c>
      <c r="BZ331" s="86" t="e">
        <f t="shared" ref="BZ331" si="2441">+BZ330/BZ329</f>
        <v>#DIV/0!</v>
      </c>
      <c r="CA331" s="86" t="e">
        <f t="shared" ref="CA331" si="2442">+CA330/CA329</f>
        <v>#DIV/0!</v>
      </c>
      <c r="CB331" s="86" t="e">
        <f t="shared" ref="CB331:CC331" si="2443">+CB330/CB329</f>
        <v>#DIV/0!</v>
      </c>
      <c r="CC331" s="86" t="e">
        <f t="shared" si="2443"/>
        <v>#DIV/0!</v>
      </c>
      <c r="CD331" s="86" t="e">
        <f t="shared" ref="CD331" si="2444">+CD330/CD329</f>
        <v>#DIV/0!</v>
      </c>
      <c r="CE331" s="86" t="e">
        <f t="shared" ref="CE331:CF331" si="2445">+CE330/CE329</f>
        <v>#DIV/0!</v>
      </c>
      <c r="CF331" s="86" t="e">
        <f t="shared" si="2445"/>
        <v>#DIV/0!</v>
      </c>
      <c r="CG331" s="86" t="e">
        <f t="shared" ref="CG331:CH331" si="2446">+CG330/CG329</f>
        <v>#DIV/0!</v>
      </c>
      <c r="CH331" s="86" t="e">
        <f t="shared" si="2446"/>
        <v>#DIV/0!</v>
      </c>
      <c r="CI331" s="86" t="e">
        <f t="shared" ref="CI331:CJ331" si="2447">+CI330/CI329</f>
        <v>#DIV/0!</v>
      </c>
      <c r="CJ331" s="86" t="e">
        <f t="shared" si="2447"/>
        <v>#DIV/0!</v>
      </c>
      <c r="CK331" s="86" t="e">
        <f t="shared" ref="CK331:DB331" si="2448">+CK330/CK329</f>
        <v>#DIV/0!</v>
      </c>
      <c r="CL331" s="86" t="e">
        <f t="shared" si="2448"/>
        <v>#DIV/0!</v>
      </c>
      <c r="CM331" s="47" t="e">
        <f t="shared" si="2448"/>
        <v>#DIV/0!</v>
      </c>
      <c r="CN331" s="47" t="e">
        <f t="shared" si="2448"/>
        <v>#DIV/0!</v>
      </c>
      <c r="CO331" s="47" t="e">
        <f t="shared" si="2448"/>
        <v>#DIV/0!</v>
      </c>
      <c r="CP331" s="47" t="e">
        <f t="shared" si="2448"/>
        <v>#DIV/0!</v>
      </c>
      <c r="CQ331" s="47" t="e">
        <f t="shared" si="2448"/>
        <v>#DIV/0!</v>
      </c>
      <c r="CR331" s="47" t="e">
        <f t="shared" si="2448"/>
        <v>#DIV/0!</v>
      </c>
      <c r="CS331" s="47" t="e">
        <f t="shared" si="2448"/>
        <v>#DIV/0!</v>
      </c>
      <c r="CT331" s="47" t="e">
        <f t="shared" si="2448"/>
        <v>#DIV/0!</v>
      </c>
      <c r="CU331" s="47" t="e">
        <f t="shared" si="2448"/>
        <v>#DIV/0!</v>
      </c>
      <c r="CV331" s="47" t="e">
        <f t="shared" si="2448"/>
        <v>#DIV/0!</v>
      </c>
      <c r="CW331" s="47" t="e">
        <f t="shared" si="2448"/>
        <v>#DIV/0!</v>
      </c>
      <c r="CX331" s="47" t="e">
        <f t="shared" si="2448"/>
        <v>#DIV/0!</v>
      </c>
      <c r="CY331" s="47" t="e">
        <f t="shared" si="2448"/>
        <v>#DIV/0!</v>
      </c>
      <c r="CZ331" s="47" t="e">
        <f t="shared" si="2448"/>
        <v>#DIV/0!</v>
      </c>
      <c r="DA331" s="47" t="e">
        <f t="shared" si="2448"/>
        <v>#DIV/0!</v>
      </c>
      <c r="DB331" s="47" t="e">
        <f t="shared" si="2448"/>
        <v>#DIV/0!</v>
      </c>
      <c r="DE331" s="130"/>
    </row>
    <row r="332" spans="1:110" s="64" customFormat="1" hidden="1" outlineLevel="1" x14ac:dyDescent="0.2">
      <c r="A332" s="64" t="s">
        <v>481</v>
      </c>
      <c r="AB332" s="30"/>
      <c r="AC332" s="30"/>
      <c r="AD332" s="30"/>
      <c r="AE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E332" s="139"/>
    </row>
    <row r="333" spans="1:110" s="62" customFormat="1" hidden="1" outlineLevel="1" x14ac:dyDescent="0.2">
      <c r="AB333" s="63"/>
      <c r="AC333" s="63"/>
      <c r="AD333" s="63"/>
      <c r="AE333" s="63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E333" s="139"/>
    </row>
    <row r="334" spans="1:110" s="11" customFormat="1" collapsed="1" x14ac:dyDescent="0.2">
      <c r="AB334" s="63"/>
      <c r="AC334" s="63"/>
      <c r="AD334" s="63"/>
      <c r="AE334" s="63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E334" s="139"/>
    </row>
    <row r="335" spans="1:110" s="62" customFormat="1" x14ac:dyDescent="0.2">
      <c r="A335" s="154" t="s">
        <v>497</v>
      </c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63"/>
      <c r="AC335" s="63"/>
      <c r="AD335" s="63"/>
      <c r="AE335" s="63"/>
      <c r="AL335" s="180"/>
      <c r="CF335" s="180"/>
      <c r="CG335" s="180"/>
      <c r="CH335" s="180"/>
      <c r="CI335" s="180"/>
      <c r="CJ335" s="180"/>
      <c r="CK335" s="180"/>
      <c r="CL335" s="18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E335" s="139"/>
    </row>
    <row r="336" spans="1:110" s="84" customFormat="1" x14ac:dyDescent="0.2">
      <c r="A336" s="84" t="s">
        <v>512</v>
      </c>
      <c r="B336" s="84">
        <f>B99/B257</f>
        <v>0.5219368154400984</v>
      </c>
      <c r="C336" s="84">
        <f>C99/C257</f>
        <v>0.5482785796951215</v>
      </c>
      <c r="D336" s="84">
        <f>D99/D257</f>
        <v>0.66475259824068011</v>
      </c>
      <c r="E336" s="84">
        <f t="shared" ref="E336:AE336" si="2449">E101/(E253+E240+E230)</f>
        <v>0.81516547448424914</v>
      </c>
      <c r="F336" s="84">
        <f t="shared" si="2449"/>
        <v>0.57971839183804819</v>
      </c>
      <c r="G336" s="84">
        <f t="shared" si="2449"/>
        <v>0.60133033234774347</v>
      </c>
      <c r="H336" s="84">
        <f t="shared" si="2449"/>
        <v>0.58510519106427117</v>
      </c>
      <c r="I336" s="84">
        <f t="shared" si="2449"/>
        <v>0.55313990033094351</v>
      </c>
      <c r="J336" s="84">
        <f t="shared" si="2449"/>
        <v>0.6196813711867164</v>
      </c>
      <c r="K336" s="84">
        <f t="shared" si="2449"/>
        <v>0.51592853788761539</v>
      </c>
      <c r="L336" s="84">
        <f t="shared" si="2449"/>
        <v>0.4075359141396237</v>
      </c>
      <c r="M336" s="84">
        <f t="shared" si="2449"/>
        <v>0.44101294540757235</v>
      </c>
      <c r="N336" s="84">
        <f t="shared" si="2449"/>
        <v>0.5111202216491767</v>
      </c>
      <c r="O336" s="84">
        <f t="shared" si="2449"/>
        <v>0.5198814984386777</v>
      </c>
      <c r="P336" s="84">
        <f t="shared" si="2449"/>
        <v>0.46433295727192275</v>
      </c>
      <c r="Q336" s="84">
        <f t="shared" si="2449"/>
        <v>0.50323257182090053</v>
      </c>
      <c r="R336" s="84">
        <f t="shared" si="2449"/>
        <v>0.3828736574484452</v>
      </c>
      <c r="S336" s="84">
        <f t="shared" si="2449"/>
        <v>0.38398630138358142</v>
      </c>
      <c r="T336" s="84">
        <f t="shared" si="2449"/>
        <v>0.42265449574284064</v>
      </c>
      <c r="U336" s="84">
        <f t="shared" si="2449"/>
        <v>0.38418928729941942</v>
      </c>
      <c r="V336" s="84">
        <f t="shared" si="2449"/>
        <v>0.38024748001083197</v>
      </c>
      <c r="W336" s="84">
        <f t="shared" si="2449"/>
        <v>0.43335619429033428</v>
      </c>
      <c r="X336" s="84">
        <f t="shared" si="2449"/>
        <v>0.48952756825275001</v>
      </c>
      <c r="Y336" s="84">
        <f t="shared" si="2449"/>
        <v>0.49469272551186927</v>
      </c>
      <c r="Z336" s="84">
        <f t="shared" si="2449"/>
        <v>0.46379480622269559</v>
      </c>
      <c r="AA336" s="84">
        <f t="shared" ref="AA336" si="2450">AA101/(AA253+AA240+AA230)</f>
        <v>0.39178053117427236</v>
      </c>
      <c r="AB336" s="50">
        <f t="shared" si="2449"/>
        <v>0.45311767302941902</v>
      </c>
      <c r="AC336" s="50">
        <f t="shared" si="2449"/>
        <v>0.46777714999921199</v>
      </c>
      <c r="AD336" s="50">
        <f t="shared" si="2449"/>
        <v>0.46988582096727527</v>
      </c>
      <c r="AE336" s="50">
        <f t="shared" si="2449"/>
        <v>0.47119980587275545</v>
      </c>
      <c r="AL336" s="84">
        <f t="shared" ref="AL336:BQ336" si="2451">SUM(AI101:AL101)/(AL253+AL240+AL230)</f>
        <v>0.50821619894938874</v>
      </c>
      <c r="AM336" s="84">
        <f t="shared" si="2451"/>
        <v>0.53757094371851877</v>
      </c>
      <c r="AN336" s="84">
        <f t="shared" si="2451"/>
        <v>0.50688224518418867</v>
      </c>
      <c r="AO336" s="84">
        <f t="shared" si="2451"/>
        <v>0.50228525110455524</v>
      </c>
      <c r="AP336" s="84">
        <f t="shared" si="2451"/>
        <v>0.50795798475152598</v>
      </c>
      <c r="AQ336" s="84">
        <f t="shared" si="2451"/>
        <v>0.50309100267796025</v>
      </c>
      <c r="AR336" s="84">
        <f t="shared" si="2451"/>
        <v>0.47898388415732551</v>
      </c>
      <c r="AS336" s="84">
        <f t="shared" si="2451"/>
        <v>0.47771353112206466</v>
      </c>
      <c r="AT336" s="84">
        <f t="shared" si="2451"/>
        <v>0.46126659620929</v>
      </c>
      <c r="AU336" s="84">
        <f t="shared" si="2451"/>
        <v>0.4414954194130371</v>
      </c>
      <c r="AV336" s="84">
        <f t="shared" si="2451"/>
        <v>0.41280917637079156</v>
      </c>
      <c r="AW336" s="84">
        <f t="shared" si="2451"/>
        <v>0.39458409905419667</v>
      </c>
      <c r="AX336" s="84">
        <f t="shared" si="2451"/>
        <v>0.49205872802804984</v>
      </c>
      <c r="AY336" s="84">
        <f t="shared" si="2451"/>
        <v>0.49079760479057055</v>
      </c>
      <c r="AZ336" s="84">
        <f t="shared" si="2451"/>
        <v>0.42139355690473301</v>
      </c>
      <c r="BA336" s="84">
        <f t="shared" si="2451"/>
        <v>0.4106958862061359</v>
      </c>
      <c r="BB336" s="84">
        <f t="shared" si="2451"/>
        <v>0.38349839573172212</v>
      </c>
      <c r="BC336" s="84">
        <f t="shared" si="2451"/>
        <v>0.37823808614994731</v>
      </c>
      <c r="BD336" s="84">
        <f t="shared" si="2451"/>
        <v>0.37480911398338157</v>
      </c>
      <c r="BE336" s="84">
        <f t="shared" si="2451"/>
        <v>0.37076734373995718</v>
      </c>
      <c r="BF336" s="84">
        <f t="shared" si="2451"/>
        <v>0.38435125637651907</v>
      </c>
      <c r="BG336" s="84">
        <f t="shared" si="2451"/>
        <v>0.3875421838976566</v>
      </c>
      <c r="BH336" s="84">
        <f t="shared" si="2451"/>
        <v>0.39855623277218977</v>
      </c>
      <c r="BI336" s="84">
        <f t="shared" si="2451"/>
        <v>0.41803272383824053</v>
      </c>
      <c r="BJ336" s="84">
        <f t="shared" si="2451"/>
        <v>0.42265449574284064</v>
      </c>
      <c r="BK336" s="84">
        <f t="shared" si="2451"/>
        <v>0.42560603341973846</v>
      </c>
      <c r="BL336" s="84">
        <f t="shared" si="2451"/>
        <v>0.41263966989892431</v>
      </c>
      <c r="BM336" s="84">
        <f t="shared" si="2451"/>
        <v>0.40136523329095897</v>
      </c>
      <c r="BN336" s="84">
        <f t="shared" si="2451"/>
        <v>0.38418928729941937</v>
      </c>
      <c r="BO336" s="84">
        <f t="shared" si="2451"/>
        <v>0.3664921899508215</v>
      </c>
      <c r="BP336" s="84">
        <f t="shared" si="2451"/>
        <v>0.35262444171203966</v>
      </c>
      <c r="BQ336" s="84">
        <f t="shared" si="2451"/>
        <v>0.36008354208460081</v>
      </c>
      <c r="BR336" s="84">
        <f t="shared" ref="BR336:CW336" si="2452">SUM(BO101:BR101)/(BR253+BR240+BR230)</f>
        <v>0.38024748001083186</v>
      </c>
      <c r="BS336" s="84">
        <f t="shared" si="2452"/>
        <v>0.42188885116182179</v>
      </c>
      <c r="BT336" s="84">
        <f t="shared" si="2452"/>
        <v>0.41816382525923501</v>
      </c>
      <c r="BU336" s="84">
        <f t="shared" si="2452"/>
        <v>0.44869046041051008</v>
      </c>
      <c r="BV336" s="84">
        <f t="shared" si="2452"/>
        <v>0.43335619429033428</v>
      </c>
      <c r="BW336" s="84">
        <f t="shared" si="2452"/>
        <v>0.46339033553811171</v>
      </c>
      <c r="BX336" s="84">
        <f t="shared" si="2452"/>
        <v>0.48718247165630463</v>
      </c>
      <c r="BY336" s="84">
        <f t="shared" si="2452"/>
        <v>0.51271852162186937</v>
      </c>
      <c r="BZ336" s="84">
        <f t="shared" si="2452"/>
        <v>0.48952756825275001</v>
      </c>
      <c r="CA336" s="84">
        <f t="shared" si="2452"/>
        <v>0.48465115208155352</v>
      </c>
      <c r="CB336" s="84">
        <f t="shared" si="2452"/>
        <v>0.49528830381089334</v>
      </c>
      <c r="CC336" s="84">
        <f t="shared" si="2452"/>
        <v>0.49874002456314231</v>
      </c>
      <c r="CD336" s="84">
        <f t="shared" si="2452"/>
        <v>0.49469272551186916</v>
      </c>
      <c r="CE336" s="84">
        <f t="shared" si="2452"/>
        <v>0.50424527673578534</v>
      </c>
      <c r="CF336" s="84">
        <f t="shared" si="2452"/>
        <v>0.48997834070423385</v>
      </c>
      <c r="CG336" s="84">
        <f t="shared" si="2452"/>
        <v>0.49244988928649142</v>
      </c>
      <c r="CH336" s="84">
        <f t="shared" si="2452"/>
        <v>0.46379473539079685</v>
      </c>
      <c r="CI336" s="84">
        <f t="shared" si="2452"/>
        <v>0.45640803163032928</v>
      </c>
      <c r="CJ336" s="84">
        <f t="shared" si="2452"/>
        <v>0.44650605396358661</v>
      </c>
      <c r="CK336" s="84">
        <f t="shared" si="2452"/>
        <v>0.44980248089861424</v>
      </c>
      <c r="CL336" s="84">
        <f t="shared" si="2452"/>
        <v>0.39178053117427236</v>
      </c>
      <c r="CM336" s="50">
        <f t="shared" si="2452"/>
        <v>0.37043132567101772</v>
      </c>
      <c r="CN336" s="50">
        <f t="shared" si="2452"/>
        <v>0.37799775272615932</v>
      </c>
      <c r="CO336" s="50">
        <f t="shared" si="2452"/>
        <v>0.42665432213141091</v>
      </c>
      <c r="CP336" s="50">
        <f t="shared" si="2452"/>
        <v>0.45311767302941902</v>
      </c>
      <c r="CQ336" s="50">
        <f t="shared" si="2452"/>
        <v>0.46357061205616923</v>
      </c>
      <c r="CR336" s="50">
        <f t="shared" si="2452"/>
        <v>0.45528304501107125</v>
      </c>
      <c r="CS336" s="50">
        <f t="shared" si="2452"/>
        <v>0.47417420717144293</v>
      </c>
      <c r="CT336" s="50">
        <f t="shared" si="2452"/>
        <v>0.46777714999921199</v>
      </c>
      <c r="CU336" s="50">
        <f t="shared" si="2452"/>
        <v>0.46162683446962632</v>
      </c>
      <c r="CV336" s="50">
        <f t="shared" si="2452"/>
        <v>0.45510508830686203</v>
      </c>
      <c r="CW336" s="50">
        <f t="shared" si="2452"/>
        <v>0.47528193587441808</v>
      </c>
      <c r="CX336" s="50">
        <f t="shared" ref="CX336:DB336" si="2453">SUM(CU101:CX101)/(CX253+CX240+CX230)</f>
        <v>0.46988582096727527</v>
      </c>
      <c r="CY336" s="50">
        <f t="shared" si="2453"/>
        <v>0.46282435683014894</v>
      </c>
      <c r="CZ336" s="50">
        <f t="shared" si="2453"/>
        <v>0.45637215778410317</v>
      </c>
      <c r="DA336" s="50">
        <f t="shared" si="2453"/>
        <v>0.47674553785925494</v>
      </c>
      <c r="DB336" s="50">
        <f t="shared" si="2453"/>
        <v>0.47119980587275545</v>
      </c>
      <c r="DE336" s="138"/>
      <c r="DF336" s="84">
        <v>0.44112888967917735</v>
      </c>
    </row>
    <row r="337" spans="1:110" s="84" customFormat="1" x14ac:dyDescent="0.2">
      <c r="A337" s="84" t="s">
        <v>513</v>
      </c>
      <c r="E337" s="181">
        <f>+E134</f>
        <v>0.10871254295395022</v>
      </c>
      <c r="F337" s="181">
        <f t="shared" ref="F337:AE337" si="2454">+F134</f>
        <v>0.12005207855045318</v>
      </c>
      <c r="G337" s="181">
        <f t="shared" si="2454"/>
        <v>0.11332156847397207</v>
      </c>
      <c r="H337" s="181">
        <f t="shared" si="2454"/>
        <v>0.11723320011612745</v>
      </c>
      <c r="I337" s="181">
        <f t="shared" si="2454"/>
        <v>0.10807043704537574</v>
      </c>
      <c r="J337" s="181">
        <f t="shared" si="2454"/>
        <v>7.1906704493359369E-2</v>
      </c>
      <c r="K337" s="181">
        <f t="shared" si="2454"/>
        <v>0.11264394938543676</v>
      </c>
      <c r="L337" s="181">
        <f t="shared" si="2454"/>
        <v>0.11217607949509445</v>
      </c>
      <c r="M337" s="181">
        <f t="shared" si="2454"/>
        <v>3.1987123770258662E-2</v>
      </c>
      <c r="N337" s="181">
        <f t="shared" si="2454"/>
        <v>2.8726953744432637E-2</v>
      </c>
      <c r="O337" s="181">
        <f t="shared" si="2454"/>
        <v>-9.325767451026757E-4</v>
      </c>
      <c r="P337" s="181">
        <f t="shared" si="2454"/>
        <v>-6.8422420406283307E-3</v>
      </c>
      <c r="Q337" s="181">
        <f t="shared" si="2454"/>
        <v>5.673909874111277E-2</v>
      </c>
      <c r="R337" s="181">
        <f t="shared" si="2454"/>
        <v>2.9857265531349243E-2</v>
      </c>
      <c r="S337" s="181">
        <f t="shared" si="2454"/>
        <v>1.6244247915539013E-2</v>
      </c>
      <c r="T337" s="181">
        <f t="shared" si="2454"/>
        <v>-1.7383252133625508E-2</v>
      </c>
      <c r="U337" s="181">
        <f t="shared" si="2454"/>
        <v>7.2577675256045929E-2</v>
      </c>
      <c r="V337" s="181">
        <f t="shared" si="2454"/>
        <v>2.6625133663840145E-2</v>
      </c>
      <c r="W337" s="181">
        <f t="shared" si="2454"/>
        <v>2.4999024889718988E-2</v>
      </c>
      <c r="X337" s="181">
        <f t="shared" si="2454"/>
        <v>1.1071859664505359E-2</v>
      </c>
      <c r="Y337" s="181">
        <f t="shared" si="2454"/>
        <v>4.6041019448680033E-2</v>
      </c>
      <c r="Z337" s="181">
        <f t="shared" si="2454"/>
        <v>6.26811288757914E-2</v>
      </c>
      <c r="AA337" s="181">
        <f t="shared" ref="AA337" si="2455">+AA134</f>
        <v>3.645477176402654E-2</v>
      </c>
      <c r="AB337" s="182">
        <f t="shared" si="2454"/>
        <v>8.2847365739614473E-2</v>
      </c>
      <c r="AC337" s="182">
        <f t="shared" si="2454"/>
        <v>7.5803482198421243E-2</v>
      </c>
      <c r="AD337" s="182">
        <f t="shared" si="2454"/>
        <v>7.9330164235859604E-2</v>
      </c>
      <c r="AE337" s="182">
        <f t="shared" si="2454"/>
        <v>8.5653366679348156E-2</v>
      </c>
      <c r="AL337" s="181">
        <f t="shared" ref="AL337:CW337" si="2456">+AL134</f>
        <v>2.8314632686886995E-2</v>
      </c>
      <c r="AM337" s="181">
        <f t="shared" si="2456"/>
        <v>-5.4141109550080047E-3</v>
      </c>
      <c r="AN337" s="181">
        <f t="shared" si="2456"/>
        <v>1.4320756893142474E-2</v>
      </c>
      <c r="AO337" s="181">
        <f t="shared" si="2456"/>
        <v>-1.6064952993620582E-3</v>
      </c>
      <c r="AP337" s="181">
        <f t="shared" si="2456"/>
        <v>-1.0228256949991415E-2</v>
      </c>
      <c r="AQ337" s="181">
        <f t="shared" si="2456"/>
        <v>-2.0684231773537367E-2</v>
      </c>
      <c r="AR337" s="181">
        <f t="shared" si="2456"/>
        <v>1.2214056148974353E-2</v>
      </c>
      <c r="AS337" s="181">
        <f t="shared" si="2456"/>
        <v>-3.8494911120492982E-3</v>
      </c>
      <c r="AT337" s="181">
        <f t="shared" si="2456"/>
        <v>-1.5766010934140203E-2</v>
      </c>
      <c r="AU337" s="181">
        <f t="shared" si="2456"/>
        <v>7.3383309828124299E-2</v>
      </c>
      <c r="AV337" s="181">
        <f t="shared" si="2456"/>
        <v>5.2039424829541749E-2</v>
      </c>
      <c r="AW337" s="181">
        <f t="shared" si="2456"/>
        <v>1.3411893471563753E-2</v>
      </c>
      <c r="AX337" s="181">
        <f t="shared" si="2456"/>
        <v>1.2210105229914038E-2</v>
      </c>
      <c r="AY337" s="181">
        <f t="shared" si="2456"/>
        <v>3.102671716654724E-2</v>
      </c>
      <c r="AZ337" s="181">
        <f t="shared" si="2456"/>
        <v>3.8890213539904996E-2</v>
      </c>
      <c r="BA337" s="181">
        <f t="shared" si="2456"/>
        <v>2.9733195223341363E-2</v>
      </c>
      <c r="BB337" s="181">
        <f t="shared" si="2456"/>
        <v>1.1504245393448432E-2</v>
      </c>
      <c r="BC337" s="181">
        <f t="shared" si="2456"/>
        <v>1.7614964925950291E-4</v>
      </c>
      <c r="BD337" s="181">
        <f t="shared" si="2456"/>
        <v>-1.074829239196067E-2</v>
      </c>
      <c r="BE337" s="181">
        <f t="shared" si="2456"/>
        <v>2.3444157592033041E-2</v>
      </c>
      <c r="BF337" s="181">
        <f t="shared" si="2456"/>
        <v>-6.9572711866989212E-3</v>
      </c>
      <c r="BG337" s="181">
        <f t="shared" si="2456"/>
        <v>-6.798993875765523E-2</v>
      </c>
      <c r="BH337" s="181">
        <f t="shared" si="2456"/>
        <v>-8.880233796291643E-4</v>
      </c>
      <c r="BI337" s="181">
        <f t="shared" si="2456"/>
        <v>1.4531588039499042E-4</v>
      </c>
      <c r="BJ337" s="181">
        <f t="shared" si="2456"/>
        <v>9.2145884279596565E-3</v>
      </c>
      <c r="BK337" s="181">
        <f t="shared" si="2456"/>
        <v>1.3288749948498131E-2</v>
      </c>
      <c r="BL337" s="181">
        <f t="shared" si="2456"/>
        <v>1.9996561523974023E-2</v>
      </c>
      <c r="BM337" s="181">
        <f t="shared" si="2456"/>
        <v>1.1235986836429727E-2</v>
      </c>
      <c r="BN337" s="181">
        <f t="shared" si="2456"/>
        <v>3.1985560657322512E-2</v>
      </c>
      <c r="BO337" s="181">
        <f t="shared" si="2456"/>
        <v>1.7667778812612434E-2</v>
      </c>
      <c r="BP337" s="181">
        <f t="shared" si="2456"/>
        <v>2.3438414149419377E-2</v>
      </c>
      <c r="BQ337" s="181">
        <f t="shared" si="2456"/>
        <v>2.5039780676528098E-2</v>
      </c>
      <c r="BR337" s="181">
        <f t="shared" si="2456"/>
        <v>2.1441530117924074E-2</v>
      </c>
      <c r="BS337" s="181">
        <f t="shared" si="2456"/>
        <v>9.842731449268961E-3</v>
      </c>
      <c r="BT337" s="181">
        <f t="shared" si="2456"/>
        <v>-1.1944686255761991E-2</v>
      </c>
      <c r="BU337" s="181">
        <f t="shared" si="2456"/>
        <v>-9.728639053471367E-3</v>
      </c>
      <c r="BV337" s="181">
        <f t="shared" si="2456"/>
        <v>7.9807959223943931E-2</v>
      </c>
      <c r="BW337" s="181">
        <f t="shared" si="2456"/>
        <v>5.5562147648783953E-3</v>
      </c>
      <c r="BX337" s="181">
        <f t="shared" si="2456"/>
        <v>-2.0256978971855945E-2</v>
      </c>
      <c r="BY337" s="181">
        <f t="shared" si="2456"/>
        <v>3.8353414791579975E-3</v>
      </c>
      <c r="BZ337" s="181">
        <f t="shared" si="2456"/>
        <v>6.100165733079798E-2</v>
      </c>
      <c r="CA337" s="181">
        <f t="shared" si="2456"/>
        <v>3.6522014633258222E-2</v>
      </c>
      <c r="CB337" s="181">
        <f t="shared" si="2456"/>
        <v>4.8664921848541445E-2</v>
      </c>
      <c r="CC337" s="181">
        <f t="shared" si="2456"/>
        <v>5.5770937137396857E-2</v>
      </c>
      <c r="CD337" s="181">
        <f t="shared" si="2456"/>
        <v>4.3577226127025567E-2</v>
      </c>
      <c r="CE337" s="181">
        <f t="shared" si="2456"/>
        <v>5.2004727755091087E-2</v>
      </c>
      <c r="CF337" s="181">
        <f t="shared" si="2456"/>
        <v>6.3576314191851349E-2</v>
      </c>
      <c r="CG337" s="181">
        <f t="shared" si="2456"/>
        <v>6.5061145885988408E-2</v>
      </c>
      <c r="CH337" s="181">
        <f t="shared" si="2456"/>
        <v>7.0513480440901583E-2</v>
      </c>
      <c r="CI337" s="181">
        <f t="shared" si="2456"/>
        <v>6.2849769920493875E-2</v>
      </c>
      <c r="CJ337" s="181">
        <f t="shared" si="2456"/>
        <v>7.1811930722017706E-2</v>
      </c>
      <c r="CK337" s="181">
        <f t="shared" si="2456"/>
        <v>7.1380178816080109E-2</v>
      </c>
      <c r="CL337" s="181">
        <f t="shared" ref="CL337" si="2457">+CL134</f>
        <v>8.451027502986537E-2</v>
      </c>
      <c r="CM337" s="182">
        <f t="shared" si="2456"/>
        <v>7.1998363207245342E-2</v>
      </c>
      <c r="CN337" s="182">
        <f t="shared" si="2456"/>
        <v>9.219695959671316E-2</v>
      </c>
      <c r="CO337" s="182">
        <f t="shared" si="2456"/>
        <v>8.3705838140373259E-2</v>
      </c>
      <c r="CP337" s="182">
        <f t="shared" si="2456"/>
        <v>8.149655403476759E-2</v>
      </c>
      <c r="CQ337" s="182">
        <f t="shared" si="2456"/>
        <v>7.6638728239553547E-2</v>
      </c>
      <c r="CR337" s="182">
        <f t="shared" si="2456"/>
        <v>8.1358853723017016E-2</v>
      </c>
      <c r="CS337" s="182">
        <f t="shared" si="2456"/>
        <v>7.0502547536080318E-2</v>
      </c>
      <c r="CT337" s="182">
        <f t="shared" si="2456"/>
        <v>7.413729507091156E-2</v>
      </c>
      <c r="CU337" s="182">
        <f t="shared" si="2456"/>
        <v>7.9000802084841115E-2</v>
      </c>
      <c r="CV337" s="182">
        <f t="shared" si="2456"/>
        <v>8.35934415182501E-2</v>
      </c>
      <c r="CW337" s="182">
        <f t="shared" si="2456"/>
        <v>7.4401916223127543E-2</v>
      </c>
      <c r="CX337" s="182">
        <f t="shared" ref="CX337:DB337" si="2458">+CX134</f>
        <v>7.983771344223646E-2</v>
      </c>
      <c r="CY337" s="182">
        <f t="shared" si="2458"/>
        <v>8.5051218646513466E-2</v>
      </c>
      <c r="CZ337" s="182">
        <f t="shared" si="2458"/>
        <v>8.9431629088300046E-2</v>
      </c>
      <c r="DA337" s="182">
        <f t="shared" si="2458"/>
        <v>8.1150287663218315E-2</v>
      </c>
      <c r="DB337" s="182">
        <f t="shared" si="2458"/>
        <v>8.6539238838400187E-2</v>
      </c>
      <c r="DE337" s="138"/>
      <c r="DF337" s="84">
        <v>8.0456263523612362E-2</v>
      </c>
    </row>
    <row r="338" spans="1:110" s="84" customFormat="1" x14ac:dyDescent="0.2">
      <c r="A338" s="84" t="s">
        <v>514</v>
      </c>
      <c r="E338" s="84">
        <f>(E253+E240+E230+E232)/E212</f>
        <v>1.7033397631811882</v>
      </c>
      <c r="F338" s="84">
        <f t="shared" ref="F338:AE338" si="2459">(F253+F240+F230+F232)/F212</f>
        <v>2.1050735386753687</v>
      </c>
      <c r="G338" s="84">
        <f t="shared" si="2459"/>
        <v>2.1224810330705903</v>
      </c>
      <c r="H338" s="84">
        <f t="shared" si="2459"/>
        <v>2.2768807564861113</v>
      </c>
      <c r="I338" s="84">
        <f t="shared" si="2459"/>
        <v>2.7125857717721895</v>
      </c>
      <c r="J338" s="84">
        <f t="shared" si="2459"/>
        <v>3.4011158959636347</v>
      </c>
      <c r="K338" s="84">
        <f t="shared" si="2459"/>
        <v>3.2103437629490004</v>
      </c>
      <c r="L338" s="84">
        <f t="shared" si="2459"/>
        <v>3.5886337339244889</v>
      </c>
      <c r="M338" s="84">
        <f t="shared" si="2459"/>
        <v>4.8604965292187865</v>
      </c>
      <c r="N338" s="84">
        <f t="shared" si="2459"/>
        <v>5.4521461535904869</v>
      </c>
      <c r="O338" s="84">
        <f t="shared" si="2459"/>
        <v>5.7562210357654608</v>
      </c>
      <c r="P338" s="84">
        <f t="shared" si="2459"/>
        <v>5.250779913806169</v>
      </c>
      <c r="Q338" s="84">
        <f t="shared" si="2459"/>
        <v>6.0220254130785733</v>
      </c>
      <c r="R338" s="84">
        <f t="shared" si="2459"/>
        <v>6.2680348555191072</v>
      </c>
      <c r="S338" s="84">
        <f t="shared" si="2459"/>
        <v>5.4961382239320056</v>
      </c>
      <c r="T338" s="84">
        <f t="shared" si="2459"/>
        <v>5.0027306520301966</v>
      </c>
      <c r="U338" s="84">
        <f t="shared" si="2459"/>
        <v>4.963678220216738</v>
      </c>
      <c r="V338" s="84">
        <f t="shared" si="2459"/>
        <v>4.7379506355217913</v>
      </c>
      <c r="W338" s="84">
        <f t="shared" si="2459"/>
        <v>5.0152480487096254</v>
      </c>
      <c r="X338" s="84">
        <f t="shared" si="2459"/>
        <v>4.4497247583407065</v>
      </c>
      <c r="Y338" s="84">
        <f t="shared" si="2459"/>
        <v>4.2977330754878098</v>
      </c>
      <c r="Z338" s="84">
        <f t="shared" si="2459"/>
        <v>4.3579905174763756</v>
      </c>
      <c r="AA338" s="84">
        <f t="shared" ref="AA338" si="2460">(AA253+AA240+AA230+AA232)/AA212</f>
        <v>4.4230195141739186</v>
      </c>
      <c r="AB338" s="50">
        <f t="shared" si="2459"/>
        <v>4.1543910631092453</v>
      </c>
      <c r="AC338" s="50">
        <f t="shared" si="2459"/>
        <v>3.8534336613830922</v>
      </c>
      <c r="AD338" s="50">
        <f t="shared" si="2459"/>
        <v>3.5982448454026752</v>
      </c>
      <c r="AE338" s="50">
        <f t="shared" si="2459"/>
        <v>3.3626844077010234</v>
      </c>
      <c r="AL338" s="84">
        <f t="shared" ref="AL338:CW338" si="2461">(AL253+AL240+AL230+AL232)/AL212</f>
        <v>5.4521461535904869</v>
      </c>
      <c r="AM338" s="84">
        <f t="shared" si="2461"/>
        <v>5.4943891288384652</v>
      </c>
      <c r="AN338" s="84">
        <f t="shared" si="2461"/>
        <v>5.5701272197942062</v>
      </c>
      <c r="AO338" s="84">
        <f t="shared" si="2461"/>
        <v>5.5882103739822284</v>
      </c>
      <c r="AP338" s="84">
        <f t="shared" si="2461"/>
        <v>5.7562210357654617</v>
      </c>
      <c r="AQ338" s="84">
        <f t="shared" si="2461"/>
        <v>5.7854546902405062</v>
      </c>
      <c r="AR338" s="84">
        <f t="shared" si="2461"/>
        <v>5.905836730949888</v>
      </c>
      <c r="AS338" s="84">
        <f t="shared" si="2461"/>
        <v>5.8278704653491422</v>
      </c>
      <c r="AT338" s="84">
        <f t="shared" si="2461"/>
        <v>5.2507799138061682</v>
      </c>
      <c r="AU338" s="84">
        <f t="shared" si="2461"/>
        <v>5.1221287150255588</v>
      </c>
      <c r="AV338" s="84">
        <f t="shared" si="2461"/>
        <v>5.1698019788731076</v>
      </c>
      <c r="AW338" s="84">
        <f t="shared" si="2461"/>
        <v>5.0289455390417146</v>
      </c>
      <c r="AX338" s="84">
        <f t="shared" si="2461"/>
        <v>5.3342330763291708</v>
      </c>
      <c r="AY338" s="84">
        <f t="shared" si="2461"/>
        <v>5.2894588452460845</v>
      </c>
      <c r="AZ338" s="84">
        <f t="shared" si="2461"/>
        <v>5.0732300790818972</v>
      </c>
      <c r="BA338" s="84">
        <f t="shared" si="2461"/>
        <v>4.9031303882892088</v>
      </c>
      <c r="BB338" s="84">
        <f t="shared" si="2461"/>
        <v>5.629071905019182</v>
      </c>
      <c r="BC338" s="84">
        <f t="shared" si="2461"/>
        <v>5.490965699919105</v>
      </c>
      <c r="BD338" s="84">
        <f t="shared" si="2461"/>
        <v>5.6870600348892806</v>
      </c>
      <c r="BE338" s="84">
        <f t="shared" si="2461"/>
        <v>5.4772257524402379</v>
      </c>
      <c r="BF338" s="84">
        <f t="shared" si="2461"/>
        <v>4.9934389763827554</v>
      </c>
      <c r="BG338" s="84">
        <f t="shared" si="2461"/>
        <v>4.62841482828936</v>
      </c>
      <c r="BH338" s="84">
        <f t="shared" si="2461"/>
        <v>4.5699471069687201</v>
      </c>
      <c r="BI338" s="84">
        <f t="shared" si="2461"/>
        <v>4.5662412989935683</v>
      </c>
      <c r="BJ338" s="84">
        <f t="shared" si="2461"/>
        <v>4.5927941914756811</v>
      </c>
      <c r="BK338" s="84">
        <f t="shared" si="2461"/>
        <v>4.5830182718481858</v>
      </c>
      <c r="BL338" s="84">
        <f t="shared" si="2461"/>
        <v>4.722339323256266</v>
      </c>
      <c r="BM338" s="84">
        <f t="shared" si="2461"/>
        <v>4.6629766325635673</v>
      </c>
      <c r="BN338" s="84">
        <f t="shared" si="2461"/>
        <v>4.5831451669782615</v>
      </c>
      <c r="BO338" s="84">
        <f t="shared" si="2461"/>
        <v>4.5391703682960891</v>
      </c>
      <c r="BP338" s="84">
        <f t="shared" si="2461"/>
        <v>4.3242590727288759</v>
      </c>
      <c r="BQ338" s="84">
        <f t="shared" si="2461"/>
        <v>4.2660813089612812</v>
      </c>
      <c r="BR338" s="84">
        <f t="shared" si="2461"/>
        <v>4.4195722117742555</v>
      </c>
      <c r="BS338" s="84">
        <f t="shared" si="2461"/>
        <v>4.3537101660716742</v>
      </c>
      <c r="BT338" s="84">
        <f t="shared" si="2461"/>
        <v>4.8666671366533194</v>
      </c>
      <c r="BU338" s="84">
        <f t="shared" si="2461"/>
        <v>4.8274836315833163</v>
      </c>
      <c r="BV338" s="84">
        <f t="shared" si="2461"/>
        <v>5.0152480487096254</v>
      </c>
      <c r="BW338" s="84">
        <f t="shared" si="2461"/>
        <v>4.9733704973711674</v>
      </c>
      <c r="BX338" s="84">
        <f t="shared" si="2461"/>
        <v>4.7238243905022186</v>
      </c>
      <c r="BY338" s="84">
        <f t="shared" si="2461"/>
        <v>4.594396457873307</v>
      </c>
      <c r="BZ338" s="84">
        <f t="shared" si="2461"/>
        <v>4.4497247583407065</v>
      </c>
      <c r="CA338" s="84">
        <f t="shared" si="2461"/>
        <v>4.392146644091671</v>
      </c>
      <c r="CB338" s="84">
        <f t="shared" si="2461"/>
        <v>4.3717664836869545</v>
      </c>
      <c r="CC338" s="84">
        <f t="shared" si="2461"/>
        <v>4.2455530108629675</v>
      </c>
      <c r="CD338" s="84">
        <f t="shared" si="2461"/>
        <v>4.2977330754878107</v>
      </c>
      <c r="CE338" s="84">
        <f t="shared" si="2461"/>
        <v>4.2256931926445587</v>
      </c>
      <c r="CF338" s="84">
        <f t="shared" si="2461"/>
        <v>4.2928335377133005</v>
      </c>
      <c r="CG338" s="84">
        <f t="shared" si="2461"/>
        <v>4.1899193236612575</v>
      </c>
      <c r="CH338" s="84">
        <f t="shared" si="2461"/>
        <v>4.3579905174763756</v>
      </c>
      <c r="CI338" s="84">
        <f t="shared" si="2461"/>
        <v>4.3386700905480282</v>
      </c>
      <c r="CJ338" s="84">
        <f t="shared" si="2461"/>
        <v>4.3313434792102736</v>
      </c>
      <c r="CK338" s="84">
        <f t="shared" si="2461"/>
        <v>4.1328234714088277</v>
      </c>
      <c r="CL338" s="84">
        <f t="shared" ref="CL338" si="2462">(CL253+CL240+CL230+CL232)/CL212</f>
        <v>4.4230195141739186</v>
      </c>
      <c r="CM338" s="50">
        <f t="shared" si="2461"/>
        <v>4.4916077127080332</v>
      </c>
      <c r="CN338" s="50">
        <f t="shared" si="2461"/>
        <v>4.5870045162133648</v>
      </c>
      <c r="CO338" s="50">
        <f t="shared" si="2461"/>
        <v>4.2538494495406391</v>
      </c>
      <c r="CP338" s="50">
        <f t="shared" si="2461"/>
        <v>4.1543910631092453</v>
      </c>
      <c r="CQ338" s="50">
        <f t="shared" si="2461"/>
        <v>4.1117889174550903</v>
      </c>
      <c r="CR338" s="50">
        <f t="shared" si="2461"/>
        <v>4.0838246145902355</v>
      </c>
      <c r="CS338" s="50">
        <f t="shared" si="2461"/>
        <v>3.8724383746611832</v>
      </c>
      <c r="CT338" s="50">
        <f t="shared" si="2461"/>
        <v>3.8534336613830922</v>
      </c>
      <c r="CU338" s="50">
        <f t="shared" si="2461"/>
        <v>3.8370071401955008</v>
      </c>
      <c r="CV338" s="50">
        <f t="shared" si="2461"/>
        <v>3.8126878358652116</v>
      </c>
      <c r="CW338" s="50">
        <f t="shared" si="2461"/>
        <v>3.6154569253528663</v>
      </c>
      <c r="CX338" s="50">
        <f t="shared" ref="CX338:DB338" si="2463">(CX253+CX240+CX230+CX232)/CX212</f>
        <v>3.5982448454026752</v>
      </c>
      <c r="CY338" s="50">
        <f t="shared" si="2463"/>
        <v>3.5874626670135163</v>
      </c>
      <c r="CZ338" s="50">
        <f t="shared" si="2463"/>
        <v>3.5655564646740356</v>
      </c>
      <c r="DA338" s="50">
        <f t="shared" si="2463"/>
        <v>3.3782941233857358</v>
      </c>
      <c r="DB338" s="50">
        <f t="shared" si="2463"/>
        <v>3.3626844077010234</v>
      </c>
      <c r="DE338" s="138"/>
      <c r="DF338" s="84">
        <v>4.1079601757256858</v>
      </c>
    </row>
    <row r="339" spans="1:110" s="84" customFormat="1" x14ac:dyDescent="0.2">
      <c r="A339" s="154" t="s">
        <v>498</v>
      </c>
      <c r="AB339" s="50"/>
      <c r="AC339" s="50"/>
      <c r="AD339" s="50"/>
      <c r="AE339" s="50"/>
      <c r="CM339" s="50"/>
      <c r="CN339" s="50"/>
      <c r="CO339" s="50"/>
      <c r="CP339" s="50"/>
      <c r="CQ339" s="50"/>
      <c r="CR339" s="50"/>
      <c r="CS339" s="50"/>
      <c r="CT339" s="50"/>
      <c r="CU339" s="50"/>
      <c r="CV339" s="50"/>
      <c r="CW339" s="50"/>
      <c r="CX339" s="50"/>
      <c r="CY339" s="50"/>
      <c r="CZ339" s="50"/>
      <c r="DA339" s="50"/>
      <c r="DB339" s="50"/>
      <c r="DE339" s="138"/>
    </row>
    <row r="340" spans="1:110" s="88" customFormat="1" x14ac:dyDescent="0.2">
      <c r="A340" s="88" t="s">
        <v>102</v>
      </c>
      <c r="B340" s="88">
        <f t="shared" ref="B340:AE340" si="2464">B253/B212</f>
        <v>0.27402250400425487</v>
      </c>
      <c r="C340" s="88">
        <f t="shared" si="2464"/>
        <v>0.12580487146903685</v>
      </c>
      <c r="D340" s="88">
        <f t="shared" si="2464"/>
        <v>5.4298784308810633E-2</v>
      </c>
      <c r="F340" s="88">
        <f t="shared" si="2464"/>
        <v>0.41657353257931978</v>
      </c>
      <c r="G340" s="88">
        <f t="shared" si="2464"/>
        <v>0.30194950300169104</v>
      </c>
      <c r="H340" s="88">
        <f t="shared" si="2464"/>
        <v>0.30514605786534388</v>
      </c>
      <c r="I340" s="88">
        <f t="shared" si="2464"/>
        <v>8.8759254243950134E-2</v>
      </c>
      <c r="J340" s="88">
        <f t="shared" si="2464"/>
        <v>0.18488969206056258</v>
      </c>
      <c r="K340" s="88">
        <f t="shared" si="2464"/>
        <v>0.21773251326383863</v>
      </c>
      <c r="L340" s="88">
        <f t="shared" si="2464"/>
        <v>0.17383688475679007</v>
      </c>
      <c r="M340" s="88">
        <f t="shared" si="2464"/>
        <v>0.35280621221708675</v>
      </c>
      <c r="N340" s="88">
        <f t="shared" si="2464"/>
        <v>0.20001070057126458</v>
      </c>
      <c r="O340" s="88">
        <f t="shared" si="2464"/>
        <v>0.15285374568484814</v>
      </c>
      <c r="P340" s="88">
        <f t="shared" si="2464"/>
        <v>0.14589259362981349</v>
      </c>
      <c r="Q340" s="88">
        <f t="shared" si="2464"/>
        <v>8.5883036572346125E-2</v>
      </c>
      <c r="R340" s="88">
        <f t="shared" si="2464"/>
        <v>0.15528943475184551</v>
      </c>
      <c r="S340" s="88">
        <f t="shared" si="2464"/>
        <v>0.10885591024894162</v>
      </c>
      <c r="T340" s="88">
        <f t="shared" si="2464"/>
        <v>5.6792682876032931E-2</v>
      </c>
      <c r="U340" s="88">
        <f t="shared" si="2464"/>
        <v>0.15463782282982083</v>
      </c>
      <c r="V340" s="88">
        <f t="shared" si="2464"/>
        <v>0.30593268934303958</v>
      </c>
      <c r="W340" s="88">
        <f t="shared" si="2464"/>
        <v>0.31420364716178373</v>
      </c>
      <c r="X340" s="88">
        <f t="shared" si="2464"/>
        <v>0.42921962815020309</v>
      </c>
      <c r="Y340" s="88">
        <f t="shared" si="2464"/>
        <v>0.32853360300587631</v>
      </c>
      <c r="Z340" s="88">
        <f t="shared" si="2464"/>
        <v>0.36420636109760218</v>
      </c>
      <c r="AA340" s="88">
        <f t="shared" ref="AA340" si="2465">AA253/AA212</f>
        <v>0.38006537578916777</v>
      </c>
      <c r="AB340" s="42">
        <f t="shared" si="2464"/>
        <v>0.19576563832839133</v>
      </c>
      <c r="AC340" s="42">
        <f t="shared" si="2464"/>
        <v>0.12493831285723694</v>
      </c>
      <c r="AD340" s="42">
        <f t="shared" si="2464"/>
        <v>0.17333302933968972</v>
      </c>
      <c r="AE340" s="42">
        <f t="shared" si="2464"/>
        <v>0.22571153306178166</v>
      </c>
      <c r="AL340" s="88">
        <f t="shared" ref="AL340:CW340" si="2466">AL253/AL212</f>
        <v>0.20001070057126458</v>
      </c>
      <c r="AM340" s="88">
        <f t="shared" si="2466"/>
        <v>0.19227098372615942</v>
      </c>
      <c r="AN340" s="88">
        <f t="shared" si="2466"/>
        <v>0.1671398804665773</v>
      </c>
      <c r="AO340" s="88">
        <f t="shared" si="2466"/>
        <v>0.16801629938406365</v>
      </c>
      <c r="AP340" s="88">
        <f t="shared" si="2466"/>
        <v>0.15285374568484814</v>
      </c>
      <c r="AQ340" s="88">
        <f t="shared" si="2466"/>
        <v>0.15136011679732522</v>
      </c>
      <c r="AR340" s="88">
        <f t="shared" si="2466"/>
        <v>0.19534845470389334</v>
      </c>
      <c r="AS340" s="88">
        <f t="shared" si="2466"/>
        <v>0.20901779078184293</v>
      </c>
      <c r="AT340" s="88">
        <f t="shared" si="2466"/>
        <v>0.14589259362981349</v>
      </c>
      <c r="AU340" s="88">
        <f t="shared" si="2466"/>
        <v>0.18041767040674336</v>
      </c>
      <c r="AV340" s="88">
        <f t="shared" si="2466"/>
        <v>9.4436727713590643E-2</v>
      </c>
      <c r="AW340" s="88">
        <f t="shared" si="2466"/>
        <v>0.12676920731627431</v>
      </c>
      <c r="AX340" s="88">
        <f t="shared" si="2466"/>
        <v>7.6074095168189748E-2</v>
      </c>
      <c r="AY340" s="88">
        <f t="shared" si="2466"/>
        <v>8.7837701401390314E-2</v>
      </c>
      <c r="AZ340" s="88">
        <f t="shared" si="2466"/>
        <v>0.10005531477755558</v>
      </c>
      <c r="BA340" s="88">
        <f t="shared" si="2466"/>
        <v>0.14370966471125818</v>
      </c>
      <c r="BB340" s="88">
        <f t="shared" si="2466"/>
        <v>0.13945924272233945</v>
      </c>
      <c r="BC340" s="88">
        <f t="shared" si="2466"/>
        <v>0.16511027265388736</v>
      </c>
      <c r="BD340" s="88">
        <f t="shared" si="2466"/>
        <v>0.1052407962395417</v>
      </c>
      <c r="BE340" s="88">
        <f t="shared" si="2466"/>
        <v>0.1502918439234539</v>
      </c>
      <c r="BF340" s="88">
        <f t="shared" si="2466"/>
        <v>9.8899504142713257E-2</v>
      </c>
      <c r="BG340" s="88">
        <f t="shared" si="2466"/>
        <v>0.18251169509604645</v>
      </c>
      <c r="BH340" s="88">
        <f t="shared" si="2466"/>
        <v>6.7588538745670293E-2</v>
      </c>
      <c r="BI340" s="88">
        <f t="shared" si="2466"/>
        <v>6.544077450756787E-2</v>
      </c>
      <c r="BJ340" s="88">
        <f t="shared" si="2466"/>
        <v>5.2138946142445644E-2</v>
      </c>
      <c r="BK340" s="88">
        <f t="shared" si="2466"/>
        <v>5.4316797323371926E-2</v>
      </c>
      <c r="BL340" s="88">
        <f t="shared" si="2466"/>
        <v>0.10885693898808305</v>
      </c>
      <c r="BM340" s="88">
        <f t="shared" si="2466"/>
        <v>0.12955398793717338</v>
      </c>
      <c r="BN340" s="88">
        <f t="shared" si="2466"/>
        <v>0.14278274273459801</v>
      </c>
      <c r="BO340" s="88">
        <f t="shared" si="2466"/>
        <v>0.15419581089130491</v>
      </c>
      <c r="BP340" s="88">
        <f t="shared" si="2466"/>
        <v>0.27877825118371907</v>
      </c>
      <c r="BQ340" s="88">
        <f t="shared" si="2466"/>
        <v>0.29423355540589513</v>
      </c>
      <c r="BR340" s="88">
        <f t="shared" si="2466"/>
        <v>0.2853747783602556</v>
      </c>
      <c r="BS340" s="88">
        <f t="shared" si="2466"/>
        <v>0.29765886209167464</v>
      </c>
      <c r="BT340" s="88">
        <f t="shared" si="2466"/>
        <v>0.22640009023743723</v>
      </c>
      <c r="BU340" s="88">
        <f t="shared" si="2466"/>
        <v>0.22604170339210541</v>
      </c>
      <c r="BV340" s="88">
        <f t="shared" si="2466"/>
        <v>0.31420364716178373</v>
      </c>
      <c r="BW340" s="88">
        <f t="shared" si="2466"/>
        <v>0.31906846034533132</v>
      </c>
      <c r="BX340" s="88">
        <f t="shared" si="2466"/>
        <v>0.32128932829378776</v>
      </c>
      <c r="BY340" s="88">
        <f t="shared" si="2466"/>
        <v>0.3439185025224003</v>
      </c>
      <c r="BZ340" s="88">
        <f t="shared" si="2466"/>
        <v>0.42921962815020309</v>
      </c>
      <c r="CA340" s="88">
        <f t="shared" si="2466"/>
        <v>0.40361050982178698</v>
      </c>
      <c r="CB340" s="88">
        <f t="shared" si="2466"/>
        <v>0.35749101333242189</v>
      </c>
      <c r="CC340" s="88">
        <f t="shared" si="2466"/>
        <v>0.38711949315899152</v>
      </c>
      <c r="CD340" s="88">
        <f t="shared" si="2466"/>
        <v>0.32853360300587631</v>
      </c>
      <c r="CE340" s="88">
        <f t="shared" si="2466"/>
        <v>0.33276140633403317</v>
      </c>
      <c r="CF340" s="88">
        <f t="shared" si="2466"/>
        <v>0.28670362331534988</v>
      </c>
      <c r="CG340" s="88">
        <f t="shared" si="2466"/>
        <v>0.30910616796125756</v>
      </c>
      <c r="CH340" s="88">
        <f t="shared" si="2466"/>
        <v>0.36420636109760218</v>
      </c>
      <c r="CI340" s="88">
        <f t="shared" si="2466"/>
        <v>0.43594907056543625</v>
      </c>
      <c r="CJ340" s="88">
        <f t="shared" si="2466"/>
        <v>0.29564364426937667</v>
      </c>
      <c r="CK340" s="88">
        <f t="shared" si="2466"/>
        <v>0.25748373120516349</v>
      </c>
      <c r="CL340" s="88">
        <f t="shared" ref="CL340" si="2467">CL253/CL212</f>
        <v>0.38006537578916777</v>
      </c>
      <c r="CM340" s="42">
        <f t="shared" si="2466"/>
        <v>0.33925525192011063</v>
      </c>
      <c r="CN340" s="42">
        <f t="shared" si="2466"/>
        <v>0.29608679734032245</v>
      </c>
      <c r="CO340" s="42">
        <f t="shared" si="2466"/>
        <v>0.24740266187848556</v>
      </c>
      <c r="CP340" s="42">
        <f t="shared" si="2466"/>
        <v>0.19576563832839133</v>
      </c>
      <c r="CQ340" s="42">
        <f t="shared" si="2466"/>
        <v>0.17249665951994428</v>
      </c>
      <c r="CR340" s="42">
        <f t="shared" si="2466"/>
        <v>0.14844931514248777</v>
      </c>
      <c r="CS340" s="42">
        <f t="shared" si="2466"/>
        <v>0.15023152220107086</v>
      </c>
      <c r="CT340" s="42">
        <f t="shared" si="2466"/>
        <v>0.12493831285723694</v>
      </c>
      <c r="CU340" s="42">
        <f t="shared" si="2466"/>
        <v>0.12782775657011913</v>
      </c>
      <c r="CV340" s="42">
        <f t="shared" si="2466"/>
        <v>0.13370872293669206</v>
      </c>
      <c r="CW340" s="42">
        <f t="shared" si="2466"/>
        <v>0.16967699918207604</v>
      </c>
      <c r="CX340" s="42">
        <f t="shared" ref="CX340:DB340" si="2468">CX253/CX212</f>
        <v>0.17333302933968972</v>
      </c>
      <c r="CY340" s="42">
        <f t="shared" si="2468"/>
        <v>0.17727779781373582</v>
      </c>
      <c r="CZ340" s="42">
        <f t="shared" si="2468"/>
        <v>0.18458408210645724</v>
      </c>
      <c r="DA340" s="42">
        <f t="shared" si="2468"/>
        <v>0.22061232626939078</v>
      </c>
      <c r="DB340" s="42">
        <f t="shared" si="2468"/>
        <v>0.22571153306178166</v>
      </c>
      <c r="DE340" s="125"/>
      <c r="DF340" s="88">
        <v>4.8805838129507756E-2</v>
      </c>
    </row>
    <row r="341" spans="1:110" s="89" customFormat="1" x14ac:dyDescent="0.2">
      <c r="A341" s="89" t="s">
        <v>103</v>
      </c>
      <c r="C341" s="89">
        <f t="shared" ref="C341:AE341" si="2469">C220/B220-1</f>
        <v>8.0397853977090428E-2</v>
      </c>
      <c r="D341" s="89">
        <f t="shared" si="2469"/>
        <v>-1.9973278703126374E-2</v>
      </c>
      <c r="F341" s="89">
        <f t="shared" si="2469"/>
        <v>0.79333807638865683</v>
      </c>
      <c r="G341" s="89">
        <f t="shared" si="2469"/>
        <v>0.1258596772432814</v>
      </c>
      <c r="H341" s="89">
        <f t="shared" si="2469"/>
        <v>0.22466045638256893</v>
      </c>
      <c r="I341" s="89">
        <f t="shared" si="2469"/>
        <v>0.76890337630637773</v>
      </c>
      <c r="J341" s="89">
        <f t="shared" si="2469"/>
        <v>0.55468681769750749</v>
      </c>
      <c r="K341" s="89">
        <f>K220/J220-1</f>
        <v>0.30225655458325762</v>
      </c>
      <c r="L341" s="89">
        <f t="shared" si="2469"/>
        <v>0.33411950067050711</v>
      </c>
      <c r="M341" s="89">
        <f t="shared" si="2469"/>
        <v>0.4291334540989582</v>
      </c>
      <c r="N341" s="89">
        <f t="shared" si="2469"/>
        <v>0.11375821483254134</v>
      </c>
      <c r="O341" s="89">
        <f t="shared" si="2469"/>
        <v>5.8154312509506312E-2</v>
      </c>
      <c r="P341" s="89">
        <f t="shared" si="2469"/>
        <v>1.0418371426363926E-2</v>
      </c>
      <c r="Q341" s="89">
        <f t="shared" si="2469"/>
        <v>-4.1753687655408989E-2</v>
      </c>
      <c r="R341" s="89">
        <f t="shared" si="2469"/>
        <v>0.24701780161338971</v>
      </c>
      <c r="S341" s="89">
        <f t="shared" si="2469"/>
        <v>-4.4950443611608826E-3</v>
      </c>
      <c r="T341" s="89">
        <f t="shared" si="2469"/>
        <v>-1.6610353840466052E-3</v>
      </c>
      <c r="U341" s="89">
        <f t="shared" si="2469"/>
        <v>-2.6018856922082056E-3</v>
      </c>
      <c r="V341" s="89">
        <f t="shared" si="2469"/>
        <v>-0.10436477074211936</v>
      </c>
      <c r="W341" s="89">
        <f t="shared" si="2469"/>
        <v>6.5352992480071759E-2</v>
      </c>
      <c r="X341" s="89">
        <f t="shared" si="2469"/>
        <v>2.909077537297744E-2</v>
      </c>
      <c r="Y341" s="89">
        <f t="shared" si="2469"/>
        <v>1.0319262521278905E-2</v>
      </c>
      <c r="Z341" s="89">
        <f t="shared" si="2469"/>
        <v>0.17513709127015642</v>
      </c>
      <c r="AA341" s="89">
        <f t="shared" si="2469"/>
        <v>0.22317851956366064</v>
      </c>
      <c r="AB341" s="47">
        <f t="shared" si="2469"/>
        <v>-1.4060267927717973E-7</v>
      </c>
      <c r="AC341" s="47">
        <f t="shared" si="2469"/>
        <v>0</v>
      </c>
      <c r="AD341" s="47">
        <f t="shared" si="2469"/>
        <v>0</v>
      </c>
      <c r="AE341" s="47">
        <f t="shared" si="2469"/>
        <v>0</v>
      </c>
      <c r="AL341" s="89">
        <f t="shared" ref="AL341:CW341" si="2470">AL220/AK220-1</f>
        <v>2.4106823594670082</v>
      </c>
      <c r="AM341" s="89">
        <f t="shared" si="2470"/>
        <v>0</v>
      </c>
      <c r="AN341" s="89">
        <f t="shared" si="2470"/>
        <v>7.9151853982315279E-2</v>
      </c>
      <c r="AO341" s="89">
        <f t="shared" si="2470"/>
        <v>0</v>
      </c>
      <c r="AP341" s="89">
        <f t="shared" si="2470"/>
        <v>-7.2582708846855137E-2</v>
      </c>
      <c r="AQ341" s="89">
        <f t="shared" si="2470"/>
        <v>0</v>
      </c>
      <c r="AR341" s="89">
        <f t="shared" si="2470"/>
        <v>6.4888299717095643E-2</v>
      </c>
      <c r="AS341" s="89">
        <f t="shared" si="2470"/>
        <v>0</v>
      </c>
      <c r="AT341" s="89">
        <f t="shared" si="2470"/>
        <v>-1.4771379287654596E-2</v>
      </c>
      <c r="AU341" s="89">
        <f t="shared" si="2470"/>
        <v>0</v>
      </c>
      <c r="AV341" s="89">
        <f t="shared" si="2470"/>
        <v>-5.6273582245594866E-2</v>
      </c>
      <c r="AW341" s="89">
        <f t="shared" si="2470"/>
        <v>0</v>
      </c>
      <c r="AX341" s="89">
        <f t="shared" si="2470"/>
        <v>1.895919789173961E-2</v>
      </c>
      <c r="AY341" s="89">
        <f t="shared" si="2470"/>
        <v>0</v>
      </c>
      <c r="AZ341" s="89">
        <f t="shared" si="2470"/>
        <v>0.13906735140782622</v>
      </c>
      <c r="BA341" s="89">
        <f t="shared" si="2470"/>
        <v>0</v>
      </c>
      <c r="BB341" s="89">
        <f t="shared" si="2470"/>
        <v>-1.7222844754057443E-2</v>
      </c>
      <c r="BC341" s="89">
        <f t="shared" si="2470"/>
        <v>0</v>
      </c>
      <c r="BD341" s="89">
        <f t="shared" si="2470"/>
        <v>-4.3672619514638744E-2</v>
      </c>
      <c r="BE341" s="89">
        <f t="shared" si="2470"/>
        <v>0</v>
      </c>
      <c r="BF341" s="89">
        <f t="shared" si="2470"/>
        <v>3.9629714056067966E-2</v>
      </c>
      <c r="BG341" s="89">
        <f t="shared" si="2470"/>
        <v>0</v>
      </c>
      <c r="BH341" s="89">
        <f t="shared" si="2470"/>
        <v>9.3951013012707474E-2</v>
      </c>
      <c r="BI341" s="89">
        <f t="shared" si="2470"/>
        <v>0</v>
      </c>
      <c r="BJ341" s="89">
        <f t="shared" si="2470"/>
        <v>-8.4833738524303648E-4</v>
      </c>
      <c r="BK341" s="89">
        <f t="shared" si="2470"/>
        <v>0</v>
      </c>
      <c r="BL341" s="89">
        <f t="shared" si="2470"/>
        <v>-2.3850034466588177E-3</v>
      </c>
      <c r="BM341" s="89">
        <f t="shared" si="2470"/>
        <v>0</v>
      </c>
      <c r="BN341" s="89">
        <f t="shared" si="2470"/>
        <v>-8.189100869013366E-3</v>
      </c>
      <c r="BO341" s="89">
        <f t="shared" si="2470"/>
        <v>0</v>
      </c>
      <c r="BP341" s="89">
        <f t="shared" si="2470"/>
        <v>-9.1082971295142534E-2</v>
      </c>
      <c r="BQ341" s="89">
        <f t="shared" si="2470"/>
        <v>0</v>
      </c>
      <c r="BR341" s="89">
        <f t="shared" si="2470"/>
        <v>6.639698775106706E-2</v>
      </c>
      <c r="BS341" s="89">
        <f t="shared" si="2470"/>
        <v>0</v>
      </c>
      <c r="BT341" s="89">
        <f t="shared" si="2470"/>
        <v>5.42357027831879E-2</v>
      </c>
      <c r="BU341" s="89">
        <f t="shared" si="2470"/>
        <v>0</v>
      </c>
      <c r="BV341" s="89">
        <f t="shared" si="2470"/>
        <v>4.5657598661277055E-2</v>
      </c>
      <c r="BW341" s="89">
        <f t="shared" si="2470"/>
        <v>0</v>
      </c>
      <c r="BX341" s="89">
        <f t="shared" si="2470"/>
        <v>4.0876234503046893E-2</v>
      </c>
      <c r="BY341" s="89">
        <f t="shared" si="2470"/>
        <v>0</v>
      </c>
      <c r="BZ341" s="89">
        <f t="shared" si="2470"/>
        <v>-1.132263254689081E-2</v>
      </c>
      <c r="CA341" s="89">
        <f t="shared" si="2470"/>
        <v>0</v>
      </c>
      <c r="CB341" s="89">
        <f t="shared" si="2470"/>
        <v>-1.2584934628131483E-2</v>
      </c>
      <c r="CC341" s="89">
        <f t="shared" si="2470"/>
        <v>0</v>
      </c>
      <c r="CD341" s="89">
        <f t="shared" si="2470"/>
        <v>2.3196118787983666E-2</v>
      </c>
      <c r="CE341" s="89">
        <f t="shared" si="2470"/>
        <v>0</v>
      </c>
      <c r="CF341" s="89">
        <f t="shared" si="2470"/>
        <v>9.1186081757387516E-2</v>
      </c>
      <c r="CG341" s="89">
        <f t="shared" si="2470"/>
        <v>0</v>
      </c>
      <c r="CH341" s="89">
        <f t="shared" si="2470"/>
        <v>7.6935557478485572E-2</v>
      </c>
      <c r="CI341" s="89">
        <f t="shared" si="2470"/>
        <v>0</v>
      </c>
      <c r="CJ341" s="89">
        <f t="shared" si="2470"/>
        <v>0.12035209567162131</v>
      </c>
      <c r="CK341" s="89">
        <f t="shared" si="2470"/>
        <v>0</v>
      </c>
      <c r="CL341" s="89">
        <f t="shared" si="2470"/>
        <v>9.1780300413702109E-2</v>
      </c>
      <c r="CM341" s="47">
        <f t="shared" si="2470"/>
        <v>0</v>
      </c>
      <c r="CN341" s="47">
        <f t="shared" si="2470"/>
        <v>0</v>
      </c>
      <c r="CO341" s="47">
        <f t="shared" si="2470"/>
        <v>0</v>
      </c>
      <c r="CP341" s="47">
        <f t="shared" si="2470"/>
        <v>0</v>
      </c>
      <c r="CQ341" s="47">
        <f t="shared" si="2470"/>
        <v>0</v>
      </c>
      <c r="CR341" s="47">
        <f t="shared" si="2470"/>
        <v>0</v>
      </c>
      <c r="CS341" s="47">
        <f t="shared" si="2470"/>
        <v>0</v>
      </c>
      <c r="CT341" s="47">
        <f t="shared" si="2470"/>
        <v>0</v>
      </c>
      <c r="CU341" s="47">
        <f t="shared" si="2470"/>
        <v>0</v>
      </c>
      <c r="CV341" s="47">
        <f t="shared" si="2470"/>
        <v>0</v>
      </c>
      <c r="CW341" s="47">
        <f t="shared" si="2470"/>
        <v>0</v>
      </c>
      <c r="CX341" s="47">
        <f t="shared" ref="CX341:DB341" si="2471">CX220/CW220-1</f>
        <v>0</v>
      </c>
      <c r="CY341" s="47">
        <f t="shared" si="2471"/>
        <v>0</v>
      </c>
      <c r="CZ341" s="47">
        <f t="shared" si="2471"/>
        <v>0</v>
      </c>
      <c r="DA341" s="47">
        <f t="shared" si="2471"/>
        <v>0</v>
      </c>
      <c r="DB341" s="47">
        <f t="shared" si="2471"/>
        <v>0</v>
      </c>
      <c r="DE341" s="130"/>
      <c r="DF341" s="89">
        <v>0</v>
      </c>
    </row>
    <row r="342" spans="1:110" s="89" customFormat="1" x14ac:dyDescent="0.2">
      <c r="A342" s="89" t="s">
        <v>104</v>
      </c>
      <c r="C342" s="89">
        <f>C120/B120-1</f>
        <v>0.39253367244812609</v>
      </c>
      <c r="D342" s="89">
        <f>D120/C120-1</f>
        <v>0.30159110315096704</v>
      </c>
      <c r="F342" s="89">
        <f t="shared" ref="F342:AE342" si="2472">F120/E120-1</f>
        <v>-0.1658499384622355</v>
      </c>
      <c r="G342" s="89">
        <f t="shared" si="2472"/>
        <v>-0.11573763962561334</v>
      </c>
      <c r="H342" s="89">
        <f t="shared" si="2472"/>
        <v>0.11036155924985613</v>
      </c>
      <c r="I342" s="89">
        <f t="shared" si="2472"/>
        <v>0.95642994772700174</v>
      </c>
      <c r="J342" s="89">
        <f t="shared" si="2472"/>
        <v>0.71922888432322418</v>
      </c>
      <c r="K342" s="89">
        <f t="shared" si="2472"/>
        <v>-2.4794362475708875E-2</v>
      </c>
      <c r="L342" s="89">
        <f t="shared" si="2472"/>
        <v>0.15180089658370743</v>
      </c>
      <c r="M342" s="89">
        <f t="shared" si="2472"/>
        <v>0.13365381095887097</v>
      </c>
      <c r="N342" s="89">
        <f t="shared" si="2472"/>
        <v>0.3537067052393883</v>
      </c>
      <c r="O342" s="89">
        <f t="shared" si="2472"/>
        <v>9.5088098126733023E-2</v>
      </c>
      <c r="P342" s="89">
        <f t="shared" si="2472"/>
        <v>-8.8351710899634783E-2</v>
      </c>
      <c r="Q342" s="89">
        <f t="shared" si="2472"/>
        <v>3.2762393804929291E-2</v>
      </c>
      <c r="R342" s="89">
        <f t="shared" si="2472"/>
        <v>-0.10569781500993269</v>
      </c>
      <c r="S342" s="89">
        <f t="shared" si="2472"/>
        <v>8.1609003133370717E-2</v>
      </c>
      <c r="T342" s="89">
        <f t="shared" si="2472"/>
        <v>7.0231548872708549E-2</v>
      </c>
      <c r="U342" s="89">
        <f t="shared" si="2472"/>
        <v>0.3852406143065048</v>
      </c>
      <c r="V342" s="89">
        <f t="shared" si="2472"/>
        <v>-0.17313181152390988</v>
      </c>
      <c r="W342" s="89">
        <f t="shared" si="2472"/>
        <v>-2.843393551575768E-2</v>
      </c>
      <c r="X342" s="89">
        <f t="shared" si="2472"/>
        <v>0.15130627784441475</v>
      </c>
      <c r="Y342" s="89">
        <f t="shared" si="2472"/>
        <v>0.26474620218944533</v>
      </c>
      <c r="Z342" s="89">
        <f t="shared" si="2472"/>
        <v>0.18882328821780536</v>
      </c>
      <c r="AA342" s="89">
        <f t="shared" si="2472"/>
        <v>-6.2800340882552486E-2</v>
      </c>
      <c r="AB342" s="47">
        <f t="shared" si="2472"/>
        <v>0.47623792576882895</v>
      </c>
      <c r="AC342" s="47">
        <f t="shared" si="2472"/>
        <v>8.434316252591989E-2</v>
      </c>
      <c r="AD342" s="47">
        <f t="shared" si="2472"/>
        <v>6.1094987646586274E-2</v>
      </c>
      <c r="AE342" s="47">
        <f t="shared" si="2472"/>
        <v>6.4399911667020637E-2</v>
      </c>
      <c r="AL342" s="89">
        <f t="shared" ref="AL342:CW342" si="2473">AL120/AK120-1</f>
        <v>3.5250055078210885E-2</v>
      </c>
      <c r="AM342" s="89">
        <f t="shared" si="2473"/>
        <v>-3.1446952706794318E-2</v>
      </c>
      <c r="AN342" s="89">
        <f t="shared" si="2473"/>
        <v>-5.566823288149747E-2</v>
      </c>
      <c r="AO342" s="89">
        <f t="shared" si="2473"/>
        <v>-2.9454052989852375E-2</v>
      </c>
      <c r="AP342" s="89">
        <f t="shared" si="2473"/>
        <v>0.11970125399557285</v>
      </c>
      <c r="AQ342" s="89">
        <f t="shared" si="2473"/>
        <v>-0.16143022623837988</v>
      </c>
      <c r="AR342" s="89">
        <f t="shared" si="2473"/>
        <v>0.11746798648754697</v>
      </c>
      <c r="AS342" s="89">
        <f t="shared" si="2473"/>
        <v>-0.30894423256059256</v>
      </c>
      <c r="AT342" s="89">
        <f t="shared" si="2473"/>
        <v>0.2976084505370622</v>
      </c>
      <c r="AU342" s="89">
        <f t="shared" si="2473"/>
        <v>9.2779396584389495E-2</v>
      </c>
      <c r="AV342" s="89">
        <f t="shared" si="2473"/>
        <v>4.518632333510797E-2</v>
      </c>
      <c r="AW342" s="89">
        <f t="shared" si="2473"/>
        <v>-0.32421162217353727</v>
      </c>
      <c r="AX342" s="89">
        <f t="shared" si="2473"/>
        <v>9.4657276836346949E-2</v>
      </c>
      <c r="AY342" s="89">
        <f t="shared" si="2473"/>
        <v>0.26464334042142079</v>
      </c>
      <c r="AZ342" s="89">
        <f t="shared" si="2473"/>
        <v>-6.8070926322225556E-2</v>
      </c>
      <c r="BA342" s="89">
        <f t="shared" si="2473"/>
        <v>-9.8939094720398302E-3</v>
      </c>
      <c r="BB342" s="89">
        <f t="shared" si="2473"/>
        <v>-0.19074409080969335</v>
      </c>
      <c r="BC342" s="89">
        <f t="shared" si="2473"/>
        <v>0.37986800301332968</v>
      </c>
      <c r="BD342" s="89">
        <f t="shared" si="2473"/>
        <v>-8.4390113639735365E-2</v>
      </c>
      <c r="BE342" s="89">
        <f t="shared" si="2473"/>
        <v>-0.13565012249342123</v>
      </c>
      <c r="BF342" s="89">
        <f t="shared" si="2473"/>
        <v>-5.0838307189344789E-3</v>
      </c>
      <c r="BG342" s="89">
        <f t="shared" si="2473"/>
        <v>0.24801410849675154</v>
      </c>
      <c r="BH342" s="89">
        <f t="shared" si="2473"/>
        <v>1.0036595528823966E-2</v>
      </c>
      <c r="BI342" s="89">
        <f t="shared" si="2473"/>
        <v>7.9506863729850386E-2</v>
      </c>
      <c r="BJ342" s="89">
        <f t="shared" si="2473"/>
        <v>-5.049458887645808E-2</v>
      </c>
      <c r="BK342" s="89">
        <f t="shared" si="2473"/>
        <v>0.22614138138208184</v>
      </c>
      <c r="BL342" s="89">
        <f t="shared" si="2473"/>
        <v>-9.2770900925759125E-2</v>
      </c>
      <c r="BM342" s="89">
        <f t="shared" si="2473"/>
        <v>-9.7532838677472089E-4</v>
      </c>
      <c r="BN342" s="89">
        <f t="shared" si="2473"/>
        <v>-3.4306289661397926E-2</v>
      </c>
      <c r="BO342" s="89">
        <f t="shared" si="2473"/>
        <v>5.9760956175298086E-2</v>
      </c>
      <c r="BP342" s="89">
        <f t="shared" si="2473"/>
        <v>8.9358799454296811E-2</v>
      </c>
      <c r="BQ342" s="89">
        <f t="shared" si="2473"/>
        <v>-0.10930268689883715</v>
      </c>
      <c r="BR342" s="89">
        <f t="shared" si="2473"/>
        <v>-0.168496445278431</v>
      </c>
      <c r="BS342" s="89">
        <f t="shared" si="2473"/>
        <v>0.39027894321967138</v>
      </c>
      <c r="BT342" s="89">
        <f t="shared" si="2473"/>
        <v>-0.38027544329727292</v>
      </c>
      <c r="BU342" s="89">
        <f t="shared" si="2473"/>
        <v>0.28052532556166399</v>
      </c>
      <c r="BV342" s="89">
        <f t="shared" si="2473"/>
        <v>0.14877618751296473</v>
      </c>
      <c r="BW342" s="89">
        <f t="shared" si="2473"/>
        <v>-1.5026808508504463E-2</v>
      </c>
      <c r="BX342" s="89">
        <f t="shared" si="2473"/>
        <v>-3.631715899195842E-2</v>
      </c>
      <c r="BY342" s="89">
        <f t="shared" si="2473"/>
        <v>0.34467817531400358</v>
      </c>
      <c r="BZ342" s="89">
        <f t="shared" si="2473"/>
        <v>-0.12398272549011979</v>
      </c>
      <c r="CA342" s="89">
        <f t="shared" si="2473"/>
        <v>0.2262389650470118</v>
      </c>
      <c r="CB342" s="89">
        <f t="shared" si="2473"/>
        <v>2.2585353540896191E-2</v>
      </c>
      <c r="CC342" s="89">
        <f t="shared" si="2473"/>
        <v>-6.7336345456951885E-2</v>
      </c>
      <c r="CD342" s="89">
        <f t="shared" si="2473"/>
        <v>5.1389645358515201E-2</v>
      </c>
      <c r="CE342" s="89">
        <f t="shared" si="2473"/>
        <v>0.13195701027317197</v>
      </c>
      <c r="CF342" s="89">
        <f t="shared" si="2473"/>
        <v>6.1756525494468306E-2</v>
      </c>
      <c r="CG342" s="89">
        <f t="shared" si="2473"/>
        <v>-6.538875988404691E-2</v>
      </c>
      <c r="CH342" s="89">
        <f t="shared" si="2473"/>
        <v>0.12941738144805326</v>
      </c>
      <c r="CI342" s="89">
        <f t="shared" si="2473"/>
        <v>2.6326308191781278E-2</v>
      </c>
      <c r="CJ342" s="89">
        <f t="shared" si="2473"/>
        <v>-1.203398093615704E-2</v>
      </c>
      <c r="CK342" s="89">
        <f t="shared" si="2473"/>
        <v>1.8638102611659768E-2</v>
      </c>
      <c r="CL342" s="89">
        <f t="shared" si="2473"/>
        <v>1.9232536061005057E-2</v>
      </c>
      <c r="CM342" s="47">
        <f t="shared" si="2473"/>
        <v>6.8789463366361048E-2</v>
      </c>
      <c r="CN342" s="47">
        <f t="shared" si="2473"/>
        <v>0.26312192198085405</v>
      </c>
      <c r="CO342" s="47">
        <f t="shared" si="2473"/>
        <v>-9.5708130745263409E-2</v>
      </c>
      <c r="CP342" s="47">
        <f t="shared" si="2473"/>
        <v>2.1724905679615159E-2</v>
      </c>
      <c r="CQ342" s="47">
        <f t="shared" si="2473"/>
        <v>5.5600743481628134E-2</v>
      </c>
      <c r="CR342" s="47">
        <f t="shared" si="2473"/>
        <v>6.5752174794812879E-2</v>
      </c>
      <c r="CS342" s="47">
        <f t="shared" si="2473"/>
        <v>-0.10249427258765076</v>
      </c>
      <c r="CT342" s="47">
        <f t="shared" si="2473"/>
        <v>4.789809083503771E-2</v>
      </c>
      <c r="CU342" s="47">
        <f t="shared" si="2473"/>
        <v>6.2434397834498112E-2</v>
      </c>
      <c r="CV342" s="47">
        <f t="shared" si="2473"/>
        <v>5.8454221439079523E-2</v>
      </c>
      <c r="CW342" s="47">
        <f t="shared" si="2473"/>
        <v>-0.10123905990324611</v>
      </c>
      <c r="CX342" s="47">
        <f t="shared" ref="CX342:DB342" si="2474">CX120/CW120-1</f>
        <v>5.163701869789028E-2</v>
      </c>
      <c r="CY342" s="47">
        <f t="shared" si="2474"/>
        <v>6.4208306179364349E-2</v>
      </c>
      <c r="CZ342" s="47">
        <f t="shared" si="2474"/>
        <v>5.7921817089275462E-2</v>
      </c>
      <c r="DA342" s="47">
        <f t="shared" si="2474"/>
        <v>-0.10137736178587553</v>
      </c>
      <c r="DB342" s="47">
        <f t="shared" si="2474"/>
        <v>5.2535936930960814E-2</v>
      </c>
      <c r="DE342" s="130"/>
      <c r="DF342" s="89">
        <v>-3.021069167036472E-2</v>
      </c>
    </row>
    <row r="343" spans="1:110" s="103" customFormat="1" x14ac:dyDescent="0.2">
      <c r="A343" s="147" t="s">
        <v>105</v>
      </c>
      <c r="C343" s="103">
        <f>IF(C341&gt;C342,"RF",0)</f>
        <v>0</v>
      </c>
      <c r="D343" s="103">
        <f t="shared" ref="D343:U343" si="2475">IF(D341&gt;D342,"RF",0)</f>
        <v>0</v>
      </c>
      <c r="F343" s="103" t="str">
        <f t="shared" si="2475"/>
        <v>RF</v>
      </c>
      <c r="G343" s="103" t="str">
        <f t="shared" si="2475"/>
        <v>RF</v>
      </c>
      <c r="H343" s="103" t="str">
        <f t="shared" si="2475"/>
        <v>RF</v>
      </c>
      <c r="I343" s="103">
        <f t="shared" si="2475"/>
        <v>0</v>
      </c>
      <c r="J343" s="103">
        <f t="shared" si="2475"/>
        <v>0</v>
      </c>
      <c r="K343" s="103" t="str">
        <f t="shared" si="2475"/>
        <v>RF</v>
      </c>
      <c r="L343" s="103" t="str">
        <f t="shared" si="2475"/>
        <v>RF</v>
      </c>
      <c r="M343" s="103" t="str">
        <f t="shared" si="2475"/>
        <v>RF</v>
      </c>
      <c r="N343" s="103">
        <f t="shared" si="2475"/>
        <v>0</v>
      </c>
      <c r="O343" s="103">
        <f t="shared" si="2475"/>
        <v>0</v>
      </c>
      <c r="P343" s="103" t="str">
        <f t="shared" si="2475"/>
        <v>RF</v>
      </c>
      <c r="Q343" s="103">
        <f t="shared" si="2475"/>
        <v>0</v>
      </c>
      <c r="R343" s="103" t="str">
        <f t="shared" si="2475"/>
        <v>RF</v>
      </c>
      <c r="S343" s="103">
        <f t="shared" si="2475"/>
        <v>0</v>
      </c>
      <c r="T343" s="103">
        <f t="shared" si="2475"/>
        <v>0</v>
      </c>
      <c r="U343" s="103">
        <f t="shared" si="2475"/>
        <v>0</v>
      </c>
      <c r="V343" s="103" t="str">
        <f>IF(V341&gt;V342,"RF",0)</f>
        <v>RF</v>
      </c>
      <c r="W343" s="103" t="str">
        <f t="shared" ref="W343:AE343" si="2476">IF(W341&gt;W342,"RF",0)</f>
        <v>RF</v>
      </c>
      <c r="X343" s="103">
        <f t="shared" si="2476"/>
        <v>0</v>
      </c>
      <c r="Y343" s="103">
        <f t="shared" si="2476"/>
        <v>0</v>
      </c>
      <c r="Z343" s="103">
        <f t="shared" si="2476"/>
        <v>0</v>
      </c>
      <c r="AA343" s="103" t="str">
        <f t="shared" ref="AA343" si="2477">IF(AA341&gt;AA342,"RF",0)</f>
        <v>RF</v>
      </c>
      <c r="AB343" s="73">
        <f t="shared" si="2476"/>
        <v>0</v>
      </c>
      <c r="AC343" s="73">
        <f t="shared" si="2476"/>
        <v>0</v>
      </c>
      <c r="AD343" s="73">
        <f t="shared" si="2476"/>
        <v>0</v>
      </c>
      <c r="AE343" s="73">
        <f t="shared" si="2476"/>
        <v>0</v>
      </c>
      <c r="AL343" s="103" t="str">
        <f t="shared" ref="AL343:CW343" si="2478">IF(AL341&gt;AL342,"RF",0)</f>
        <v>RF</v>
      </c>
      <c r="AM343" s="103" t="str">
        <f t="shared" si="2478"/>
        <v>RF</v>
      </c>
      <c r="AN343" s="103" t="str">
        <f t="shared" si="2478"/>
        <v>RF</v>
      </c>
      <c r="AO343" s="103" t="str">
        <f t="shared" si="2478"/>
        <v>RF</v>
      </c>
      <c r="AP343" s="103">
        <f t="shared" si="2478"/>
        <v>0</v>
      </c>
      <c r="AQ343" s="103" t="str">
        <f t="shared" si="2478"/>
        <v>RF</v>
      </c>
      <c r="AR343" s="103">
        <f t="shared" si="2478"/>
        <v>0</v>
      </c>
      <c r="AS343" s="103" t="str">
        <f t="shared" si="2478"/>
        <v>RF</v>
      </c>
      <c r="AT343" s="103">
        <f t="shared" si="2478"/>
        <v>0</v>
      </c>
      <c r="AU343" s="103">
        <f t="shared" si="2478"/>
        <v>0</v>
      </c>
      <c r="AV343" s="103">
        <f t="shared" si="2478"/>
        <v>0</v>
      </c>
      <c r="AW343" s="103" t="str">
        <f t="shared" si="2478"/>
        <v>RF</v>
      </c>
      <c r="AX343" s="103">
        <f t="shared" si="2478"/>
        <v>0</v>
      </c>
      <c r="AY343" s="103">
        <f t="shared" si="2478"/>
        <v>0</v>
      </c>
      <c r="AZ343" s="103" t="str">
        <f t="shared" si="2478"/>
        <v>RF</v>
      </c>
      <c r="BA343" s="103" t="str">
        <f t="shared" si="2478"/>
        <v>RF</v>
      </c>
      <c r="BB343" s="103" t="str">
        <f t="shared" si="2478"/>
        <v>RF</v>
      </c>
      <c r="BC343" s="103">
        <f t="shared" si="2478"/>
        <v>0</v>
      </c>
      <c r="BD343" s="103" t="str">
        <f t="shared" si="2478"/>
        <v>RF</v>
      </c>
      <c r="BE343" s="103" t="str">
        <f t="shared" si="2478"/>
        <v>RF</v>
      </c>
      <c r="BF343" s="103" t="str">
        <f t="shared" si="2478"/>
        <v>RF</v>
      </c>
      <c r="BG343" s="103">
        <f t="shared" si="2478"/>
        <v>0</v>
      </c>
      <c r="BH343" s="103" t="str">
        <f t="shared" si="2478"/>
        <v>RF</v>
      </c>
      <c r="BI343" s="103">
        <f t="shared" si="2478"/>
        <v>0</v>
      </c>
      <c r="BJ343" s="103" t="str">
        <f t="shared" si="2478"/>
        <v>RF</v>
      </c>
      <c r="BK343" s="103">
        <f t="shared" si="2478"/>
        <v>0</v>
      </c>
      <c r="BL343" s="103" t="str">
        <f t="shared" si="2478"/>
        <v>RF</v>
      </c>
      <c r="BM343" s="103" t="str">
        <f t="shared" si="2478"/>
        <v>RF</v>
      </c>
      <c r="BN343" s="103" t="str">
        <f t="shared" si="2478"/>
        <v>RF</v>
      </c>
      <c r="BO343" s="103">
        <f t="shared" si="2478"/>
        <v>0</v>
      </c>
      <c r="BP343" s="103">
        <f t="shared" si="2478"/>
        <v>0</v>
      </c>
      <c r="BQ343" s="103" t="str">
        <f t="shared" si="2478"/>
        <v>RF</v>
      </c>
      <c r="BR343" s="103" t="str">
        <f t="shared" si="2478"/>
        <v>RF</v>
      </c>
      <c r="BS343" s="103">
        <f t="shared" si="2478"/>
        <v>0</v>
      </c>
      <c r="BT343" s="103" t="str">
        <f t="shared" si="2478"/>
        <v>RF</v>
      </c>
      <c r="BU343" s="103">
        <f t="shared" si="2478"/>
        <v>0</v>
      </c>
      <c r="BV343" s="103">
        <f t="shared" si="2478"/>
        <v>0</v>
      </c>
      <c r="BW343" s="103" t="str">
        <f t="shared" si="2478"/>
        <v>RF</v>
      </c>
      <c r="BX343" s="103" t="str">
        <f t="shared" si="2478"/>
        <v>RF</v>
      </c>
      <c r="BY343" s="103">
        <f t="shared" si="2478"/>
        <v>0</v>
      </c>
      <c r="BZ343" s="103" t="str">
        <f t="shared" si="2478"/>
        <v>RF</v>
      </c>
      <c r="CA343" s="103">
        <f t="shared" si="2478"/>
        <v>0</v>
      </c>
      <c r="CB343" s="103">
        <f t="shared" si="2478"/>
        <v>0</v>
      </c>
      <c r="CC343" s="103" t="str">
        <f t="shared" si="2478"/>
        <v>RF</v>
      </c>
      <c r="CD343" s="103">
        <f t="shared" si="2478"/>
        <v>0</v>
      </c>
      <c r="CE343" s="103">
        <f t="shared" si="2478"/>
        <v>0</v>
      </c>
      <c r="CF343" s="103" t="str">
        <f t="shared" si="2478"/>
        <v>RF</v>
      </c>
      <c r="CG343" s="103" t="str">
        <f t="shared" si="2478"/>
        <v>RF</v>
      </c>
      <c r="CH343" s="103">
        <f t="shared" si="2478"/>
        <v>0</v>
      </c>
      <c r="CI343" s="103">
        <f t="shared" si="2478"/>
        <v>0</v>
      </c>
      <c r="CJ343" s="103" t="str">
        <f t="shared" si="2478"/>
        <v>RF</v>
      </c>
      <c r="CK343" s="103">
        <f t="shared" si="2478"/>
        <v>0</v>
      </c>
      <c r="CL343" s="103" t="str">
        <f t="shared" ref="CL343" si="2479">IF(CL341&gt;CL342,"RF",0)</f>
        <v>RF</v>
      </c>
      <c r="CM343" s="73">
        <f t="shared" si="2478"/>
        <v>0</v>
      </c>
      <c r="CN343" s="73">
        <f t="shared" si="2478"/>
        <v>0</v>
      </c>
      <c r="CO343" s="73" t="str">
        <f t="shared" si="2478"/>
        <v>RF</v>
      </c>
      <c r="CP343" s="73">
        <f t="shared" si="2478"/>
        <v>0</v>
      </c>
      <c r="CQ343" s="73">
        <f t="shared" si="2478"/>
        <v>0</v>
      </c>
      <c r="CR343" s="73">
        <f t="shared" si="2478"/>
        <v>0</v>
      </c>
      <c r="CS343" s="73" t="str">
        <f t="shared" si="2478"/>
        <v>RF</v>
      </c>
      <c r="CT343" s="73">
        <f t="shared" si="2478"/>
        <v>0</v>
      </c>
      <c r="CU343" s="73">
        <f t="shared" si="2478"/>
        <v>0</v>
      </c>
      <c r="CV343" s="73">
        <f t="shared" si="2478"/>
        <v>0</v>
      </c>
      <c r="CW343" s="73" t="str">
        <f t="shared" si="2478"/>
        <v>RF</v>
      </c>
      <c r="CX343" s="73">
        <f t="shared" ref="CX343:DB343" si="2480">IF(CX341&gt;CX342,"RF",0)</f>
        <v>0</v>
      </c>
      <c r="CY343" s="73">
        <f t="shared" si="2480"/>
        <v>0</v>
      </c>
      <c r="CZ343" s="73">
        <f t="shared" si="2480"/>
        <v>0</v>
      </c>
      <c r="DA343" s="73" t="str">
        <f t="shared" si="2480"/>
        <v>RF</v>
      </c>
      <c r="DB343" s="73">
        <f t="shared" si="2480"/>
        <v>0</v>
      </c>
      <c r="DE343" s="142"/>
      <c r="DF343" s="103" t="s">
        <v>597</v>
      </c>
    </row>
    <row r="344" spans="1:110" s="86" customFormat="1" x14ac:dyDescent="0.2">
      <c r="A344" s="86" t="s">
        <v>432</v>
      </c>
      <c r="B344" s="86">
        <f>B128/B99</f>
        <v>6.8421755100752768E-2</v>
      </c>
      <c r="C344" s="86">
        <f>C128/C99</f>
        <v>9.1215883721050703E-2</v>
      </c>
      <c r="D344" s="86">
        <f>D128/D99</f>
        <v>7.1543768013401454E-2</v>
      </c>
      <c r="F344" s="86">
        <f t="shared" ref="F344:AE344" si="2481">F128/F99</f>
        <v>4.2192964914357076E-2</v>
      </c>
      <c r="G344" s="86">
        <f t="shared" si="2481"/>
        <v>3.0706660430608136E-2</v>
      </c>
      <c r="H344" s="86">
        <f t="shared" si="2481"/>
        <v>4.4008309390629267E-2</v>
      </c>
      <c r="I344" s="86">
        <f t="shared" si="2481"/>
        <v>4.8817014377042209E-2</v>
      </c>
      <c r="J344" s="86">
        <f t="shared" si="2481"/>
        <v>4.4988942044802985E-2</v>
      </c>
      <c r="K344" s="86">
        <f t="shared" si="2481"/>
        <v>4.1155374144789723E-2</v>
      </c>
      <c r="L344" s="86">
        <f t="shared" si="2481"/>
        <v>4.4502663531810295E-2</v>
      </c>
      <c r="M344" s="86">
        <f t="shared" si="2481"/>
        <v>5.8689513874236585E-2</v>
      </c>
      <c r="N344" s="86">
        <f t="shared" si="2481"/>
        <v>7.9949216302837897E-2</v>
      </c>
      <c r="O344" s="86">
        <f t="shared" si="2481"/>
        <v>9.6253611014419441E-2</v>
      </c>
      <c r="P344" s="86">
        <f t="shared" si="2481"/>
        <v>0.11009156835361504</v>
      </c>
      <c r="Q344" s="86">
        <f t="shared" si="2481"/>
        <v>0.10968516543060226</v>
      </c>
      <c r="R344" s="86">
        <f t="shared" si="2481"/>
        <v>0.12197368454439116</v>
      </c>
      <c r="S344" s="86">
        <f t="shared" si="2481"/>
        <v>0.14014315057188323</v>
      </c>
      <c r="T344" s="86">
        <f t="shared" si="2481"/>
        <v>0.139553282246346</v>
      </c>
      <c r="U344" s="86">
        <f t="shared" si="2481"/>
        <v>0.15426115195544263</v>
      </c>
      <c r="V344" s="86">
        <f t="shared" si="2481"/>
        <v>0.12262948307067388</v>
      </c>
      <c r="W344" s="86">
        <f t="shared" si="2481"/>
        <v>9.0252937767877975E-2</v>
      </c>
      <c r="X344" s="86">
        <f t="shared" si="2481"/>
        <v>7.9331754404174407E-2</v>
      </c>
      <c r="Y344" s="86">
        <f t="shared" si="2481"/>
        <v>7.5402814370965146E-2</v>
      </c>
      <c r="Z344" s="86">
        <f t="shared" si="2481"/>
        <v>7.1816835638832066E-2</v>
      </c>
      <c r="AA344" s="86">
        <f t="shared" ref="AA344" si="2482">AA128/AA99</f>
        <v>8.4211256413127378E-2</v>
      </c>
      <c r="AB344" s="87">
        <f t="shared" si="2481"/>
        <v>4.4487837896691432E-2</v>
      </c>
      <c r="AC344" s="87">
        <f t="shared" si="2481"/>
        <v>5.6615193759275144E-2</v>
      </c>
      <c r="AD344" s="87">
        <f t="shared" si="2481"/>
        <v>5.3703763746452492E-2</v>
      </c>
      <c r="AE344" s="87">
        <f t="shared" si="2481"/>
        <v>4.7299020571781446E-2</v>
      </c>
      <c r="AL344" s="86">
        <f t="shared" ref="AL344:BQ344" si="2483">AL128/AL99</f>
        <v>8.0401131031856227E-2</v>
      </c>
      <c r="AM344" s="86">
        <f t="shared" si="2483"/>
        <v>9.6724767626497815E-2</v>
      </c>
      <c r="AN344" s="86">
        <f t="shared" si="2483"/>
        <v>9.1606206266279799E-2</v>
      </c>
      <c r="AO344" s="86">
        <f t="shared" si="2483"/>
        <v>0.10057792970590872</v>
      </c>
      <c r="AP344" s="86">
        <f t="shared" si="2483"/>
        <v>9.6453417900404528E-2</v>
      </c>
      <c r="AQ344" s="86">
        <f t="shared" si="2483"/>
        <v>0.10731975657850158</v>
      </c>
      <c r="AR344" s="86">
        <f t="shared" si="2483"/>
        <v>0.11414492078285182</v>
      </c>
      <c r="AS344" s="86">
        <f t="shared" si="2483"/>
        <v>0.10354579991557621</v>
      </c>
      <c r="AT344" s="86">
        <f t="shared" si="2483"/>
        <v>0.11398217420115232</v>
      </c>
      <c r="AU344" s="86">
        <f t="shared" si="2483"/>
        <v>0.10820374543930888</v>
      </c>
      <c r="AV344" s="86">
        <f t="shared" si="2483"/>
        <v>0.12379195782075647</v>
      </c>
      <c r="AW344" s="86">
        <f t="shared" si="2483"/>
        <v>8.847228738703819E-2</v>
      </c>
      <c r="AX344" s="86">
        <f t="shared" si="2483"/>
        <v>0.11769808187192199</v>
      </c>
      <c r="AY344" s="86">
        <f t="shared" si="2483"/>
        <v>0.11573782957752658</v>
      </c>
      <c r="AZ344" s="86">
        <f t="shared" si="2483"/>
        <v>0.10721632906549258</v>
      </c>
      <c r="BA344" s="86">
        <f t="shared" si="2483"/>
        <v>0.13367009051680209</v>
      </c>
      <c r="BB344" s="86">
        <f t="shared" si="2483"/>
        <v>0.11314673016199303</v>
      </c>
      <c r="BC344" s="86">
        <f t="shared" si="2483"/>
        <v>0.15742634450506626</v>
      </c>
      <c r="BD344" s="86">
        <f t="shared" si="2483"/>
        <v>0.14381005724760498</v>
      </c>
      <c r="BE344" s="86">
        <f t="shared" si="2483"/>
        <v>0.13447333582800594</v>
      </c>
      <c r="BF344" s="86">
        <f t="shared" si="2483"/>
        <v>0.12578929209315343</v>
      </c>
      <c r="BG344" s="86">
        <f t="shared" si="2483"/>
        <v>0.13847331583552056</v>
      </c>
      <c r="BH344" s="86">
        <f t="shared" si="2483"/>
        <v>0.14067215074366859</v>
      </c>
      <c r="BI344" s="86">
        <f t="shared" si="2483"/>
        <v>0.12702111214251982</v>
      </c>
      <c r="BJ344" s="86">
        <f t="shared" si="2483"/>
        <v>0.1533450256160579</v>
      </c>
      <c r="BK344" s="86">
        <f t="shared" si="2483"/>
        <v>0.14727967533270159</v>
      </c>
      <c r="BL344" s="86">
        <f t="shared" si="2483"/>
        <v>0.14717068126108715</v>
      </c>
      <c r="BM344" s="86">
        <f t="shared" si="2483"/>
        <v>0.15969950629540533</v>
      </c>
      <c r="BN344" s="86">
        <f t="shared" si="2483"/>
        <v>0.16473235862735622</v>
      </c>
      <c r="BO344" s="86">
        <f t="shared" si="2483"/>
        <v>0.1688147664880931</v>
      </c>
      <c r="BP344" s="86">
        <f t="shared" si="2483"/>
        <v>0.12846856562454387</v>
      </c>
      <c r="BQ344" s="86">
        <f t="shared" si="2483"/>
        <v>0.12708231605796858</v>
      </c>
      <c r="BR344" s="86">
        <f t="shared" ref="BR344:DB344" si="2484">BR128/BR99</f>
        <v>8.5933066990909621E-2</v>
      </c>
      <c r="BS344" s="86">
        <f t="shared" si="2484"/>
        <v>9.3308067723677127E-2</v>
      </c>
      <c r="BT344" s="86">
        <f t="shared" si="2484"/>
        <v>9.6469803939157328E-2</v>
      </c>
      <c r="BU344" s="86">
        <f t="shared" si="2484"/>
        <v>8.728926780010153E-2</v>
      </c>
      <c r="BV344" s="86">
        <f t="shared" si="2484"/>
        <v>8.4833059642339947E-2</v>
      </c>
      <c r="BW344" s="86">
        <f t="shared" si="2484"/>
        <v>7.0783444218473615E-2</v>
      </c>
      <c r="BX344" s="86">
        <f t="shared" si="2484"/>
        <v>7.4961227934133109E-2</v>
      </c>
      <c r="BY344" s="86">
        <f t="shared" si="2484"/>
        <v>7.7732371159704203E-2</v>
      </c>
      <c r="BZ344" s="86">
        <f t="shared" si="2484"/>
        <v>9.5999922914846589E-2</v>
      </c>
      <c r="CA344" s="86">
        <f t="shared" si="2484"/>
        <v>8.0285723863805919E-2</v>
      </c>
      <c r="CB344" s="86">
        <f t="shared" si="2484"/>
        <v>7.5093896758361742E-2</v>
      </c>
      <c r="CC344" s="86">
        <f t="shared" si="2484"/>
        <v>7.4688417172889224E-2</v>
      </c>
      <c r="CD344" s="86">
        <f t="shared" si="2484"/>
        <v>7.1669723056962453E-2</v>
      </c>
      <c r="CE344" s="86">
        <f t="shared" si="2484"/>
        <v>6.8015834741367048E-2</v>
      </c>
      <c r="CF344" s="86">
        <f t="shared" si="2484"/>
        <v>7.281972420110755E-2</v>
      </c>
      <c r="CG344" s="86">
        <f t="shared" si="2484"/>
        <v>7.6011658716163805E-2</v>
      </c>
      <c r="CH344" s="86">
        <f t="shared" si="2484"/>
        <v>7.0965051228717088E-2</v>
      </c>
      <c r="CI344" s="86">
        <f t="shared" si="2484"/>
        <v>7.0929583306302668E-2</v>
      </c>
      <c r="CJ344" s="86">
        <f t="shared" si="2484"/>
        <v>8.4828410071206589E-2</v>
      </c>
      <c r="CK344" s="86">
        <f t="shared" si="2484"/>
        <v>9.7764548073938182E-2</v>
      </c>
      <c r="CL344" s="86">
        <f t="shared" ref="CL344" si="2485">CL128/CL99</f>
        <v>8.6929034509603889E-2</v>
      </c>
      <c r="CM344" s="87">
        <f t="shared" si="2484"/>
        <v>4.8258706767124182E-2</v>
      </c>
      <c r="CN344" s="87">
        <f t="shared" si="2484"/>
        <v>4.0212877483214018E-2</v>
      </c>
      <c r="CO344" s="87">
        <f t="shared" si="2484"/>
        <v>4.5624137143720135E-2</v>
      </c>
      <c r="CP344" s="87">
        <f t="shared" si="2484"/>
        <v>4.4676053580849223E-2</v>
      </c>
      <c r="CQ344" s="87">
        <f t="shared" si="2484"/>
        <v>5.6008362808673461E-2</v>
      </c>
      <c r="CR344" s="87">
        <f t="shared" si="2484"/>
        <v>5.346038668912944E-2</v>
      </c>
      <c r="CS344" s="87">
        <f t="shared" si="2484"/>
        <v>6.027912331599164E-2</v>
      </c>
      <c r="CT344" s="87">
        <f t="shared" si="2484"/>
        <v>5.7071930815011739E-2</v>
      </c>
      <c r="CU344" s="87">
        <f t="shared" si="2484"/>
        <v>5.4770677644061516E-2</v>
      </c>
      <c r="CV344" s="87">
        <f t="shared" si="2484"/>
        <v>5.1481622838700829E-2</v>
      </c>
      <c r="CW344" s="87">
        <f t="shared" si="2484"/>
        <v>5.6752308189727083E-2</v>
      </c>
      <c r="CX344" s="87">
        <f t="shared" si="2484"/>
        <v>5.2088824788945186E-2</v>
      </c>
      <c r="CY344" s="87">
        <f t="shared" si="2484"/>
        <v>4.8583637491096891E-2</v>
      </c>
      <c r="CZ344" s="87">
        <f t="shared" si="2484"/>
        <v>4.5503315052967057E-2</v>
      </c>
      <c r="DA344" s="87">
        <f t="shared" si="2484"/>
        <v>4.9944687401049875E-2</v>
      </c>
      <c r="DB344" s="87">
        <f t="shared" si="2484"/>
        <v>4.540010178385654E-2</v>
      </c>
      <c r="DE344" s="141"/>
      <c r="DF344" s="86">
        <v>3.1410298531283506E-2</v>
      </c>
    </row>
    <row r="345" spans="1:110" s="86" customFormat="1" x14ac:dyDescent="0.2">
      <c r="A345" s="86" t="s">
        <v>433</v>
      </c>
      <c r="B345" s="86">
        <f>B124/B99</f>
        <v>6.0609272151211785E-2</v>
      </c>
      <c r="C345" s="86">
        <f>C124/C99</f>
        <v>8.1956768348588213E-2</v>
      </c>
      <c r="D345" s="86">
        <f>D124/D99</f>
        <v>8.0566856381816487E-2</v>
      </c>
      <c r="F345" s="86">
        <f t="shared" ref="F345:AE345" si="2486">F124/F99</f>
        <v>9.6951789380032571E-2</v>
      </c>
      <c r="G345" s="86">
        <f t="shared" si="2486"/>
        <v>6.1482676264980322E-2</v>
      </c>
      <c r="H345" s="86">
        <f t="shared" si="2486"/>
        <v>6.3967502695000025E-2</v>
      </c>
      <c r="I345" s="86">
        <f t="shared" si="2486"/>
        <v>5.1290375534542222E-2</v>
      </c>
      <c r="J345" s="86">
        <f t="shared" si="2486"/>
        <v>5.1850630159548917E-2</v>
      </c>
      <c r="K345" s="86">
        <f t="shared" si="2486"/>
        <v>4.6201489830650332E-2</v>
      </c>
      <c r="L345" s="86">
        <f t="shared" si="2486"/>
        <v>5.0364591468477431E-2</v>
      </c>
      <c r="M345" s="86">
        <f t="shared" si="2486"/>
        <v>5.1293226199576401E-2</v>
      </c>
      <c r="N345" s="86">
        <f t="shared" si="2486"/>
        <v>6.209320836145403E-2</v>
      </c>
      <c r="O345" s="86">
        <f t="shared" si="2486"/>
        <v>7.6378901042815084E-2</v>
      </c>
      <c r="P345" s="86">
        <f t="shared" si="2486"/>
        <v>6.4713085428475842E-2</v>
      </c>
      <c r="Q345" s="86">
        <f t="shared" si="2486"/>
        <v>5.5887466445927562E-2</v>
      </c>
      <c r="R345" s="86">
        <f t="shared" si="2486"/>
        <v>7.088658342392358E-2</v>
      </c>
      <c r="S345" s="86">
        <f t="shared" si="2486"/>
        <v>8.7412309935779337E-2</v>
      </c>
      <c r="T345" s="86">
        <f t="shared" si="2486"/>
        <v>8.0088524302685385E-2</v>
      </c>
      <c r="U345" s="86">
        <f t="shared" si="2486"/>
        <v>9.0387374954395486E-2</v>
      </c>
      <c r="V345" s="86">
        <f t="shared" si="2486"/>
        <v>8.3934623131420028E-2</v>
      </c>
      <c r="W345" s="86">
        <f t="shared" si="2486"/>
        <v>7.2921899855823813E-2</v>
      </c>
      <c r="X345" s="86">
        <f t="shared" si="2486"/>
        <v>6.2407138714709078E-2</v>
      </c>
      <c r="Y345" s="86">
        <f t="shared" si="2486"/>
        <v>6.1618190073378036E-2</v>
      </c>
      <c r="Z345" s="86">
        <f t="shared" si="2486"/>
        <v>6.2873711938500484E-2</v>
      </c>
      <c r="AA345" s="86">
        <f t="shared" ref="AA345" si="2487">AA124/AA99</f>
        <v>7.7065491948480669E-2</v>
      </c>
      <c r="AB345" s="87">
        <f t="shared" si="2486"/>
        <v>7.0360286462788954E-2</v>
      </c>
      <c r="AC345" s="87">
        <f t="shared" si="2486"/>
        <v>6.6883158411207927E-2</v>
      </c>
      <c r="AD345" s="87">
        <f t="shared" si="2486"/>
        <v>6.4730604805566472E-2</v>
      </c>
      <c r="AE345" s="87">
        <f t="shared" si="2486"/>
        <v>6.2307191964923549E-2</v>
      </c>
      <c r="AL345" s="86">
        <f t="shared" ref="AL345:BQ345" si="2488">AL124/AL99</f>
        <v>4.609707654393156E-2</v>
      </c>
      <c r="AM345" s="86">
        <f t="shared" si="2488"/>
        <v>6.96826057953914E-2</v>
      </c>
      <c r="AN345" s="86">
        <f t="shared" si="2488"/>
        <v>7.8616585412604426E-2</v>
      </c>
      <c r="AO345" s="86">
        <f t="shared" si="2488"/>
        <v>7.6498674715690301E-2</v>
      </c>
      <c r="AP345" s="86">
        <f t="shared" si="2488"/>
        <v>8.1357611541922378E-2</v>
      </c>
      <c r="AQ345" s="86">
        <f t="shared" si="2488"/>
        <v>6.2305843333298874E-2</v>
      </c>
      <c r="AR345" s="86">
        <f t="shared" si="2488"/>
        <v>6.2427772600186393E-2</v>
      </c>
      <c r="AS345" s="86">
        <f t="shared" si="2488"/>
        <v>6.3559401529008949E-2</v>
      </c>
      <c r="AT345" s="86">
        <f t="shared" si="2488"/>
        <v>7.0018361989164904E-2</v>
      </c>
      <c r="AU345" s="86">
        <f t="shared" si="2488"/>
        <v>5.5368634695079265E-2</v>
      </c>
      <c r="AV345" s="86">
        <f t="shared" si="2488"/>
        <v>5.1949237770876025E-2</v>
      </c>
      <c r="AW345" s="86">
        <f t="shared" si="2488"/>
        <v>5.5993689779210272E-2</v>
      </c>
      <c r="AX345" s="86">
        <f t="shared" si="2488"/>
        <v>6.0428296979612869E-2</v>
      </c>
      <c r="AY345" s="86">
        <f t="shared" si="2488"/>
        <v>6.4242574908968605E-2</v>
      </c>
      <c r="AZ345" s="86">
        <f t="shared" si="2488"/>
        <v>6.2054663110440771E-2</v>
      </c>
      <c r="BA345" s="86">
        <f t="shared" si="2488"/>
        <v>7.9715931474324167E-2</v>
      </c>
      <c r="BB345" s="86">
        <f t="shared" si="2488"/>
        <v>7.986021892183566E-2</v>
      </c>
      <c r="BC345" s="86">
        <f t="shared" si="2488"/>
        <v>8.9823850350740461E-2</v>
      </c>
      <c r="BD345" s="86">
        <f t="shared" si="2488"/>
        <v>8.4278367388505374E-2</v>
      </c>
      <c r="BE345" s="86">
        <f t="shared" si="2488"/>
        <v>9.1820723182531414E-2</v>
      </c>
      <c r="BF345" s="86">
        <f t="shared" si="2488"/>
        <v>8.7594275112201761E-2</v>
      </c>
      <c r="BG345" s="86">
        <f t="shared" si="2488"/>
        <v>8.0649879702537189E-2</v>
      </c>
      <c r="BH345" s="86">
        <f t="shared" si="2488"/>
        <v>8.1182743788256059E-2</v>
      </c>
      <c r="BI345" s="86">
        <f t="shared" si="2488"/>
        <v>7.5506632542489238E-2</v>
      </c>
      <c r="BJ345" s="86">
        <f t="shared" si="2488"/>
        <v>8.3466577406968903E-2</v>
      </c>
      <c r="BK345" s="86">
        <f t="shared" si="2488"/>
        <v>7.9821340282641845E-2</v>
      </c>
      <c r="BL345" s="86">
        <f t="shared" si="2488"/>
        <v>8.5237736753401364E-2</v>
      </c>
      <c r="BM345" s="86">
        <f t="shared" si="2488"/>
        <v>9.5017274711039268E-2</v>
      </c>
      <c r="BN345" s="86">
        <f t="shared" si="2488"/>
        <v>0.10380920734654421</v>
      </c>
      <c r="BO345" s="86">
        <f t="shared" si="2488"/>
        <v>9.9874631759850868E-2</v>
      </c>
      <c r="BP345" s="86">
        <f t="shared" si="2488"/>
        <v>8.4305912922009077E-2</v>
      </c>
      <c r="BQ345" s="86">
        <f t="shared" si="2488"/>
        <v>9.7170142841913096E-2</v>
      </c>
      <c r="BR345" s="86">
        <f t="shared" ref="BR345:DB345" si="2489">BR124/BR99</f>
        <v>6.4007102464632426E-2</v>
      </c>
      <c r="BS345" s="86">
        <f t="shared" si="2489"/>
        <v>7.3743998184034307E-2</v>
      </c>
      <c r="BT345" s="86">
        <f t="shared" si="2489"/>
        <v>7.8608838537769801E-2</v>
      </c>
      <c r="BU345" s="86">
        <f t="shared" si="2489"/>
        <v>6.9468548923591195E-2</v>
      </c>
      <c r="BV345" s="86">
        <f t="shared" si="2489"/>
        <v>7.0711774955769094E-2</v>
      </c>
      <c r="BW345" s="86">
        <f t="shared" si="2489"/>
        <v>5.6708022086885017E-2</v>
      </c>
      <c r="BX345" s="86">
        <f t="shared" si="2489"/>
        <v>5.9699716051635272E-2</v>
      </c>
      <c r="BY345" s="86">
        <f t="shared" si="2489"/>
        <v>6.03901729194741E-2</v>
      </c>
      <c r="BZ345" s="86">
        <f t="shared" si="2489"/>
        <v>7.4379143326995217E-2</v>
      </c>
      <c r="CA345" s="86">
        <f t="shared" si="2489"/>
        <v>5.8727599355563459E-2</v>
      </c>
      <c r="CB345" s="86">
        <f t="shared" si="2489"/>
        <v>5.8831378514337562E-2</v>
      </c>
      <c r="CC345" s="86">
        <f t="shared" si="2489"/>
        <v>6.3222305644665897E-2</v>
      </c>
      <c r="CD345" s="86">
        <f t="shared" si="2489"/>
        <v>6.5677893905183332E-2</v>
      </c>
      <c r="CE345" s="86">
        <f t="shared" si="2489"/>
        <v>5.6257163046256366E-2</v>
      </c>
      <c r="CF345" s="86">
        <f t="shared" si="2489"/>
        <v>6.2855825100158177E-2</v>
      </c>
      <c r="CG345" s="86">
        <f t="shared" si="2489"/>
        <v>6.763601727236461E-2</v>
      </c>
      <c r="CH345" s="86">
        <f t="shared" si="2489"/>
        <v>6.5295264122115962E-2</v>
      </c>
      <c r="CI345" s="86">
        <f t="shared" si="2489"/>
        <v>6.4369586588796171E-2</v>
      </c>
      <c r="CJ345" s="86">
        <f t="shared" si="2489"/>
        <v>7.4754372974819405E-2</v>
      </c>
      <c r="CK345" s="86">
        <f t="shared" si="2489"/>
        <v>8.6597683893719787E-2</v>
      </c>
      <c r="CL345" s="86">
        <f t="shared" ref="CL345" si="2490">CL124/CL99</f>
        <v>8.5920323217138023E-2</v>
      </c>
      <c r="CM345" s="87">
        <f t="shared" si="2489"/>
        <v>7.8075762187868838E-2</v>
      </c>
      <c r="CN345" s="87">
        <f t="shared" si="2489"/>
        <v>6.4157106492298444E-2</v>
      </c>
      <c r="CO345" s="87">
        <f t="shared" si="2489"/>
        <v>7.1832304928296856E-2</v>
      </c>
      <c r="CP345" s="87">
        <f t="shared" si="2489"/>
        <v>6.8867912150999411E-2</v>
      </c>
      <c r="CQ345" s="87">
        <f t="shared" si="2489"/>
        <v>6.6489423240773851E-2</v>
      </c>
      <c r="CR345" s="87">
        <f t="shared" si="2489"/>
        <v>6.3107757057316929E-2</v>
      </c>
      <c r="CS345" s="87">
        <f t="shared" si="2489"/>
        <v>7.0673669593757094E-2</v>
      </c>
      <c r="CT345" s="87">
        <f t="shared" si="2489"/>
        <v>6.7663425243551747E-2</v>
      </c>
      <c r="CU345" s="87">
        <f t="shared" si="2489"/>
        <v>6.427996125931934E-2</v>
      </c>
      <c r="CV345" s="87">
        <f t="shared" si="2489"/>
        <v>6.1148674153715644E-2</v>
      </c>
      <c r="CW345" s="87">
        <f t="shared" si="2489"/>
        <v>6.8427489797592209E-2</v>
      </c>
      <c r="CX345" s="87">
        <f t="shared" si="2489"/>
        <v>6.5452586930929799E-2</v>
      </c>
      <c r="CY345" s="87">
        <f t="shared" si="2489"/>
        <v>6.1908980552826891E-2</v>
      </c>
      <c r="CZ345" s="87">
        <f t="shared" si="2489"/>
        <v>5.8866190577073062E-2</v>
      </c>
      <c r="DA345" s="87">
        <f t="shared" si="2489"/>
        <v>6.5880138131017868E-2</v>
      </c>
      <c r="DB345" s="87">
        <f t="shared" si="2489"/>
        <v>6.2948065430256619E-2</v>
      </c>
      <c r="DE345" s="141"/>
      <c r="DF345" s="86">
        <v>6.3070531220218926E-2</v>
      </c>
    </row>
    <row r="346" spans="1:110" s="85" customFormat="1" x14ac:dyDescent="0.2">
      <c r="AB346" s="58"/>
      <c r="AC346" s="58"/>
      <c r="AD346" s="58"/>
      <c r="AE346" s="58"/>
      <c r="CM346" s="72"/>
      <c r="CN346" s="72"/>
      <c r="CO346" s="72"/>
      <c r="CP346" s="72"/>
      <c r="CQ346" s="72"/>
      <c r="CR346" s="72"/>
      <c r="CS346" s="72"/>
      <c r="CT346" s="72"/>
      <c r="CU346" s="72"/>
      <c r="CV346" s="72"/>
      <c r="CW346" s="72"/>
      <c r="CX346" s="72"/>
      <c r="CY346" s="72"/>
      <c r="CZ346" s="72"/>
      <c r="DA346" s="72"/>
      <c r="DB346" s="72"/>
      <c r="DE346" s="143"/>
    </row>
  </sheetData>
  <sortState xmlns:xlrd2="http://schemas.microsoft.com/office/spreadsheetml/2017/richdata2" ref="A112:DE116">
    <sortCondition ref="A112:A116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N6" activePane="bottomRight" state="frozen"/>
      <selection activeCell="A2" sqref="A2"/>
      <selection pane="topRight" activeCell="A2" sqref="A2"/>
      <selection pane="bottomLeft" activeCell="A2" sqref="A2"/>
      <selection pane="bottomRight" activeCell="AP11" sqref="AP1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100400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Tata Power Company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7197.57</v>
      </c>
      <c r="D6">
        <f>_xll.EQNXTDZ($A$1,$B6,D$1,$B$1)</f>
        <v>7649.49</v>
      </c>
      <c r="E6">
        <f>_xll.EQNXTDZ($A$1,$B6,E$1,$B$1)</f>
        <v>8991.68</v>
      </c>
      <c r="F6">
        <f>_xll.EQNXTDZ($A$1,$B6,F$1,$B$1)</f>
        <v>8997.31</v>
      </c>
      <c r="G6">
        <f>_xll.EQNXTDZ($A$1,$B6,G$1,$B$1)</f>
        <v>9291.77</v>
      </c>
      <c r="H6">
        <f>_xll.EQNXTDZ($A$1,$B6,H$1,$B$1)</f>
        <v>8717.11</v>
      </c>
      <c r="I6">
        <f>_xll.EQNXTDZ($A$1,$B6,I$1,$B$1)</f>
        <v>8656.11</v>
      </c>
      <c r="J6">
        <f>_xll.EQNXTDZ($A$1,$B6,J$1,$B$1)</f>
        <v>8862.5</v>
      </c>
      <c r="K6">
        <f>_xll.EQNXTDZ($A$1,$B6,K$1,$B$1)</f>
        <v>8680.7800000000007</v>
      </c>
      <c r="L6">
        <f>_xll.EQNXTDZ($A$1,$B6,L$1,$B$1)</f>
        <v>8554.01</v>
      </c>
      <c r="M6">
        <f>_xll.EQNXTDZ($A$1,$B6,M$1,$B$1)</f>
        <v>8475.93</v>
      </c>
      <c r="N6">
        <f>_xll.EQNXTDZ($A$1,$B6,N$1,$B$1)</f>
        <v>7835.11</v>
      </c>
      <c r="O6">
        <f>_xll.EQNXTDZ($A$1,$B6,O$1,$B$1)</f>
        <v>7168.23</v>
      </c>
      <c r="P6">
        <f>_xll.EQNXTDZ($A$1,$B6,P$1,$B$1)</f>
        <v>7618.35</v>
      </c>
      <c r="Q6">
        <f>_xll.EQNXTDZ($A$1,$B6,Q$1,$B$1)</f>
        <v>7312.88</v>
      </c>
      <c r="R6">
        <f>_xll.EQNXTDZ($A$1,$B6,R$1,$B$1)</f>
        <v>7297.74</v>
      </c>
      <c r="S6">
        <f>_xll.EQNXTDZ($A$1,$B6,S$1,$B$1)</f>
        <v>6838.3</v>
      </c>
      <c r="T6">
        <f>_xll.EQNXTDZ($A$1,$B6,T$1,$B$1)</f>
        <v>7213.64</v>
      </c>
      <c r="U6">
        <f>_xll.EQNXTDZ($A$1,$B6,U$1,$B$1)</f>
        <v>6574.47</v>
      </c>
      <c r="V6">
        <f>_xll.EQNXTDZ($A$1,$B6,V$1,$B$1)</f>
        <v>7005.24</v>
      </c>
      <c r="W6">
        <f>_xll.EQNXTDZ($A$1,$B6,W$1,$B$1)</f>
        <v>6415</v>
      </c>
      <c r="X6">
        <f>_xll.EQNXTDZ($A$1,$B6,X$1,$B$1)</f>
        <v>6873.65</v>
      </c>
      <c r="Y6">
        <f>_xll.EQNXTDZ($A$1,$B6,Y$1,$B$1)</f>
        <v>6360.22</v>
      </c>
      <c r="Z6">
        <f>_xll.EQNXTDZ($A$1,$B6,Z$1,$B$1)</f>
        <v>7216.91</v>
      </c>
      <c r="AA6">
        <f>_xll.EQNXTDZ($A$1,$B6,AA$1,$B$1)</f>
        <v>7315.2</v>
      </c>
      <c r="AB6">
        <f>_xll.EQNXTDZ($A$1,$B6,AB$1,$B$1)</f>
        <v>7353.41</v>
      </c>
      <c r="AC6">
        <f>_xll.EQNXTDZ($A$1,$B6,AC$1,$B$1)</f>
        <v>7982.61</v>
      </c>
      <c r="AD6">
        <f>_xll.EQNXTDZ($A$1,$B6,AD$1,$B$1)</f>
        <v>7229.84</v>
      </c>
      <c r="AE6">
        <f>_xll.EQNXTDZ($A$1,$B6,AE$1,$B$1)</f>
        <v>7766.72</v>
      </c>
      <c r="AF6">
        <f>_xll.EQNXTDZ($A$1,$B6,AF$1,$B$1)</f>
        <v>7677.82</v>
      </c>
      <c r="AG6">
        <f>_xll.EQNXTDZ($A$1,$B6,AG$1,$B$1)</f>
        <v>7071.03</v>
      </c>
      <c r="AH6">
        <f>_xll.EQNXTDZ($A$1,$B6,AH$1,$B$1)</f>
        <v>6620.8</v>
      </c>
      <c r="AI6">
        <f>_xll.EQNXTDZ($A$1,$B6,AI$1,$B$1)</f>
        <v>6452.99</v>
      </c>
      <c r="AJ6">
        <f>_xll.EQNXTDZ($A$1,$B6,AJ$1,$B$1)</f>
        <v>8289.81</v>
      </c>
      <c r="AK6">
        <f>_xll.EQNXTDZ($A$1,$B6,AK$1,$B$1)</f>
        <v>7597.91</v>
      </c>
      <c r="AL6">
        <f>_xll.EQNXTDZ($A$1,$B6,AL$1,$B$1)</f>
        <v>10362.6</v>
      </c>
      <c r="AM6">
        <f>_xll.EQNXTDZ($A$1,$B6,AM$1,$B$1)</f>
        <v>10132.35</v>
      </c>
      <c r="AN6">
        <f>_xll.EQNXTDZ($A$1,$B6,AN$1,$B$1)</f>
        <v>9810.2199999999993</v>
      </c>
      <c r="AO6">
        <f>_xll.EQNXTDZ($A$1,$B6,AO$1,$B$1)</f>
        <v>10913.14</v>
      </c>
      <c r="AP6">
        <f>_xll.EQNXTDZ($A$1,$B6,AP$1,$B$1)</f>
        <v>11959.96</v>
      </c>
      <c r="AQ6">
        <f>_xll.EQNXTDZ($A$1,$B6,AQ$1,$B$1)</f>
        <v>14495.48</v>
      </c>
      <c r="AR6">
        <f>_xll.EQNXTDZ($A$1,$B6,AR$1,$B$1)</f>
        <v>14030.72</v>
      </c>
      <c r="AS6">
        <f>_xll.EQNXTDZ($A$1,$B6,AS$1,$B$1)</f>
        <v>14129.12</v>
      </c>
      <c r="AT6">
        <f>_xll.EQNXTDZ($A$1,$B6,AT$1,$B$1)</f>
        <v>12453.76</v>
      </c>
      <c r="AU6">
        <f>_xll.EQNXTDZ($A$1,$B6,AU$1,$B$1)</f>
        <v>15213.29</v>
      </c>
      <c r="AV6">
        <f>_xll.EQNXTDZ($A$1,$B6,AV$1,$B$1)</f>
        <v>15738.03</v>
      </c>
      <c r="AW6">
        <f>_xll.EQNXTDZ($A$1,$B6,AW$1,$B$1)</f>
        <v>14651</v>
      </c>
      <c r="AX6">
        <f>_xll.EQNXTDZ($A$1,$B6,AX$1,$B$1)</f>
        <v>15846.58</v>
      </c>
      <c r="AY6">
        <f>_xll.EQNXTDZ($A$1,$B6,AY$1,$B$1)</f>
        <v>17293.62</v>
      </c>
      <c r="AZ6">
        <f>_xll.EQNXTDZ($A$1,$B6,AZ$1,$B$1)</f>
        <v>15697.67</v>
      </c>
      <c r="BA6">
        <f>_xll.EQNXTDZ($A$1,$B6,BA$1,$B$1)</f>
        <v>15391.06</v>
      </c>
      <c r="BB6">
        <f>_xll.EQNXTDZ($A$1,$B6,BB$1,$B$1)</f>
        <v>17095.88</v>
      </c>
      <c r="BC6">
        <f>_xll.EQNXTDZ($A$1,$B6,BC$1,$B$1)</f>
        <v>18035.07</v>
      </c>
      <c r="BD6">
        <f>_xll.EQNXTDZ($A$1,$B6,BD$1,$B$1)</f>
        <v>15544.91</v>
      </c>
      <c r="BE6">
        <f>_xll.EQNXTDZ($A$1,$B6,BE$1,$B$1)</f>
        <v>13948.41</v>
      </c>
      <c r="BF6">
        <f>_xll.EQNXTDZ($A$1,$B6,BF$1,$B$1)</f>
        <v>14900.2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56.32</v>
      </c>
      <c r="D8">
        <f>_xll.EQNXTDZ($A$1,$B8,D$1,$B$1)</f>
        <v>50.28</v>
      </c>
      <c r="E8">
        <f>_xll.EQNXTDZ($A$1,$B8,E$1,$B$1)</f>
        <v>47.63</v>
      </c>
      <c r="F8">
        <f>_xll.EQNXTDZ($A$1,$B8,F$1,$B$1)</f>
        <v>35.15</v>
      </c>
      <c r="G8">
        <f>_xll.EQNXTDZ($A$1,$B8,G$1,$B$1)</f>
        <v>47.72</v>
      </c>
      <c r="H8">
        <f>_xll.EQNXTDZ($A$1,$B8,H$1,$B$1)</f>
        <v>47.58</v>
      </c>
      <c r="I8">
        <f>_xll.EQNXTDZ($A$1,$B8,I$1,$B$1)</f>
        <v>43.91</v>
      </c>
      <c r="J8">
        <f>_xll.EQNXTDZ($A$1,$B8,J$1,$B$1)</f>
        <v>39.31</v>
      </c>
      <c r="K8">
        <f>_xll.EQNXTDZ($A$1,$B8,K$1,$B$1)</f>
        <v>26.75</v>
      </c>
      <c r="L8">
        <f>_xll.EQNXTDZ($A$1,$B8,L$1,$B$1)</f>
        <v>29.99</v>
      </c>
      <c r="M8">
        <f>_xll.EQNXTDZ($A$1,$B8,M$1,$B$1)</f>
        <v>52.47</v>
      </c>
      <c r="N8">
        <f>_xll.EQNXTDZ($A$1,$B8,N$1,$B$1)</f>
        <v>72.53</v>
      </c>
      <c r="O8">
        <f>_xll.EQNXTDZ($A$1,$B8,O$1,$B$1)</f>
        <v>15.44</v>
      </c>
      <c r="P8">
        <f>_xll.EQNXTDZ($A$1,$B8,P$1,$B$1)</f>
        <v>47.98</v>
      </c>
      <c r="Q8">
        <f>_xll.EQNXTDZ($A$1,$B8,Q$1,$B$1)</f>
        <v>40.270000000000003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7253.89</v>
      </c>
      <c r="D9">
        <f>_xll.EQNXTDZ($A$1,$B9,D$1,$B$1)</f>
        <v>7699.77</v>
      </c>
      <c r="E9">
        <f>_xll.EQNXTDZ($A$1,$B9,E$1,$B$1)</f>
        <v>9039.31</v>
      </c>
      <c r="F9">
        <f>_xll.EQNXTDZ($A$1,$B9,F$1,$B$1)</f>
        <v>9032.4599999999991</v>
      </c>
      <c r="G9">
        <f>_xll.EQNXTDZ($A$1,$B9,G$1,$B$1)</f>
        <v>9339.49</v>
      </c>
      <c r="H9">
        <f>_xll.EQNXTDZ($A$1,$B9,H$1,$B$1)</f>
        <v>8764.69</v>
      </c>
      <c r="I9">
        <f>_xll.EQNXTDZ($A$1,$B9,I$1,$B$1)</f>
        <v>8700.02</v>
      </c>
      <c r="J9">
        <f>_xll.EQNXTDZ($A$1,$B9,J$1,$B$1)</f>
        <v>8901.81</v>
      </c>
      <c r="K9">
        <f>_xll.EQNXTDZ($A$1,$B9,K$1,$B$1)</f>
        <v>8707.5300000000007</v>
      </c>
      <c r="L9">
        <f>_xll.EQNXTDZ($A$1,$B9,L$1,$B$1)</f>
        <v>8584</v>
      </c>
      <c r="M9">
        <f>_xll.EQNXTDZ($A$1,$B9,M$1,$B$1)</f>
        <v>8528.4</v>
      </c>
      <c r="N9">
        <f>_xll.EQNXTDZ($A$1,$B9,N$1,$B$1)</f>
        <v>7907.64</v>
      </c>
      <c r="O9">
        <f>_xll.EQNXTDZ($A$1,$B9,O$1,$B$1)</f>
        <v>7183.67</v>
      </c>
      <c r="P9">
        <f>_xll.EQNXTDZ($A$1,$B9,P$1,$B$1)</f>
        <v>7666.33</v>
      </c>
      <c r="Q9">
        <f>_xll.EQNXTDZ($A$1,$B9,Q$1,$B$1)</f>
        <v>7353.15</v>
      </c>
      <c r="R9">
        <f>_xll.EQNXTDZ($A$1,$B9,R$1,$B$1)</f>
        <v>7297.74</v>
      </c>
      <c r="S9">
        <f>_xll.EQNXTDZ($A$1,$B9,S$1,$B$1)</f>
        <v>6838.3</v>
      </c>
      <c r="T9">
        <f>_xll.EQNXTDZ($A$1,$B9,T$1,$B$1)</f>
        <v>7213.64</v>
      </c>
      <c r="U9">
        <f>_xll.EQNXTDZ($A$1,$B9,U$1,$B$1)</f>
        <v>6574.47</v>
      </c>
      <c r="V9">
        <f>_xll.EQNXTDZ($A$1,$B9,V$1,$B$1)</f>
        <v>7005.24</v>
      </c>
      <c r="W9">
        <f>_xll.EQNXTDZ($A$1,$B9,W$1,$B$1)</f>
        <v>6415</v>
      </c>
      <c r="X9">
        <f>_xll.EQNXTDZ($A$1,$B9,X$1,$B$1)</f>
        <v>6873.65</v>
      </c>
      <c r="Y9">
        <f>_xll.EQNXTDZ($A$1,$B9,Y$1,$B$1)</f>
        <v>6360.22</v>
      </c>
      <c r="Z9">
        <f>_xll.EQNXTDZ($A$1,$B9,Z$1,$B$1)</f>
        <v>7216.91</v>
      </c>
      <c r="AA9">
        <f>_xll.EQNXTDZ($A$1,$B9,AA$1,$B$1)</f>
        <v>7315.2</v>
      </c>
      <c r="AB9">
        <f>_xll.EQNXTDZ($A$1,$B9,AB$1,$B$1)</f>
        <v>7353.41</v>
      </c>
      <c r="AC9">
        <f>_xll.EQNXTDZ($A$1,$B9,AC$1,$B$1)</f>
        <v>7982.61</v>
      </c>
      <c r="AD9">
        <f>_xll.EQNXTDZ($A$1,$B9,AD$1,$B$1)</f>
        <v>7229.84</v>
      </c>
      <c r="AE9">
        <f>_xll.EQNXTDZ($A$1,$B9,AE$1,$B$1)</f>
        <v>7766.72</v>
      </c>
      <c r="AF9">
        <f>_xll.EQNXTDZ($A$1,$B9,AF$1,$B$1)</f>
        <v>7677.82</v>
      </c>
      <c r="AG9">
        <f>_xll.EQNXTDZ($A$1,$B9,AG$1,$B$1)</f>
        <v>7071.03</v>
      </c>
      <c r="AH9">
        <f>_xll.EQNXTDZ($A$1,$B9,AH$1,$B$1)</f>
        <v>6620.8</v>
      </c>
      <c r="AI9">
        <f>_xll.EQNXTDZ($A$1,$B9,AI$1,$B$1)</f>
        <v>6452.99</v>
      </c>
      <c r="AJ9">
        <f>_xll.EQNXTDZ($A$1,$B9,AJ$1,$B$1)</f>
        <v>8289.81</v>
      </c>
      <c r="AK9">
        <f>_xll.EQNXTDZ($A$1,$B9,AK$1,$B$1)</f>
        <v>7597.91</v>
      </c>
      <c r="AL9">
        <f>_xll.EQNXTDZ($A$1,$B9,AL$1,$B$1)</f>
        <v>10362.6</v>
      </c>
      <c r="AM9">
        <f>_xll.EQNXTDZ($A$1,$B9,AM$1,$B$1)</f>
        <v>10132.35</v>
      </c>
      <c r="AN9">
        <f>_xll.EQNXTDZ($A$1,$B9,AN$1,$B$1)</f>
        <v>9810.2199999999993</v>
      </c>
      <c r="AO9">
        <f>_xll.EQNXTDZ($A$1,$B9,AO$1,$B$1)</f>
        <v>10913.14</v>
      </c>
      <c r="AP9">
        <f>_xll.EQNXTDZ($A$1,$B9,AP$1,$B$1)</f>
        <v>11959.96</v>
      </c>
      <c r="AQ9">
        <f>_xll.EQNXTDZ($A$1,$B9,AQ$1,$B$1)</f>
        <v>14495.48</v>
      </c>
      <c r="AR9">
        <f>_xll.EQNXTDZ($A$1,$B9,AR$1,$B$1)</f>
        <v>14030.72</v>
      </c>
      <c r="AS9">
        <f>_xll.EQNXTDZ($A$1,$B9,AS$1,$B$1)</f>
        <v>14129.12</v>
      </c>
      <c r="AT9">
        <f>_xll.EQNXTDZ($A$1,$B9,AT$1,$B$1)</f>
        <v>12453.76</v>
      </c>
      <c r="AU9">
        <f>_xll.EQNXTDZ($A$1,$B9,AU$1,$B$1)</f>
        <v>15213.29</v>
      </c>
      <c r="AV9">
        <f>_xll.EQNXTDZ($A$1,$B9,AV$1,$B$1)</f>
        <v>15738.03</v>
      </c>
      <c r="AW9">
        <f>_xll.EQNXTDZ($A$1,$B9,AW$1,$B$1)</f>
        <v>14651</v>
      </c>
      <c r="AX9">
        <f>_xll.EQNXTDZ($A$1,$B9,AX$1,$B$1)</f>
        <v>15846.58</v>
      </c>
      <c r="AY9">
        <f>_xll.EQNXTDZ($A$1,$B9,AY$1,$B$1)</f>
        <v>17293.62</v>
      </c>
      <c r="AZ9">
        <f>_xll.EQNXTDZ($A$1,$B9,AZ$1,$B$1)</f>
        <v>15697.67</v>
      </c>
      <c r="BA9">
        <f>_xll.EQNXTDZ($A$1,$B9,BA$1,$B$1)</f>
        <v>15391.06</v>
      </c>
      <c r="BB9">
        <f>_xll.EQNXTDZ($A$1,$B9,BB$1,$B$1)</f>
        <v>17095.88</v>
      </c>
      <c r="BC9">
        <f>_xll.EQNXTDZ($A$1,$B9,BC$1,$B$1)</f>
        <v>18035.07</v>
      </c>
      <c r="BD9">
        <f>_xll.EQNXTDZ($A$1,$B9,BD$1,$B$1)</f>
        <v>15544.91</v>
      </c>
      <c r="BE9">
        <f>_xll.EQNXTDZ($A$1,$B9,BE$1,$B$1)</f>
        <v>13948.41</v>
      </c>
      <c r="BF9">
        <f>_xll.EQNXTDZ($A$1,$B9,BF$1,$B$1)</f>
        <v>14900.2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-0.18</v>
      </c>
      <c r="D10">
        <f>_xll.EQNXTDZ($A$1,$B10,D$1,$B$1)</f>
        <v>-252.37</v>
      </c>
      <c r="E10">
        <f>_xll.EQNXTDZ($A$1,$B10,E$1,$B$1)</f>
        <v>-115.71</v>
      </c>
      <c r="F10">
        <f>_xll.EQNXTDZ($A$1,$B10,F$1,$B$1)</f>
        <v>93.14</v>
      </c>
      <c r="G10">
        <f>_xll.EQNXTDZ($A$1,$B10,G$1,$B$1)</f>
        <v>54.72</v>
      </c>
      <c r="H10">
        <f>_xll.EQNXTDZ($A$1,$B10,H$1,$B$1)</f>
        <v>-129.44</v>
      </c>
      <c r="I10">
        <f>_xll.EQNXTDZ($A$1,$B10,I$1,$B$1)</f>
        <v>136.87</v>
      </c>
      <c r="J10">
        <f>_xll.EQNXTDZ($A$1,$B10,J$1,$B$1)</f>
        <v>68.62</v>
      </c>
      <c r="K10">
        <f>_xll.EQNXTDZ($A$1,$B10,K$1,$B$1)</f>
        <v>-24.36</v>
      </c>
      <c r="L10">
        <f>_xll.EQNXTDZ($A$1,$B10,L$1,$B$1)</f>
        <v>-14.75</v>
      </c>
      <c r="M10">
        <f>_xll.EQNXTDZ($A$1,$B10,M$1,$B$1)</f>
        <v>148.66999999999999</v>
      </c>
      <c r="N10">
        <f>_xll.EQNXTDZ($A$1,$B10,N$1,$B$1)</f>
        <v>11.16</v>
      </c>
      <c r="O10">
        <f>_xll.EQNXTDZ($A$1,$B10,O$1,$B$1)</f>
        <v>0.49</v>
      </c>
      <c r="P10">
        <f>_xll.EQNXTDZ($A$1,$B10,P$1,$B$1)</f>
        <v>1.9</v>
      </c>
      <c r="Q10">
        <f>_xll.EQNXTDZ($A$1,$B10,Q$1,$B$1)</f>
        <v>7.25</v>
      </c>
      <c r="R10">
        <f>_xll.EQNXTDZ($A$1,$B10,R$1,$B$1)</f>
        <v>24.52</v>
      </c>
      <c r="S10">
        <f>_xll.EQNXTDZ($A$1,$B10,S$1,$B$1)</f>
        <v>25.72</v>
      </c>
      <c r="T10">
        <f>_xll.EQNXTDZ($A$1,$B10,T$1,$B$1)</f>
        <v>-44.36</v>
      </c>
      <c r="U10">
        <f>_xll.EQNXTDZ($A$1,$B10,U$1,$B$1)</f>
        <v>43.63</v>
      </c>
      <c r="V10">
        <f>_xll.EQNXTDZ($A$1,$B10,V$1,$B$1)</f>
        <v>3.35</v>
      </c>
      <c r="W10">
        <f>_xll.EQNXTDZ($A$1,$B10,W$1,$B$1)</f>
        <v>-9.33</v>
      </c>
      <c r="X10">
        <f>_xll.EQNXTDZ($A$1,$B10,X$1,$B$1)</f>
        <v>-96.82</v>
      </c>
      <c r="Y10">
        <f>_xll.EQNXTDZ($A$1,$B10,Y$1,$B$1)</f>
        <v>94.68</v>
      </c>
      <c r="Z10">
        <f>_xll.EQNXTDZ($A$1,$B10,Z$1,$B$1)</f>
        <v>2.96</v>
      </c>
      <c r="AA10">
        <f>_xll.EQNXTDZ($A$1,$B10,AA$1,$B$1)</f>
        <v>26.07</v>
      </c>
      <c r="AB10">
        <f>_xll.EQNXTDZ($A$1,$B10,AB$1,$B$1)</f>
        <v>-77.06</v>
      </c>
      <c r="AC10">
        <f>_xll.EQNXTDZ($A$1,$B10,AC$1,$B$1)</f>
        <v>13.31</v>
      </c>
      <c r="AD10">
        <f>_xll.EQNXTDZ($A$1,$B10,AD$1,$B$1)</f>
        <v>62.05</v>
      </c>
      <c r="AE10">
        <f>_xll.EQNXTDZ($A$1,$B10,AE$1,$B$1)</f>
        <v>1.41</v>
      </c>
      <c r="AF10">
        <f>_xll.EQNXTDZ($A$1,$B10,AF$1,$B$1)</f>
        <v>-6.95</v>
      </c>
      <c r="AG10">
        <f>_xll.EQNXTDZ($A$1,$B10,AG$1,$B$1)</f>
        <v>-11.25</v>
      </c>
      <c r="AH10">
        <f>_xll.EQNXTDZ($A$1,$B10,AH$1,$B$1)</f>
        <v>1.1499999999999999</v>
      </c>
      <c r="AI10">
        <f>_xll.EQNXTDZ($A$1,$B10,AI$1,$B$1)</f>
        <v>1.54</v>
      </c>
      <c r="AJ10">
        <f>_xll.EQNXTDZ($A$1,$B10,AJ$1,$B$1)</f>
        <v>7.44</v>
      </c>
      <c r="AK10">
        <f>_xll.EQNXTDZ($A$1,$B10,AK$1,$B$1)</f>
        <v>-35.81</v>
      </c>
      <c r="AL10">
        <f>_xll.EQNXTDZ($A$1,$B10,AL$1,$B$1)</f>
        <v>27.24</v>
      </c>
      <c r="AM10">
        <f>_xll.EQNXTDZ($A$1,$B10,AM$1,$B$1)</f>
        <v>15.94</v>
      </c>
      <c r="AN10">
        <f>_xll.EQNXTDZ($A$1,$B10,AN$1,$B$1)</f>
        <v>-36.56</v>
      </c>
      <c r="AO10">
        <f>_xll.EQNXTDZ($A$1,$B10,AO$1,$B$1)</f>
        <v>-41.57</v>
      </c>
      <c r="AP10">
        <f>_xll.EQNXTDZ($A$1,$B10,AP$1,$B$1)</f>
        <v>-137.03</v>
      </c>
      <c r="AQ10">
        <f>_xll.EQNXTDZ($A$1,$B10,AQ$1,$B$1)</f>
        <v>-4.05</v>
      </c>
      <c r="AR10">
        <f>_xll.EQNXTDZ($A$1,$B10,AR$1,$B$1)</f>
        <v>-93.11</v>
      </c>
      <c r="AS10">
        <f>_xll.EQNXTDZ($A$1,$B10,AS$1,$B$1)</f>
        <v>22.29</v>
      </c>
      <c r="AT10">
        <f>_xll.EQNXTDZ($A$1,$B10,AT$1,$B$1)</f>
        <v>118.4</v>
      </c>
      <c r="AU10">
        <f>_xll.EQNXTDZ($A$1,$B10,AU$1,$B$1)</f>
        <v>-87.72</v>
      </c>
      <c r="AV10">
        <f>_xll.EQNXTDZ($A$1,$B10,AV$1,$B$1)</f>
        <v>-70</v>
      </c>
      <c r="AW10">
        <f>_xll.EQNXTDZ($A$1,$B10,AW$1,$B$1)</f>
        <v>-305.29000000000002</v>
      </c>
      <c r="AX10">
        <f>_xll.EQNXTDZ($A$1,$B10,AX$1,$B$1)</f>
        <v>411.23</v>
      </c>
      <c r="AY10">
        <f>_xll.EQNXTDZ($A$1,$B10,AY$1,$B$1)</f>
        <v>-105.01</v>
      </c>
      <c r="AZ10">
        <f>_xll.EQNXTDZ($A$1,$B10,AZ$1,$B$1)</f>
        <v>33.54</v>
      </c>
      <c r="BA10">
        <f>_xll.EQNXTDZ($A$1,$B10,BA$1,$B$1)</f>
        <v>-418.23</v>
      </c>
      <c r="BB10">
        <f>_xll.EQNXTDZ($A$1,$B10,BB$1,$B$1)</f>
        <v>48.94</v>
      </c>
      <c r="BC10">
        <f>_xll.EQNXTDZ($A$1,$B10,BC$1,$B$1)</f>
        <v>-40.409999999999997</v>
      </c>
      <c r="BD10">
        <f>_xll.EQNXTDZ($A$1,$B10,BD$1,$B$1)</f>
        <v>-221.01</v>
      </c>
      <c r="BE10">
        <f>_xll.EQNXTDZ($A$1,$B10,BE$1,$B$1)</f>
        <v>169.57</v>
      </c>
      <c r="BF10">
        <f>_xll.EQNXTDZ($A$1,$B10,BF$1,$B$1)</f>
        <v>7.74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72.17</v>
      </c>
      <c r="D11">
        <f>_xll.EQNXTDZ($A$1,$B11,D$1,$B$1)</f>
        <v>110.85</v>
      </c>
      <c r="E11">
        <f>_xll.EQNXTDZ($A$1,$B11,E$1,$B$1)</f>
        <v>141.34</v>
      </c>
      <c r="F11">
        <f>_xll.EQNXTDZ($A$1,$B11,F$1,$B$1)</f>
        <v>154.47999999999999</v>
      </c>
      <c r="G11">
        <f>_xll.EQNXTDZ($A$1,$B11,G$1,$B$1)</f>
        <v>116.02</v>
      </c>
      <c r="H11">
        <f>_xll.EQNXTDZ($A$1,$B11,H$1,$B$1)</f>
        <v>123.09</v>
      </c>
      <c r="I11">
        <f>_xll.EQNXTDZ($A$1,$B11,I$1,$B$1)</f>
        <v>204.04</v>
      </c>
      <c r="J11">
        <f>_xll.EQNXTDZ($A$1,$B11,J$1,$B$1)</f>
        <v>308.51</v>
      </c>
      <c r="K11">
        <f>_xll.EQNXTDZ($A$1,$B11,K$1,$B$1)</f>
        <v>210.72</v>
      </c>
      <c r="L11">
        <f>_xll.EQNXTDZ($A$1,$B11,L$1,$B$1)</f>
        <v>145.06</v>
      </c>
      <c r="M11">
        <f>_xll.EQNXTDZ($A$1,$B11,M$1,$B$1)</f>
        <v>126.23</v>
      </c>
      <c r="N11">
        <f>_xll.EQNXTDZ($A$1,$B11,N$1,$B$1)</f>
        <v>215.83</v>
      </c>
      <c r="O11">
        <f>_xll.EQNXTDZ($A$1,$B11,O$1,$B$1)</f>
        <v>228.05</v>
      </c>
      <c r="P11">
        <f>_xll.EQNXTDZ($A$1,$B11,P$1,$B$1)</f>
        <v>353.54</v>
      </c>
      <c r="Q11">
        <f>_xll.EQNXTDZ($A$1,$B11,Q$1,$B$1)</f>
        <v>392.93</v>
      </c>
      <c r="R11">
        <f>_xll.EQNXTDZ($A$1,$B11,R$1,$B$1)</f>
        <v>305.04000000000002</v>
      </c>
      <c r="S11">
        <f>_xll.EQNXTDZ($A$1,$B11,S$1,$B$1)</f>
        <v>159.09</v>
      </c>
      <c r="T11">
        <f>_xll.EQNXTDZ($A$1,$B11,T$1,$B$1)</f>
        <v>221.09</v>
      </c>
      <c r="U11">
        <f>_xll.EQNXTDZ($A$1,$B11,U$1,$B$1)</f>
        <v>250.79</v>
      </c>
      <c r="V11">
        <f>_xll.EQNXTDZ($A$1,$B11,V$1,$B$1)</f>
        <v>378.7</v>
      </c>
      <c r="W11">
        <f>_xll.EQNXTDZ($A$1,$B11,W$1,$B$1)</f>
        <v>95.85</v>
      </c>
      <c r="X11">
        <f>_xll.EQNXTDZ($A$1,$B11,X$1,$B$1)</f>
        <v>151.22999999999999</v>
      </c>
      <c r="Y11">
        <f>_xll.EQNXTDZ($A$1,$B11,Y$1,$B$1)</f>
        <v>100.73</v>
      </c>
      <c r="Z11">
        <f>_xll.EQNXTDZ($A$1,$B11,Z$1,$B$1)</f>
        <v>401.16</v>
      </c>
      <c r="AA11">
        <f>_xll.EQNXTDZ($A$1,$B11,AA$1,$B$1)</f>
        <v>210.57</v>
      </c>
      <c r="AB11">
        <f>_xll.EQNXTDZ($A$1,$B11,AB$1,$B$1)</f>
        <v>317.86</v>
      </c>
      <c r="AC11">
        <f>_xll.EQNXTDZ($A$1,$B11,AC$1,$B$1)</f>
        <v>364.37</v>
      </c>
      <c r="AD11">
        <f>_xll.EQNXTDZ($A$1,$B11,AD$1,$B$1)</f>
        <v>26.55</v>
      </c>
      <c r="AE11">
        <f>_xll.EQNXTDZ($A$1,$B11,AE$1,$B$1)</f>
        <v>160.81</v>
      </c>
      <c r="AF11">
        <f>_xll.EQNXTDZ($A$1,$B11,AF$1,$B$1)</f>
        <v>375.66</v>
      </c>
      <c r="AG11">
        <f>_xll.EQNXTDZ($A$1,$B11,AG$1,$B$1)</f>
        <v>212.16</v>
      </c>
      <c r="AH11">
        <f>_xll.EQNXTDZ($A$1,$B11,AH$1,$B$1)</f>
        <v>208.55</v>
      </c>
      <c r="AI11">
        <f>_xll.EQNXTDZ($A$1,$B11,AI$1,$B$1)</f>
        <v>91.54</v>
      </c>
      <c r="AJ11">
        <f>_xll.EQNXTDZ($A$1,$B11,AJ$1,$B$1)</f>
        <v>334.68</v>
      </c>
      <c r="AK11">
        <f>_xll.EQNXTDZ($A$1,$B11,AK$1,$B$1)</f>
        <v>531.04999999999995</v>
      </c>
      <c r="AL11">
        <f>_xll.EQNXTDZ($A$1,$B11,AL$1,$B$1)</f>
        <v>1670.92</v>
      </c>
      <c r="AM11">
        <f>_xll.EQNXTDZ($A$1,$B11,AM$1,$B$1)</f>
        <v>612.95000000000005</v>
      </c>
      <c r="AN11">
        <f>_xll.EQNXTDZ($A$1,$B11,AN$1,$B$1)</f>
        <v>530.17999999999995</v>
      </c>
      <c r="AO11">
        <f>_xll.EQNXTDZ($A$1,$B11,AO$1,$B$1)</f>
        <v>969.06</v>
      </c>
      <c r="AP11">
        <f>_xll.EQNXTDZ($A$1,$B11,AP$1,$B$1)</f>
        <v>1720.64</v>
      </c>
      <c r="AQ11">
        <f>_xll.EQNXTDZ($A$1,$B11,AQ$1,$B$1)</f>
        <v>957.31</v>
      </c>
      <c r="AR11">
        <f>_xll.EQNXTDZ($A$1,$B11,AR$1,$B$1)</f>
        <v>650.16999999999996</v>
      </c>
      <c r="AS11">
        <f>_xll.EQNXTDZ($A$1,$B11,AS$1,$B$1)</f>
        <v>895.64</v>
      </c>
      <c r="AT11">
        <f>_xll.EQNXTDZ($A$1,$B11,AT$1,$B$1)</f>
        <v>1379.18</v>
      </c>
      <c r="AU11">
        <f>_xll.EQNXTDZ($A$1,$B11,AU$1,$B$1)</f>
        <v>990.1</v>
      </c>
      <c r="AV11">
        <f>_xll.EQNXTDZ($A$1,$B11,AV$1,$B$1)</f>
        <v>1017.45</v>
      </c>
      <c r="AW11">
        <f>_xll.EQNXTDZ($A$1,$B11,AW$1,$B$1)</f>
        <v>1661.18</v>
      </c>
      <c r="AX11">
        <f>_xll.EQNXTDZ($A$1,$B11,AX$1,$B$1)</f>
        <v>1771.13</v>
      </c>
      <c r="AY11">
        <f>_xll.EQNXTDZ($A$1,$B11,AY$1,$B$1)</f>
        <v>1051.04</v>
      </c>
      <c r="AZ11">
        <f>_xll.EQNXTDZ($A$1,$B11,AZ$1,$B$1)</f>
        <v>522.04</v>
      </c>
      <c r="BA11">
        <f>_xll.EQNXTDZ($A$1,$B11,BA$1,$B$1)</f>
        <v>1450.34</v>
      </c>
      <c r="BB11">
        <f>_xll.EQNXTDZ($A$1,$B11,BB$1,$B$1)</f>
        <v>1898.04</v>
      </c>
      <c r="BC11">
        <f>_xll.EQNXTDZ($A$1,$B11,BC$1,$B$1)</f>
        <v>1948.54</v>
      </c>
      <c r="BD11">
        <f>_xll.EQNXTDZ($A$1,$B11,BD$1,$B$1)</f>
        <v>2168.64</v>
      </c>
      <c r="BE11">
        <f>_xll.EQNXTDZ($A$1,$B11,BE$1,$B$1)</f>
        <v>2036.15</v>
      </c>
      <c r="BF11">
        <f>_xll.EQNXTDZ($A$1,$B11,BF$1,$B$1)</f>
        <v>2465.0700000000002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11.77</v>
      </c>
      <c r="D12">
        <f>_xll.EQNXTDZ($A$1,$B12,D$1,$B$1)</f>
        <v>9.26</v>
      </c>
      <c r="E12">
        <f>_xll.EQNXTDZ($A$1,$B12,E$1,$B$1)</f>
        <v>7.15</v>
      </c>
      <c r="F12">
        <f>_xll.EQNXTDZ($A$1,$B12,F$1,$B$1)</f>
        <v>9.2899999999999991</v>
      </c>
      <c r="G12">
        <f>_xll.EQNXTDZ($A$1,$B12,G$1,$B$1)</f>
        <v>14.56</v>
      </c>
      <c r="H12">
        <f>_xll.EQNXTDZ($A$1,$B12,H$1,$B$1)</f>
        <v>9.6999999999999993</v>
      </c>
      <c r="I12">
        <f>_xll.EQNXTDZ($A$1,$B12,I$1,$B$1)</f>
        <v>10.17</v>
      </c>
      <c r="J12">
        <f>_xll.EQNXTDZ($A$1,$B12,J$1,$B$1)</f>
        <v>9.27</v>
      </c>
      <c r="K12">
        <f>_xll.EQNXTDZ($A$1,$B12,K$1,$B$1)</f>
        <v>5.13</v>
      </c>
      <c r="L12">
        <f>_xll.EQNXTDZ($A$1,$B12,L$1,$B$1)</f>
        <v>8.1199999999999992</v>
      </c>
      <c r="M12">
        <f>_xll.EQNXTDZ($A$1,$B12,M$1,$B$1)</f>
        <v>9.4499999999999993</v>
      </c>
      <c r="N12">
        <f>_xll.EQNXTDZ($A$1,$B12,N$1,$B$1)</f>
        <v>8.4</v>
      </c>
      <c r="O12">
        <f>_xll.EQNXTDZ($A$1,$B12,O$1,$B$1)</f>
        <v>7.32</v>
      </c>
      <c r="P12">
        <f>_xll.EQNXTDZ($A$1,$B12,P$1,$B$1)</f>
        <v>4.93</v>
      </c>
      <c r="Q12">
        <f>_xll.EQNXTDZ($A$1,$B12,Q$1,$B$1)</f>
        <v>7.19</v>
      </c>
      <c r="R12">
        <f>_xll.EQNXTDZ($A$1,$B12,R$1,$B$1)</f>
        <v>10.16</v>
      </c>
      <c r="S12">
        <f>_xll.EQNXTDZ($A$1,$B12,S$1,$B$1)</f>
        <v>6.74</v>
      </c>
      <c r="T12">
        <f>_xll.EQNXTDZ($A$1,$B12,T$1,$B$1)</f>
        <v>7.73</v>
      </c>
      <c r="U12">
        <f>_xll.EQNXTDZ($A$1,$B12,U$1,$B$1)</f>
        <v>2.3199999999999998</v>
      </c>
      <c r="V12">
        <f>_xll.EQNXTDZ($A$1,$B12,V$1,$B$1)</f>
        <v>9.61</v>
      </c>
      <c r="W12">
        <f>_xll.EQNXTDZ($A$1,$B12,W$1,$B$1)</f>
        <v>4.99</v>
      </c>
      <c r="X12">
        <f>_xll.EQNXTDZ($A$1,$B12,X$1,$B$1)</f>
        <v>3.32</v>
      </c>
      <c r="Y12">
        <f>_xll.EQNXTDZ($A$1,$B12,Y$1,$B$1)</f>
        <v>16.649999999999999</v>
      </c>
      <c r="Z12">
        <f>_xll.EQNXTDZ($A$1,$B12,Z$1,$B$1)</f>
        <v>156.72</v>
      </c>
      <c r="AA12">
        <f>_xll.EQNXTDZ($A$1,$B12,AA$1,$B$1)</f>
        <v>99.17</v>
      </c>
      <c r="AB12">
        <f>_xll.EQNXTDZ($A$1,$B12,AB$1,$B$1)</f>
        <v>30.95</v>
      </c>
      <c r="AC12">
        <f>_xll.EQNXTDZ($A$1,$B12,AC$1,$B$1)</f>
        <v>149.61000000000001</v>
      </c>
      <c r="AD12">
        <f>_xll.EQNXTDZ($A$1,$B12,AD$1,$B$1)</f>
        <v>65.489999999999995</v>
      </c>
      <c r="AE12">
        <f>_xll.EQNXTDZ($A$1,$B12,AE$1,$B$1)</f>
        <v>42.97</v>
      </c>
      <c r="AF12">
        <f>_xll.EQNXTDZ($A$1,$B12,AF$1,$B$1)</f>
        <v>25.13</v>
      </c>
      <c r="AG12">
        <f>_xll.EQNXTDZ($A$1,$B12,AG$1,$B$1)</f>
        <v>8.07</v>
      </c>
      <c r="AH12">
        <f>_xll.EQNXTDZ($A$1,$B12,AH$1,$B$1)</f>
        <v>35.57</v>
      </c>
      <c r="AI12">
        <f>_xll.EQNXTDZ($A$1,$B12,AI$1,$B$1)</f>
        <v>4.25</v>
      </c>
      <c r="AJ12">
        <f>_xll.EQNXTDZ($A$1,$B12,AJ$1,$B$1)</f>
        <v>7.42</v>
      </c>
      <c r="AK12">
        <f>_xll.EQNXTDZ($A$1,$B12,AK$1,$B$1)</f>
        <v>7.93</v>
      </c>
      <c r="AL12">
        <f>_xll.EQNXTDZ($A$1,$B12,AL$1,$B$1)</f>
        <v>9.2899999999999991</v>
      </c>
      <c r="AM12">
        <f>_xll.EQNXTDZ($A$1,$B12,AM$1,$B$1)</f>
        <v>8.06</v>
      </c>
      <c r="AN12">
        <f>_xll.EQNXTDZ($A$1,$B12,AN$1,$B$1)</f>
        <v>5.89</v>
      </c>
      <c r="AO12">
        <f>_xll.EQNXTDZ($A$1,$B12,AO$1,$B$1)</f>
        <v>18.579999999999998</v>
      </c>
      <c r="AP12">
        <f>_xll.EQNXTDZ($A$1,$B12,AP$1,$B$1)</f>
        <v>16.579999999999998</v>
      </c>
      <c r="AQ12">
        <f>_xll.EQNXTDZ($A$1,$B12,AQ$1,$B$1)</f>
        <v>24.1</v>
      </c>
      <c r="AR12">
        <f>_xll.EQNXTDZ($A$1,$B12,AR$1,$B$1)</f>
        <v>10.3</v>
      </c>
      <c r="AS12">
        <f>_xll.EQNXTDZ($A$1,$B12,AS$1,$B$1)</f>
        <v>8.2200000000000006</v>
      </c>
      <c r="AT12">
        <f>_xll.EQNXTDZ($A$1,$B12,AT$1,$B$1)</f>
        <v>13.53</v>
      </c>
      <c r="AU12">
        <f>_xll.EQNXTDZ($A$1,$B12,AU$1,$B$1)</f>
        <v>9.75</v>
      </c>
      <c r="AV12">
        <f>_xll.EQNXTDZ($A$1,$B12,AV$1,$B$1)</f>
        <v>11.07</v>
      </c>
      <c r="AW12">
        <f>_xll.EQNXTDZ($A$1,$B12,AW$1,$B$1)</f>
        <v>5.65</v>
      </c>
      <c r="AX12">
        <f>_xll.EQNXTDZ($A$1,$B12,AX$1,$B$1)</f>
        <v>13.42</v>
      </c>
      <c r="AY12">
        <f>_xll.EQNXTDZ($A$1,$B12,AY$1,$B$1)</f>
        <v>5976.68</v>
      </c>
      <c r="AZ12">
        <f>_xll.EQNXTDZ($A$1,$B12,AZ$1,$B$1)</f>
        <v>7.79</v>
      </c>
      <c r="BA12">
        <f>_xll.EQNXTDZ($A$1,$B12,BA$1,$B$1)</f>
        <v>7.39</v>
      </c>
      <c r="BB12">
        <f>_xll.EQNXTDZ($A$1,$B12,BB$1,$B$1)</f>
        <v>11.11</v>
      </c>
      <c r="BC12">
        <f>_xll.EQNXTDZ($A$1,$B12,BC$1,$B$1)</f>
        <v>5267.23</v>
      </c>
      <c r="BD12">
        <f>_xll.EQNXTDZ($A$1,$B12,BD$1,$B$1)</f>
        <v>12.94</v>
      </c>
      <c r="BE12">
        <f>_xll.EQNXTDZ($A$1,$B12,BE$1,$B$1)</f>
        <v>14.75</v>
      </c>
      <c r="BF12">
        <f>_xll.EQNXTDZ($A$1,$B12,BF$1,$B$1)</f>
        <v>8.24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1674.97</v>
      </c>
      <c r="D14">
        <f>_xll.EQNXTDZ($A$1,$B14,D$1,$B$1)</f>
        <v>1751.01</v>
      </c>
      <c r="E14">
        <f>_xll.EQNXTDZ($A$1,$B14,E$1,$B$1)</f>
        <v>1921.1</v>
      </c>
      <c r="F14">
        <f>_xll.EQNXTDZ($A$1,$B14,F$1,$B$1)</f>
        <v>1377.23</v>
      </c>
      <c r="G14">
        <f>_xll.EQNXTDZ($A$1,$B14,G$1,$B$1)</f>
        <v>1974.36</v>
      </c>
      <c r="H14">
        <f>_xll.EQNXTDZ($A$1,$B14,H$1,$B$1)</f>
        <v>1949.61</v>
      </c>
      <c r="I14">
        <f>_xll.EQNXTDZ($A$1,$B14,I$1,$B$1)</f>
        <v>2297.17</v>
      </c>
      <c r="J14">
        <f>_xll.EQNXTDZ($A$1,$B14,J$1,$B$1)</f>
        <v>2194.44</v>
      </c>
      <c r="K14">
        <f>_xll.EQNXTDZ($A$1,$B14,K$1,$B$1)</f>
        <v>1958.6</v>
      </c>
      <c r="L14">
        <f>_xll.EQNXTDZ($A$1,$B14,L$1,$B$1)</f>
        <v>2001.7</v>
      </c>
      <c r="M14">
        <f>_xll.EQNXTDZ($A$1,$B14,M$1,$B$1)</f>
        <v>2270.17</v>
      </c>
      <c r="N14">
        <f>_xll.EQNXTDZ($A$1,$B14,N$1,$B$1)</f>
        <v>2156.4299999999998</v>
      </c>
      <c r="O14">
        <f>_xll.EQNXTDZ($A$1,$B14,O$1,$B$1)</f>
        <v>633.79999999999995</v>
      </c>
      <c r="P14">
        <f>_xll.EQNXTDZ($A$1,$B14,P$1,$B$1)</f>
        <v>544.53</v>
      </c>
      <c r="Q14">
        <f>_xll.EQNXTDZ($A$1,$B14,Q$1,$B$1)</f>
        <v>621.29999999999995</v>
      </c>
      <c r="R14">
        <f>_xll.EQNXTDZ($A$1,$B14,R$1,$B$1)</f>
        <v>894.85</v>
      </c>
      <c r="S14">
        <f>_xll.EQNXTDZ($A$1,$B14,S$1,$B$1)</f>
        <v>624.80999999999995</v>
      </c>
      <c r="T14">
        <f>_xll.EQNXTDZ($A$1,$B14,T$1,$B$1)</f>
        <v>694.42</v>
      </c>
      <c r="U14">
        <f>_xll.EQNXTDZ($A$1,$B14,U$1,$B$1)</f>
        <v>637.12</v>
      </c>
      <c r="V14">
        <f>_xll.EQNXTDZ($A$1,$B14,V$1,$B$1)</f>
        <v>609.98</v>
      </c>
      <c r="W14">
        <f>_xll.EQNXTDZ($A$1,$B14,W$1,$B$1)</f>
        <v>647.6</v>
      </c>
      <c r="X14">
        <f>_xll.EQNXTDZ($A$1,$B14,X$1,$B$1)</f>
        <v>592.22</v>
      </c>
      <c r="Y14">
        <f>_xll.EQNXTDZ($A$1,$B14,Y$1,$B$1)</f>
        <v>628.34</v>
      </c>
      <c r="Z14">
        <f>_xll.EQNXTDZ($A$1,$B14,Z$1,$B$1)</f>
        <v>787.94</v>
      </c>
      <c r="AA14">
        <f>_xll.EQNXTDZ($A$1,$B14,AA$1,$B$1)</f>
        <v>586.66</v>
      </c>
      <c r="AB14">
        <f>_xll.EQNXTDZ($A$1,$B14,AB$1,$B$1)</f>
        <v>634.48</v>
      </c>
      <c r="AC14">
        <f>_xll.EQNXTDZ($A$1,$B14,AC$1,$B$1)</f>
        <v>602.4</v>
      </c>
      <c r="AD14">
        <f>_xll.EQNXTDZ($A$1,$B14,AD$1,$B$1)</f>
        <v>684.84</v>
      </c>
      <c r="AE14">
        <f>_xll.EQNXTDZ($A$1,$B14,AE$1,$B$1)</f>
        <v>607.11</v>
      </c>
      <c r="AF14">
        <f>_xll.EQNXTDZ($A$1,$B14,AF$1,$B$1)</f>
        <v>618.46</v>
      </c>
      <c r="AG14">
        <f>_xll.EQNXTDZ($A$1,$B14,AG$1,$B$1)</f>
        <v>615.22</v>
      </c>
      <c r="AH14">
        <f>_xll.EQNXTDZ($A$1,$B14,AH$1,$B$1)</f>
        <v>715.99</v>
      </c>
      <c r="AI14">
        <f>_xll.EQNXTDZ($A$1,$B14,AI$1,$B$1)</f>
        <v>602.29</v>
      </c>
      <c r="AJ14">
        <f>_xll.EQNXTDZ($A$1,$B14,AJ$1,$B$1)</f>
        <v>724.3</v>
      </c>
      <c r="AK14">
        <f>_xll.EQNXTDZ($A$1,$B14,AK$1,$B$1)</f>
        <v>809.27</v>
      </c>
      <c r="AL14">
        <f>_xll.EQNXTDZ($A$1,$B14,AL$1,$B$1)</f>
        <v>1181.22</v>
      </c>
      <c r="AM14">
        <f>_xll.EQNXTDZ($A$1,$B14,AM$1,$B$1)</f>
        <v>1079.02</v>
      </c>
      <c r="AN14">
        <f>_xll.EQNXTDZ($A$1,$B14,AN$1,$B$1)</f>
        <v>1172.42</v>
      </c>
      <c r="AO14">
        <f>_xll.EQNXTDZ($A$1,$B14,AO$1,$B$1)</f>
        <v>1242.52</v>
      </c>
      <c r="AP14">
        <f>_xll.EQNXTDZ($A$1,$B14,AP$1,$B$1)</f>
        <v>1584.65</v>
      </c>
      <c r="AQ14">
        <f>_xll.EQNXTDZ($A$1,$B14,AQ$1,$B$1)</f>
        <v>1556.33</v>
      </c>
      <c r="AR14">
        <f>_xll.EQNXTDZ($A$1,$B14,AR$1,$B$1)</f>
        <v>1608.66</v>
      </c>
      <c r="AS14">
        <f>_xll.EQNXTDZ($A$1,$B14,AS$1,$B$1)</f>
        <v>1780.94</v>
      </c>
      <c r="AT14">
        <f>_xll.EQNXTDZ($A$1,$B14,AT$1,$B$1)</f>
        <v>2024.33</v>
      </c>
      <c r="AU14">
        <f>_xll.EQNXTDZ($A$1,$B14,AU$1,$B$1)</f>
        <v>1517.44</v>
      </c>
      <c r="AV14">
        <f>_xll.EQNXTDZ($A$1,$B14,AV$1,$B$1)</f>
        <v>1535.89</v>
      </c>
      <c r="AW14">
        <f>_xll.EQNXTDZ($A$1,$B14,AW$1,$B$1)</f>
        <v>1735.09</v>
      </c>
      <c r="AX14">
        <f>_xll.EQNXTDZ($A$1,$B14,AX$1,$B$1)</f>
        <v>2267.66</v>
      </c>
      <c r="AY14">
        <f>_xll.EQNXTDZ($A$1,$B14,AY$1,$B$1)</f>
        <v>1861.96</v>
      </c>
      <c r="AZ14">
        <f>_xll.EQNXTDZ($A$1,$B14,AZ$1,$B$1)</f>
        <v>1944.15</v>
      </c>
      <c r="BA14">
        <f>_xll.EQNXTDZ($A$1,$B14,BA$1,$B$1)</f>
        <v>1981.62</v>
      </c>
      <c r="BB14">
        <f>_xll.EQNXTDZ($A$1,$B14,BB$1,$B$1)</f>
        <v>2433.1</v>
      </c>
      <c r="BC14">
        <f>_xll.EQNXTDZ($A$1,$B14,BC$1,$B$1)</f>
        <v>2004.12</v>
      </c>
      <c r="BD14">
        <f>_xll.EQNXTDZ($A$1,$B14,BD$1,$B$1)</f>
        <v>2169.29</v>
      </c>
      <c r="BE14">
        <f>_xll.EQNXTDZ($A$1,$B14,BE$1,$B$1)</f>
        <v>2169.58</v>
      </c>
      <c r="BF14">
        <f>_xll.EQNXTDZ($A$1,$B14,BF$1,$B$1)</f>
        <v>2574.5300000000002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3771.24</v>
      </c>
      <c r="D15">
        <f>_xll.EQNXTDZ($A$1,$B15,D$1,$B$1)</f>
        <v>4225.3599999999997</v>
      </c>
      <c r="E15">
        <f>_xll.EQNXTDZ($A$1,$B15,E$1,$B$1)</f>
        <v>4895.53</v>
      </c>
      <c r="F15">
        <f>_xll.EQNXTDZ($A$1,$B15,F$1,$B$1)</f>
        <v>5206.78</v>
      </c>
      <c r="G15">
        <f>_xll.EQNXTDZ($A$1,$B15,G$1,$B$1)</f>
        <v>4781.93</v>
      </c>
      <c r="H15">
        <f>_xll.EQNXTDZ($A$1,$B15,H$1,$B$1)</f>
        <v>4473.6400000000003</v>
      </c>
      <c r="I15">
        <f>_xll.EQNXTDZ($A$1,$B15,I$1,$B$1)</f>
        <v>3942.25</v>
      </c>
      <c r="J15">
        <f>_xll.EQNXTDZ($A$1,$B15,J$1,$B$1)</f>
        <v>4110.68</v>
      </c>
      <c r="K15">
        <f>_xll.EQNXTDZ($A$1,$B15,K$1,$B$1)</f>
        <v>4522.43</v>
      </c>
      <c r="L15">
        <f>_xll.EQNXTDZ($A$1,$B15,L$1,$B$1)</f>
        <v>4236.8999999999996</v>
      </c>
      <c r="M15">
        <f>_xll.EQNXTDZ($A$1,$B15,M$1,$B$1)</f>
        <v>4426.71</v>
      </c>
      <c r="N15">
        <f>_xll.EQNXTDZ($A$1,$B15,N$1,$B$1)</f>
        <v>3458.1</v>
      </c>
      <c r="O15">
        <f>_xll.EQNXTDZ($A$1,$B15,O$1,$B$1)</f>
        <v>4165.5200000000004</v>
      </c>
      <c r="P15">
        <f>_xll.EQNXTDZ($A$1,$B15,P$1,$B$1)</f>
        <v>4444.95</v>
      </c>
      <c r="Q15">
        <f>_xll.EQNXTDZ($A$1,$B15,Q$1,$B$1)</f>
        <v>4102.4799999999996</v>
      </c>
      <c r="R15">
        <f>_xll.EQNXTDZ($A$1,$B15,R$1,$B$1)</f>
        <v>4375.6400000000003</v>
      </c>
      <c r="S15">
        <f>_xll.EQNXTDZ($A$1,$B15,S$1,$B$1)</f>
        <v>4074.87</v>
      </c>
      <c r="T15">
        <f>_xll.EQNXTDZ($A$1,$B15,T$1,$B$1)</f>
        <v>4574.3900000000003</v>
      </c>
      <c r="U15">
        <f>_xll.EQNXTDZ($A$1,$B15,U$1,$B$1)</f>
        <v>3980.8</v>
      </c>
      <c r="V15">
        <f>_xll.EQNXTDZ($A$1,$B15,V$1,$B$1)</f>
        <v>4281.32</v>
      </c>
      <c r="W15">
        <f>_xll.EQNXTDZ($A$1,$B15,W$1,$B$1)</f>
        <v>3423.69</v>
      </c>
      <c r="X15">
        <f>_xll.EQNXTDZ($A$1,$B15,X$1,$B$1)</f>
        <v>4038.55</v>
      </c>
      <c r="Y15">
        <f>_xll.EQNXTDZ($A$1,$B15,Y$1,$B$1)</f>
        <v>3993.41</v>
      </c>
      <c r="Z15">
        <f>_xll.EQNXTDZ($A$1,$B15,Z$1,$B$1)</f>
        <v>4151.53</v>
      </c>
      <c r="AA15">
        <f>_xll.EQNXTDZ($A$1,$B15,AA$1,$B$1)</f>
        <v>4286.08</v>
      </c>
      <c r="AB15">
        <f>_xll.EQNXTDZ($A$1,$B15,AB$1,$B$1)</f>
        <v>4359.24</v>
      </c>
      <c r="AC15">
        <f>_xll.EQNXTDZ($A$1,$B15,AC$1,$B$1)</f>
        <v>4636.08</v>
      </c>
      <c r="AD15">
        <f>_xll.EQNXTDZ($A$1,$B15,AD$1,$B$1)</f>
        <v>4718.1499999999996</v>
      </c>
      <c r="AE15">
        <f>_xll.EQNXTDZ($A$1,$B15,AE$1,$B$1)</f>
        <v>4304.68</v>
      </c>
      <c r="AF15">
        <f>_xll.EQNXTDZ($A$1,$B15,AF$1,$B$1)</f>
        <v>4049.9</v>
      </c>
      <c r="AG15">
        <f>_xll.EQNXTDZ($A$1,$B15,AG$1,$B$1)</f>
        <v>4074.09</v>
      </c>
      <c r="AH15">
        <f>_xll.EQNXTDZ($A$1,$B15,AH$1,$B$1)</f>
        <v>3714.18</v>
      </c>
      <c r="AI15">
        <f>_xll.EQNXTDZ($A$1,$B15,AI$1,$B$1)</f>
        <v>3616.84</v>
      </c>
      <c r="AJ15">
        <f>_xll.EQNXTDZ($A$1,$B15,AJ$1,$B$1)</f>
        <v>4654.82</v>
      </c>
      <c r="AK15">
        <f>_xll.EQNXTDZ($A$1,$B15,AK$1,$B$1)</f>
        <v>4052.41</v>
      </c>
      <c r="AL15">
        <f>_xll.EQNXTDZ($A$1,$B15,AL$1,$B$1)</f>
        <v>5085.3</v>
      </c>
      <c r="AM15">
        <f>_xll.EQNXTDZ($A$1,$B15,AM$1,$B$1)</f>
        <v>5191.24</v>
      </c>
      <c r="AN15">
        <f>_xll.EQNXTDZ($A$1,$B15,AN$1,$B$1)</f>
        <v>5672.62</v>
      </c>
      <c r="AO15">
        <f>_xll.EQNXTDZ($A$1,$B15,AO$1,$B$1)</f>
        <v>6120.58</v>
      </c>
      <c r="AP15">
        <f>_xll.EQNXTDZ($A$1,$B15,AP$1,$B$1)</f>
        <v>5947.1</v>
      </c>
      <c r="AQ15">
        <f>_xll.EQNXTDZ($A$1,$B15,AQ$1,$B$1)</f>
        <v>9338.8799999999992</v>
      </c>
      <c r="AR15">
        <f>_xll.EQNXTDZ($A$1,$B15,AR$1,$B$1)</f>
        <v>9177.8799999999992</v>
      </c>
      <c r="AS15">
        <f>_xll.EQNXTDZ($A$1,$B15,AS$1,$B$1)</f>
        <v>8170.08</v>
      </c>
      <c r="AT15">
        <f>_xll.EQNXTDZ($A$1,$B15,AT$1,$B$1)</f>
        <v>6139.42</v>
      </c>
      <c r="AU15">
        <f>_xll.EQNXTDZ($A$1,$B15,AU$1,$B$1)</f>
        <v>8864.99</v>
      </c>
      <c r="AV15">
        <f>_xll.EQNXTDZ($A$1,$B15,AV$1,$B$1)</f>
        <v>9157.73</v>
      </c>
      <c r="AW15">
        <f>_xll.EQNXTDZ($A$1,$B15,AW$1,$B$1)</f>
        <v>8155.4</v>
      </c>
      <c r="AX15">
        <f>_xll.EQNXTDZ($A$1,$B15,AX$1,$B$1)</f>
        <v>7966.81</v>
      </c>
      <c r="AY15">
        <f>_xll.EQNXTDZ($A$1,$B15,AY$1,$B$1)</f>
        <v>3908.67</v>
      </c>
      <c r="AZ15">
        <f>_xll.EQNXTDZ($A$1,$B15,AZ$1,$B$1)</f>
        <v>8404.43</v>
      </c>
      <c r="BA15">
        <f>_xll.EQNXTDZ($A$1,$B15,BA$1,$B$1)</f>
        <v>7959.4</v>
      </c>
      <c r="BB15">
        <f>_xll.EQNXTDZ($A$1,$B15,BB$1,$B$1)</f>
        <v>8198.4500000000007</v>
      </c>
      <c r="BC15">
        <f>_xll.EQNXTDZ($A$1,$B15,BC$1,$B$1)</f>
        <v>3555.22</v>
      </c>
      <c r="BD15">
        <f>_xll.EQNXTDZ($A$1,$B15,BD$1,$B$1)</f>
        <v>7010.99</v>
      </c>
      <c r="BE15">
        <f>_xll.EQNXTDZ($A$1,$B15,BE$1,$B$1)</f>
        <v>5306.96</v>
      </c>
      <c r="BF15">
        <f>_xll.EQNXTDZ($A$1,$B15,BF$1,$B$1)</f>
        <v>6011.66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309.79000000000002</v>
      </c>
      <c r="D16">
        <f>_xll.EQNXTDZ($A$1,$B16,D$1,$B$1)</f>
        <v>345.32</v>
      </c>
      <c r="E16">
        <f>_xll.EQNXTDZ($A$1,$B16,E$1,$B$1)</f>
        <v>333.66</v>
      </c>
      <c r="F16">
        <f>_xll.EQNXTDZ($A$1,$B16,F$1,$B$1)</f>
        <v>334.18</v>
      </c>
      <c r="G16">
        <f>_xll.EQNXTDZ($A$1,$B16,G$1,$B$1)</f>
        <v>330.16</v>
      </c>
      <c r="H16">
        <f>_xll.EQNXTDZ($A$1,$B16,H$1,$B$1)</f>
        <v>307.39999999999998</v>
      </c>
      <c r="I16">
        <f>_xll.EQNXTDZ($A$1,$B16,I$1,$B$1)</f>
        <v>323.02999999999997</v>
      </c>
      <c r="J16">
        <f>_xll.EQNXTDZ($A$1,$B16,J$1,$B$1)</f>
        <v>388.76</v>
      </c>
      <c r="K16">
        <f>_xll.EQNXTDZ($A$1,$B16,K$1,$B$1)</f>
        <v>370.78</v>
      </c>
      <c r="L16">
        <f>_xll.EQNXTDZ($A$1,$B16,L$1,$B$1)</f>
        <v>379.26</v>
      </c>
      <c r="M16">
        <f>_xll.EQNXTDZ($A$1,$B16,M$1,$B$1)</f>
        <v>367.6</v>
      </c>
      <c r="N16">
        <f>_xll.EQNXTDZ($A$1,$B16,N$1,$B$1)</f>
        <v>428.03</v>
      </c>
      <c r="O16">
        <f>_xll.EQNXTDZ($A$1,$B16,O$1,$B$1)</f>
        <v>304.82</v>
      </c>
      <c r="P16">
        <f>_xll.EQNXTDZ($A$1,$B16,P$1,$B$1)</f>
        <v>308.44</v>
      </c>
      <c r="Q16">
        <f>_xll.EQNXTDZ($A$1,$B16,Q$1,$B$1)</f>
        <v>298.27999999999997</v>
      </c>
      <c r="R16">
        <f>_xll.EQNXTDZ($A$1,$B16,R$1,$B$1)</f>
        <v>315.97000000000003</v>
      </c>
      <c r="S16">
        <f>_xll.EQNXTDZ($A$1,$B16,S$1,$B$1)</f>
        <v>311.57</v>
      </c>
      <c r="T16">
        <f>_xll.EQNXTDZ($A$1,$B16,T$1,$B$1)</f>
        <v>307.08</v>
      </c>
      <c r="U16">
        <f>_xll.EQNXTDZ($A$1,$B16,U$1,$B$1)</f>
        <v>285.89999999999998</v>
      </c>
      <c r="V16">
        <f>_xll.EQNXTDZ($A$1,$B16,V$1,$B$1)</f>
        <v>372.28</v>
      </c>
      <c r="W16">
        <f>_xll.EQNXTDZ($A$1,$B16,W$1,$B$1)</f>
        <v>317.95999999999998</v>
      </c>
      <c r="X16">
        <f>_xll.EQNXTDZ($A$1,$B16,X$1,$B$1)</f>
        <v>378.09</v>
      </c>
      <c r="Y16">
        <f>_xll.EQNXTDZ($A$1,$B16,Y$1,$B$1)</f>
        <v>338.62</v>
      </c>
      <c r="Z16">
        <f>_xll.EQNXTDZ($A$1,$B16,Z$1,$B$1)</f>
        <v>347.25</v>
      </c>
      <c r="AA16">
        <f>_xll.EQNXTDZ($A$1,$B16,AA$1,$B$1)</f>
        <v>334.07</v>
      </c>
      <c r="AB16">
        <f>_xll.EQNXTDZ($A$1,$B16,AB$1,$B$1)</f>
        <v>341.26</v>
      </c>
      <c r="AC16">
        <f>_xll.EQNXTDZ($A$1,$B16,AC$1,$B$1)</f>
        <v>339.24</v>
      </c>
      <c r="AD16">
        <f>_xll.EQNXTDZ($A$1,$B16,AD$1,$B$1)</f>
        <v>324.48</v>
      </c>
      <c r="AE16">
        <f>_xll.EQNXTDZ($A$1,$B16,AE$1,$B$1)</f>
        <v>347.68</v>
      </c>
      <c r="AF16">
        <f>_xll.EQNXTDZ($A$1,$B16,AF$1,$B$1)</f>
        <v>359.59</v>
      </c>
      <c r="AG16">
        <f>_xll.EQNXTDZ($A$1,$B16,AG$1,$B$1)</f>
        <v>367.77</v>
      </c>
      <c r="AH16">
        <f>_xll.EQNXTDZ($A$1,$B16,AH$1,$B$1)</f>
        <v>365.6</v>
      </c>
      <c r="AI16">
        <f>_xll.EQNXTDZ($A$1,$B16,AI$1,$B$1)</f>
        <v>405.25</v>
      </c>
      <c r="AJ16">
        <f>_xll.EQNXTDZ($A$1,$B16,AJ$1,$B$1)</f>
        <v>575.29</v>
      </c>
      <c r="AK16">
        <f>_xll.EQNXTDZ($A$1,$B16,AK$1,$B$1)</f>
        <v>498.8</v>
      </c>
      <c r="AL16">
        <f>_xll.EQNXTDZ($A$1,$B16,AL$1,$B$1)</f>
        <v>832.22</v>
      </c>
      <c r="AM16">
        <f>_xll.EQNXTDZ($A$1,$B16,AM$1,$B$1)</f>
        <v>879.96</v>
      </c>
      <c r="AN16">
        <f>_xll.EQNXTDZ($A$1,$B16,AN$1,$B$1)</f>
        <v>802.03</v>
      </c>
      <c r="AO16">
        <f>_xll.EQNXTDZ($A$1,$B16,AO$1,$B$1)</f>
        <v>970.21</v>
      </c>
      <c r="AP16">
        <f>_xll.EQNXTDZ($A$1,$B16,AP$1,$B$1)</f>
        <v>959.43</v>
      </c>
      <c r="AQ16">
        <f>_xll.EQNXTDZ($A$1,$B16,AQ$1,$B$1)</f>
        <v>939.52</v>
      </c>
      <c r="AR16">
        <f>_xll.EQNXTDZ($A$1,$B16,AR$1,$B$1)</f>
        <v>916.38</v>
      </c>
      <c r="AS16">
        <f>_xll.EQNXTDZ($A$1,$B16,AS$1,$B$1)</f>
        <v>917.17</v>
      </c>
      <c r="AT16">
        <f>_xll.EQNXTDZ($A$1,$B16,AT$1,$B$1)</f>
        <v>851.19</v>
      </c>
      <c r="AU16">
        <f>_xll.EQNXTDZ($A$1,$B16,AU$1,$B$1)</f>
        <v>975.14</v>
      </c>
      <c r="AV16">
        <f>_xll.EQNXTDZ($A$1,$B16,AV$1,$B$1)</f>
        <v>994.9</v>
      </c>
      <c r="AW16">
        <f>_xll.EQNXTDZ($A$1,$B16,AW$1,$B$1)</f>
        <v>981.55</v>
      </c>
      <c r="AX16">
        <f>_xll.EQNXTDZ($A$1,$B16,AX$1,$B$1)</f>
        <v>1084.5</v>
      </c>
      <c r="AY16">
        <f>_xll.EQNXTDZ($A$1,$B16,AY$1,$B$1)</f>
        <v>1013.62</v>
      </c>
      <c r="AZ16">
        <f>_xll.EQNXTDZ($A$1,$B16,AZ$1,$B$1)</f>
        <v>1040.72</v>
      </c>
      <c r="BA16">
        <f>_xll.EQNXTDZ($A$1,$B16,BA$1,$B$1)</f>
        <v>1057.94</v>
      </c>
      <c r="BB16">
        <f>_xll.EQNXTDZ($A$1,$B16,BB$1,$B$1)</f>
        <v>1260.6400000000001</v>
      </c>
      <c r="BC16">
        <f>_xll.EQNXTDZ($A$1,$B16,BC$1,$B$1)</f>
        <v>1161.3599999999999</v>
      </c>
      <c r="BD16">
        <f>_xll.EQNXTDZ($A$1,$B16,BD$1,$B$1)</f>
        <v>1102.1099999999999</v>
      </c>
      <c r="BE16">
        <f>_xll.EQNXTDZ($A$1,$B16,BE$1,$B$1)</f>
        <v>1196.49</v>
      </c>
      <c r="BF16">
        <f>_xll.EQNXTDZ($A$1,$B16,BF$1,$B$1)</f>
        <v>1233.77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45.23</v>
      </c>
      <c r="D19">
        <f>_xll.EQNXTDZ($A$1,$B19,D$1,$B$1)</f>
        <v>31.63</v>
      </c>
      <c r="E19">
        <f>_xll.EQNXTDZ($A$1,$B19,E$1,$B$1)</f>
        <v>86.03</v>
      </c>
      <c r="F19">
        <f>_xll.EQNXTDZ($A$1,$B19,F$1,$B$1)</f>
        <v>24.75</v>
      </c>
      <c r="G19">
        <f>_xll.EQNXTDZ($A$1,$B19,G$1,$B$1)</f>
        <v>292.76</v>
      </c>
      <c r="H19">
        <f>_xll.EQNXTDZ($A$1,$B19,H$1,$B$1)</f>
        <v>354.52</v>
      </c>
      <c r="I19">
        <f>_xll.EQNXTDZ($A$1,$B19,I$1,$B$1)</f>
        <v>159.69</v>
      </c>
      <c r="J19">
        <f>_xll.EQNXTDZ($A$1,$B19,J$1,$B$1)</f>
        <v>0</v>
      </c>
      <c r="K19">
        <f>_xll.EQNXTDZ($A$1,$B19,K$1,$B$1)</f>
        <v>136.75</v>
      </c>
      <c r="L19">
        <f>_xll.EQNXTDZ($A$1,$B19,L$1,$B$1)</f>
        <v>120.8</v>
      </c>
      <c r="M19">
        <f>_xll.EQNXTDZ($A$1,$B19,M$1,$B$1)</f>
        <v>0</v>
      </c>
      <c r="N19">
        <f>_xll.EQNXTDZ($A$1,$B19,N$1,$B$1)</f>
        <v>99.07</v>
      </c>
      <c r="O19">
        <f>_xll.EQNXTDZ($A$1,$B19,O$1,$B$1)</f>
        <v>171.04</v>
      </c>
      <c r="P19">
        <f>_xll.EQNXTDZ($A$1,$B19,P$1,$B$1)</f>
        <v>259.83</v>
      </c>
      <c r="Q19">
        <f>_xll.EQNXTDZ($A$1,$B19,Q$1,$B$1)</f>
        <v>153.57</v>
      </c>
      <c r="R19">
        <f>_xll.EQNXTDZ($A$1,$B19,R$1,$B$1)</f>
        <v>78.31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588.73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-70.88</v>
      </c>
      <c r="U21">
        <f>_xll.EQNXTDZ($A$1,$B21,U$1,$B$1)</f>
        <v>-135.18</v>
      </c>
      <c r="V21">
        <f>_xll.EQNXTDZ($A$1,$B21,V$1,$B$1)</f>
        <v>128.76</v>
      </c>
      <c r="W21">
        <f>_xll.EQNXTDZ($A$1,$B21,W$1,$B$1)</f>
        <v>249.09</v>
      </c>
      <c r="X21">
        <f>_xll.EQNXTDZ($A$1,$B21,X$1,$B$1)</f>
        <v>264.12</v>
      </c>
      <c r="Y21">
        <f>_xll.EQNXTDZ($A$1,$B21,Y$1,$B$1)</f>
        <v>-145.85</v>
      </c>
      <c r="Z21">
        <f>_xll.EQNXTDZ($A$1,$B21,Z$1,$B$1)</f>
        <v>42.49</v>
      </c>
      <c r="AA21">
        <f>_xll.EQNXTDZ($A$1,$B21,AA$1,$B$1)</f>
        <v>116.64</v>
      </c>
      <c r="AB21">
        <f>_xll.EQNXTDZ($A$1,$B21,AB$1,$B$1)</f>
        <v>74.12</v>
      </c>
      <c r="AC21">
        <f>_xll.EQNXTDZ($A$1,$B21,AC$1,$B$1)</f>
        <v>72.06</v>
      </c>
      <c r="AD21">
        <f>_xll.EQNXTDZ($A$1,$B21,AD$1,$B$1)</f>
        <v>-366.09</v>
      </c>
      <c r="AE21">
        <f>_xll.EQNXTDZ($A$1,$B21,AE$1,$B$1)</f>
        <v>200</v>
      </c>
      <c r="AF21">
        <f>_xll.EQNXTDZ($A$1,$B21,AF$1,$B$1)</f>
        <v>348.98</v>
      </c>
      <c r="AG21">
        <f>_xll.EQNXTDZ($A$1,$B21,AG$1,$B$1)</f>
        <v>-100.22</v>
      </c>
      <c r="AH21">
        <f>_xll.EQNXTDZ($A$1,$B21,AH$1,$B$1)</f>
        <v>-260.07</v>
      </c>
      <c r="AI21">
        <f>_xll.EQNXTDZ($A$1,$B21,AI$1,$B$1)</f>
        <v>-218.5</v>
      </c>
      <c r="AJ21">
        <f>_xll.EQNXTDZ($A$1,$B21,AJ$1,$B$1)</f>
        <v>-138.15</v>
      </c>
      <c r="AK21">
        <f>_xll.EQNXTDZ($A$1,$B21,AK$1,$B$1)</f>
        <v>-157.59</v>
      </c>
      <c r="AL21">
        <f>_xll.EQNXTDZ($A$1,$B21,AL$1,$B$1)</f>
        <v>-16.670000000000002</v>
      </c>
      <c r="AM21">
        <f>_xll.EQNXTDZ($A$1,$B21,AM$1,$B$1)</f>
        <v>158.16</v>
      </c>
      <c r="AN21">
        <f>_xll.EQNXTDZ($A$1,$B21,AN$1,$B$1)</f>
        <v>308.29000000000002</v>
      </c>
      <c r="AO21">
        <f>_xll.EQNXTDZ($A$1,$B21,AO$1,$B$1)</f>
        <v>-101.8</v>
      </c>
      <c r="AP21">
        <f>_xll.EQNXTDZ($A$1,$B21,AP$1,$B$1)</f>
        <v>-125.18</v>
      </c>
      <c r="AQ21">
        <f>_xll.EQNXTDZ($A$1,$B21,AQ$1,$B$1)</f>
        <v>-280.42</v>
      </c>
      <c r="AR21">
        <f>_xll.EQNXTDZ($A$1,$B21,AR$1,$B$1)</f>
        <v>-132.05000000000001</v>
      </c>
      <c r="AS21">
        <f>_xll.EQNXTDZ($A$1,$B21,AS$1,$B$1)</f>
        <v>-210.01</v>
      </c>
      <c r="AT21">
        <f>_xll.EQNXTDZ($A$1,$B21,AT$1,$B$1)</f>
        <v>-301.57</v>
      </c>
      <c r="AU21">
        <f>_xll.EQNXTDZ($A$1,$B21,AU$1,$B$1)</f>
        <v>209.96</v>
      </c>
      <c r="AV21">
        <f>_xll.EQNXTDZ($A$1,$B21,AV$1,$B$1)</f>
        <v>295.62</v>
      </c>
      <c r="AW21">
        <f>_xll.EQNXTDZ($A$1,$B21,AW$1,$B$1)</f>
        <v>-189.72</v>
      </c>
      <c r="AX21">
        <f>_xll.EQNXTDZ($A$1,$B21,AX$1,$B$1)</f>
        <v>-409.29</v>
      </c>
      <c r="AY21">
        <f>_xll.EQNXTDZ($A$1,$B21,AY$1,$B$1)</f>
        <v>483.96</v>
      </c>
      <c r="AZ21">
        <f>_xll.EQNXTDZ($A$1,$B21,AZ$1,$B$1)</f>
        <v>450.55</v>
      </c>
      <c r="BA21">
        <f>_xll.EQNXTDZ($A$1,$B21,BA$1,$B$1)</f>
        <v>273.57</v>
      </c>
      <c r="BB21">
        <f>_xll.EQNXTDZ($A$1,$B21,BB$1,$B$1)</f>
        <v>-231.91</v>
      </c>
      <c r="BC21">
        <f>_xll.EQNXTDZ($A$1,$B21,BC$1,$B$1)</f>
        <v>570.76</v>
      </c>
      <c r="BD21">
        <f>_xll.EQNXTDZ($A$1,$B21,BD$1,$B$1)</f>
        <v>-224.16</v>
      </c>
      <c r="BE21">
        <f>_xll.EQNXTDZ($A$1,$B21,BE$1,$B$1)</f>
        <v>-536.91999999999996</v>
      </c>
      <c r="BF21">
        <f>_xll.EQNXTDZ($A$1,$B21,BF$1,$B$1)</f>
        <v>-1061.72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1368.9</v>
      </c>
      <c r="D22">
        <f>_xll.EQNXTDZ($A$1,$B22,D$1,$B$1)</f>
        <v>1478.71</v>
      </c>
      <c r="E22">
        <f>_xll.EQNXTDZ($A$1,$B22,E$1,$B$1)</f>
        <v>1770.21</v>
      </c>
      <c r="F22">
        <f>_xll.EQNXTDZ($A$1,$B22,F$1,$B$1)</f>
        <v>1832.61</v>
      </c>
      <c r="G22">
        <f>_xll.EQNXTDZ($A$1,$B22,G$1,$B$1)</f>
        <v>1774.98</v>
      </c>
      <c r="H22">
        <f>_xll.EQNXTDZ($A$1,$B22,H$1,$B$1)</f>
        <v>1676.17</v>
      </c>
      <c r="I22">
        <f>_xll.EQNXTDZ($A$1,$B22,I$1,$B$1)</f>
        <v>1626.8</v>
      </c>
      <c r="J22">
        <f>_xll.EQNXTDZ($A$1,$B22,J$1,$B$1)</f>
        <v>1821.53</v>
      </c>
      <c r="K22">
        <f>_xll.EQNXTDZ($A$1,$B22,K$1,$B$1)</f>
        <v>1527.48</v>
      </c>
      <c r="L22">
        <f>_xll.EQNXTDZ($A$1,$B22,L$1,$B$1)</f>
        <v>1706.91</v>
      </c>
      <c r="M22">
        <f>_xll.EQNXTDZ($A$1,$B22,M$1,$B$1)</f>
        <v>1179.57</v>
      </c>
      <c r="N22">
        <f>_xll.EQNXTDZ($A$1,$B22,N$1,$B$1)</f>
        <v>1530.62</v>
      </c>
      <c r="O22">
        <f>_xll.EQNXTDZ($A$1,$B22,O$1,$B$1)</f>
        <v>1672.63</v>
      </c>
      <c r="P22">
        <f>_xll.EQNXTDZ($A$1,$B22,P$1,$B$1)</f>
        <v>1748.21</v>
      </c>
      <c r="Q22">
        <f>_xll.EQNXTDZ($A$1,$B22,Q$1,$B$1)</f>
        <v>1181.42</v>
      </c>
      <c r="R22">
        <f>_xll.EQNXTDZ($A$1,$B22,R$1,$B$1)</f>
        <v>1293.25</v>
      </c>
      <c r="S22">
        <f>_xll.EQNXTDZ($A$1,$B22,S$1,$B$1)</f>
        <v>1635.5</v>
      </c>
      <c r="T22">
        <f>_xll.EQNXTDZ($A$1,$B22,T$1,$B$1)</f>
        <v>1524.17</v>
      </c>
      <c r="U22">
        <f>_xll.EQNXTDZ($A$1,$B22,U$1,$B$1)</f>
        <v>1509.09</v>
      </c>
      <c r="V22">
        <f>_xll.EQNXTDZ($A$1,$B22,V$1,$B$1)</f>
        <v>1221.24</v>
      </c>
      <c r="W22">
        <f>_xll.EQNXTDZ($A$1,$B22,W$1,$B$1)</f>
        <v>1685.15</v>
      </c>
      <c r="X22">
        <f>_xll.EQNXTDZ($A$1,$B22,X$1,$B$1)</f>
        <v>1542.94</v>
      </c>
      <c r="Y22">
        <f>_xll.EQNXTDZ($A$1,$B22,Y$1,$B$1)</f>
        <v>1333.64</v>
      </c>
      <c r="Z22">
        <f>_xll.EQNXTDZ($A$1,$B22,Z$1,$B$1)</f>
        <v>1326.86</v>
      </c>
      <c r="AA22">
        <f>_xll.EQNXTDZ($A$1,$B22,AA$1,$B$1)</f>
        <v>1655.94</v>
      </c>
      <c r="AB22">
        <f>_xll.EQNXTDZ($A$1,$B22,AB$1,$B$1)</f>
        <v>1672.56</v>
      </c>
      <c r="AC22">
        <f>_xll.EQNXTDZ($A$1,$B22,AC$1,$B$1)</f>
        <v>1805.54</v>
      </c>
      <c r="AD22">
        <f>_xll.EQNXTDZ($A$1,$B22,AD$1,$B$1)</f>
        <v>1714.37</v>
      </c>
      <c r="AE22">
        <f>_xll.EQNXTDZ($A$1,$B22,AE$1,$B$1)</f>
        <v>2102.06</v>
      </c>
      <c r="AF22">
        <f>_xll.EQNXTDZ($A$1,$B22,AF$1,$B$1)</f>
        <v>1907.05</v>
      </c>
      <c r="AG22">
        <f>_xll.EQNXTDZ($A$1,$B22,AG$1,$B$1)</f>
        <v>1905.19</v>
      </c>
      <c r="AH22">
        <f>_xll.EQNXTDZ($A$1,$B22,AH$1,$B$1)</f>
        <v>1839.83</v>
      </c>
      <c r="AI22">
        <f>_xll.EQNXTDZ($A$1,$B22,AI$1,$B$1)</f>
        <v>1949.78</v>
      </c>
      <c r="AJ22">
        <f>_xll.EQNXTDZ($A$1,$B22,AJ$1,$B$1)</f>
        <v>2124.0100000000002</v>
      </c>
      <c r="AK22">
        <f>_xll.EQNXTDZ($A$1,$B22,AK$1,$B$1)</f>
        <v>1891.85</v>
      </c>
      <c r="AL22">
        <f>_xll.EQNXTDZ($A$1,$B22,AL$1,$B$1)</f>
        <v>1573.08</v>
      </c>
      <c r="AM22">
        <f>_xll.EQNXTDZ($A$1,$B22,AM$1,$B$1)</f>
        <v>2187.02</v>
      </c>
      <c r="AN22">
        <f>_xll.EQNXTDZ($A$1,$B22,AN$1,$B$1)</f>
        <v>1355.35</v>
      </c>
      <c r="AO22">
        <f>_xll.EQNXTDZ($A$1,$B22,AO$1,$B$1)</f>
        <v>1735.56</v>
      </c>
      <c r="AP22">
        <f>_xll.EQNXTDZ($A$1,$B22,AP$1,$B$1)</f>
        <v>1993.77</v>
      </c>
      <c r="AQ22">
        <f>_xll.EQNXTDZ($A$1,$B22,AQ$1,$B$1)</f>
        <v>1963.81</v>
      </c>
      <c r="AR22">
        <f>_xll.EQNXTDZ($A$1,$B22,AR$1,$B$1)</f>
        <v>1892.49</v>
      </c>
      <c r="AS22">
        <f>_xll.EQNXTDZ($A$1,$B22,AS$1,$B$1)</f>
        <v>2544.79</v>
      </c>
      <c r="AT22">
        <f>_xll.EQNXTDZ($A$1,$B22,AT$1,$B$1)</f>
        <v>2229.2800000000002</v>
      </c>
      <c r="AU22">
        <f>_xll.EQNXTDZ($A$1,$B22,AU$1,$B$1)</f>
        <v>2733.63</v>
      </c>
      <c r="AV22">
        <f>_xll.EQNXTDZ($A$1,$B22,AV$1,$B$1)</f>
        <v>2795.37</v>
      </c>
      <c r="AW22">
        <f>_xll.EQNXTDZ($A$1,$B22,AW$1,$B$1)</f>
        <v>2607.14</v>
      </c>
      <c r="AX22">
        <f>_xll.EQNXTDZ($A$1,$B22,AX$1,$B$1)</f>
        <v>2741.12</v>
      </c>
      <c r="AY22">
        <f>_xll.EQNXTDZ($A$1,$B22,AY$1,$B$1)</f>
        <v>3102.7</v>
      </c>
      <c r="AZ22">
        <f>_xll.EQNXTDZ($A$1,$B22,AZ$1,$B$1)</f>
        <v>3294.45</v>
      </c>
      <c r="BA22">
        <f>_xll.EQNXTDZ($A$1,$B22,BA$1,$B$1)</f>
        <v>3079.03</v>
      </c>
      <c r="BB22">
        <f>_xll.EQNXTDZ($A$1,$B22,BB$1,$B$1)</f>
        <v>3477.51</v>
      </c>
      <c r="BC22">
        <f>_xll.EQNXTDZ($A$1,$B22,BC$1,$B$1)</f>
        <v>3568.25</v>
      </c>
      <c r="BD22">
        <f>_xll.EQNXTDZ($A$1,$B22,BD$1,$B$1)</f>
        <v>3526.11</v>
      </c>
      <c r="BE22">
        <f>_xll.EQNXTDZ($A$1,$B22,BE$1,$B$1)</f>
        <v>3591.83</v>
      </c>
      <c r="BF22">
        <f>_xll.EQNXTDZ($A$1,$B22,BF$1,$B$1)</f>
        <v>3660.91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107.81</v>
      </c>
      <c r="D23">
        <f>_xll.EQNXTDZ($A$1,$B23,D$1,$B$1)</f>
        <v>100.08</v>
      </c>
      <c r="E23">
        <f>_xll.EQNXTDZ($A$1,$B23,E$1,$B$1)</f>
        <v>97.05</v>
      </c>
      <c r="F23">
        <f>_xll.EQNXTDZ($A$1,$B23,F$1,$B$1)</f>
        <v>64.260000000000005</v>
      </c>
      <c r="G23">
        <f>_xll.EQNXTDZ($A$1,$B23,G$1,$B$1)</f>
        <v>64.84</v>
      </c>
      <c r="H23">
        <f>_xll.EQNXTDZ($A$1,$B23,H$1,$B$1)</f>
        <v>61.61</v>
      </c>
      <c r="I23">
        <f>_xll.EQNXTDZ($A$1,$B23,I$1,$B$1)</f>
        <v>65.599999999999994</v>
      </c>
      <c r="J23">
        <f>_xll.EQNXTDZ($A$1,$B23,J$1,$B$1)</f>
        <v>53.06</v>
      </c>
      <c r="K23">
        <f>_xll.EQNXTDZ($A$1,$B23,K$1,$B$1)</f>
        <v>86.04</v>
      </c>
      <c r="L23">
        <f>_xll.EQNXTDZ($A$1,$B23,L$1,$B$1)</f>
        <v>85.95</v>
      </c>
      <c r="M23">
        <f>_xll.EQNXTDZ($A$1,$B23,M$1,$B$1)</f>
        <v>514.79</v>
      </c>
      <c r="N23">
        <f>_xll.EQNXTDZ($A$1,$B23,N$1,$B$1)</f>
        <v>86.58</v>
      </c>
      <c r="O23">
        <f>_xll.EQNXTDZ($A$1,$B23,O$1,$B$1)</f>
        <v>243.76</v>
      </c>
      <c r="P23">
        <f>_xll.EQNXTDZ($A$1,$B23,P$1,$B$1)</f>
        <v>170.99</v>
      </c>
      <c r="Q23">
        <f>_xll.EQNXTDZ($A$1,$B23,Q$1,$B$1)</f>
        <v>124.67</v>
      </c>
      <c r="R23">
        <f>_xll.EQNXTDZ($A$1,$B23,R$1,$B$1)</f>
        <v>214.67</v>
      </c>
      <c r="S23">
        <f>_xll.EQNXTDZ($A$1,$B23,S$1,$B$1)</f>
        <v>-47.72</v>
      </c>
      <c r="T23">
        <f>_xll.EQNXTDZ($A$1,$B23,T$1,$B$1)</f>
        <v>171.42</v>
      </c>
      <c r="U23">
        <f>_xll.EQNXTDZ($A$1,$B23,U$1,$B$1)</f>
        <v>140.09</v>
      </c>
      <c r="V23">
        <f>_xll.EQNXTDZ($A$1,$B23,V$1,$B$1)</f>
        <v>162.44999999999999</v>
      </c>
      <c r="W23">
        <f>_xll.EQNXTDZ($A$1,$B23,W$1,$B$1)</f>
        <v>144.4</v>
      </c>
      <c r="X23">
        <f>_xll.EQNXTDZ($A$1,$B23,X$1,$B$1)</f>
        <v>133.09</v>
      </c>
      <c r="Y23">
        <f>_xll.EQNXTDZ($A$1,$B23,Y$1,$B$1)</f>
        <v>91.09</v>
      </c>
      <c r="Z23">
        <f>_xll.EQNXTDZ($A$1,$B23,Z$1,$B$1)</f>
        <v>64.11</v>
      </c>
      <c r="AA23">
        <f>_xll.EQNXTDZ($A$1,$B23,AA$1,$B$1)</f>
        <v>89.77</v>
      </c>
      <c r="AB23">
        <f>_xll.EQNXTDZ($A$1,$B23,AB$1,$B$1)</f>
        <v>104.6</v>
      </c>
      <c r="AC23">
        <f>_xll.EQNXTDZ($A$1,$B23,AC$1,$B$1)</f>
        <v>14.81</v>
      </c>
      <c r="AD23">
        <f>_xll.EQNXTDZ($A$1,$B23,AD$1,$B$1)</f>
        <v>186.65</v>
      </c>
      <c r="AE23">
        <f>_xll.EQNXTDZ($A$1,$B23,AE$1,$B$1)</f>
        <v>107.92</v>
      </c>
      <c r="AF23">
        <f>_xll.EQNXTDZ($A$1,$B23,AF$1,$B$1)</f>
        <v>216.53</v>
      </c>
      <c r="AG23">
        <f>_xll.EQNXTDZ($A$1,$B23,AG$1,$B$1)</f>
        <v>65.010000000000005</v>
      </c>
      <c r="AH23">
        <f>_xll.EQNXTDZ($A$1,$B23,AH$1,$B$1)</f>
        <v>173.15</v>
      </c>
      <c r="AI23">
        <f>_xll.EQNXTDZ($A$1,$B23,AI$1,$B$1)</f>
        <v>87.43</v>
      </c>
      <c r="AJ23">
        <f>_xll.EQNXTDZ($A$1,$B23,AJ$1,$B$1)</f>
        <v>151.79</v>
      </c>
      <c r="AK23">
        <f>_xll.EQNXTDZ($A$1,$B23,AK$1,$B$1)</f>
        <v>104.93</v>
      </c>
      <c r="AL23">
        <f>_xll.EQNXTDZ($A$1,$B23,AL$1,$B$1)</f>
        <v>95.09</v>
      </c>
      <c r="AM23">
        <f>_xll.EQNXTDZ($A$1,$B23,AM$1,$B$1)</f>
        <v>177.86</v>
      </c>
      <c r="AN23">
        <f>_xll.EQNXTDZ($A$1,$B23,AN$1,$B$1)</f>
        <v>377.11</v>
      </c>
      <c r="AO23">
        <f>_xll.EQNXTDZ($A$1,$B23,AO$1,$B$1)</f>
        <v>105.59</v>
      </c>
      <c r="AP23">
        <f>_xll.EQNXTDZ($A$1,$B23,AP$1,$B$1)</f>
        <v>259.39999999999998</v>
      </c>
      <c r="AQ23">
        <f>_xll.EQNXTDZ($A$1,$B23,AQ$1,$B$1)</f>
        <v>143.30000000000001</v>
      </c>
      <c r="AR23">
        <f>_xll.EQNXTDZ($A$1,$B23,AR$1,$B$1)</f>
        <v>150.35</v>
      </c>
      <c r="AS23">
        <f>_xll.EQNXTDZ($A$1,$B23,AS$1,$B$1)</f>
        <v>272.83</v>
      </c>
      <c r="AT23">
        <f>_xll.EQNXTDZ($A$1,$B23,AT$1,$B$1)</f>
        <v>871.54</v>
      </c>
      <c r="AU23">
        <f>_xll.EQNXTDZ($A$1,$B23,AU$1,$B$1)</f>
        <v>271.42</v>
      </c>
      <c r="AV23">
        <f>_xll.EQNXTDZ($A$1,$B23,AV$1,$B$1)</f>
        <v>291.51</v>
      </c>
      <c r="AW23">
        <f>_xll.EQNXTDZ($A$1,$B23,AW$1,$B$1)</f>
        <v>643.13</v>
      </c>
      <c r="AX23">
        <f>_xll.EQNXTDZ($A$1,$B23,AX$1,$B$1)</f>
        <v>617.36</v>
      </c>
      <c r="AY23">
        <f>_xll.EQNXTDZ($A$1,$B23,AY$1,$B$1)</f>
        <v>247.36</v>
      </c>
      <c r="AZ23">
        <f>_xll.EQNXTDZ($A$1,$B23,AZ$1,$B$1)</f>
        <v>513.13</v>
      </c>
      <c r="BA23">
        <f>_xll.EQNXTDZ($A$1,$B23,BA$1,$B$1)</f>
        <v>402.37</v>
      </c>
      <c r="BB23">
        <f>_xll.EQNXTDZ($A$1,$B23,BB$1,$B$1)</f>
        <v>351.07</v>
      </c>
      <c r="BC23">
        <f>_xll.EQNXTDZ($A$1,$B23,BC$1,$B$1)</f>
        <v>361.71</v>
      </c>
      <c r="BD23">
        <f>_xll.EQNXTDZ($A$1,$B23,BD$1,$B$1)</f>
        <v>505.41</v>
      </c>
      <c r="BE23">
        <f>_xll.EQNXTDZ($A$1,$B23,BE$1,$B$1)</f>
        <v>320.67</v>
      </c>
      <c r="BF23">
        <f>_xll.EQNXTDZ($A$1,$B23,BF$1,$B$1)</f>
        <v>555.28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1476.71</v>
      </c>
      <c r="D24">
        <f>_xll.EQNXTDZ($A$1,$B24,D$1,$B$1)</f>
        <v>1578.79</v>
      </c>
      <c r="E24">
        <f>_xll.EQNXTDZ($A$1,$B24,E$1,$B$1)</f>
        <v>1867.26</v>
      </c>
      <c r="F24">
        <f>_xll.EQNXTDZ($A$1,$B24,F$1,$B$1)</f>
        <v>1896.87</v>
      </c>
      <c r="G24">
        <f>_xll.EQNXTDZ($A$1,$B24,G$1,$B$1)</f>
        <v>1839.82</v>
      </c>
      <c r="H24">
        <f>_xll.EQNXTDZ($A$1,$B24,H$1,$B$1)</f>
        <v>1737.78</v>
      </c>
      <c r="I24">
        <f>_xll.EQNXTDZ($A$1,$B24,I$1,$B$1)</f>
        <v>1692.4</v>
      </c>
      <c r="J24">
        <f>_xll.EQNXTDZ($A$1,$B24,J$1,$B$1)</f>
        <v>1874.59</v>
      </c>
      <c r="K24">
        <f>_xll.EQNXTDZ($A$1,$B24,K$1,$B$1)</f>
        <v>1613.52</v>
      </c>
      <c r="L24">
        <f>_xll.EQNXTDZ($A$1,$B24,L$1,$B$1)</f>
        <v>1792.86</v>
      </c>
      <c r="M24">
        <f>_xll.EQNXTDZ($A$1,$B24,M$1,$B$1)</f>
        <v>1694.36</v>
      </c>
      <c r="N24">
        <f>_xll.EQNXTDZ($A$1,$B24,N$1,$B$1)</f>
        <v>1617.2</v>
      </c>
      <c r="O24">
        <f>_xll.EQNXTDZ($A$1,$B24,O$1,$B$1)</f>
        <v>1916.39</v>
      </c>
      <c r="P24">
        <f>_xll.EQNXTDZ($A$1,$B24,P$1,$B$1)</f>
        <v>1919.2</v>
      </c>
      <c r="Q24">
        <f>_xll.EQNXTDZ($A$1,$B24,Q$1,$B$1)</f>
        <v>1306.0899999999999</v>
      </c>
      <c r="R24">
        <f>_xll.EQNXTDZ($A$1,$B24,R$1,$B$1)</f>
        <v>1507.92</v>
      </c>
      <c r="S24">
        <f>_xll.EQNXTDZ($A$1,$B24,S$1,$B$1)</f>
        <v>1587.78</v>
      </c>
      <c r="T24">
        <f>_xll.EQNXTDZ($A$1,$B24,T$1,$B$1)</f>
        <v>1695.59</v>
      </c>
      <c r="U24">
        <f>_xll.EQNXTDZ($A$1,$B24,U$1,$B$1)</f>
        <v>1649.18</v>
      </c>
      <c r="V24">
        <f>_xll.EQNXTDZ($A$1,$B24,V$1,$B$1)</f>
        <v>1383.69</v>
      </c>
      <c r="W24">
        <f>_xll.EQNXTDZ($A$1,$B24,W$1,$B$1)</f>
        <v>1829.55</v>
      </c>
      <c r="X24">
        <f>_xll.EQNXTDZ($A$1,$B24,X$1,$B$1)</f>
        <v>1676.03</v>
      </c>
      <c r="Y24">
        <f>_xll.EQNXTDZ($A$1,$B24,Y$1,$B$1)</f>
        <v>1424.73</v>
      </c>
      <c r="Z24">
        <f>_xll.EQNXTDZ($A$1,$B24,Z$1,$B$1)</f>
        <v>1390.97</v>
      </c>
      <c r="AA24">
        <f>_xll.EQNXTDZ($A$1,$B24,AA$1,$B$1)</f>
        <v>1745.71</v>
      </c>
      <c r="AB24">
        <f>_xll.EQNXTDZ($A$1,$B24,AB$1,$B$1)</f>
        <v>1777.16</v>
      </c>
      <c r="AC24">
        <f>_xll.EQNXTDZ($A$1,$B24,AC$1,$B$1)</f>
        <v>1820.35</v>
      </c>
      <c r="AD24">
        <f>_xll.EQNXTDZ($A$1,$B24,AD$1,$B$1)</f>
        <v>1901.02</v>
      </c>
      <c r="AE24">
        <f>_xll.EQNXTDZ($A$1,$B24,AE$1,$B$1)</f>
        <v>2209.98</v>
      </c>
      <c r="AF24">
        <f>_xll.EQNXTDZ($A$1,$B24,AF$1,$B$1)</f>
        <v>2123.58</v>
      </c>
      <c r="AG24">
        <f>_xll.EQNXTDZ($A$1,$B24,AG$1,$B$1)</f>
        <v>1970.2</v>
      </c>
      <c r="AH24">
        <f>_xll.EQNXTDZ($A$1,$B24,AH$1,$B$1)</f>
        <v>2012.98</v>
      </c>
      <c r="AI24">
        <f>_xll.EQNXTDZ($A$1,$B24,AI$1,$B$1)</f>
        <v>2037.21</v>
      </c>
      <c r="AJ24">
        <f>_xll.EQNXTDZ($A$1,$B24,AJ$1,$B$1)</f>
        <v>2275.8000000000002</v>
      </c>
      <c r="AK24">
        <f>_xll.EQNXTDZ($A$1,$B24,AK$1,$B$1)</f>
        <v>1996.78</v>
      </c>
      <c r="AL24">
        <f>_xll.EQNXTDZ($A$1,$B24,AL$1,$B$1)</f>
        <v>1668.17</v>
      </c>
      <c r="AM24">
        <f>_xll.EQNXTDZ($A$1,$B24,AM$1,$B$1)</f>
        <v>2364.88</v>
      </c>
      <c r="AN24">
        <f>_xll.EQNXTDZ($A$1,$B24,AN$1,$B$1)</f>
        <v>1732.46</v>
      </c>
      <c r="AO24">
        <f>_xll.EQNXTDZ($A$1,$B24,AO$1,$B$1)</f>
        <v>1841.15</v>
      </c>
      <c r="AP24">
        <f>_xll.EQNXTDZ($A$1,$B24,AP$1,$B$1)</f>
        <v>2253.17</v>
      </c>
      <c r="AQ24">
        <f>_xll.EQNXTDZ($A$1,$B24,AQ$1,$B$1)</f>
        <v>2107.11</v>
      </c>
      <c r="AR24">
        <f>_xll.EQNXTDZ($A$1,$B24,AR$1,$B$1)</f>
        <v>2042.84</v>
      </c>
      <c r="AS24">
        <f>_xll.EQNXTDZ($A$1,$B24,AS$1,$B$1)</f>
        <v>2817.62</v>
      </c>
      <c r="AT24">
        <f>_xll.EQNXTDZ($A$1,$B24,AT$1,$B$1)</f>
        <v>3100.82</v>
      </c>
      <c r="AU24">
        <f>_xll.EQNXTDZ($A$1,$B24,AU$1,$B$1)</f>
        <v>3005.05</v>
      </c>
      <c r="AV24">
        <f>_xll.EQNXTDZ($A$1,$B24,AV$1,$B$1)</f>
        <v>3086.88</v>
      </c>
      <c r="AW24">
        <f>_xll.EQNXTDZ($A$1,$B24,AW$1,$B$1)</f>
        <v>3250.27</v>
      </c>
      <c r="AX24">
        <f>_xll.EQNXTDZ($A$1,$B24,AX$1,$B$1)</f>
        <v>3358.48</v>
      </c>
      <c r="AY24">
        <f>_xll.EQNXTDZ($A$1,$B24,AY$1,$B$1)</f>
        <v>3350.06</v>
      </c>
      <c r="AZ24">
        <f>_xll.EQNXTDZ($A$1,$B24,AZ$1,$B$1)</f>
        <v>3807.58</v>
      </c>
      <c r="BA24">
        <f>_xll.EQNXTDZ($A$1,$B24,BA$1,$B$1)</f>
        <v>3481.4</v>
      </c>
      <c r="BB24">
        <f>_xll.EQNXTDZ($A$1,$B24,BB$1,$B$1)</f>
        <v>3828.58</v>
      </c>
      <c r="BC24">
        <f>_xll.EQNXTDZ($A$1,$B24,BC$1,$B$1)</f>
        <v>3929.96</v>
      </c>
      <c r="BD24">
        <f>_xll.EQNXTDZ($A$1,$B24,BD$1,$B$1)</f>
        <v>4031.52</v>
      </c>
      <c r="BE24">
        <f>_xll.EQNXTDZ($A$1,$B24,BE$1,$B$1)</f>
        <v>3912.5</v>
      </c>
      <c r="BF24">
        <f>_xll.EQNXTDZ($A$1,$B24,BF$1,$B$1)</f>
        <v>4216.1899999999996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549.32000000000005</v>
      </c>
      <c r="D25">
        <f>_xll.EQNXTDZ($A$1,$B25,D$1,$B$1)</f>
        <v>623.91999999999996</v>
      </c>
      <c r="E25">
        <f>_xll.EQNXTDZ($A$1,$B25,E$1,$B$1)</f>
        <v>741.8</v>
      </c>
      <c r="F25">
        <f>_xll.EQNXTDZ($A$1,$B25,F$1,$B$1)</f>
        <v>726.22</v>
      </c>
      <c r="G25">
        <f>_xll.EQNXTDZ($A$1,$B25,G$1,$B$1)</f>
        <v>903.36</v>
      </c>
      <c r="H25">
        <f>_xll.EQNXTDZ($A$1,$B25,H$1,$B$1)</f>
        <v>802.9</v>
      </c>
      <c r="I25">
        <f>_xll.EQNXTDZ($A$1,$B25,I$1,$B$1)</f>
        <v>875.03</v>
      </c>
      <c r="J25">
        <f>_xll.EQNXTDZ($A$1,$B25,J$1,$B$1)</f>
        <v>858.61</v>
      </c>
      <c r="K25">
        <f>_xll.EQNXTDZ($A$1,$B25,K$1,$B$1)</f>
        <v>934.49</v>
      </c>
      <c r="L25">
        <f>_xll.EQNXTDZ($A$1,$B25,L$1,$B$1)</f>
        <v>979.82</v>
      </c>
      <c r="M25">
        <f>_xll.EQNXTDZ($A$1,$B25,M$1,$B$1)</f>
        <v>883.08</v>
      </c>
      <c r="N25">
        <f>_xll.EQNXTDZ($A$1,$B25,N$1,$B$1)</f>
        <v>901.33</v>
      </c>
      <c r="O25">
        <f>_xll.EQNXTDZ($A$1,$B25,O$1,$B$1)</f>
        <v>777.3</v>
      </c>
      <c r="P25">
        <f>_xll.EQNXTDZ($A$1,$B25,P$1,$B$1)</f>
        <v>949.03</v>
      </c>
      <c r="Q25">
        <f>_xll.EQNXTDZ($A$1,$B25,Q$1,$B$1)</f>
        <v>650.54999999999995</v>
      </c>
      <c r="R25">
        <f>_xll.EQNXTDZ($A$1,$B25,R$1,$B$1)</f>
        <v>858.93</v>
      </c>
      <c r="S25">
        <f>_xll.EQNXTDZ($A$1,$B25,S$1,$B$1)</f>
        <v>791.45</v>
      </c>
      <c r="T25">
        <f>_xll.EQNXTDZ($A$1,$B25,T$1,$B$1)</f>
        <v>773.42</v>
      </c>
      <c r="U25">
        <f>_xll.EQNXTDZ($A$1,$B25,U$1,$B$1)</f>
        <v>878.81</v>
      </c>
      <c r="V25">
        <f>_xll.EQNXTDZ($A$1,$B25,V$1,$B$1)</f>
        <v>792.62</v>
      </c>
      <c r="W25">
        <f>_xll.EQNXTDZ($A$1,$B25,W$1,$B$1)</f>
        <v>1009.89</v>
      </c>
      <c r="X25">
        <f>_xll.EQNXTDZ($A$1,$B25,X$1,$B$1)</f>
        <v>988.5</v>
      </c>
      <c r="Y25">
        <f>_xll.EQNXTDZ($A$1,$B25,Y$1,$B$1)</f>
        <v>855.28</v>
      </c>
      <c r="Z25">
        <f>_xll.EQNXTDZ($A$1,$B25,Z$1,$B$1)</f>
        <v>907.81</v>
      </c>
      <c r="AA25">
        <f>_xll.EQNXTDZ($A$1,$B25,AA$1,$B$1)</f>
        <v>1012.96</v>
      </c>
      <c r="AB25">
        <f>_xll.EQNXTDZ($A$1,$B25,AB$1,$B$1)</f>
        <v>1034.42</v>
      </c>
      <c r="AC25">
        <f>_xll.EQNXTDZ($A$1,$B25,AC$1,$B$1)</f>
        <v>1013.96</v>
      </c>
      <c r="AD25">
        <f>_xll.EQNXTDZ($A$1,$B25,AD$1,$B$1)</f>
        <v>1108.6600000000001</v>
      </c>
      <c r="AE25">
        <f>_xll.EQNXTDZ($A$1,$B25,AE$1,$B$1)</f>
        <v>1143.8800000000001</v>
      </c>
      <c r="AF25">
        <f>_xll.EQNXTDZ($A$1,$B25,AF$1,$B$1)</f>
        <v>1129.95</v>
      </c>
      <c r="AG25">
        <f>_xll.EQNXTDZ($A$1,$B25,AG$1,$B$1)</f>
        <v>1129.24</v>
      </c>
      <c r="AH25">
        <f>_xll.EQNXTDZ($A$1,$B25,AH$1,$B$1)</f>
        <v>1090.6600000000001</v>
      </c>
      <c r="AI25">
        <f>_xll.EQNXTDZ($A$1,$B25,AI$1,$B$1)</f>
        <v>1089.3599999999999</v>
      </c>
      <c r="AJ25">
        <f>_xll.EQNXTDZ($A$1,$B25,AJ$1,$B$1)</f>
        <v>1064.98</v>
      </c>
      <c r="AK25">
        <f>_xll.EQNXTDZ($A$1,$B25,AK$1,$B$1)</f>
        <v>965.56</v>
      </c>
      <c r="AL25">
        <f>_xll.EQNXTDZ($A$1,$B25,AL$1,$B$1)</f>
        <v>890.49</v>
      </c>
      <c r="AM25">
        <f>_xll.EQNXTDZ($A$1,$B25,AM$1,$B$1)</f>
        <v>945.43</v>
      </c>
      <c r="AN25">
        <f>_xll.EQNXTDZ($A$1,$B25,AN$1,$B$1)</f>
        <v>946.39</v>
      </c>
      <c r="AO25">
        <f>_xll.EQNXTDZ($A$1,$B25,AO$1,$B$1)</f>
        <v>952.6</v>
      </c>
      <c r="AP25">
        <f>_xll.EQNXTDZ($A$1,$B25,AP$1,$B$1)</f>
        <v>1014.6</v>
      </c>
      <c r="AQ25">
        <f>_xll.EQNXTDZ($A$1,$B25,AQ$1,$B$1)</f>
        <v>1026.04</v>
      </c>
      <c r="AR25">
        <f>_xll.EQNXTDZ($A$1,$B25,AR$1,$B$1)</f>
        <v>1051.76</v>
      </c>
      <c r="AS25">
        <f>_xll.EQNXTDZ($A$1,$B25,AS$1,$B$1)</f>
        <v>1098.29</v>
      </c>
      <c r="AT25">
        <f>_xll.EQNXTDZ($A$1,$B25,AT$1,$B$1)</f>
        <v>1195.56</v>
      </c>
      <c r="AU25">
        <f>_xll.EQNXTDZ($A$1,$B25,AU$1,$B$1)</f>
        <v>1221.4100000000001</v>
      </c>
      <c r="AV25">
        <f>_xll.EQNXTDZ($A$1,$B25,AV$1,$B$1)</f>
        <v>1181.83</v>
      </c>
      <c r="AW25">
        <f>_xll.EQNXTDZ($A$1,$B25,AW$1,$B$1)</f>
        <v>1094.26</v>
      </c>
      <c r="AX25">
        <f>_xll.EQNXTDZ($A$1,$B25,AX$1,$B$1)</f>
        <v>1135.72</v>
      </c>
      <c r="AY25">
        <f>_xll.EQNXTDZ($A$1,$B25,AY$1,$B$1)</f>
        <v>1176.24</v>
      </c>
      <c r="AZ25">
        <f>_xll.EQNXTDZ($A$1,$B25,AZ$1,$B$1)</f>
        <v>1143.0999999999999</v>
      </c>
      <c r="BA25">
        <f>_xll.EQNXTDZ($A$1,$B25,BA$1,$B$1)</f>
        <v>1169.9000000000001</v>
      </c>
      <c r="BB25">
        <f>_xll.EQNXTDZ($A$1,$B25,BB$1,$B$1)</f>
        <v>1213.21</v>
      </c>
      <c r="BC25">
        <f>_xll.EQNXTDZ($A$1,$B25,BC$1,$B$1)</f>
        <v>1279.22</v>
      </c>
      <c r="BD25">
        <f>_xll.EQNXTDZ($A$1,$B25,BD$1,$B$1)</f>
        <v>1318.65</v>
      </c>
      <c r="BE25">
        <f>_xll.EQNXTDZ($A$1,$B25,BE$1,$B$1)</f>
        <v>1363.66</v>
      </c>
      <c r="BF25">
        <f>_xll.EQNXTDZ($A$1,$B25,BF$1,$B$1)</f>
        <v>1295.26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-250</v>
      </c>
      <c r="E26">
        <f>_xll.EQNXTDZ($A$1,$B26,E$1,$B$1)</f>
        <v>-600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110.55</v>
      </c>
      <c r="L26">
        <f>_xll.EQNXTDZ($A$1,$B26,L$1,$B$1)</f>
        <v>-135.71</v>
      </c>
      <c r="M26">
        <f>_xll.EQNXTDZ($A$1,$B26,M$1,$B$1)</f>
        <v>332.45</v>
      </c>
      <c r="N26">
        <f>_xll.EQNXTDZ($A$1,$B26,N$1,$B$1)</f>
        <v>331.99</v>
      </c>
      <c r="O26">
        <f>_xll.EQNXTDZ($A$1,$B26,O$1,$B$1)</f>
        <v>-167.43</v>
      </c>
      <c r="P26">
        <f>_xll.EQNXTDZ($A$1,$B26,P$1,$B$1)</f>
        <v>-495.25</v>
      </c>
      <c r="Q26">
        <f>_xll.EQNXTDZ($A$1,$B26,Q$1,$B$1)</f>
        <v>-71.64</v>
      </c>
      <c r="R26">
        <f>_xll.EQNXTDZ($A$1,$B26,R$1,$B$1)</f>
        <v>249.97</v>
      </c>
      <c r="S26">
        <f>_xll.EQNXTDZ($A$1,$B26,S$1,$B$1)</f>
        <v>-272.12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-651.45000000000005</v>
      </c>
      <c r="W26">
        <f>_xll.EQNXTDZ($A$1,$B26,W$1,$B$1)</f>
        <v>0</v>
      </c>
      <c r="X26">
        <f>_xll.EQNXTDZ($A$1,$B26,X$1,$B$1)</f>
        <v>-148.80000000000001</v>
      </c>
      <c r="Y26">
        <f>_xll.EQNXTDZ($A$1,$B26,Y$1,$B$1)</f>
        <v>6.09</v>
      </c>
      <c r="Z26">
        <f>_xll.EQNXTDZ($A$1,$B26,Z$1,$B$1)</f>
        <v>1245.24</v>
      </c>
      <c r="AA26">
        <f>_xll.EQNXTDZ($A$1,$B26,AA$1,$B$1)</f>
        <v>1897.24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-151.41</v>
      </c>
      <c r="AE26">
        <f>_xll.EQNXTDZ($A$1,$B26,AE$1,$B$1)</f>
        <v>-93.97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320.13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-109.29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-150.27000000000001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234.68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38.68</v>
      </c>
      <c r="AY26">
        <f>_xll.EQNXTDZ($A$1,$B26,AY$1,$B$1)</f>
        <v>0</v>
      </c>
      <c r="AZ26">
        <f>_xll.EQNXTDZ($A$1,$B26,AZ$1,$B$1)</f>
        <v>-140</v>
      </c>
      <c r="BA26">
        <f>_xll.EQNXTDZ($A$1,$B26,BA$1,$B$1)</f>
        <v>0</v>
      </c>
      <c r="BB26">
        <f>_xll.EQNXTDZ($A$1,$B26,BB$1,$B$1)</f>
        <v>17.95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-94.17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927.39</v>
      </c>
      <c r="D27">
        <f>_xll.EQNXTDZ($A$1,$B27,D$1,$B$1)</f>
        <v>704.87</v>
      </c>
      <c r="E27">
        <f>_xll.EQNXTDZ($A$1,$B27,E$1,$B$1)</f>
        <v>525.46</v>
      </c>
      <c r="F27">
        <f>_xll.EQNXTDZ($A$1,$B27,F$1,$B$1)</f>
        <v>1170.6500000000001</v>
      </c>
      <c r="G27">
        <f>_xll.EQNXTDZ($A$1,$B27,G$1,$B$1)</f>
        <v>936.46</v>
      </c>
      <c r="H27">
        <f>_xll.EQNXTDZ($A$1,$B27,H$1,$B$1)</f>
        <v>934.88</v>
      </c>
      <c r="I27">
        <f>_xll.EQNXTDZ($A$1,$B27,I$1,$B$1)</f>
        <v>817.37</v>
      </c>
      <c r="J27">
        <f>_xll.EQNXTDZ($A$1,$B27,J$1,$B$1)</f>
        <v>1015.98</v>
      </c>
      <c r="K27">
        <f>_xll.EQNXTDZ($A$1,$B27,K$1,$B$1)</f>
        <v>789.58</v>
      </c>
      <c r="L27">
        <f>_xll.EQNXTDZ($A$1,$B27,L$1,$B$1)</f>
        <v>677.33</v>
      </c>
      <c r="M27">
        <f>_xll.EQNXTDZ($A$1,$B27,M$1,$B$1)</f>
        <v>1143.73</v>
      </c>
      <c r="N27">
        <f>_xll.EQNXTDZ($A$1,$B27,N$1,$B$1)</f>
        <v>1047.8599999999999</v>
      </c>
      <c r="O27">
        <f>_xll.EQNXTDZ($A$1,$B27,O$1,$B$1)</f>
        <v>971.66</v>
      </c>
      <c r="P27">
        <f>_xll.EQNXTDZ($A$1,$B27,P$1,$B$1)</f>
        <v>474.92</v>
      </c>
      <c r="Q27">
        <f>_xll.EQNXTDZ($A$1,$B27,Q$1,$B$1)</f>
        <v>583.9</v>
      </c>
      <c r="R27">
        <f>_xll.EQNXTDZ($A$1,$B27,R$1,$B$1)</f>
        <v>898.96</v>
      </c>
      <c r="S27">
        <f>_xll.EQNXTDZ($A$1,$B27,S$1,$B$1)</f>
        <v>524.21</v>
      </c>
      <c r="T27">
        <f>_xll.EQNXTDZ($A$1,$B27,T$1,$B$1)</f>
        <v>922.17</v>
      </c>
      <c r="U27">
        <f>_xll.EQNXTDZ($A$1,$B27,U$1,$B$1)</f>
        <v>770.37</v>
      </c>
      <c r="V27">
        <f>_xll.EQNXTDZ($A$1,$B27,V$1,$B$1)</f>
        <v>-60.38</v>
      </c>
      <c r="W27">
        <f>_xll.EQNXTDZ($A$1,$B27,W$1,$B$1)</f>
        <v>819.66</v>
      </c>
      <c r="X27">
        <f>_xll.EQNXTDZ($A$1,$B27,X$1,$B$1)</f>
        <v>538.73</v>
      </c>
      <c r="Y27">
        <f>_xll.EQNXTDZ($A$1,$B27,Y$1,$B$1)</f>
        <v>575.54</v>
      </c>
      <c r="Z27">
        <f>_xll.EQNXTDZ($A$1,$B27,Z$1,$B$1)</f>
        <v>1728.4</v>
      </c>
      <c r="AA27">
        <f>_xll.EQNXTDZ($A$1,$B27,AA$1,$B$1)</f>
        <v>2629.99</v>
      </c>
      <c r="AB27">
        <f>_xll.EQNXTDZ($A$1,$B27,AB$1,$B$1)</f>
        <v>742.74000000000103</v>
      </c>
      <c r="AC27">
        <f>_xll.EQNXTDZ($A$1,$B27,AC$1,$B$1)</f>
        <v>806.38999999999896</v>
      </c>
      <c r="AD27">
        <f>_xll.EQNXTDZ($A$1,$B27,AD$1,$B$1)</f>
        <v>640.94999999999902</v>
      </c>
      <c r="AE27">
        <f>_xll.EQNXTDZ($A$1,$B27,AE$1,$B$1)</f>
        <v>972.12999999999897</v>
      </c>
      <c r="AF27">
        <f>_xll.EQNXTDZ($A$1,$B27,AF$1,$B$1)</f>
        <v>993.63</v>
      </c>
      <c r="AG27">
        <f>_xll.EQNXTDZ($A$1,$B27,AG$1,$B$1)</f>
        <v>840.96</v>
      </c>
      <c r="AH27">
        <f>_xll.EQNXTDZ($A$1,$B27,AH$1,$B$1)</f>
        <v>1242.45</v>
      </c>
      <c r="AI27">
        <f>_xll.EQNXTDZ($A$1,$B27,AI$1,$B$1)</f>
        <v>947.85</v>
      </c>
      <c r="AJ27">
        <f>_xll.EQNXTDZ($A$1,$B27,AJ$1,$B$1)</f>
        <v>1210.82</v>
      </c>
      <c r="AK27">
        <f>_xll.EQNXTDZ($A$1,$B27,AK$1,$B$1)</f>
        <v>921.93</v>
      </c>
      <c r="AL27">
        <f>_xll.EQNXTDZ($A$1,$B27,AL$1,$B$1)</f>
        <v>777.68</v>
      </c>
      <c r="AM27">
        <f>_xll.EQNXTDZ($A$1,$B27,AM$1,$B$1)</f>
        <v>1419.45</v>
      </c>
      <c r="AN27">
        <f>_xll.EQNXTDZ($A$1,$B27,AN$1,$B$1)</f>
        <v>786.07000000000096</v>
      </c>
      <c r="AO27">
        <f>_xll.EQNXTDZ($A$1,$B27,AO$1,$B$1)</f>
        <v>888.55</v>
      </c>
      <c r="AP27">
        <f>_xll.EQNXTDZ($A$1,$B27,AP$1,$B$1)</f>
        <v>1088.3</v>
      </c>
      <c r="AQ27">
        <f>_xll.EQNXTDZ($A$1,$B27,AQ$1,$B$1)</f>
        <v>1081.07</v>
      </c>
      <c r="AR27">
        <f>_xll.EQNXTDZ($A$1,$B27,AR$1,$B$1)</f>
        <v>991.08000000000095</v>
      </c>
      <c r="AS27">
        <f>_xll.EQNXTDZ($A$1,$B27,AS$1,$B$1)</f>
        <v>1719.33</v>
      </c>
      <c r="AT27">
        <f>_xll.EQNXTDZ($A$1,$B27,AT$1,$B$1)</f>
        <v>1905.26</v>
      </c>
      <c r="AU27">
        <f>_xll.EQNXTDZ($A$1,$B27,AU$1,$B$1)</f>
        <v>2018.32</v>
      </c>
      <c r="AV27">
        <f>_xll.EQNXTDZ($A$1,$B27,AV$1,$B$1)</f>
        <v>1905.05</v>
      </c>
      <c r="AW27">
        <f>_xll.EQNXTDZ($A$1,$B27,AW$1,$B$1)</f>
        <v>2156.0100000000002</v>
      </c>
      <c r="AX27">
        <f>_xll.EQNXTDZ($A$1,$B27,AX$1,$B$1)</f>
        <v>2261.44</v>
      </c>
      <c r="AY27">
        <f>_xll.EQNXTDZ($A$1,$B27,AY$1,$B$1)</f>
        <v>2173.8200000000002</v>
      </c>
      <c r="AZ27">
        <f>_xll.EQNXTDZ($A$1,$B27,AZ$1,$B$1)</f>
        <v>2524.48</v>
      </c>
      <c r="BA27">
        <f>_xll.EQNXTDZ($A$1,$B27,BA$1,$B$1)</f>
        <v>2311.5</v>
      </c>
      <c r="BB27">
        <f>_xll.EQNXTDZ($A$1,$B27,BB$1,$B$1)</f>
        <v>2633.32</v>
      </c>
      <c r="BC27">
        <f>_xll.EQNXTDZ($A$1,$B27,BC$1,$B$1)</f>
        <v>2650.74</v>
      </c>
      <c r="BD27">
        <f>_xll.EQNXTDZ($A$1,$B27,BD$1,$B$1)</f>
        <v>2712.87</v>
      </c>
      <c r="BE27">
        <f>_xll.EQNXTDZ($A$1,$B27,BE$1,$B$1)</f>
        <v>2548.84</v>
      </c>
      <c r="BF27">
        <f>_xll.EQNXTDZ($A$1,$B27,BF$1,$B$1)</f>
        <v>2826.76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505.97</v>
      </c>
      <c r="D28">
        <f>_xll.EQNXTDZ($A$1,$B28,D$1,$B$1)</f>
        <v>542.04</v>
      </c>
      <c r="E28">
        <f>_xll.EQNXTDZ($A$1,$B28,E$1,$B$1)</f>
        <v>587.30999999999995</v>
      </c>
      <c r="F28">
        <f>_xll.EQNXTDZ($A$1,$B28,F$1,$B$1)</f>
        <v>416.37</v>
      </c>
      <c r="G28">
        <f>_xll.EQNXTDZ($A$1,$B28,G$1,$B$1)</f>
        <v>650.79999999999995</v>
      </c>
      <c r="H28">
        <f>_xll.EQNXTDZ($A$1,$B28,H$1,$B$1)</f>
        <v>689.05</v>
      </c>
      <c r="I28">
        <f>_xll.EQNXTDZ($A$1,$B28,I$1,$B$1)</f>
        <v>665.54</v>
      </c>
      <c r="J28">
        <f>_xll.EQNXTDZ($A$1,$B28,J$1,$B$1)</f>
        <v>724.23</v>
      </c>
      <c r="K28">
        <f>_xll.EQNXTDZ($A$1,$B28,K$1,$B$1)</f>
        <v>542.53</v>
      </c>
      <c r="L28">
        <f>_xll.EQNXTDZ($A$1,$B28,L$1,$B$1)</f>
        <v>535.88</v>
      </c>
      <c r="M28">
        <f>_xll.EQNXTDZ($A$1,$B28,M$1,$B$1)</f>
        <v>542.05999999999995</v>
      </c>
      <c r="N28">
        <f>_xll.EQNXTDZ($A$1,$B28,N$1,$B$1)</f>
        <v>553.67999999999995</v>
      </c>
      <c r="O28">
        <f>_xll.EQNXTDZ($A$1,$B28,O$1,$B$1)</f>
        <v>397.75</v>
      </c>
      <c r="P28">
        <f>_xll.EQNXTDZ($A$1,$B28,P$1,$B$1)</f>
        <v>398.26</v>
      </c>
      <c r="Q28">
        <f>_xll.EQNXTDZ($A$1,$B28,Q$1,$B$1)</f>
        <v>411.73</v>
      </c>
      <c r="R28">
        <f>_xll.EQNXTDZ($A$1,$B28,R$1,$B$1)</f>
        <v>440.99</v>
      </c>
      <c r="S28">
        <f>_xll.EQNXTDZ($A$1,$B28,S$1,$B$1)</f>
        <v>439.31</v>
      </c>
      <c r="T28">
        <f>_xll.EQNXTDZ($A$1,$B28,T$1,$B$1)</f>
        <v>447.64</v>
      </c>
      <c r="U28">
        <f>_xll.EQNXTDZ($A$1,$B28,U$1,$B$1)</f>
        <v>524.09</v>
      </c>
      <c r="V28">
        <f>_xll.EQNXTDZ($A$1,$B28,V$1,$B$1)</f>
        <v>559.44000000000005</v>
      </c>
      <c r="W28">
        <f>_xll.EQNXTDZ($A$1,$B28,W$1,$B$1)</f>
        <v>576.22</v>
      </c>
      <c r="X28">
        <f>_xll.EQNXTDZ($A$1,$B28,X$1,$B$1)</f>
        <v>579.29999999999995</v>
      </c>
      <c r="Y28">
        <f>_xll.EQNXTDZ($A$1,$B28,Y$1,$B$1)</f>
        <v>584</v>
      </c>
      <c r="Z28">
        <f>_xll.EQNXTDZ($A$1,$B28,Z$1,$B$1)</f>
        <v>632.16</v>
      </c>
      <c r="AA28">
        <f>_xll.EQNXTDZ($A$1,$B28,AA$1,$B$1)</f>
        <v>589.97</v>
      </c>
      <c r="AB28">
        <f>_xll.EQNXTDZ($A$1,$B28,AB$1,$B$1)</f>
        <v>596.97</v>
      </c>
      <c r="AC28">
        <f>_xll.EQNXTDZ($A$1,$B28,AC$1,$B$1)</f>
        <v>602.74</v>
      </c>
      <c r="AD28">
        <f>_xll.EQNXTDZ($A$1,$B28,AD$1,$B$1)</f>
        <v>603.45000000000005</v>
      </c>
      <c r="AE28">
        <f>_xll.EQNXTDZ($A$1,$B28,AE$1,$B$1)</f>
        <v>619.95000000000005</v>
      </c>
      <c r="AF28">
        <f>_xll.EQNXTDZ($A$1,$B28,AF$1,$B$1)</f>
        <v>654.44000000000005</v>
      </c>
      <c r="AG28">
        <f>_xll.EQNXTDZ($A$1,$B28,AG$1,$B$1)</f>
        <v>671.87</v>
      </c>
      <c r="AH28">
        <f>_xll.EQNXTDZ($A$1,$B28,AH$1,$B$1)</f>
        <v>687.3</v>
      </c>
      <c r="AI28">
        <f>_xll.EQNXTDZ($A$1,$B28,AI$1,$B$1)</f>
        <v>644.49</v>
      </c>
      <c r="AJ28">
        <f>_xll.EQNXTDZ($A$1,$B28,AJ$1,$B$1)</f>
        <v>698.88</v>
      </c>
      <c r="AK28">
        <f>_xll.EQNXTDZ($A$1,$B28,AK$1,$B$1)</f>
        <v>738.29</v>
      </c>
      <c r="AL28">
        <f>_xll.EQNXTDZ($A$1,$B28,AL$1,$B$1)</f>
        <v>663.28</v>
      </c>
      <c r="AM28">
        <f>_xll.EQNXTDZ($A$1,$B28,AM$1,$B$1)</f>
        <v>747.2</v>
      </c>
      <c r="AN28">
        <f>_xll.EQNXTDZ($A$1,$B28,AN$1,$B$1)</f>
        <v>771.17</v>
      </c>
      <c r="AO28">
        <f>_xll.EQNXTDZ($A$1,$B28,AO$1,$B$1)</f>
        <v>758.12</v>
      </c>
      <c r="AP28">
        <f>_xll.EQNXTDZ($A$1,$B28,AP$1,$B$1)</f>
        <v>845.71</v>
      </c>
      <c r="AQ28">
        <f>_xll.EQNXTDZ($A$1,$B28,AQ$1,$B$1)</f>
        <v>822.01</v>
      </c>
      <c r="AR28">
        <f>_xll.EQNXTDZ($A$1,$B28,AR$1,$B$1)</f>
        <v>837.63</v>
      </c>
      <c r="AS28">
        <f>_xll.EQNXTDZ($A$1,$B28,AS$1,$B$1)</f>
        <v>853.26</v>
      </c>
      <c r="AT28">
        <f>_xll.EQNXTDZ($A$1,$B28,AT$1,$B$1)</f>
        <v>926.3</v>
      </c>
      <c r="AU28">
        <f>_xll.EQNXTDZ($A$1,$B28,AU$1,$B$1)</f>
        <v>893.44</v>
      </c>
      <c r="AV28">
        <f>_xll.EQNXTDZ($A$1,$B28,AV$1,$B$1)</f>
        <v>925.89</v>
      </c>
      <c r="AW28">
        <f>_xll.EQNXTDZ($A$1,$B28,AW$1,$B$1)</f>
        <v>926.27</v>
      </c>
      <c r="AX28">
        <f>_xll.EQNXTDZ($A$1,$B28,AX$1,$B$1)</f>
        <v>1040.77</v>
      </c>
      <c r="AY28">
        <f>_xll.EQNXTDZ($A$1,$B28,AY$1,$B$1)</f>
        <v>972.89</v>
      </c>
      <c r="AZ28">
        <f>_xll.EQNXTDZ($A$1,$B28,AZ$1,$B$1)</f>
        <v>986.69</v>
      </c>
      <c r="BA28">
        <f>_xll.EQNXTDZ($A$1,$B28,BA$1,$B$1)</f>
        <v>1040.99</v>
      </c>
      <c r="BB28">
        <f>_xll.EQNXTDZ($A$1,$B28,BB$1,$B$1)</f>
        <v>1116.28</v>
      </c>
      <c r="BC28">
        <f>_xll.EQNXTDZ($A$1,$B28,BC$1,$B$1)</f>
        <v>1160.9100000000001</v>
      </c>
      <c r="BD28">
        <f>_xll.EQNXTDZ($A$1,$B28,BD$1,$B$1)</f>
        <v>1162.05</v>
      </c>
      <c r="BE28">
        <f>_xll.EQNXTDZ($A$1,$B28,BE$1,$B$1)</f>
        <v>1207.9000000000001</v>
      </c>
      <c r="BF28">
        <f>_xll.EQNXTDZ($A$1,$B28,BF$1,$B$1)</f>
        <v>1280.23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226.29</v>
      </c>
      <c r="D29">
        <f>_xll.EQNXTDZ($A$1,$B29,D$1,$B$1)</f>
        <v>222.51</v>
      </c>
      <c r="E29">
        <f>_xll.EQNXTDZ($A$1,$B29,E$1,$B$1)</f>
        <v>229.93</v>
      </c>
      <c r="F29">
        <f>_xll.EQNXTDZ($A$1,$B29,F$1,$B$1)</f>
        <v>499.23</v>
      </c>
      <c r="G29">
        <f>_xll.EQNXTDZ($A$1,$B29,G$1,$B$1)</f>
        <v>334.64</v>
      </c>
      <c r="H29">
        <f>_xll.EQNXTDZ($A$1,$B29,H$1,$B$1)</f>
        <v>125.39</v>
      </c>
      <c r="I29">
        <f>_xll.EQNXTDZ($A$1,$B29,I$1,$B$1)</f>
        <v>165.55</v>
      </c>
      <c r="J29">
        <f>_xll.EQNXTDZ($A$1,$B29,J$1,$B$1)</f>
        <v>382.8</v>
      </c>
      <c r="K29">
        <f>_xll.EQNXTDZ($A$1,$B29,K$1,$B$1)</f>
        <v>313.77999999999997</v>
      </c>
      <c r="L29">
        <f>_xll.EQNXTDZ($A$1,$B29,L$1,$B$1)</f>
        <v>173.79</v>
      </c>
      <c r="M29">
        <f>_xll.EQNXTDZ($A$1,$B29,M$1,$B$1)</f>
        <v>302.05</v>
      </c>
      <c r="N29">
        <f>_xll.EQNXTDZ($A$1,$B29,N$1,$B$1)</f>
        <v>285.3</v>
      </c>
      <c r="O29">
        <f>_xll.EQNXTDZ($A$1,$B29,O$1,$B$1)</f>
        <v>226.73</v>
      </c>
      <c r="P29">
        <f>_xll.EQNXTDZ($A$1,$B29,P$1,$B$1)</f>
        <v>186.48</v>
      </c>
      <c r="Q29">
        <f>_xll.EQNXTDZ($A$1,$B29,Q$1,$B$1)</f>
        <v>147.25</v>
      </c>
      <c r="R29">
        <f>_xll.EQNXTDZ($A$1,$B29,R$1,$B$1)</f>
        <v>119.85</v>
      </c>
      <c r="S29">
        <f>_xll.EQNXTDZ($A$1,$B29,S$1,$B$1)</f>
        <v>144.85</v>
      </c>
      <c r="T29">
        <f>_xll.EQNXTDZ($A$1,$B29,T$1,$B$1)</f>
        <v>193.99</v>
      </c>
      <c r="U29">
        <f>_xll.EQNXTDZ($A$1,$B29,U$1,$B$1)</f>
        <v>50.8</v>
      </c>
      <c r="V29">
        <f>_xll.EQNXTDZ($A$1,$B29,V$1,$B$1)</f>
        <v>-48.96</v>
      </c>
      <c r="W29">
        <f>_xll.EQNXTDZ($A$1,$B29,W$1,$B$1)</f>
        <v>242.31</v>
      </c>
      <c r="X29">
        <f>_xll.EQNXTDZ($A$1,$B29,X$1,$B$1)</f>
        <v>182.11</v>
      </c>
      <c r="Y29">
        <f>_xll.EQNXTDZ($A$1,$B29,Y$1,$B$1)</f>
        <v>-163.66</v>
      </c>
      <c r="Z29">
        <f>_xll.EQNXTDZ($A$1,$B29,Z$1,$B$1)</f>
        <v>-98.79</v>
      </c>
      <c r="AA29">
        <f>_xll.EQNXTDZ($A$1,$B29,AA$1,$B$1)</f>
        <v>640.14</v>
      </c>
      <c r="AB29">
        <f>_xll.EQNXTDZ($A$1,$B29,AB$1,$B$1)</f>
        <v>152.30000000000001</v>
      </c>
      <c r="AC29">
        <f>_xll.EQNXTDZ($A$1,$B29,AC$1,$B$1)</f>
        <v>202.49</v>
      </c>
      <c r="AD29">
        <f>_xll.EQNXTDZ($A$1,$B29,AD$1,$B$1)</f>
        <v>122.29</v>
      </c>
      <c r="AE29">
        <f>_xll.EQNXTDZ($A$1,$B29,AE$1,$B$1)</f>
        <v>342.94</v>
      </c>
      <c r="AF29">
        <f>_xll.EQNXTDZ($A$1,$B29,AF$1,$B$1)</f>
        <v>185.66</v>
      </c>
      <c r="AG29">
        <f>_xll.EQNXTDZ($A$1,$B29,AG$1,$B$1)</f>
        <v>89.64</v>
      </c>
      <c r="AH29">
        <f>_xll.EQNXTDZ($A$1,$B29,AH$1,$B$1)</f>
        <v>23.25</v>
      </c>
      <c r="AI29">
        <f>_xll.EQNXTDZ($A$1,$B29,AI$1,$B$1)</f>
        <v>189.35</v>
      </c>
      <c r="AJ29">
        <f>_xll.EQNXTDZ($A$1,$B29,AJ$1,$B$1)</f>
        <v>317.64</v>
      </c>
      <c r="AK29">
        <f>_xll.EQNXTDZ($A$1,$B29,AK$1,$B$1)</f>
        <v>102.68</v>
      </c>
      <c r="AL29">
        <f>_xll.EQNXTDZ($A$1,$B29,AL$1,$B$1)</f>
        <v>-107.79</v>
      </c>
      <c r="AM29">
        <f>_xll.EQNXTDZ($A$1,$B29,AM$1,$B$1)</f>
        <v>572.52</v>
      </c>
      <c r="AN29">
        <f>_xll.EQNXTDZ($A$1,$B29,AN$1,$B$1)</f>
        <v>132.08000000000001</v>
      </c>
      <c r="AO29">
        <f>_xll.EQNXTDZ($A$1,$B29,AO$1,$B$1)</f>
        <v>236.6</v>
      </c>
      <c r="AP29">
        <f>_xll.EQNXTDZ($A$1,$B29,AP$1,$B$1)</f>
        <v>-561.64</v>
      </c>
      <c r="AQ29">
        <f>_xll.EQNXTDZ($A$1,$B29,AQ$1,$B$1)</f>
        <v>178.52</v>
      </c>
      <c r="AR29">
        <f>_xll.EQNXTDZ($A$1,$B29,AR$1,$B$1)</f>
        <v>437.67</v>
      </c>
      <c r="AS29">
        <f>_xll.EQNXTDZ($A$1,$B29,AS$1,$B$1)</f>
        <v>811.88</v>
      </c>
      <c r="AT29">
        <f>_xll.EQNXTDZ($A$1,$B29,AT$1,$B$1)</f>
        <v>219.26</v>
      </c>
      <c r="AU29">
        <f>_xll.EQNXTDZ($A$1,$B29,AU$1,$B$1)</f>
        <v>334.58</v>
      </c>
      <c r="AV29">
        <f>_xll.EQNXTDZ($A$1,$B29,AV$1,$B$1)</f>
        <v>213.27</v>
      </c>
      <c r="AW29">
        <f>_xll.EQNXTDZ($A$1,$B29,AW$1,$B$1)</f>
        <v>412.64</v>
      </c>
      <c r="AX29">
        <f>_xll.EQNXTDZ($A$1,$B29,AX$1,$B$1)</f>
        <v>491.44</v>
      </c>
      <c r="AY29">
        <f>_xll.EQNXTDZ($A$1,$B29,AY$1,$B$1)</f>
        <v>301.70999999999998</v>
      </c>
      <c r="AZ29">
        <f>_xll.EQNXTDZ($A$1,$B29,AZ$1,$B$1)</f>
        <v>679.79</v>
      </c>
      <c r="BA29">
        <f>_xll.EQNXTDZ($A$1,$B29,BA$1,$B$1)</f>
        <v>269.14999999999998</v>
      </c>
      <c r="BB29">
        <f>_xll.EQNXTDZ($A$1,$B29,BB$1,$B$1)</f>
        <v>293.60000000000002</v>
      </c>
      <c r="BC29">
        <f>_xll.EQNXTDZ($A$1,$B29,BC$1,$B$1)</f>
        <v>357.14</v>
      </c>
      <c r="BD29">
        <f>_xll.EQNXTDZ($A$1,$B29,BD$1,$B$1)</f>
        <v>434.51</v>
      </c>
      <c r="BE29">
        <f>_xll.EQNXTDZ($A$1,$B29,BE$1,$B$1)</f>
        <v>345.3</v>
      </c>
      <c r="BF29">
        <f>_xll.EQNXTDZ($A$1,$B29,BF$1,$B$1)</f>
        <v>381.48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195.13</v>
      </c>
      <c r="D30">
        <f>_xll.EQNXTDZ($A$1,$B30,D$1,$B$1)</f>
        <v>-59.68</v>
      </c>
      <c r="E30">
        <f>_xll.EQNXTDZ($A$1,$B30,E$1,$B$1)</f>
        <v>-291.77999999999997</v>
      </c>
      <c r="F30">
        <f>_xll.EQNXTDZ($A$1,$B30,F$1,$B$1)</f>
        <v>255.05</v>
      </c>
      <c r="G30">
        <f>_xll.EQNXTDZ($A$1,$B30,G$1,$B$1)</f>
        <v>-48.98</v>
      </c>
      <c r="H30">
        <f>_xll.EQNXTDZ($A$1,$B30,H$1,$B$1)</f>
        <v>120.44</v>
      </c>
      <c r="I30">
        <f>_xll.EQNXTDZ($A$1,$B30,I$1,$B$1)</f>
        <v>-13.72</v>
      </c>
      <c r="J30">
        <f>_xll.EQNXTDZ($A$1,$B30,J$1,$B$1)</f>
        <v>-91.05</v>
      </c>
      <c r="K30">
        <f>_xll.EQNXTDZ($A$1,$B30,K$1,$B$1)</f>
        <v>-66.73</v>
      </c>
      <c r="L30">
        <f>_xll.EQNXTDZ($A$1,$B30,L$1,$B$1)</f>
        <v>-32.340000000000003</v>
      </c>
      <c r="M30">
        <f>_xll.EQNXTDZ($A$1,$B30,M$1,$B$1)</f>
        <v>299.62</v>
      </c>
      <c r="N30">
        <f>_xll.EQNXTDZ($A$1,$B30,N$1,$B$1)</f>
        <v>208.88</v>
      </c>
      <c r="O30">
        <f>_xll.EQNXTDZ($A$1,$B30,O$1,$B$1)</f>
        <v>347.18</v>
      </c>
      <c r="P30">
        <f>_xll.EQNXTDZ($A$1,$B30,P$1,$B$1)</f>
        <v>-109.82</v>
      </c>
      <c r="Q30">
        <f>_xll.EQNXTDZ($A$1,$B30,Q$1,$B$1)</f>
        <v>24.92</v>
      </c>
      <c r="R30">
        <f>_xll.EQNXTDZ($A$1,$B30,R$1,$B$1)</f>
        <v>338.12</v>
      </c>
      <c r="S30">
        <f>_xll.EQNXTDZ($A$1,$B30,S$1,$B$1)</f>
        <v>-59.95</v>
      </c>
      <c r="T30">
        <f>_xll.EQNXTDZ($A$1,$B30,T$1,$B$1)</f>
        <v>280.54000000000002</v>
      </c>
      <c r="U30">
        <f>_xll.EQNXTDZ($A$1,$B30,U$1,$B$1)</f>
        <v>195.48</v>
      </c>
      <c r="V30">
        <f>_xll.EQNXTDZ($A$1,$B30,V$1,$B$1)</f>
        <v>-570.86</v>
      </c>
      <c r="W30">
        <f>_xll.EQNXTDZ($A$1,$B30,W$1,$B$1)</f>
        <v>1.1299999999999999</v>
      </c>
      <c r="X30">
        <f>_xll.EQNXTDZ($A$1,$B30,X$1,$B$1)</f>
        <v>-222.68</v>
      </c>
      <c r="Y30">
        <f>_xll.EQNXTDZ($A$1,$B30,Y$1,$B$1)</f>
        <v>155.19999999999999</v>
      </c>
      <c r="Z30">
        <f>_xll.EQNXTDZ($A$1,$B30,Z$1,$B$1)</f>
        <v>1195.03</v>
      </c>
      <c r="AA30">
        <f>_xll.EQNXTDZ($A$1,$B30,AA$1,$B$1)</f>
        <v>1399.88</v>
      </c>
      <c r="AB30">
        <f>_xll.EQNXTDZ($A$1,$B30,AB$1,$B$1)</f>
        <v>-6.5299999999987399</v>
      </c>
      <c r="AC30">
        <f>_xll.EQNXTDZ($A$1,$B30,AC$1,$B$1)</f>
        <v>1.1599999999992601</v>
      </c>
      <c r="AD30">
        <f>_xll.EQNXTDZ($A$1,$B30,AD$1,$B$1)</f>
        <v>-84.7900000000011</v>
      </c>
      <c r="AE30">
        <f>_xll.EQNXTDZ($A$1,$B30,AE$1,$B$1)</f>
        <v>9.2399999999988296</v>
      </c>
      <c r="AF30">
        <f>_xll.EQNXTDZ($A$1,$B30,AF$1,$B$1)</f>
        <v>153.53</v>
      </c>
      <c r="AG30">
        <f>_xll.EQNXTDZ($A$1,$B30,AG$1,$B$1)</f>
        <v>79.450000000000102</v>
      </c>
      <c r="AH30">
        <f>_xll.EQNXTDZ($A$1,$B30,AH$1,$B$1)</f>
        <v>531.9</v>
      </c>
      <c r="AI30">
        <f>_xll.EQNXTDZ($A$1,$B30,AI$1,$B$1)</f>
        <v>114.01</v>
      </c>
      <c r="AJ30">
        <f>_xll.EQNXTDZ($A$1,$B30,AJ$1,$B$1)</f>
        <v>194.30000000000101</v>
      </c>
      <c r="AK30">
        <f>_xll.EQNXTDZ($A$1,$B30,AK$1,$B$1)</f>
        <v>80.959999999999596</v>
      </c>
      <c r="AL30">
        <f>_xll.EQNXTDZ($A$1,$B30,AL$1,$B$1)</f>
        <v>222.19</v>
      </c>
      <c r="AM30">
        <f>_xll.EQNXTDZ($A$1,$B30,AM$1,$B$1)</f>
        <v>99.729999999998896</v>
      </c>
      <c r="AN30">
        <f>_xll.EQNXTDZ($A$1,$B30,AN$1,$B$1)</f>
        <v>-117.179999999999</v>
      </c>
      <c r="AO30">
        <f>_xll.EQNXTDZ($A$1,$B30,AO$1,$B$1)</f>
        <v>-106.17</v>
      </c>
      <c r="AP30">
        <f>_xll.EQNXTDZ($A$1,$B30,AP$1,$B$1)</f>
        <v>804.23</v>
      </c>
      <c r="AQ30">
        <f>_xll.EQNXTDZ($A$1,$B30,AQ$1,$B$1)</f>
        <v>80.539999999997704</v>
      </c>
      <c r="AR30">
        <f>_xll.EQNXTDZ($A$1,$B30,AR$1,$B$1)</f>
        <v>-284.219999999999</v>
      </c>
      <c r="AS30">
        <f>_xll.EQNXTDZ($A$1,$B30,AS$1,$B$1)</f>
        <v>54.190000000001</v>
      </c>
      <c r="AT30">
        <f>_xll.EQNXTDZ($A$1,$B30,AT$1,$B$1)</f>
        <v>759.70000000000095</v>
      </c>
      <c r="AU30">
        <f>_xll.EQNXTDZ($A$1,$B30,AU$1,$B$1)</f>
        <v>790.300000000002</v>
      </c>
      <c r="AV30">
        <f>_xll.EQNXTDZ($A$1,$B30,AV$1,$B$1)</f>
        <v>765.88999999999896</v>
      </c>
      <c r="AW30">
        <f>_xll.EQNXTDZ($A$1,$B30,AW$1,$B$1)</f>
        <v>817.09999999999798</v>
      </c>
      <c r="AX30">
        <f>_xll.EQNXTDZ($A$1,$B30,AX$1,$B$1)</f>
        <v>729.23</v>
      </c>
      <c r="AY30">
        <f>_xll.EQNXTDZ($A$1,$B30,AY$1,$B$1)</f>
        <v>899.21999999999798</v>
      </c>
      <c r="AZ30">
        <f>_xll.EQNXTDZ($A$1,$B30,AZ$1,$B$1)</f>
        <v>858</v>
      </c>
      <c r="BA30">
        <f>_xll.EQNXTDZ($A$1,$B30,BA$1,$B$1)</f>
        <v>1001.36</v>
      </c>
      <c r="BB30">
        <f>_xll.EQNXTDZ($A$1,$B30,BB$1,$B$1)</f>
        <v>1223.44</v>
      </c>
      <c r="BC30">
        <f>_xll.EQNXTDZ($A$1,$B30,BC$1,$B$1)</f>
        <v>1132.69</v>
      </c>
      <c r="BD30">
        <f>_xll.EQNXTDZ($A$1,$B30,BD$1,$B$1)</f>
        <v>1116.31</v>
      </c>
      <c r="BE30">
        <f>_xll.EQNXTDZ($A$1,$B30,BE$1,$B$1)</f>
        <v>995.63999999999896</v>
      </c>
      <c r="BF30">
        <f>_xll.EQNXTDZ($A$1,$B30,BF$1,$B$1)</f>
        <v>1165.05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-50.46</v>
      </c>
      <c r="D34">
        <f>_xll.EQNXTDZ($A$1,$B34,D$1,$B$1)</f>
        <v>-29.46</v>
      </c>
      <c r="E34">
        <f>_xll.EQNXTDZ($A$1,$B34,E$1,$B$1)</f>
        <v>-49.33</v>
      </c>
      <c r="F34">
        <f>_xll.EQNXTDZ($A$1,$B34,F$1,$B$1)</f>
        <v>-78.819999999999993</v>
      </c>
      <c r="G34">
        <f>_xll.EQNXTDZ($A$1,$B34,G$1,$B$1)</f>
        <v>-69.08</v>
      </c>
      <c r="H34">
        <f>_xll.EQNXTDZ($A$1,$B34,H$1,$B$1)</f>
        <v>-58.44</v>
      </c>
      <c r="I34">
        <f>_xll.EQNXTDZ($A$1,$B34,I$1,$B$1)</f>
        <v>-70.62</v>
      </c>
      <c r="J34">
        <f>_xll.EQNXTDZ($A$1,$B34,J$1,$B$1)</f>
        <v>-73.89</v>
      </c>
      <c r="K34">
        <f>_xll.EQNXTDZ($A$1,$B34,K$1,$B$1)</f>
        <v>-58.32</v>
      </c>
      <c r="L34">
        <f>_xll.EQNXTDZ($A$1,$B34,L$1,$B$1)</f>
        <v>-62.17</v>
      </c>
      <c r="M34">
        <f>_xll.EQNXTDZ($A$1,$B34,M$1,$B$1)</f>
        <v>-102.2</v>
      </c>
      <c r="N34">
        <f>_xll.EQNXTDZ($A$1,$B34,N$1,$B$1)</f>
        <v>-66.680000000000007</v>
      </c>
      <c r="O34">
        <f>_xll.EQNXTDZ($A$1,$B34,O$1,$B$1)</f>
        <v>-51.29</v>
      </c>
      <c r="P34">
        <f>_xll.EQNXTDZ($A$1,$B34,P$1,$B$1)</f>
        <v>-36.450000000000003</v>
      </c>
      <c r="Q34">
        <f>_xll.EQNXTDZ($A$1,$B34,Q$1,$B$1)</f>
        <v>24.82</v>
      </c>
      <c r="R34">
        <f>_xll.EQNXTDZ($A$1,$B34,R$1,$B$1)</f>
        <v>-61.27</v>
      </c>
      <c r="S34">
        <f>_xll.EQNXTDZ($A$1,$B34,S$1,$B$1)</f>
        <v>-58.74</v>
      </c>
      <c r="T34">
        <f>_xll.EQNXTDZ($A$1,$B34,T$1,$B$1)</f>
        <v>-48.98</v>
      </c>
      <c r="U34">
        <f>_xll.EQNXTDZ($A$1,$B34,U$1,$B$1)</f>
        <v>-79.81</v>
      </c>
      <c r="V34">
        <f>_xll.EQNXTDZ($A$1,$B34,V$1,$B$1)</f>
        <v>-15.55</v>
      </c>
      <c r="W34">
        <f>_xll.EQNXTDZ($A$1,$B34,W$1,$B$1)</f>
        <v>-57.09</v>
      </c>
      <c r="X34">
        <f>_xll.EQNXTDZ($A$1,$B34,X$1,$B$1)</f>
        <v>-34.340000000000003</v>
      </c>
      <c r="Y34">
        <f>_xll.EQNXTDZ($A$1,$B34,Y$1,$B$1)</f>
        <v>-37.35</v>
      </c>
      <c r="Z34">
        <f>_xll.EQNXTDZ($A$1,$B34,Z$1,$B$1)</f>
        <v>-73.77</v>
      </c>
      <c r="AA34">
        <f>_xll.EQNXTDZ($A$1,$B34,AA$1,$B$1)</f>
        <v>-64.209999999999994</v>
      </c>
      <c r="AB34">
        <f>_xll.EQNXTDZ($A$1,$B34,AB$1,$B$1)</f>
        <v>-57.59</v>
      </c>
      <c r="AC34">
        <f>_xll.EQNXTDZ($A$1,$B34,AC$1,$B$1)</f>
        <v>-77.930000000000007</v>
      </c>
      <c r="AD34">
        <f>_xll.EQNXTDZ($A$1,$B34,AD$1,$B$1)</f>
        <v>-49.74</v>
      </c>
      <c r="AE34">
        <f>_xll.EQNXTDZ($A$1,$B34,AE$1,$B$1)</f>
        <v>-79.53</v>
      </c>
      <c r="AF34">
        <f>_xll.EQNXTDZ($A$1,$B34,AF$1,$B$1)</f>
        <v>-80.64</v>
      </c>
      <c r="AG34">
        <f>_xll.EQNXTDZ($A$1,$B34,AG$1,$B$1)</f>
        <v>-66.78</v>
      </c>
      <c r="AH34">
        <f>_xll.EQNXTDZ($A$1,$B34,AH$1,$B$1)</f>
        <v>-72.11</v>
      </c>
      <c r="AI34">
        <f>_xll.EQNXTDZ($A$1,$B34,AI$1,$B$1)</f>
        <v>-61.48</v>
      </c>
      <c r="AJ34">
        <f>_xll.EQNXTDZ($A$1,$B34,AJ$1,$B$1)</f>
        <v>-91.32</v>
      </c>
      <c r="AK34">
        <f>_xll.EQNXTDZ($A$1,$B34,AK$1,$B$1)</f>
        <v>-70.2</v>
      </c>
      <c r="AL34">
        <f>_xll.EQNXTDZ($A$1,$B34,AL$1,$B$1)</f>
        <v>-88.27</v>
      </c>
      <c r="AM34">
        <f>_xll.EQNXTDZ($A$1,$B34,AM$1,$B$1)</f>
        <v>-74.66</v>
      </c>
      <c r="AN34">
        <f>_xll.EQNXTDZ($A$1,$B34,AN$1,$B$1)</f>
        <v>-84.15</v>
      </c>
      <c r="AO34">
        <f>_xll.EQNXTDZ($A$1,$B34,AO$1,$B$1)</f>
        <v>-126.08</v>
      </c>
      <c r="AP34">
        <f>_xll.EQNXTDZ($A$1,$B34,AP$1,$B$1)</f>
        <v>-129.26</v>
      </c>
      <c r="AQ34">
        <f>_xll.EQNXTDZ($A$1,$B34,AQ$1,$B$1)</f>
        <v>-88.94</v>
      </c>
      <c r="AR34">
        <f>_xll.EQNXTDZ($A$1,$B34,AR$1,$B$1)</f>
        <v>-116.09</v>
      </c>
      <c r="AS34">
        <f>_xll.EQNXTDZ($A$1,$B34,AS$1,$B$1)</f>
        <v>-107.12</v>
      </c>
      <c r="AT34">
        <f>_xll.EQNXTDZ($A$1,$B34,AT$1,$B$1)</f>
        <v>-161.08000000000001</v>
      </c>
      <c r="AU34">
        <f>_xll.EQNXTDZ($A$1,$B34,AU$1,$B$1)</f>
        <v>-168.48</v>
      </c>
      <c r="AV34">
        <f>_xll.EQNXTDZ($A$1,$B34,AV$1,$B$1)</f>
        <v>-141.88</v>
      </c>
      <c r="AW34">
        <f>_xll.EQNXTDZ($A$1,$B34,AW$1,$B$1)</f>
        <v>-123.11</v>
      </c>
      <c r="AX34">
        <f>_xll.EQNXTDZ($A$1,$B34,AX$1,$B$1)</f>
        <v>-150.38</v>
      </c>
      <c r="AY34">
        <f>_xll.EQNXTDZ($A$1,$B34,AY$1,$B$1)</f>
        <v>-217.72</v>
      </c>
      <c r="AZ34">
        <f>_xll.EQNXTDZ($A$1,$B34,AZ$1,$B$1)</f>
        <v>-166.55</v>
      </c>
      <c r="BA34">
        <f>_xll.EQNXTDZ($A$1,$B34,BA$1,$B$1)</f>
        <v>-156.84</v>
      </c>
      <c r="BB34">
        <f>_xll.EQNXTDZ($A$1,$B34,BB$1,$B$1)</f>
        <v>-263.26</v>
      </c>
      <c r="BC34">
        <f>_xll.EQNXTDZ($A$1,$B34,BC$1,$B$1)</f>
        <v>-202.46</v>
      </c>
      <c r="BD34">
        <f>_xll.EQNXTDZ($A$1,$B34,BD$1,$B$1)</f>
        <v>-325.95</v>
      </c>
      <c r="BE34">
        <f>_xll.EQNXTDZ($A$1,$B34,BE$1,$B$1)</f>
        <v>-422.35</v>
      </c>
      <c r="BF34">
        <f>_xll.EQNXTDZ($A$1,$B34,BF$1,$B$1)</f>
        <v>-419.61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1.26</v>
      </c>
      <c r="D35">
        <f>_xll.EQNXTDZ($A$1,$B35,D$1,$B$1)</f>
        <v>5.34</v>
      </c>
      <c r="E35">
        <f>_xll.EQNXTDZ($A$1,$B35,E$1,$B$1)</f>
        <v>12.19</v>
      </c>
      <c r="F35">
        <f>_xll.EQNXTDZ($A$1,$B35,F$1,$B$1)</f>
        <v>5.13</v>
      </c>
      <c r="G35">
        <f>_xll.EQNXTDZ($A$1,$B35,G$1,$B$1)</f>
        <v>3.36</v>
      </c>
      <c r="H35">
        <f>_xll.EQNXTDZ($A$1,$B35,H$1,$B$1)</f>
        <v>12.97</v>
      </c>
      <c r="I35">
        <f>_xll.EQNXTDZ($A$1,$B35,I$1,$B$1)</f>
        <v>9.43</v>
      </c>
      <c r="J35">
        <f>_xll.EQNXTDZ($A$1,$B35,J$1,$B$1)</f>
        <v>19.61</v>
      </c>
      <c r="K35">
        <f>_xll.EQNXTDZ($A$1,$B35,K$1,$B$1)</f>
        <v>13.75</v>
      </c>
      <c r="L35">
        <f>_xll.EQNXTDZ($A$1,$B35,L$1,$B$1)</f>
        <v>16.760000000000002</v>
      </c>
      <c r="M35">
        <f>_xll.EQNXTDZ($A$1,$B35,M$1,$B$1)</f>
        <v>0.32</v>
      </c>
      <c r="N35">
        <f>_xll.EQNXTDZ($A$1,$B35,N$1,$B$1)</f>
        <v>16.940000000000001</v>
      </c>
      <c r="O35">
        <f>_xll.EQNXTDZ($A$1,$B35,O$1,$B$1)</f>
        <v>7.25</v>
      </c>
      <c r="P35">
        <f>_xll.EQNXTDZ($A$1,$B35,P$1,$B$1)</f>
        <v>50.4</v>
      </c>
      <c r="Q35">
        <f>_xll.EQNXTDZ($A$1,$B35,Q$1,$B$1)</f>
        <v>383.51</v>
      </c>
      <c r="R35">
        <f>_xll.EQNXTDZ($A$1,$B35,R$1,$B$1)</f>
        <v>-255.17</v>
      </c>
      <c r="S35">
        <f>_xll.EQNXTDZ($A$1,$B35,S$1,$B$1)</f>
        <v>191.18</v>
      </c>
      <c r="T35">
        <f>_xll.EQNXTDZ($A$1,$B35,T$1,$B$1)</f>
        <v>195.76</v>
      </c>
      <c r="U35">
        <f>_xll.EQNXTDZ($A$1,$B35,U$1,$B$1)</f>
        <v>506.41</v>
      </c>
      <c r="V35">
        <f>_xll.EQNXTDZ($A$1,$B35,V$1,$B$1)</f>
        <v>332.44</v>
      </c>
      <c r="W35">
        <f>_xll.EQNXTDZ($A$1,$B35,W$1,$B$1)</f>
        <v>389.44</v>
      </c>
      <c r="X35">
        <f>_xll.EQNXTDZ($A$1,$B35,X$1,$B$1)</f>
        <v>425.2</v>
      </c>
      <c r="Y35">
        <f>_xll.EQNXTDZ($A$1,$B35,Y$1,$B$1)</f>
        <v>457.05</v>
      </c>
      <c r="Z35">
        <f>_xll.EQNXTDZ($A$1,$B35,Z$1,$B$1)</f>
        <v>282.22000000000003</v>
      </c>
      <c r="AA35">
        <f>_xll.EQNXTDZ($A$1,$B35,AA$1,$B$1)</f>
        <v>368.9</v>
      </c>
      <c r="AB35">
        <f>_xll.EQNXTDZ($A$1,$B35,AB$1,$B$1)</f>
        <v>432.81</v>
      </c>
      <c r="AC35">
        <f>_xll.EQNXTDZ($A$1,$B35,AC$1,$B$1)</f>
        <v>252.62</v>
      </c>
      <c r="AD35">
        <f>_xll.EQNXTDZ($A$1,$B35,AD$1,$B$1)</f>
        <v>281.63</v>
      </c>
      <c r="AE35">
        <f>_xll.EQNXTDZ($A$1,$B35,AE$1,$B$1)</f>
        <v>252.98</v>
      </c>
      <c r="AF35">
        <f>_xll.EQNXTDZ($A$1,$B35,AF$1,$B$1)</f>
        <v>190.54</v>
      </c>
      <c r="AG35">
        <f>_xll.EQNXTDZ($A$1,$B35,AG$1,$B$1)</f>
        <v>194.45</v>
      </c>
      <c r="AH35">
        <f>_xll.EQNXTDZ($A$1,$B35,AH$1,$B$1)</f>
        <v>314.58</v>
      </c>
      <c r="AI35">
        <f>_xll.EQNXTDZ($A$1,$B35,AI$1,$B$1)</f>
        <v>176.87</v>
      </c>
      <c r="AJ35">
        <f>_xll.EQNXTDZ($A$1,$B35,AJ$1,$B$1)</f>
        <v>195.86</v>
      </c>
      <c r="AK35">
        <f>_xll.EQNXTDZ($A$1,$B35,AK$1,$B$1)</f>
        <v>152.41</v>
      </c>
      <c r="AL35">
        <f>_xll.EQNXTDZ($A$1,$B35,AL$1,$B$1)</f>
        <v>348.25</v>
      </c>
      <c r="AM35">
        <f>_xll.EQNXTDZ($A$1,$B35,AM$1,$B$1)</f>
        <v>365.96</v>
      </c>
      <c r="AN35">
        <f>_xll.EQNXTDZ($A$1,$B35,AN$1,$B$1)</f>
        <v>622.84</v>
      </c>
      <c r="AO35">
        <f>_xll.EQNXTDZ($A$1,$B35,AO$1,$B$1)</f>
        <v>658.06</v>
      </c>
      <c r="AP35">
        <f>_xll.EQNXTDZ($A$1,$B35,AP$1,$B$1)</f>
        <v>295.97000000000003</v>
      </c>
      <c r="AQ35">
        <f>_xll.EQNXTDZ($A$1,$B35,AQ$1,$B$1)</f>
        <v>803</v>
      </c>
      <c r="AR35">
        <f>_xll.EQNXTDZ($A$1,$B35,AR$1,$B$1)</f>
        <v>1219.4000000000001</v>
      </c>
      <c r="AS35">
        <f>_xll.EQNXTDZ($A$1,$B35,AS$1,$B$1)</f>
        <v>997.95</v>
      </c>
      <c r="AT35">
        <f>_xll.EQNXTDZ($A$1,$B35,AT$1,$B$1)</f>
        <v>179.11</v>
      </c>
      <c r="AU35">
        <f>_xll.EQNXTDZ($A$1,$B35,AU$1,$B$1)</f>
        <v>350.67</v>
      </c>
      <c r="AV35">
        <f>_xll.EQNXTDZ($A$1,$B35,AV$1,$B$1)</f>
        <v>251.52</v>
      </c>
      <c r="AW35">
        <f>_xll.EQNXTDZ($A$1,$B35,AW$1,$B$1)</f>
        <v>259.02</v>
      </c>
      <c r="AX35">
        <f>_xll.EQNXTDZ($A$1,$B35,AX$1,$B$1)</f>
        <v>316.36</v>
      </c>
      <c r="AY35">
        <f>_xll.EQNXTDZ($A$1,$B35,AY$1,$B$1)</f>
        <v>289.41000000000003</v>
      </c>
      <c r="AZ35">
        <f>_xll.EQNXTDZ($A$1,$B35,AZ$1,$B$1)</f>
        <v>235.08</v>
      </c>
      <c r="BA35">
        <f>_xll.EQNXTDZ($A$1,$B35,BA$1,$B$1)</f>
        <v>186.18</v>
      </c>
      <c r="BB35">
        <f>_xll.EQNXTDZ($A$1,$B35,BB$1,$B$1)</f>
        <v>82.65</v>
      </c>
      <c r="BC35">
        <f>_xll.EQNXTDZ($A$1,$B35,BC$1,$B$1)</f>
        <v>129.63</v>
      </c>
      <c r="BD35">
        <f>_xll.EQNXTDZ($A$1,$B35,BD$1,$B$1)</f>
        <v>129.08000000000001</v>
      </c>
      <c r="BE35">
        <f>_xll.EQNXTDZ($A$1,$B35,BE$1,$B$1)</f>
        <v>198.69</v>
      </c>
      <c r="BF35">
        <f>_xll.EQNXTDZ($A$1,$B35,BF$1,$B$1)</f>
        <v>250.47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145.93</v>
      </c>
      <c r="D38">
        <f>_xll.EQNXTDZ($A$1,$B38,D$1,$B$1)</f>
        <v>-83.8</v>
      </c>
      <c r="E38">
        <f>_xll.EQNXTDZ($A$1,$B38,E$1,$B$1)</f>
        <v>-328.92</v>
      </c>
      <c r="F38">
        <f>_xll.EQNXTDZ($A$1,$B38,F$1,$B$1)</f>
        <v>181.36</v>
      </c>
      <c r="G38">
        <f>_xll.EQNXTDZ($A$1,$B38,G$1,$B$1)</f>
        <v>-114.7</v>
      </c>
      <c r="H38">
        <f>_xll.EQNXTDZ($A$1,$B38,H$1,$B$1)</f>
        <v>74.97</v>
      </c>
      <c r="I38">
        <f>_xll.EQNXTDZ($A$1,$B38,I$1,$B$1)</f>
        <v>-74.91</v>
      </c>
      <c r="J38">
        <f>_xll.EQNXTDZ($A$1,$B38,J$1,$B$1)</f>
        <v>-145.33000000000001</v>
      </c>
      <c r="K38">
        <f>_xll.EQNXTDZ($A$1,$B38,K$1,$B$1)</f>
        <v>-111.3</v>
      </c>
      <c r="L38">
        <f>_xll.EQNXTDZ($A$1,$B38,L$1,$B$1)</f>
        <v>-77.760000000000005</v>
      </c>
      <c r="M38">
        <f>_xll.EQNXTDZ($A$1,$B38,M$1,$B$1)</f>
        <v>197.74</v>
      </c>
      <c r="N38">
        <f>_xll.EQNXTDZ($A$1,$B38,N$1,$B$1)</f>
        <v>159.13999999999999</v>
      </c>
      <c r="O38">
        <f>_xll.EQNXTDZ($A$1,$B38,O$1,$B$1)</f>
        <v>303.14</v>
      </c>
      <c r="P38">
        <f>_xll.EQNXTDZ($A$1,$B38,P$1,$B$1)</f>
        <v>-95.87</v>
      </c>
      <c r="Q38">
        <f>_xll.EQNXTDZ($A$1,$B38,Q$1,$B$1)</f>
        <v>433.25</v>
      </c>
      <c r="R38">
        <f>_xll.EQNXTDZ($A$1,$B38,R$1,$B$1)</f>
        <v>21.68</v>
      </c>
      <c r="S38">
        <f>_xll.EQNXTDZ($A$1,$B38,S$1,$B$1)</f>
        <v>72.489999999999995</v>
      </c>
      <c r="T38">
        <f>_xll.EQNXTDZ($A$1,$B38,T$1,$B$1)</f>
        <v>427.32</v>
      </c>
      <c r="U38">
        <f>_xll.EQNXTDZ($A$1,$B38,U$1,$B$1)</f>
        <v>619.23</v>
      </c>
      <c r="V38">
        <f>_xll.EQNXTDZ($A$1,$B38,V$1,$B$1)</f>
        <v>-242.48</v>
      </c>
      <c r="W38">
        <f>_xll.EQNXTDZ($A$1,$B38,W$1,$B$1)</f>
        <v>348.77</v>
      </c>
      <c r="X38">
        <f>_xll.EQNXTDZ($A$1,$B38,X$1,$B$1)</f>
        <v>178.16</v>
      </c>
      <c r="Y38">
        <f>_xll.EQNXTDZ($A$1,$B38,Y$1,$B$1)</f>
        <v>590.80999999999995</v>
      </c>
      <c r="Z38">
        <f>_xll.EQNXTDZ($A$1,$B38,Z$1,$B$1)</f>
        <v>1290.56</v>
      </c>
      <c r="AA38">
        <f>_xll.EQNXTDZ($A$1,$B38,AA$1,$B$1)</f>
        <v>1670.91</v>
      </c>
      <c r="AB38">
        <f>_xll.EQNXTDZ($A$1,$B38,AB$1,$B$1)</f>
        <v>335.77</v>
      </c>
      <c r="AC38">
        <f>_xll.EQNXTDZ($A$1,$B38,AC$1,$B$1)</f>
        <v>141.86000000000001</v>
      </c>
      <c r="AD38">
        <f>_xll.EQNXTDZ($A$1,$B38,AD$1,$B$1)</f>
        <v>121.83</v>
      </c>
      <c r="AE38">
        <f>_xll.EQNXTDZ($A$1,$B38,AE$1,$B$1)</f>
        <v>163.55000000000001</v>
      </c>
      <c r="AF38">
        <f>_xll.EQNXTDZ($A$1,$B38,AF$1,$B$1)</f>
        <v>257.92</v>
      </c>
      <c r="AG38">
        <f>_xll.EQNXTDZ($A$1,$B38,AG$1,$B$1)</f>
        <v>193.32</v>
      </c>
      <c r="AH38">
        <f>_xll.EQNXTDZ($A$1,$B38,AH$1,$B$1)</f>
        <v>402.59</v>
      </c>
      <c r="AI38">
        <f>_xll.EQNXTDZ($A$1,$B38,AI$1,$B$1)</f>
        <v>206.62</v>
      </c>
      <c r="AJ38">
        <f>_xll.EQNXTDZ($A$1,$B38,AJ$1,$B$1)</f>
        <v>279.61</v>
      </c>
      <c r="AK38">
        <f>_xll.EQNXTDZ($A$1,$B38,AK$1,$B$1)</f>
        <v>248.21</v>
      </c>
      <c r="AL38">
        <f>_xll.EQNXTDZ($A$1,$B38,AL$1,$B$1)</f>
        <v>392.94</v>
      </c>
      <c r="AM38">
        <f>_xll.EQNXTDZ($A$1,$B38,AM$1,$B$1)</f>
        <v>391.03</v>
      </c>
      <c r="AN38">
        <f>_xll.EQNXTDZ($A$1,$B38,AN$1,$B$1)</f>
        <v>421.51</v>
      </c>
      <c r="AO38">
        <f>_xll.EQNXTDZ($A$1,$B38,AO$1,$B$1)</f>
        <v>425.81</v>
      </c>
      <c r="AP38">
        <f>_xll.EQNXTDZ($A$1,$B38,AP$1,$B$1)</f>
        <v>503.11</v>
      </c>
      <c r="AQ38">
        <f>_xll.EQNXTDZ($A$1,$B38,AQ$1,$B$1)</f>
        <v>794.6</v>
      </c>
      <c r="AR38">
        <f>_xll.EQNXTDZ($A$1,$B38,AR$1,$B$1)</f>
        <v>819.09</v>
      </c>
      <c r="AS38">
        <f>_xll.EQNXTDZ($A$1,$B38,AS$1,$B$1)</f>
        <v>945.02</v>
      </c>
      <c r="AT38">
        <f>_xll.EQNXTDZ($A$1,$B38,AT$1,$B$1)</f>
        <v>777.73</v>
      </c>
      <c r="AU38">
        <f>_xll.EQNXTDZ($A$1,$B38,AU$1,$B$1)</f>
        <v>972.49</v>
      </c>
      <c r="AV38">
        <f>_xll.EQNXTDZ($A$1,$B38,AV$1,$B$1)</f>
        <v>875.53</v>
      </c>
      <c r="AW38">
        <f>_xll.EQNXTDZ($A$1,$B38,AW$1,$B$1)</f>
        <v>953.01</v>
      </c>
      <c r="AX38">
        <f>_xll.EQNXTDZ($A$1,$B38,AX$1,$B$1)</f>
        <v>895.21</v>
      </c>
      <c r="AY38">
        <f>_xll.EQNXTDZ($A$1,$B38,AY$1,$B$1)</f>
        <v>970.91</v>
      </c>
      <c r="AZ38">
        <f>_xll.EQNXTDZ($A$1,$B38,AZ$1,$B$1)</f>
        <v>926.53</v>
      </c>
      <c r="BA38">
        <f>_xll.EQNXTDZ($A$1,$B38,BA$1,$B$1)</f>
        <v>1030.7</v>
      </c>
      <c r="BB38">
        <f>_xll.EQNXTDZ($A$1,$B38,BB$1,$B$1)</f>
        <v>1042.83</v>
      </c>
      <c r="BC38">
        <f>_xll.EQNXTDZ($A$1,$B38,BC$1,$B$1)</f>
        <v>1059.8599999999999</v>
      </c>
      <c r="BD38">
        <f>_xll.EQNXTDZ($A$1,$B38,BD$1,$B$1)</f>
        <v>919.44</v>
      </c>
      <c r="BE38">
        <f>_xll.EQNXTDZ($A$1,$B38,BE$1,$B$1)</f>
        <v>771.98</v>
      </c>
      <c r="BF38">
        <f>_xll.EQNXTDZ($A$1,$B38,BF$1,$B$1)</f>
        <v>995.91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-2.85</v>
      </c>
      <c r="V39">
        <f>_xll.EQNXTDZ($A$1,$B39,V$1,$B$1)</f>
        <v>11.49</v>
      </c>
      <c r="W39">
        <f>_xll.EQNXTDZ($A$1,$B39,W$1,$B$1)</f>
        <v>15.29</v>
      </c>
      <c r="X39">
        <f>_xll.EQNXTDZ($A$1,$B39,X$1,$B$1)</f>
        <v>9.98</v>
      </c>
      <c r="Y39">
        <f>_xll.EQNXTDZ($A$1,$B39,Y$1,$B$1)</f>
        <v>15.91</v>
      </c>
      <c r="Z39">
        <f>_xll.EQNXTDZ($A$1,$B39,Z$1,$B$1)</f>
        <v>-112.92</v>
      </c>
      <c r="AA39">
        <f>_xll.EQNXTDZ($A$1,$B39,AA$1,$B$1)</f>
        <v>-33.659999999999997</v>
      </c>
      <c r="AB39">
        <f>_xll.EQNXTDZ($A$1,$B39,AB$1,$B$1)</f>
        <v>-32.92</v>
      </c>
      <c r="AC39">
        <f>_xll.EQNXTDZ($A$1,$B39,AC$1,$B$1)</f>
        <v>-33.99</v>
      </c>
      <c r="AD39">
        <f>_xll.EQNXTDZ($A$1,$B39,AD$1,$B$1)</f>
        <v>-25.27</v>
      </c>
      <c r="AE39">
        <f>_xll.EQNXTDZ($A$1,$B39,AE$1,$B$1)</f>
        <v>-19.14</v>
      </c>
      <c r="AF39">
        <f>_xll.EQNXTDZ($A$1,$B39,AF$1,$B$1)</f>
        <v>-5.51</v>
      </c>
      <c r="AG39">
        <f>_xll.EQNXTDZ($A$1,$B39,AG$1,$B$1)</f>
        <v>-13.8</v>
      </c>
      <c r="AH39">
        <f>_xll.EQNXTDZ($A$1,$B39,AH$1,$B$1)</f>
        <v>-371.78</v>
      </c>
      <c r="AI39">
        <f>_xll.EQNXTDZ($A$1,$B39,AI$1,$B$1)</f>
        <v>-22.78</v>
      </c>
      <c r="AJ39">
        <f>_xll.EQNXTDZ($A$1,$B39,AJ$1,$B$1)</f>
        <v>-19.23</v>
      </c>
      <c r="AK39">
        <f>_xll.EQNXTDZ($A$1,$B39,AK$1,$B$1)</f>
        <v>85.04</v>
      </c>
      <c r="AL39">
        <f>_xll.EQNXTDZ($A$1,$B39,AL$1,$B$1)</f>
        <v>-89.23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-467.83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66.73</v>
      </c>
      <c r="P40">
        <f>_xll.EQNXTDZ($A$1,$B40,P$1,$B$1)</f>
        <v>135.4</v>
      </c>
      <c r="Q40">
        <f>_xll.EQNXTDZ($A$1,$B40,Q$1,$B$1)</f>
        <v>55.04</v>
      </c>
      <c r="R40">
        <f>_xll.EQNXTDZ($A$1,$B40,R$1,$B$1)</f>
        <v>-280.14</v>
      </c>
      <c r="S40">
        <f>_xll.EQNXTDZ($A$1,$B40,S$1,$B$1)</f>
        <v>65.16</v>
      </c>
      <c r="T40">
        <f>_xll.EQNXTDZ($A$1,$B40,T$1,$B$1)</f>
        <v>-266.44</v>
      </c>
      <c r="U40">
        <f>_xll.EQNXTDZ($A$1,$B40,U$1,$B$1)</f>
        <v>52.01</v>
      </c>
      <c r="V40">
        <f>_xll.EQNXTDZ($A$1,$B40,V$1,$B$1)</f>
        <v>17.489999999999998</v>
      </c>
      <c r="W40">
        <f>_xll.EQNXTDZ($A$1,$B40,W$1,$B$1)</f>
        <v>-13.59</v>
      </c>
      <c r="X40">
        <f>_xll.EQNXTDZ($A$1,$B40,X$1,$B$1)</f>
        <v>-232.75</v>
      </c>
      <c r="Y40">
        <f>_xll.EQNXTDZ($A$1,$B40,Y$1,$B$1)</f>
        <v>-143.08000000000001</v>
      </c>
      <c r="Z40">
        <f>_xll.EQNXTDZ($A$1,$B40,Z$1,$B$1)</f>
        <v>483.41</v>
      </c>
      <c r="AA40">
        <f>_xll.EQNXTDZ($A$1,$B40,AA$1,$B$1)</f>
        <v>161.58000000000001</v>
      </c>
      <c r="AB40">
        <f>_xll.EQNXTDZ($A$1,$B40,AB$1,$B$1)</f>
        <v>411.25</v>
      </c>
      <c r="AC40">
        <f>_xll.EQNXTDZ($A$1,$B40,AC$1,$B$1)</f>
        <v>-295.67</v>
      </c>
      <c r="AD40">
        <f>_xll.EQNXTDZ($A$1,$B40,AD$1,$B$1)</f>
        <v>-112.73</v>
      </c>
      <c r="AE40">
        <f>_xll.EQNXTDZ($A$1,$B40,AE$1,$B$1)</f>
        <v>-10.31</v>
      </c>
      <c r="AF40">
        <f>_xll.EQNXTDZ($A$1,$B40,AF$1,$B$1)</f>
        <v>145.74</v>
      </c>
      <c r="AG40">
        <f>_xll.EQNXTDZ($A$1,$B40,AG$1,$B$1)</f>
        <v>62.35</v>
      </c>
      <c r="AH40">
        <f>_xll.EQNXTDZ($A$1,$B40,AH$1,$B$1)</f>
        <v>646.66999999999996</v>
      </c>
      <c r="AI40">
        <f>_xll.EQNXTDZ($A$1,$B40,AI$1,$B$1)</f>
        <v>-20.28</v>
      </c>
      <c r="AJ40">
        <f>_xll.EQNXTDZ($A$1,$B40,AJ$1,$B$1)</f>
        <v>-365.75</v>
      </c>
      <c r="AK40">
        <f>_xll.EQNXTDZ($A$1,$B40,AK$1,$B$1)</f>
        <v>-67.8</v>
      </c>
      <c r="AL40">
        <f>_xll.EQNXTDZ($A$1,$B40,AL$1,$B$1)</f>
        <v>74.17</v>
      </c>
      <c r="AM40">
        <f>_xll.EQNXTDZ($A$1,$B40,AM$1,$B$1)</f>
        <v>578.30999999999995</v>
      </c>
      <c r="AN40">
        <f>_xll.EQNXTDZ($A$1,$B40,AN$1,$B$1)</f>
        <v>-340.98</v>
      </c>
      <c r="AO40">
        <f>_xll.EQNXTDZ($A$1,$B40,AO$1,$B$1)</f>
        <v>18.91</v>
      </c>
      <c r="AP40">
        <f>_xll.EQNXTDZ($A$1,$B40,AP$1,$B$1)</f>
        <v>217.17</v>
      </c>
      <c r="AQ40">
        <f>_xll.EQNXTDZ($A$1,$B40,AQ$1,$B$1)</f>
        <v>370.58</v>
      </c>
      <c r="AR40">
        <f>_xll.EQNXTDZ($A$1,$B40,AR$1,$B$1)</f>
        <v>401.53</v>
      </c>
      <c r="AS40">
        <f>_xll.EQNXTDZ($A$1,$B40,AS$1,$B$1)</f>
        <v>88.21</v>
      </c>
      <c r="AT40">
        <f>_xll.EQNXTDZ($A$1,$B40,AT$1,$B$1)</f>
        <v>-18.82</v>
      </c>
      <c r="AU40">
        <f>_xll.EQNXTDZ($A$1,$B40,AU$1,$B$1)</f>
        <v>-28.36</v>
      </c>
      <c r="AV40">
        <f>_xll.EQNXTDZ($A$1,$B40,AV$1,$B$1)</f>
        <v>172.99</v>
      </c>
      <c r="AW40">
        <f>_xll.EQNXTDZ($A$1,$B40,AW$1,$B$1)</f>
        <v>105</v>
      </c>
      <c r="AX40">
        <f>_xll.EQNXTDZ($A$1,$B40,AX$1,$B$1)</f>
        <v>254.23</v>
      </c>
      <c r="AY40">
        <f>_xll.EQNXTDZ($A$1,$B40,AY$1,$B$1)</f>
        <v>-6.39</v>
      </c>
      <c r="AZ40">
        <f>_xll.EQNXTDZ($A$1,$B40,AZ$1,$B$1)</f>
        <v>55.17</v>
      </c>
      <c r="BA40">
        <f>_xll.EQNXTDZ($A$1,$B40,BA$1,$B$1)</f>
        <v>145.19</v>
      </c>
      <c r="BB40">
        <f>_xll.EQNXTDZ($A$1,$B40,BB$1,$B$1)</f>
        <v>-59.14</v>
      </c>
      <c r="BC40">
        <f>_xll.EQNXTDZ($A$1,$B40,BC$1,$B$1)</f>
        <v>159.55000000000001</v>
      </c>
      <c r="BD40">
        <f>_xll.EQNXTDZ($A$1,$B40,BD$1,$B$1)</f>
        <v>411.13</v>
      </c>
      <c r="BE40">
        <f>_xll.EQNXTDZ($A$1,$B40,BE$1,$B$1)</f>
        <v>-148.33000000000001</v>
      </c>
      <c r="BF40">
        <f>_xll.EQNXTDZ($A$1,$B40,BF$1,$B$1)</f>
        <v>177.71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369.87</v>
      </c>
      <c r="P41">
        <f>_xll.EQNXTDZ($A$1,$B41,P$1,$B$1)</f>
        <v>39.53</v>
      </c>
      <c r="Q41">
        <f>_xll.EQNXTDZ($A$1,$B41,Q$1,$B$1)</f>
        <v>488.29</v>
      </c>
      <c r="R41">
        <f>_xll.EQNXTDZ($A$1,$B41,R$1,$B$1)</f>
        <v>-258.89999999999998</v>
      </c>
      <c r="S41">
        <f>_xll.EQNXTDZ($A$1,$B41,S$1,$B$1)</f>
        <v>137.63</v>
      </c>
      <c r="T41">
        <f>_xll.EQNXTDZ($A$1,$B41,T$1,$B$1)</f>
        <v>160.86000000000001</v>
      </c>
      <c r="U41">
        <f>_xll.EQNXTDZ($A$1,$B41,U$1,$B$1)</f>
        <v>671.24</v>
      </c>
      <c r="V41">
        <f>_xll.EQNXTDZ($A$1,$B41,V$1,$B$1)</f>
        <v>-224.38</v>
      </c>
      <c r="W41">
        <f>_xll.EQNXTDZ($A$1,$B41,W$1,$B$1)</f>
        <v>335.74</v>
      </c>
      <c r="X41">
        <f>_xll.EQNXTDZ($A$1,$B41,X$1,$B$1)</f>
        <v>-54.19</v>
      </c>
      <c r="Y41">
        <f>_xll.EQNXTDZ($A$1,$B41,Y$1,$B$1)</f>
        <v>448.08</v>
      </c>
      <c r="Z41">
        <f>_xll.EQNXTDZ($A$1,$B41,Z$1,$B$1)</f>
        <v>1772.67</v>
      </c>
      <c r="AA41">
        <f>_xll.EQNXTDZ($A$1,$B41,AA$1,$B$1)</f>
        <v>1832.47</v>
      </c>
      <c r="AB41">
        <f>_xll.EQNXTDZ($A$1,$B41,AB$1,$B$1)</f>
        <v>747.3</v>
      </c>
      <c r="AC41">
        <f>_xll.EQNXTDZ($A$1,$B41,AC$1,$B$1)</f>
        <v>-153.68</v>
      </c>
      <c r="AD41">
        <f>_xll.EQNXTDZ($A$1,$B41,AD$1,$B$1)</f>
        <v>9.14</v>
      </c>
      <c r="AE41">
        <f>_xll.EQNXTDZ($A$1,$B41,AE$1,$B$1)</f>
        <v>153.46</v>
      </c>
      <c r="AF41">
        <f>_xll.EQNXTDZ($A$1,$B41,AF$1,$B$1)</f>
        <v>404.64</v>
      </c>
      <c r="AG41">
        <f>_xll.EQNXTDZ($A$1,$B41,AG$1,$B$1)</f>
        <v>256.14</v>
      </c>
      <c r="AH41">
        <f>_xll.EQNXTDZ($A$1,$B41,AH$1,$B$1)</f>
        <v>1049.6400000000001</v>
      </c>
      <c r="AI41">
        <f>_xll.EQNXTDZ($A$1,$B41,AI$1,$B$1)</f>
        <v>186.85</v>
      </c>
      <c r="AJ41">
        <f>_xll.EQNXTDZ($A$1,$B41,AJ$1,$B$1)</f>
        <v>-86.7</v>
      </c>
      <c r="AK41">
        <f>_xll.EQNXTDZ($A$1,$B41,AK$1,$B$1)</f>
        <v>180.36</v>
      </c>
      <c r="AL41">
        <f>_xll.EQNXTDZ($A$1,$B41,AL$1,$B$1)</f>
        <v>466.2</v>
      </c>
      <c r="AM41">
        <f>_xll.EQNXTDZ($A$1,$B41,AM$1,$B$1)</f>
        <v>969.82</v>
      </c>
      <c r="AN41">
        <f>_xll.EQNXTDZ($A$1,$B41,AN$1,$B$1)</f>
        <v>80.66</v>
      </c>
      <c r="AO41">
        <f>_xll.EQNXTDZ($A$1,$B41,AO$1,$B$1)</f>
        <v>444.84</v>
      </c>
      <c r="AP41">
        <f>_xll.EQNXTDZ($A$1,$B41,AP$1,$B$1)</f>
        <v>719.52</v>
      </c>
      <c r="AQ41">
        <f>_xll.EQNXTDZ($A$1,$B41,AQ$1,$B$1)</f>
        <v>1165.33</v>
      </c>
      <c r="AR41">
        <f>_xll.EQNXTDZ($A$1,$B41,AR$1,$B$1)</f>
        <v>1212.5</v>
      </c>
      <c r="AS41">
        <f>_xll.EQNXTDZ($A$1,$B41,AS$1,$B$1)</f>
        <v>1034.47</v>
      </c>
      <c r="AT41">
        <f>_xll.EQNXTDZ($A$1,$B41,AT$1,$B$1)</f>
        <v>761.11</v>
      </c>
      <c r="AU41">
        <f>_xll.EQNXTDZ($A$1,$B41,AU$1,$B$1)</f>
        <v>950.54</v>
      </c>
      <c r="AV41">
        <f>_xll.EQNXTDZ($A$1,$B41,AV$1,$B$1)</f>
        <v>1048.19</v>
      </c>
      <c r="AW41">
        <f>_xll.EQNXTDZ($A$1,$B41,AW$1,$B$1)</f>
        <v>1059.5</v>
      </c>
      <c r="AX41">
        <f>_xll.EQNXTDZ($A$1,$B41,AX$1,$B$1)</f>
        <v>1150.95</v>
      </c>
      <c r="AY41">
        <f>_xll.EQNXTDZ($A$1,$B41,AY$1,$B$1)</f>
        <v>969.2</v>
      </c>
      <c r="AZ41">
        <f>_xll.EQNXTDZ($A$1,$B41,AZ$1,$B$1)</f>
        <v>984.06</v>
      </c>
      <c r="BA41">
        <f>_xll.EQNXTDZ($A$1,$B41,BA$1,$B$1)</f>
        <v>1173.3599999999999</v>
      </c>
      <c r="BB41">
        <f>_xll.EQNXTDZ($A$1,$B41,BB$1,$B$1)</f>
        <v>990.77</v>
      </c>
      <c r="BC41">
        <f>_xll.EQNXTDZ($A$1,$B41,BC$1,$B$1)</f>
        <v>1224.57</v>
      </c>
      <c r="BD41">
        <f>_xll.EQNXTDZ($A$1,$B41,BD$1,$B$1)</f>
        <v>1324.88</v>
      </c>
      <c r="BE41">
        <f>_xll.EQNXTDZ($A$1,$B41,BE$1,$B$1)</f>
        <v>620.76</v>
      </c>
      <c r="BF41">
        <f>_xll.EQNXTDZ($A$1,$B41,BF$1,$B$1)</f>
        <v>1139.4000000000001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145.93</v>
      </c>
      <c r="D42">
        <f>_xll.EQNXTDZ($A$1,$B42,D$1,$B$1)</f>
        <v>-83.8</v>
      </c>
      <c r="E42">
        <f>_xll.EQNXTDZ($A$1,$B42,E$1,$B$1)</f>
        <v>-328.92</v>
      </c>
      <c r="F42">
        <f>_xll.EQNXTDZ($A$1,$B42,F$1,$B$1)</f>
        <v>181.36</v>
      </c>
      <c r="G42">
        <f>_xll.EQNXTDZ($A$1,$B42,G$1,$B$1)</f>
        <v>-114.7</v>
      </c>
      <c r="H42">
        <f>_xll.EQNXTDZ($A$1,$B42,H$1,$B$1)</f>
        <v>74.97</v>
      </c>
      <c r="I42">
        <f>_xll.EQNXTDZ($A$1,$B42,I$1,$B$1)</f>
        <v>-74.91</v>
      </c>
      <c r="J42">
        <f>_xll.EQNXTDZ($A$1,$B42,J$1,$B$1)</f>
        <v>-145.33000000000001</v>
      </c>
      <c r="K42">
        <f>_xll.EQNXTDZ($A$1,$B42,K$1,$B$1)</f>
        <v>-111.3</v>
      </c>
      <c r="L42">
        <f>_xll.EQNXTDZ($A$1,$B42,L$1,$B$1)</f>
        <v>-77.760000000000005</v>
      </c>
      <c r="M42">
        <f>_xll.EQNXTDZ($A$1,$B42,M$1,$B$1)</f>
        <v>197.74</v>
      </c>
      <c r="N42">
        <f>_xll.EQNXTDZ($A$1,$B42,N$1,$B$1)</f>
        <v>159.13999999999999</v>
      </c>
      <c r="O42">
        <f>_xll.EQNXTDZ($A$1,$B42,O$1,$B$1)</f>
        <v>303.14</v>
      </c>
      <c r="P42">
        <f>_xll.EQNXTDZ($A$1,$B42,P$1,$B$1)</f>
        <v>-95.87</v>
      </c>
      <c r="Q42">
        <f>_xll.EQNXTDZ($A$1,$B42,Q$1,$B$1)</f>
        <v>433.25</v>
      </c>
      <c r="R42">
        <f>_xll.EQNXTDZ($A$1,$B42,R$1,$B$1)</f>
        <v>21.68</v>
      </c>
      <c r="S42">
        <f>_xll.EQNXTDZ($A$1,$B42,S$1,$B$1)</f>
        <v>72.489999999999995</v>
      </c>
      <c r="T42">
        <f>_xll.EQNXTDZ($A$1,$B42,T$1,$B$1)</f>
        <v>427.32</v>
      </c>
      <c r="U42">
        <f>_xll.EQNXTDZ($A$1,$B42,U$1,$B$1)</f>
        <v>619.23</v>
      </c>
      <c r="V42">
        <f>_xll.EQNXTDZ($A$1,$B42,V$1,$B$1)</f>
        <v>-242.48</v>
      </c>
      <c r="W42">
        <f>_xll.EQNXTDZ($A$1,$B42,W$1,$B$1)</f>
        <v>348.77</v>
      </c>
      <c r="X42">
        <f>_xll.EQNXTDZ($A$1,$B42,X$1,$B$1)</f>
        <v>178.16</v>
      </c>
      <c r="Y42">
        <f>_xll.EQNXTDZ($A$1,$B42,Y$1,$B$1)</f>
        <v>590.80999999999995</v>
      </c>
      <c r="Z42">
        <f>_xll.EQNXTDZ($A$1,$B42,Z$1,$B$1)</f>
        <v>1290.56</v>
      </c>
      <c r="AA42">
        <f>_xll.EQNXTDZ($A$1,$B42,AA$1,$B$1)</f>
        <v>1670.91</v>
      </c>
      <c r="AB42">
        <f>_xll.EQNXTDZ($A$1,$B42,AB$1,$B$1)</f>
        <v>335.77</v>
      </c>
      <c r="AC42">
        <f>_xll.EQNXTDZ($A$1,$B42,AC$1,$B$1)</f>
        <v>141.86000000000001</v>
      </c>
      <c r="AD42">
        <f>_xll.EQNXTDZ($A$1,$B42,AD$1,$B$1)</f>
        <v>121.83</v>
      </c>
      <c r="AE42">
        <f>_xll.EQNXTDZ($A$1,$B42,AE$1,$B$1)</f>
        <v>163.55000000000001</v>
      </c>
      <c r="AF42">
        <f>_xll.EQNXTDZ($A$1,$B42,AF$1,$B$1)</f>
        <v>257.92</v>
      </c>
      <c r="AG42">
        <f>_xll.EQNXTDZ($A$1,$B42,AG$1,$B$1)</f>
        <v>193.32</v>
      </c>
      <c r="AH42">
        <f>_xll.EQNXTDZ($A$1,$B42,AH$1,$B$1)</f>
        <v>402.59</v>
      </c>
      <c r="AI42">
        <f>_xll.EQNXTDZ($A$1,$B42,AI$1,$B$1)</f>
        <v>206.62</v>
      </c>
      <c r="AJ42">
        <f>_xll.EQNXTDZ($A$1,$B42,AJ$1,$B$1)</f>
        <v>279.61</v>
      </c>
      <c r="AK42">
        <f>_xll.EQNXTDZ($A$1,$B42,AK$1,$B$1)</f>
        <v>248.21</v>
      </c>
      <c r="AL42">
        <f>_xll.EQNXTDZ($A$1,$B42,AL$1,$B$1)</f>
        <v>392.94</v>
      </c>
      <c r="AM42">
        <f>_xll.EQNXTDZ($A$1,$B42,AM$1,$B$1)</f>
        <v>391.03</v>
      </c>
      <c r="AN42">
        <f>_xll.EQNXTDZ($A$1,$B42,AN$1,$B$1)</f>
        <v>421.51</v>
      </c>
      <c r="AO42">
        <f>_xll.EQNXTDZ($A$1,$B42,AO$1,$B$1)</f>
        <v>425.81</v>
      </c>
      <c r="AP42">
        <f>_xll.EQNXTDZ($A$1,$B42,AP$1,$B$1)</f>
        <v>503.11</v>
      </c>
      <c r="AQ42">
        <f>_xll.EQNXTDZ($A$1,$B42,AQ$1,$B$1)</f>
        <v>794.6</v>
      </c>
      <c r="AR42">
        <f>_xll.EQNXTDZ($A$1,$B42,AR$1,$B$1)</f>
        <v>819.09</v>
      </c>
      <c r="AS42">
        <f>_xll.EQNXTDZ($A$1,$B42,AS$1,$B$1)</f>
        <v>945.02</v>
      </c>
      <c r="AT42">
        <f>_xll.EQNXTDZ($A$1,$B42,AT$1,$B$1)</f>
        <v>777.73</v>
      </c>
      <c r="AU42">
        <f>_xll.EQNXTDZ($A$1,$B42,AU$1,$B$1)</f>
        <v>972.49</v>
      </c>
      <c r="AV42">
        <f>_xll.EQNXTDZ($A$1,$B42,AV$1,$B$1)</f>
        <v>875.53</v>
      </c>
      <c r="AW42">
        <f>_xll.EQNXTDZ($A$1,$B42,AW$1,$B$1)</f>
        <v>953.01</v>
      </c>
      <c r="AX42">
        <f>_xll.EQNXTDZ($A$1,$B42,AX$1,$B$1)</f>
        <v>895.21</v>
      </c>
      <c r="AY42">
        <f>_xll.EQNXTDZ($A$1,$B42,AY$1,$B$1)</f>
        <v>970.91</v>
      </c>
      <c r="AZ42">
        <f>_xll.EQNXTDZ($A$1,$B42,AZ$1,$B$1)</f>
        <v>926.53</v>
      </c>
      <c r="BA42">
        <f>_xll.EQNXTDZ($A$1,$B42,BA$1,$B$1)</f>
        <v>1030.7</v>
      </c>
      <c r="BB42">
        <f>_xll.EQNXTDZ($A$1,$B42,BB$1,$B$1)</f>
        <v>1042.83</v>
      </c>
      <c r="BC42">
        <f>_xll.EQNXTDZ($A$1,$B42,BC$1,$B$1)</f>
        <v>1059.8599999999999</v>
      </c>
      <c r="BD42">
        <f>_xll.EQNXTDZ($A$1,$B42,BD$1,$B$1)</f>
        <v>919.44</v>
      </c>
      <c r="BE42">
        <f>_xll.EQNXTDZ($A$1,$B42,BE$1,$B$1)</f>
        <v>771.98</v>
      </c>
      <c r="BF42">
        <f>_xll.EQNXTDZ($A$1,$B42,BF$1,$B$1)</f>
        <v>995.91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237.29</v>
      </c>
      <c r="D45">
        <f>_xll.EQNXTDZ($A$1,$B45,D$1,$B$1)</f>
        <v>237.29</v>
      </c>
      <c r="E45">
        <f>_xll.EQNXTDZ($A$1,$B45,E$1,$B$1)</f>
        <v>237.29</v>
      </c>
      <c r="F45">
        <f>_xll.EQNXTDZ($A$1,$B45,F$1,$B$1)</f>
        <v>237.29</v>
      </c>
      <c r="G45">
        <f>_xll.EQNXTDZ($A$1,$B45,G$1,$B$1)</f>
        <v>237.29</v>
      </c>
      <c r="H45">
        <f>_xll.EQNXTDZ($A$1,$B45,H$1,$B$1)</f>
        <v>237.29</v>
      </c>
      <c r="I45">
        <f>_xll.EQNXTDZ($A$1,$B45,I$1,$B$1)</f>
        <v>237.29</v>
      </c>
      <c r="J45">
        <f>_xll.EQNXTDZ($A$1,$B45,J$1,$B$1)</f>
        <v>237.29</v>
      </c>
      <c r="K45">
        <f>_xll.EQNXTDZ($A$1,$B45,K$1,$B$1)</f>
        <v>270.44</v>
      </c>
      <c r="L45">
        <f>_xll.EQNXTDZ($A$1,$B45,L$1,$B$1)</f>
        <v>270.44</v>
      </c>
      <c r="M45">
        <f>_xll.EQNXTDZ($A$1,$B45,M$1,$B$1)</f>
        <v>270.44</v>
      </c>
      <c r="N45">
        <f>_xll.EQNXTDZ($A$1,$B45,N$1,$B$1)</f>
        <v>270.48</v>
      </c>
      <c r="O45">
        <f>_xll.EQNXTDZ($A$1,$B45,O$1,$B$1)</f>
        <v>270.48</v>
      </c>
      <c r="P45">
        <f>_xll.EQNXTDZ($A$1,$B45,P$1,$B$1)</f>
        <v>270.48</v>
      </c>
      <c r="Q45">
        <f>_xll.EQNXTDZ($A$1,$B45,Q$1,$B$1)</f>
        <v>270.48</v>
      </c>
      <c r="R45">
        <f>_xll.EQNXTDZ($A$1,$B45,R$1,$B$1)</f>
        <v>270.48</v>
      </c>
      <c r="S45">
        <f>_xll.EQNXTDZ($A$1,$B45,S$1,$B$1)</f>
        <v>270.48</v>
      </c>
      <c r="T45">
        <f>_xll.EQNXTDZ($A$1,$B45,T$1,$B$1)</f>
        <v>270.48</v>
      </c>
      <c r="U45">
        <f>_xll.EQNXTDZ($A$1,$B45,U$1,$B$1)</f>
        <v>270.5</v>
      </c>
      <c r="V45">
        <f>_xll.EQNXTDZ($A$1,$B45,V$1,$B$1)</f>
        <v>270.5</v>
      </c>
      <c r="W45">
        <f>_xll.EQNXTDZ($A$1,$B45,W$1,$B$1)</f>
        <v>270.5</v>
      </c>
      <c r="X45">
        <f>_xll.EQNXTDZ($A$1,$B45,X$1,$B$1)</f>
        <v>270.5</v>
      </c>
      <c r="Y45">
        <f>_xll.EQNXTDZ($A$1,$B45,Y$1,$B$1)</f>
        <v>270.5</v>
      </c>
      <c r="Z45">
        <f>_xll.EQNXTDZ($A$1,$B45,Z$1,$B$1)</f>
        <v>270.5</v>
      </c>
      <c r="AA45">
        <f>_xll.EQNXTDZ($A$1,$B45,AA$1,$B$1)</f>
        <v>270.5</v>
      </c>
      <c r="AB45">
        <f>_xll.EQNXTDZ($A$1,$B45,AB$1,$B$1)</f>
        <v>270.5</v>
      </c>
      <c r="AC45">
        <f>_xll.EQNXTDZ($A$1,$B45,AC$1,$B$1)</f>
        <v>270.5</v>
      </c>
      <c r="AD45">
        <f>_xll.EQNXTDZ($A$1,$B45,AD$1,$B$1)</f>
        <v>270.5</v>
      </c>
      <c r="AE45">
        <f>_xll.EQNXTDZ($A$1,$B45,AE$1,$B$1)</f>
        <v>270.5</v>
      </c>
      <c r="AF45">
        <f>_xll.EQNXTDZ($A$1,$B45,AF$1,$B$1)</f>
        <v>270.5</v>
      </c>
      <c r="AG45">
        <f>_xll.EQNXTDZ($A$1,$B45,AG$1,$B$1)</f>
        <v>270.5</v>
      </c>
      <c r="AH45">
        <f>_xll.EQNXTDZ($A$1,$B45,AH$1,$B$1)</f>
        <v>270.5</v>
      </c>
      <c r="AI45">
        <f>_xll.EQNXTDZ($A$1,$B45,AI$1,$B$1)</f>
        <v>270.5</v>
      </c>
      <c r="AJ45">
        <f>_xll.EQNXTDZ($A$1,$B45,AJ$1,$B$1)</f>
        <v>319.56</v>
      </c>
      <c r="AK45">
        <f>_xll.EQNXTDZ($A$1,$B45,AK$1,$B$1)</f>
        <v>319.56</v>
      </c>
      <c r="AL45">
        <f>_xll.EQNXTDZ($A$1,$B45,AL$1,$B$1)</f>
        <v>319.56</v>
      </c>
      <c r="AM45">
        <f>_xll.EQNXTDZ($A$1,$B45,AM$1,$B$1)</f>
        <v>319.56</v>
      </c>
      <c r="AN45">
        <f>_xll.EQNXTDZ($A$1,$B45,AN$1,$B$1)</f>
        <v>319.56</v>
      </c>
      <c r="AO45">
        <f>_xll.EQNXTDZ($A$1,$B45,AO$1,$B$1)</f>
        <v>319.56</v>
      </c>
      <c r="AP45">
        <f>_xll.EQNXTDZ($A$1,$B45,AP$1,$B$1)</f>
        <v>319.56</v>
      </c>
      <c r="AQ45">
        <f>_xll.EQNXTDZ($A$1,$B45,AQ$1,$B$1)</f>
        <v>319.56</v>
      </c>
      <c r="AR45">
        <f>_xll.EQNXTDZ($A$1,$B45,AR$1,$B$1)</f>
        <v>319.56</v>
      </c>
      <c r="AS45">
        <f>_xll.EQNXTDZ($A$1,$B45,AS$1,$B$1)</f>
        <v>319.56</v>
      </c>
      <c r="AT45">
        <f>_xll.EQNXTDZ($A$1,$B45,AT$1,$B$1)</f>
        <v>319.56</v>
      </c>
      <c r="AU45">
        <f>_xll.EQNXTDZ($A$1,$B45,AU$1,$B$1)</f>
        <v>319.56</v>
      </c>
      <c r="AV45">
        <f>_xll.EQNXTDZ($A$1,$B45,AV$1,$B$1)</f>
        <v>319.56</v>
      </c>
      <c r="AW45">
        <f>_xll.EQNXTDZ($A$1,$B45,AW$1,$B$1)</f>
        <v>319.56</v>
      </c>
      <c r="AX45">
        <f>_xll.EQNXTDZ($A$1,$B45,AX$1,$B$1)</f>
        <v>319.56</v>
      </c>
      <c r="AY45">
        <f>_xll.EQNXTDZ($A$1,$B45,AY$1,$B$1)</f>
        <v>319.56</v>
      </c>
      <c r="AZ45">
        <f>_xll.EQNXTDZ($A$1,$B45,AZ$1,$B$1)</f>
        <v>319.56</v>
      </c>
      <c r="BA45">
        <f>_xll.EQNXTDZ($A$1,$B45,BA$1,$B$1)</f>
        <v>319.56</v>
      </c>
      <c r="BB45">
        <f>_xll.EQNXTDZ($A$1,$B45,BB$1,$B$1)</f>
        <v>319.56</v>
      </c>
      <c r="BC45">
        <f>_xll.EQNXTDZ($A$1,$B45,BC$1,$B$1)</f>
        <v>319.56</v>
      </c>
      <c r="BD45">
        <f>_xll.EQNXTDZ($A$1,$B45,BD$1,$B$1)</f>
        <v>319.56</v>
      </c>
      <c r="BE45">
        <f>_xll.EQNXTDZ($A$1,$B45,BE$1,$B$1)</f>
        <v>319.56</v>
      </c>
      <c r="BF45">
        <f>_xll.EQNXTDZ($A$1,$B45,BF$1,$B$1)</f>
        <v>319.56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101.03726240511899</v>
      </c>
      <c r="D48" s="55">
        <f>_xll.EQNXTDZ($A$1,$B48,D$5)</f>
        <v>103.208550279154</v>
      </c>
      <c r="E48" s="55">
        <f>_xll.EQNXTDZ($A$1,$B48,E$5)</f>
        <v>106.48960751103</v>
      </c>
      <c r="F48" s="55">
        <f>_xll.EQNXTDZ($A$1,$B48,F$5)</f>
        <v>93.027622692010098</v>
      </c>
      <c r="G48" s="55">
        <f>_xll.EQNXTDZ($A$1,$B48,G$5)</f>
        <v>83.039698471446798</v>
      </c>
      <c r="H48" s="55">
        <f>_xll.EQNXTDZ($A$1,$B48,H$5)</f>
        <v>78.262865148568693</v>
      </c>
      <c r="I48" s="55">
        <f>_xll.EQNXTDZ($A$1,$B48,I$5)</f>
        <v>88.154287685841496</v>
      </c>
      <c r="J48" s="55">
        <f>_xll.EQNXTDZ($A$1,$B48,J$5)</f>
        <v>84.8</v>
      </c>
      <c r="K48" s="55">
        <f>_xll.EQNXTDZ($A$1,$B48,K$5)</f>
        <v>107.75</v>
      </c>
      <c r="L48" s="55">
        <f>_xll.EQNXTDZ($A$1,$B48,L$5)</f>
        <v>83</v>
      </c>
      <c r="M48" s="55">
        <f>_xll.EQNXTDZ($A$1,$B48,M$5)</f>
        <v>82.15</v>
      </c>
      <c r="N48" s="55">
        <f>_xll.EQNXTDZ($A$1,$B48,N$5)</f>
        <v>77.099999999999994</v>
      </c>
      <c r="O48" s="55">
        <f>_xll.EQNXTDZ($A$1,$B48,O$5)</f>
        <v>74.05</v>
      </c>
      <c r="P48" s="55">
        <f>_xll.EQNXTDZ($A$1,$B48,P$5)</f>
        <v>65.05</v>
      </c>
      <c r="Q48" s="55">
        <f>_xll.EQNXTDZ($A$1,$B48,Q$5)</f>
        <v>67.900000000000006</v>
      </c>
      <c r="R48" s="55">
        <f>_xll.EQNXTDZ($A$1,$B48,R$5)</f>
        <v>64.650000000000006</v>
      </c>
      <c r="S48" s="55">
        <f>_xll.EQNXTDZ($A$1,$B48,S$5)</f>
        <v>73.45</v>
      </c>
      <c r="T48" s="55">
        <f>_xll.EQNXTDZ($A$1,$B48,T$5)</f>
        <v>75.3</v>
      </c>
      <c r="U48" s="55">
        <f>_xll.EQNXTDZ($A$1,$B48,U$5)</f>
        <v>75.7</v>
      </c>
      <c r="V48" s="55">
        <f>_xll.EQNXTDZ($A$1,$B48,V$5)</f>
        <v>90.5</v>
      </c>
      <c r="W48" s="55">
        <f>_xll.EQNXTDZ($A$1,$B48,W$5)</f>
        <v>80.55</v>
      </c>
      <c r="X48" s="55">
        <f>_xll.EQNXTDZ($A$1,$B48,X$5)</f>
        <v>77.75</v>
      </c>
      <c r="Y48" s="55">
        <f>_xll.EQNXTDZ($A$1,$B48,Y$5)</f>
        <v>93.85</v>
      </c>
      <c r="Z48" s="55">
        <f>_xll.EQNXTDZ($A$1,$B48,Z$5)</f>
        <v>79.349999999999994</v>
      </c>
      <c r="AA48" s="55">
        <f>_xll.EQNXTDZ($A$1,$B48,AA$5)</f>
        <v>73.05</v>
      </c>
      <c r="AB48" s="55">
        <f>_xll.EQNXTDZ($A$1,$B48,AB$5)</f>
        <v>65.95</v>
      </c>
      <c r="AC48" s="55">
        <f>_xll.EQNXTDZ($A$1,$B48,AC$5)</f>
        <v>76.75</v>
      </c>
      <c r="AD48" s="55">
        <f>_xll.EQNXTDZ($A$1,$B48,AD$5)</f>
        <v>73.8</v>
      </c>
      <c r="AE48" s="55">
        <f>_xll.EQNXTDZ($A$1,$B48,AE$5)</f>
        <v>69</v>
      </c>
      <c r="AF48" s="55">
        <f>_xll.EQNXTDZ($A$1,$B48,AF$5)</f>
        <v>62.5</v>
      </c>
      <c r="AG48" s="55">
        <f>_xll.EQNXTDZ($A$1,$B48,AG$5)</f>
        <v>56.5</v>
      </c>
      <c r="AH48" s="55">
        <f>_xll.EQNXTDZ($A$1,$B48,AH$5)</f>
        <v>32.85</v>
      </c>
      <c r="AI48" s="55">
        <f>_xll.EQNXTDZ($A$1,$B48,AI$5)</f>
        <v>44.9</v>
      </c>
      <c r="AJ48" s="55">
        <f>_xll.EQNXTDZ($A$1,$B48,AJ$5)</f>
        <v>53.15</v>
      </c>
      <c r="AK48" s="55">
        <f>_xll.EQNXTDZ($A$1,$B48,AK$5)</f>
        <v>75.650000000000006</v>
      </c>
      <c r="AL48" s="55">
        <f>_xll.EQNXTDZ($A$1,$B48,AL$5)</f>
        <v>103.2</v>
      </c>
      <c r="AM48" s="55">
        <f>_xll.EQNXTDZ($A$1,$B48,AM$5)</f>
        <v>122.1</v>
      </c>
      <c r="AN48" s="55">
        <f>_xll.EQNXTDZ($A$1,$B48,AN$5)</f>
        <v>158.69999999999999</v>
      </c>
      <c r="AO48" s="55">
        <f>_xll.EQNXTDZ($A$1,$B48,AO$5)</f>
        <v>220.9</v>
      </c>
      <c r="AP48" s="55">
        <f>_xll.EQNXTDZ($A$1,$B48,AP$5)</f>
        <v>238.85</v>
      </c>
      <c r="AQ48" s="55">
        <f>_xll.EQNXTDZ($A$1,$B48,AQ$5)</f>
        <v>202.35</v>
      </c>
      <c r="AR48" s="55">
        <f>_xll.EQNXTDZ($A$1,$B48,AR$5)</f>
        <v>216.5</v>
      </c>
      <c r="AS48" s="55">
        <f>_xll.EQNXTDZ($A$1,$B48,AS$5)</f>
        <v>207.7</v>
      </c>
      <c r="AT48" s="55">
        <f>_xll.EQNXTDZ($A$1,$B48,AT$5)</f>
        <v>190.2</v>
      </c>
      <c r="AU48" s="55">
        <f>_xll.EQNXTDZ($A$1,$B48,AU$5)</f>
        <v>221.8</v>
      </c>
      <c r="AV48" s="55">
        <f>_xll.EQNXTDZ($A$1,$B48,AV$5)</f>
        <v>262.2</v>
      </c>
      <c r="AW48" s="55">
        <f>_xll.EQNXTDZ($A$1,$B48,AW$5)</f>
        <v>332.05</v>
      </c>
      <c r="AX48" s="55">
        <f>_xll.EQNXTDZ($A$1,$B48,AX$5)</f>
        <v>394.15</v>
      </c>
      <c r="AY48" s="55">
        <f>_xll.EQNXTDZ($A$1,$B48,AY$5)</f>
        <v>440.5</v>
      </c>
      <c r="AZ48" s="55">
        <f>_xll.EQNXTDZ($A$1,$B48,AZ$5)</f>
        <v>482.7</v>
      </c>
      <c r="BA48" s="55">
        <f>_xll.EQNXTDZ($A$1,$B48,BA$5)</f>
        <v>392.4</v>
      </c>
      <c r="BB48" s="55">
        <f>_xll.EQNXTDZ($A$1,$B48,BB$5)</f>
        <v>375.4</v>
      </c>
      <c r="BC48" s="55">
        <f>_xll.EQNXTDZ($A$1,$B48,BC$5)</f>
        <v>405.6</v>
      </c>
      <c r="BD48" s="55">
        <f>_xll.EQNXTDZ($A$1,$B48,BD$5)</f>
        <v>388.75</v>
      </c>
      <c r="BE48" s="55">
        <f>_xll.EQNXTDZ($A$1,$B48,BE$5)</f>
        <v>379.55</v>
      </c>
      <c r="BF48" s="55">
        <f>_xll.EQNXTDZ($A$1,$B48,BF$5)</f>
        <v>378.7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31.75</v>
      </c>
      <c r="D49" s="55">
        <f>_xll.EQNXTDZ($A$1,$B49,D$5)</f>
        <v>31.75</v>
      </c>
      <c r="E49" s="55">
        <f>_xll.EQNXTDZ($A$1,$B49,E$5)</f>
        <v>31.75</v>
      </c>
      <c r="F49" s="55">
        <f>_xll.EQNXTDZ($A$1,$B49,F$5)</f>
        <v>32.47</v>
      </c>
      <c r="G49" s="55">
        <f>_xll.EQNXTDZ($A$1,$B49,G$5)</f>
        <v>32.47</v>
      </c>
      <c r="H49" s="55">
        <f>_xll.EQNXTDZ($A$1,$B49,H$5)</f>
        <v>32.47</v>
      </c>
      <c r="I49" s="55">
        <f>_xll.EQNXTDZ($A$1,$B49,I$5)</f>
        <v>32.47</v>
      </c>
      <c r="J49" s="55">
        <f>_xll.EQNXTDZ($A$1,$B49,J$5)</f>
        <v>32.47</v>
      </c>
      <c r="K49" s="55">
        <f>_xll.EQNXTDZ($A$1,$B49,K$5)</f>
        <v>33.04</v>
      </c>
      <c r="L49" s="55">
        <f>_xll.EQNXTDZ($A$1,$B49,L$5)</f>
        <v>33.04</v>
      </c>
      <c r="M49" s="55">
        <f>_xll.EQNXTDZ($A$1,$B49,M$5)</f>
        <v>33.04</v>
      </c>
      <c r="N49" s="55">
        <f>_xll.EQNXTDZ($A$1,$B49,N$5)</f>
        <v>33.020000000000003</v>
      </c>
      <c r="O49" s="55">
        <f>_xll.EQNXTDZ($A$1,$B49,O$5)</f>
        <v>33.020000000000003</v>
      </c>
      <c r="P49" s="55">
        <f>_xll.EQNXTDZ($A$1,$B49,P$5)</f>
        <v>33.020000000000003</v>
      </c>
      <c r="Q49" s="55">
        <f>_xll.EQNXTDZ($A$1,$B49,Q$5)</f>
        <v>33.020000000000003</v>
      </c>
      <c r="R49" s="55">
        <f>_xll.EQNXTDZ($A$1,$B49,R$5)</f>
        <v>33.020000000000003</v>
      </c>
      <c r="S49" s="55">
        <f>_xll.EQNXTDZ($A$1,$B49,S$5)</f>
        <v>33.020000000000003</v>
      </c>
      <c r="T49" s="55">
        <f>_xll.EQNXTDZ($A$1,$B49,T$5)</f>
        <v>33.020000000000003</v>
      </c>
      <c r="U49" s="55">
        <f>_xll.EQNXTDZ($A$1,$B49,U$5)</f>
        <v>33.020000000000003</v>
      </c>
      <c r="V49" s="55">
        <f>_xll.EQNXTDZ($A$1,$B49,V$5)</f>
        <v>33.020000000000003</v>
      </c>
      <c r="W49" s="55">
        <f>_xll.EQNXTDZ($A$1,$B49,W$5)</f>
        <v>33.020000000000003</v>
      </c>
      <c r="X49" s="55">
        <f>_xll.EQNXTDZ($A$1,$B49,X$5)</f>
        <v>33.020000000000003</v>
      </c>
      <c r="Y49" s="55">
        <f>_xll.EQNXTDZ($A$1,$B49,Y$5)</f>
        <v>33.020000000000003</v>
      </c>
      <c r="Z49" s="55">
        <f>_xll.EQNXTDZ($A$1,$B49,Z$5)</f>
        <v>33.020000000000003</v>
      </c>
      <c r="AA49" s="55">
        <f>_xll.EQNXTDZ($A$1,$B49,AA$5)</f>
        <v>33</v>
      </c>
      <c r="AB49" s="55">
        <f>_xll.EQNXTDZ($A$1,$B49,AB$5)</f>
        <v>33</v>
      </c>
      <c r="AC49" s="55">
        <f>_xll.EQNXTDZ($A$1,$B49,AC$5)</f>
        <v>33</v>
      </c>
      <c r="AD49" s="55">
        <f>_xll.EQNXTDZ($A$1,$B49,AD$5)</f>
        <v>33</v>
      </c>
      <c r="AE49" s="55">
        <f>_xll.EQNXTDZ($A$1,$B49,AE$5)</f>
        <v>33</v>
      </c>
      <c r="AF49" s="55">
        <f>_xll.EQNXTDZ($A$1,$B49,AF$5)</f>
        <v>36.21</v>
      </c>
      <c r="AG49" s="55">
        <f>_xll.EQNXTDZ($A$1,$B49,AG$5)</f>
        <v>36.21</v>
      </c>
      <c r="AH49" s="55">
        <f>_xll.EQNXTDZ($A$1,$B49,AH$5)</f>
        <v>37.22</v>
      </c>
      <c r="AI49" s="55">
        <f>_xll.EQNXTDZ($A$1,$B49,AI$5)</f>
        <v>37.22</v>
      </c>
      <c r="AJ49" s="55">
        <f>_xll.EQNXTDZ($A$1,$B49,AJ$5)</f>
        <v>46.86</v>
      </c>
      <c r="AK49" s="55">
        <f>_xll.EQNXTDZ($A$1,$B49,AK$5)</f>
        <v>46.86</v>
      </c>
      <c r="AL49" s="55">
        <f>_xll.EQNXTDZ($A$1,$B49,AL$5)</f>
        <v>46.86</v>
      </c>
      <c r="AM49" s="55">
        <f>_xll.EQNXTDZ($A$1,$B49,AM$5)</f>
        <v>46.86</v>
      </c>
      <c r="AN49" s="55">
        <f>_xll.EQNXTDZ($A$1,$B49,AN$5)</f>
        <v>46.86</v>
      </c>
      <c r="AO49" s="55">
        <f>_xll.EQNXTDZ($A$1,$B49,AO$5)</f>
        <v>46.86</v>
      </c>
      <c r="AP49" s="55">
        <f>_xll.EQNXTDZ($A$1,$B49,AP$5)</f>
        <v>46.86</v>
      </c>
      <c r="AQ49" s="55">
        <f>_xll.EQNXTDZ($A$1,$B49,AQ$5)</f>
        <v>46.86</v>
      </c>
      <c r="AR49" s="55">
        <f>_xll.EQNXTDZ($A$1,$B49,AR$5)</f>
        <v>46.86</v>
      </c>
      <c r="AS49" s="55">
        <f>_xll.EQNXTDZ($A$1,$B49,AS$5)</f>
        <v>46.86</v>
      </c>
      <c r="AT49" s="55">
        <f>_xll.EQNXTDZ($A$1,$B49,AT$5)</f>
        <v>46.86</v>
      </c>
      <c r="AU49" s="55">
        <f>_xll.EQNXTDZ($A$1,$B49,AU$5)</f>
        <v>46.86</v>
      </c>
      <c r="AV49" s="55">
        <f>_xll.EQNXTDZ($A$1,$B49,AV$5)</f>
        <v>46.86</v>
      </c>
      <c r="AW49" s="55">
        <f>_xll.EQNXTDZ($A$1,$B49,AW$5)</f>
        <v>46.86</v>
      </c>
      <c r="AX49" s="55">
        <f>_xll.EQNXTDZ($A$1,$B49,AX$5)</f>
        <v>46.86</v>
      </c>
      <c r="AY49" s="55">
        <f>_xll.EQNXTDZ($A$1,$B49,AY$5)</f>
        <v>46.86</v>
      </c>
      <c r="AZ49" s="55">
        <f>_xll.EQNXTDZ($A$1,$B49,AZ$5)</f>
        <v>46.86</v>
      </c>
      <c r="BA49" s="55">
        <f>_xll.EQNXTDZ($A$1,$B49,BA$5)</f>
        <v>46.86</v>
      </c>
      <c r="BB49" s="55">
        <f>_xll.EQNXTDZ($A$1,$B49,BB$5)</f>
        <v>46.86</v>
      </c>
      <c r="BC49" s="55">
        <f>_xll.EQNXTDZ($A$1,$B49,BC$5)</f>
        <v>46.86</v>
      </c>
      <c r="BD49" s="55">
        <f>_xll.EQNXTDZ($A$1,$B49,BD$5)</f>
        <v>46.86</v>
      </c>
      <c r="BE49" s="55">
        <f>_xll.EQNXTDZ($A$1,$B49,BE$5)</f>
        <v>46.86</v>
      </c>
      <c r="BF49" s="55">
        <f>_xll.EQNXTDZ($A$1,$B49,BF$5)</f>
        <v>46.86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6.91</v>
      </c>
      <c r="D50" s="55">
        <f>_xll.EQNXTDZ($A$1,$B50,D$5)</f>
        <v>6.91</v>
      </c>
      <c r="E50" s="55">
        <f>_xll.EQNXTDZ($A$1,$B50,E$5)</f>
        <v>6.91</v>
      </c>
      <c r="F50" s="55">
        <f>_xll.EQNXTDZ($A$1,$B50,F$5)</f>
        <v>6.76</v>
      </c>
      <c r="G50" s="55">
        <f>_xll.EQNXTDZ($A$1,$B50,G$5)</f>
        <v>4.59</v>
      </c>
      <c r="H50" s="55">
        <f>_xll.EQNXTDZ($A$1,$B50,H$5)</f>
        <v>4.59</v>
      </c>
      <c r="I50" s="55">
        <f>_xll.EQNXTDZ($A$1,$B50,I$5)</f>
        <v>4.59</v>
      </c>
      <c r="J50" s="55">
        <f>_xll.EQNXTDZ($A$1,$B50,J$5)</f>
        <v>4.59</v>
      </c>
      <c r="K50" s="55">
        <f>_xll.EQNXTDZ($A$1,$B50,K$5)</f>
        <v>6.66</v>
      </c>
      <c r="L50" s="55">
        <f>_xll.EQNXTDZ($A$1,$B50,L$5)</f>
        <v>5.0999999999999996</v>
      </c>
      <c r="M50" s="55">
        <f>_xll.EQNXTDZ($A$1,$B50,M$5)</f>
        <v>5.0999999999999996</v>
      </c>
      <c r="N50" s="55">
        <f>_xll.EQNXTDZ($A$1,$B50,N$5)</f>
        <v>5.0999999999999996</v>
      </c>
      <c r="O50" s="55">
        <f>_xll.EQNXTDZ($A$1,$B50,O$5)</f>
        <v>5.0999999999999996</v>
      </c>
      <c r="P50" s="55">
        <f>_xll.EQNXTDZ($A$1,$B50,P$5)</f>
        <v>5.0999999999999996</v>
      </c>
      <c r="Q50" s="55">
        <f>_xll.EQNXTDZ($A$1,$B50,Q$5)</f>
        <v>5.0999999999999996</v>
      </c>
      <c r="R50" s="55">
        <f>_xll.EQNXTDZ($A$1,$B50,R$5)</f>
        <v>5.0999999999999996</v>
      </c>
      <c r="S50" s="55">
        <f>_xll.EQNXTDZ($A$1,$B50,S$5)</f>
        <v>5.0999999999999996</v>
      </c>
      <c r="T50" s="55">
        <f>_xll.EQNXTDZ($A$1,$B50,T$5)</f>
        <v>5.0999999999999996</v>
      </c>
      <c r="U50" s="55">
        <f>_xll.EQNXTDZ($A$1,$B50,U$5)</f>
        <v>5.0999999999999996</v>
      </c>
      <c r="V50" s="55">
        <f>_xll.EQNXTDZ($A$1,$B50,V$5)</f>
        <v>4.34</v>
      </c>
      <c r="W50" s="55">
        <f>_xll.EQNXTDZ($A$1,$B50,W$5)</f>
        <v>4.34</v>
      </c>
      <c r="X50" s="55">
        <f>_xll.EQNXTDZ($A$1,$B50,X$5)</f>
        <v>4.34</v>
      </c>
      <c r="Y50" s="55">
        <f>_xll.EQNXTDZ($A$1,$B50,Y$5)</f>
        <v>4.34</v>
      </c>
      <c r="Z50" s="55">
        <f>_xll.EQNXTDZ($A$1,$B50,Z$5)</f>
        <v>4.34</v>
      </c>
      <c r="AA50" s="55">
        <f>_xll.EQNXTDZ($A$1,$B50,AA$5)</f>
        <v>4.34</v>
      </c>
      <c r="AB50" s="55">
        <f>_xll.EQNXTDZ($A$1,$B50,AB$5)</f>
        <v>4.34</v>
      </c>
      <c r="AC50" s="55">
        <f>_xll.EQNXTDZ($A$1,$B50,AC$5)</f>
        <v>4.34</v>
      </c>
      <c r="AD50" s="55">
        <f>_xll.EQNXTDZ($A$1,$B50,AD$5)</f>
        <v>4.34</v>
      </c>
      <c r="AE50" s="55">
        <f>_xll.EQNXTDZ($A$1,$B50,AE$5)</f>
        <v>4.34</v>
      </c>
      <c r="AF50" s="55">
        <f>_xll.EQNXTDZ($A$1,$B50,AF$5)</f>
        <v>3.96</v>
      </c>
      <c r="AG50" s="55">
        <f>_xll.EQNXTDZ($A$1,$B50,AG$5)</f>
        <v>3.96</v>
      </c>
      <c r="AH50" s="55">
        <f>_xll.EQNXTDZ($A$1,$B50,AH$5)</f>
        <v>3.85</v>
      </c>
      <c r="AI50" s="55">
        <f>_xll.EQNXTDZ($A$1,$B50,AI$5)</f>
        <v>3.85</v>
      </c>
      <c r="AJ50" s="55">
        <f>_xll.EQNXTDZ($A$1,$B50,AJ$5)</f>
        <v>2.59</v>
      </c>
      <c r="AK50" s="55">
        <f>_xll.EQNXTDZ($A$1,$B50,AK$5)</f>
        <v>2.59</v>
      </c>
      <c r="AL50" s="55">
        <f>_xll.EQNXTDZ($A$1,$B50,AL$5)</f>
        <v>1.4</v>
      </c>
      <c r="AM50" s="55">
        <f>_xll.EQNXTDZ($A$1,$B50,AM$5)</f>
        <v>1.4</v>
      </c>
      <c r="AN50" s="55">
        <f>_xll.EQNXTDZ($A$1,$B50,AN$5)</f>
        <v>1.4</v>
      </c>
      <c r="AO50" s="55">
        <f>_xll.EQNXTDZ($A$1,$B50,AO$5)</f>
        <v>1.4</v>
      </c>
      <c r="AP50" s="55">
        <f>_xll.EQNXTDZ($A$1,$B50,AP$5)</f>
        <v>1.4</v>
      </c>
      <c r="AQ50" s="55">
        <f>_xll.EQNXTDZ($A$1,$B50,AQ$5)</f>
        <v>1.4</v>
      </c>
      <c r="AR50" s="55">
        <f>_xll.EQNXTDZ($A$1,$B50,AR$5)</f>
        <v>1.4</v>
      </c>
      <c r="AS50" s="55">
        <f>_xll.EQNXTDZ($A$1,$B50,AS$5)</f>
        <v>1.4</v>
      </c>
      <c r="AT50" s="55">
        <f>_xll.EQNXTDZ($A$1,$B50,AT$5)</f>
        <v>1.4</v>
      </c>
      <c r="AU50" s="55">
        <f>_xll.EQNXTDZ($A$1,$B50,AU$5)</f>
        <v>1.4</v>
      </c>
      <c r="AV50" s="55">
        <f>_xll.EQNXTDZ($A$1,$B50,AV$5)</f>
        <v>1.4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237.33</v>
      </c>
      <c r="E56" s="55">
        <f>_xll.EQNXTDZ($A$1,$B56,E$5,$B$1)</f>
        <v>0</v>
      </c>
      <c r="F56" s="55">
        <f>_xll.EQNXTDZ($A$1,$B56,F$5,$B$1)</f>
        <v>237.29</v>
      </c>
      <c r="G56" s="55">
        <f>_xll.EQNXTDZ($A$1,$B56,G$5,$B$1)</f>
        <v>0</v>
      </c>
      <c r="H56" s="55">
        <f>_xll.EQNXTDZ($A$1,$B56,H$5,$B$1)</f>
        <v>237.29</v>
      </c>
      <c r="I56" s="55">
        <f>_xll.EQNXTDZ($A$1,$B56,I$5,$B$1)</f>
        <v>0</v>
      </c>
      <c r="J56" s="55">
        <f>_xll.EQNXTDZ($A$1,$B56,J$5,$B$1)</f>
        <v>237.29</v>
      </c>
      <c r="K56" s="55">
        <f>_xll.EQNXTDZ($A$1,$B56,K$5,$B$1)</f>
        <v>0</v>
      </c>
      <c r="L56" s="55">
        <f>_xll.EQNXTDZ($A$1,$B56,L$5,$B$1)</f>
        <v>270.44</v>
      </c>
      <c r="M56" s="55">
        <f>_xll.EQNXTDZ($A$1,$B56,M$5,$B$1)</f>
        <v>0</v>
      </c>
      <c r="N56" s="55">
        <f>_xll.EQNXTDZ($A$1,$B56,N$5,$B$1)</f>
        <v>270.48</v>
      </c>
      <c r="O56" s="55">
        <f>_xll.EQNXTDZ($A$1,$B56,O$5,$B$1)</f>
        <v>0</v>
      </c>
      <c r="P56" s="55">
        <f>_xll.EQNXTDZ($A$1,$B56,P$5,$B$1)</f>
        <v>270.48</v>
      </c>
      <c r="Q56" s="55">
        <f>_xll.EQNXTDZ($A$1,$B56,Q$5,$B$1)</f>
        <v>0</v>
      </c>
      <c r="R56" s="55">
        <f>_xll.EQNXTDZ($A$1,$B56,R$5,$B$1)</f>
        <v>270.48</v>
      </c>
      <c r="S56" s="55">
        <f>_xll.EQNXTDZ($A$1,$B56,S$5,$B$1)</f>
        <v>0</v>
      </c>
      <c r="T56" s="55">
        <f>_xll.EQNXTDZ($A$1,$B56,T$5,$B$1)</f>
        <v>270.48</v>
      </c>
      <c r="U56" s="55">
        <f>_xll.EQNXTDZ($A$1,$B56,U$5,$B$1)</f>
        <v>0</v>
      </c>
      <c r="V56" s="55">
        <f>_xll.EQNXTDZ($A$1,$B56,V$5,$B$1)</f>
        <v>270.5</v>
      </c>
      <c r="W56" s="55">
        <f>_xll.EQNXTDZ($A$1,$B56,W$5,$B$1)</f>
        <v>0</v>
      </c>
      <c r="X56" s="55">
        <f>_xll.EQNXTDZ($A$1,$B56,X$5,$B$1)</f>
        <v>270.5</v>
      </c>
      <c r="Y56" s="55">
        <f>_xll.EQNXTDZ($A$1,$B56,Y$5,$B$1)</f>
        <v>0</v>
      </c>
      <c r="Z56" s="55">
        <f>_xll.EQNXTDZ($A$1,$B56,Z$5,$B$1)</f>
        <v>270.5</v>
      </c>
      <c r="AA56" s="55">
        <f>_xll.EQNXTDZ($A$1,$B56,AA$5,$B$1)</f>
        <v>0</v>
      </c>
      <c r="AB56" s="55">
        <f>_xll.EQNXTDZ($A$1,$B56,AB$5,$B$1)</f>
        <v>270.5</v>
      </c>
      <c r="AC56" s="55">
        <f>_xll.EQNXTDZ($A$1,$B56,AC$5,$B$1)</f>
        <v>0</v>
      </c>
      <c r="AD56" s="55">
        <f>_xll.EQNXTDZ($A$1,$B56,AD$5,$B$1)</f>
        <v>270.5</v>
      </c>
      <c r="AE56" s="55">
        <f>_xll.EQNXTDZ($A$1,$B56,AE$5,$B$1)</f>
        <v>0</v>
      </c>
      <c r="AF56" s="55">
        <f>_xll.EQNXTDZ($A$1,$B56,AF$5,$B$1)</f>
        <v>270.5</v>
      </c>
      <c r="AG56" s="55">
        <f>_xll.EQNXTDZ($A$1,$B56,AG$5,$B$1)</f>
        <v>0</v>
      </c>
      <c r="AH56" s="55">
        <f>_xll.EQNXTDZ($A$1,$B56,AH$5,$B$1)</f>
        <v>270.5</v>
      </c>
      <c r="AI56" s="55">
        <f>_xll.EQNXTDZ($A$1,$B56,AI$5,$B$1)</f>
        <v>0</v>
      </c>
      <c r="AJ56" s="55">
        <f>_xll.EQNXTDZ($A$1,$B56,AJ$5,$B$1)</f>
        <v>319.56</v>
      </c>
      <c r="AK56" s="55">
        <f>_xll.EQNXTDZ($A$1,$B56,AK$5,$B$1)</f>
        <v>0</v>
      </c>
      <c r="AL56" s="55">
        <f>_xll.EQNXTDZ($A$1,$B56,AL$5,$B$1)</f>
        <v>319.56</v>
      </c>
      <c r="AM56" s="55">
        <f>_xll.EQNXTDZ($A$1,$B56,AM$5,$B$1)</f>
        <v>0</v>
      </c>
      <c r="AN56" s="55">
        <f>_xll.EQNXTDZ($A$1,$B56,AN$5,$B$1)</f>
        <v>319.56</v>
      </c>
      <c r="AO56" s="55">
        <f>_xll.EQNXTDZ($A$1,$B56,AO$5,$B$1)</f>
        <v>0</v>
      </c>
      <c r="AP56" s="55">
        <f>_xll.EQNXTDZ($A$1,$B56,AP$5,$B$1)</f>
        <v>319.56</v>
      </c>
      <c r="AQ56" s="55">
        <f>_xll.EQNXTDZ($A$1,$B56,AQ$5,$B$1)</f>
        <v>0</v>
      </c>
      <c r="AR56" s="55">
        <f>_xll.EQNXTDZ($A$1,$B56,AR$5,$B$1)</f>
        <v>319.56</v>
      </c>
      <c r="AS56" s="55">
        <f>_xll.EQNXTDZ($A$1,$B56,AS$5,$B$1)</f>
        <v>0</v>
      </c>
      <c r="AT56" s="55">
        <f>_xll.EQNXTDZ($A$1,$B56,AT$5,$B$1)</f>
        <v>319.56</v>
      </c>
      <c r="AU56" s="55">
        <f>_xll.EQNXTDZ($A$1,$B56,AU$5,$B$1)</f>
        <v>0</v>
      </c>
      <c r="AV56" s="55">
        <f>_xll.EQNXTDZ($A$1,$B56,AV$5,$B$1)</f>
        <v>319.56</v>
      </c>
      <c r="AW56" s="55">
        <f>_xll.EQNXTDZ($A$1,$B56,AW$5,$B$1)</f>
        <v>0</v>
      </c>
      <c r="AX56" s="55">
        <f>_xll.EQNXTDZ($A$1,$B56,AX$5,$B$1)</f>
        <v>319.56</v>
      </c>
      <c r="AY56" s="55">
        <f>_xll.EQNXTDZ($A$1,$B56,AY$5,$B$1)</f>
        <v>0</v>
      </c>
      <c r="AZ56" s="55">
        <f>_xll.EQNXTDZ($A$1,$B56,AZ$5,$B$1)</f>
        <v>319.56</v>
      </c>
      <c r="BA56" s="55">
        <f>_xll.EQNXTDZ($A$1,$B56,BA$5,$B$1)</f>
        <v>0</v>
      </c>
      <c r="BB56" s="55">
        <f>_xll.EQNXTDZ($A$1,$B56,BB$5,$B$1)</f>
        <v>319.56</v>
      </c>
      <c r="BC56" s="55">
        <f>_xll.EQNXTDZ($A$1,$B56,BC$5,$B$1)</f>
        <v>0</v>
      </c>
      <c r="BD56" s="55">
        <f>_xll.EQNXTDZ($A$1,$B56,BD$5,$B$1)</f>
        <v>319.56</v>
      </c>
      <c r="BE56" s="55">
        <f>_xll.EQNXTDZ($A$1,$B56,BE$5,$B$1)</f>
        <v>0</v>
      </c>
      <c r="BF56" s="55">
        <f>_xll.EQNXTDZ($A$1,$B56,BF$5,$B$1)</f>
        <v>319.56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0.86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12164.02</v>
      </c>
      <c r="E58" s="55">
        <f>_xll.EQNXTDZ($A$1,$B58,E$5,$B$1)</f>
        <v>0</v>
      </c>
      <c r="F58" s="55">
        <f>_xll.EQNXTDZ($A$1,$B58,F$5,$B$1)</f>
        <v>12098.5</v>
      </c>
      <c r="G58" s="55">
        <f>_xll.EQNXTDZ($A$1,$B58,G$5,$B$1)</f>
        <v>0</v>
      </c>
      <c r="H58" s="55">
        <f>_xll.EQNXTDZ($A$1,$B58,H$5,$B$1)</f>
        <v>12811.78</v>
      </c>
      <c r="I58" s="55">
        <f>_xll.EQNXTDZ($A$1,$B58,I$5,$B$1)</f>
        <v>0</v>
      </c>
      <c r="J58" s="55">
        <f>_xll.EQNXTDZ($A$1,$B58,J$5,$B$1)</f>
        <v>12163.78</v>
      </c>
      <c r="K58" s="55">
        <f>_xll.EQNXTDZ($A$1,$B58,K$5,$B$1)</f>
        <v>0</v>
      </c>
      <c r="L58" s="55">
        <f>_xll.EQNXTDZ($A$1,$B58,L$5,$B$1)</f>
        <v>12375.68</v>
      </c>
      <c r="M58" s="55">
        <f>_xll.EQNXTDZ($A$1,$B58,M$5,$B$1)</f>
        <v>0</v>
      </c>
      <c r="N58" s="55">
        <f>_xll.EQNXTDZ($A$1,$B58,N$5,$B$1)</f>
        <v>14048.41</v>
      </c>
      <c r="O58" s="55">
        <f>_xll.EQNXTDZ($A$1,$B58,O$5,$B$1)</f>
        <v>0</v>
      </c>
      <c r="P58" s="55">
        <f>_xll.EQNXTDZ($A$1,$B58,P$5,$B$1)</f>
        <v>14675.4</v>
      </c>
      <c r="Q58" s="55">
        <f>_xll.EQNXTDZ($A$1,$B58,Q$5,$B$1)</f>
        <v>0</v>
      </c>
      <c r="R58" s="55">
        <f>_xll.EQNXTDZ($A$1,$B58,R$5,$B$1)</f>
        <v>12862.9</v>
      </c>
      <c r="S58" s="55">
        <f>_xll.EQNXTDZ($A$1,$B58,S$5,$B$1)</f>
        <v>0</v>
      </c>
      <c r="T58" s="55">
        <f>_xll.EQNXTDZ($A$1,$B58,T$5,$B$1)</f>
        <v>16179.96</v>
      </c>
      <c r="U58" s="55">
        <f>_xll.EQNXTDZ($A$1,$B58,U$5,$B$1)</f>
        <v>0</v>
      </c>
      <c r="V58" s="55">
        <f>_xll.EQNXTDZ($A$1,$B58,V$5,$B$1)</f>
        <v>14444.05</v>
      </c>
      <c r="W58" s="55">
        <f>_xll.EQNXTDZ($A$1,$B58,W$5,$B$1)</f>
        <v>0</v>
      </c>
      <c r="X58" s="55">
        <f>_xll.EQNXTDZ($A$1,$B58,X$5,$B$1)</f>
        <v>14180.93</v>
      </c>
      <c r="Y58" s="55">
        <f>_xll.EQNXTDZ($A$1,$B58,Y$5,$B$1)</f>
        <v>0</v>
      </c>
      <c r="Z58" s="55">
        <f>_xll.EQNXTDZ($A$1,$B58,Z$5,$B$1)</f>
        <v>16129.38</v>
      </c>
      <c r="AA58" s="55">
        <f>_xll.EQNXTDZ($A$1,$B58,AA$5,$B$1)</f>
        <v>0</v>
      </c>
      <c r="AB58" s="55">
        <f>_xll.EQNXTDZ($A$1,$B58,AB$5,$B$1)</f>
        <v>18255.57</v>
      </c>
      <c r="AC58" s="55">
        <f>_xll.EQNXTDZ($A$1,$B58,AC$5,$B$1)</f>
        <v>0</v>
      </c>
      <c r="AD58" s="55">
        <f>_xll.EQNXTDZ($A$1,$B58,AD$5,$B$1)</f>
        <v>18035.009999999998</v>
      </c>
      <c r="AE58" s="55">
        <f>_xll.EQNXTDZ($A$1,$B58,AE$5,$B$1)</f>
        <v>0</v>
      </c>
      <c r="AF58" s="55">
        <f>_xll.EQNXTDZ($A$1,$B58,AF$5,$B$1)</f>
        <v>18018.55</v>
      </c>
      <c r="AG58" s="55">
        <f>_xll.EQNXTDZ($A$1,$B58,AG$5,$B$1)</f>
        <v>0</v>
      </c>
      <c r="AH58" s="55">
        <f>_xll.EQNXTDZ($A$1,$B58,AH$5,$B$1)</f>
        <v>19295.52</v>
      </c>
      <c r="AI58" s="55">
        <f>_xll.EQNXTDZ($A$1,$B58,AI$5,$B$1)</f>
        <v>0</v>
      </c>
      <c r="AJ58" s="55">
        <f>_xll.EQNXTDZ($A$1,$B58,AJ$5,$B$1)</f>
        <v>21442.36</v>
      </c>
      <c r="AK58" s="55">
        <f>_xll.EQNXTDZ($A$1,$B58,AK$5,$B$1)</f>
        <v>0</v>
      </c>
      <c r="AL58" s="55">
        <f>_xll.EQNXTDZ($A$1,$B58,AL$5,$B$1)</f>
        <v>22002.7</v>
      </c>
      <c r="AM58" s="55">
        <f>_xll.EQNXTDZ($A$1,$B58,AM$5,$B$1)</f>
        <v>0</v>
      </c>
      <c r="AN58" s="55">
        <f>_xll.EQNXTDZ($A$1,$B58,AN$5,$B$1)</f>
        <v>20957.64</v>
      </c>
      <c r="AO58" s="55">
        <f>_xll.EQNXTDZ($A$1,$B58,AO$5,$B$1)</f>
        <v>0</v>
      </c>
      <c r="AP58" s="55">
        <f>_xll.EQNXTDZ($A$1,$B58,AP$5,$B$1)</f>
        <v>22122</v>
      </c>
      <c r="AQ58" s="55">
        <f>_xll.EQNXTDZ($A$1,$B58,AQ$5,$B$1)</f>
        <v>0</v>
      </c>
      <c r="AR58" s="55">
        <f>_xll.EQNXTDZ($A$1,$B58,AR$5,$B$1)</f>
        <v>25362.65</v>
      </c>
      <c r="AS58" s="55">
        <f>_xll.EQNXTDZ($A$1,$B58,AS$5,$B$1)</f>
        <v>0</v>
      </c>
      <c r="AT58" s="55">
        <f>_xll.EQNXTDZ($A$1,$B58,AT$5,$B$1)</f>
        <v>28467.87</v>
      </c>
      <c r="AU58" s="55">
        <f>_xll.EQNXTDZ($A$1,$B58,AU$5,$B$1)</f>
        <v>0</v>
      </c>
      <c r="AV58" s="55">
        <f>_xll.EQNXTDZ($A$1,$B58,AV$5,$B$1)</f>
        <v>29816.75</v>
      </c>
      <c r="AW58" s="55">
        <f>_xll.EQNXTDZ($A$1,$B58,AW$5,$B$1)</f>
        <v>0</v>
      </c>
      <c r="AX58" s="55">
        <f>_xll.EQNXTDZ($A$1,$B58,AX$5,$B$1)</f>
        <v>32035.73</v>
      </c>
      <c r="AY58" s="55">
        <f>_xll.EQNXTDZ($A$1,$B58,AY$5,$B$1)</f>
        <v>0</v>
      </c>
      <c r="AZ58" s="55">
        <f>_xll.EQNXTDZ($A$1,$B58,AZ$5,$B$1)</f>
        <v>33359.54</v>
      </c>
      <c r="BA58" s="55">
        <f>_xll.EQNXTDZ($A$1,$B58,BA$5,$B$1)</f>
        <v>0</v>
      </c>
      <c r="BB58" s="55">
        <f>_xll.EQNXTDZ($A$1,$B58,BB$5,$B$1)</f>
        <v>35521.11</v>
      </c>
      <c r="BC58" s="55">
        <f>_xll.EQNXTDZ($A$1,$B58,BC$5,$B$1)</f>
        <v>0</v>
      </c>
      <c r="BD58" s="55">
        <f>_xll.EQNXTDZ($A$1,$B58,BD$5,$B$1)</f>
        <v>37369.97</v>
      </c>
      <c r="BE58" s="55">
        <f>_xll.EQNXTDZ($A$1,$B58,BE$5,$B$1)</f>
        <v>0</v>
      </c>
      <c r="BF58" s="55">
        <f>_xll.EQNXTDZ($A$1,$B58,BF$5,$B$1)</f>
        <v>39147.65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12401.35</v>
      </c>
      <c r="E59" s="55">
        <f>_xll.EQNXTDZ($A$1,$B59,E$5,$B$1)</f>
        <v>0</v>
      </c>
      <c r="F59" s="55">
        <f>_xll.EQNXTDZ($A$1,$B59,F$5,$B$1)</f>
        <v>12335.79</v>
      </c>
      <c r="G59" s="55">
        <f>_xll.EQNXTDZ($A$1,$B59,G$5,$B$1)</f>
        <v>0</v>
      </c>
      <c r="H59" s="55">
        <f>_xll.EQNXTDZ($A$1,$B59,H$5,$B$1)</f>
        <v>13049.07</v>
      </c>
      <c r="I59" s="55">
        <f>_xll.EQNXTDZ($A$1,$B59,I$5,$B$1)</f>
        <v>0</v>
      </c>
      <c r="J59" s="55">
        <f>_xll.EQNXTDZ($A$1,$B59,J$5,$B$1)</f>
        <v>12401.07</v>
      </c>
      <c r="K59" s="55">
        <f>_xll.EQNXTDZ($A$1,$B59,K$5,$B$1)</f>
        <v>0</v>
      </c>
      <c r="L59" s="55">
        <f>_xll.EQNXTDZ($A$1,$B59,L$5,$B$1)</f>
        <v>12646.12</v>
      </c>
      <c r="M59" s="55">
        <f>_xll.EQNXTDZ($A$1,$B59,M$5,$B$1)</f>
        <v>0</v>
      </c>
      <c r="N59" s="55">
        <f>_xll.EQNXTDZ($A$1,$B59,N$5,$B$1)</f>
        <v>14318.89</v>
      </c>
      <c r="O59" s="55">
        <f>_xll.EQNXTDZ($A$1,$B59,O$5,$B$1)</f>
        <v>0</v>
      </c>
      <c r="P59" s="55">
        <f>_xll.EQNXTDZ($A$1,$B59,P$5,$B$1)</f>
        <v>14945.88</v>
      </c>
      <c r="Q59" s="55">
        <f>_xll.EQNXTDZ($A$1,$B59,Q$5,$B$1)</f>
        <v>0</v>
      </c>
      <c r="R59" s="55">
        <f>_xll.EQNXTDZ($A$1,$B59,R$5,$B$1)</f>
        <v>13133.38</v>
      </c>
      <c r="S59" s="55">
        <f>_xll.EQNXTDZ($A$1,$B59,S$5,$B$1)</f>
        <v>0</v>
      </c>
      <c r="T59" s="55">
        <f>_xll.EQNXTDZ($A$1,$B59,T$5,$B$1)</f>
        <v>16451.3</v>
      </c>
      <c r="U59" s="55">
        <f>_xll.EQNXTDZ($A$1,$B59,U$5,$B$1)</f>
        <v>0</v>
      </c>
      <c r="V59" s="55">
        <f>_xll.EQNXTDZ($A$1,$B59,V$5,$B$1)</f>
        <v>14714.55</v>
      </c>
      <c r="W59" s="55">
        <f>_xll.EQNXTDZ($A$1,$B59,W$5,$B$1)</f>
        <v>0</v>
      </c>
      <c r="X59" s="55">
        <f>_xll.EQNXTDZ($A$1,$B59,X$5,$B$1)</f>
        <v>14451.43</v>
      </c>
      <c r="Y59" s="55">
        <f>_xll.EQNXTDZ($A$1,$B59,Y$5,$B$1)</f>
        <v>0</v>
      </c>
      <c r="Z59" s="55">
        <f>_xll.EQNXTDZ($A$1,$B59,Z$5,$B$1)</f>
        <v>16399.88</v>
      </c>
      <c r="AA59" s="55">
        <f>_xll.EQNXTDZ($A$1,$B59,AA$5,$B$1)</f>
        <v>0</v>
      </c>
      <c r="AB59" s="55">
        <f>_xll.EQNXTDZ($A$1,$B59,AB$5,$B$1)</f>
        <v>18526.07</v>
      </c>
      <c r="AC59" s="55">
        <f>_xll.EQNXTDZ($A$1,$B59,AC$5,$B$1)</f>
        <v>0</v>
      </c>
      <c r="AD59" s="55">
        <f>_xll.EQNXTDZ($A$1,$B59,AD$5,$B$1)</f>
        <v>18305.509999999998</v>
      </c>
      <c r="AE59" s="55">
        <f>_xll.EQNXTDZ($A$1,$B59,AE$5,$B$1)</f>
        <v>0</v>
      </c>
      <c r="AF59" s="55">
        <f>_xll.EQNXTDZ($A$1,$B59,AF$5,$B$1)</f>
        <v>18289.05</v>
      </c>
      <c r="AG59" s="55">
        <f>_xll.EQNXTDZ($A$1,$B59,AG$5,$B$1)</f>
        <v>0</v>
      </c>
      <c r="AH59" s="55">
        <f>_xll.EQNXTDZ($A$1,$B59,AH$5,$B$1)</f>
        <v>19566.02</v>
      </c>
      <c r="AI59" s="55">
        <f>_xll.EQNXTDZ($A$1,$B59,AI$5,$B$1)</f>
        <v>0</v>
      </c>
      <c r="AJ59" s="55">
        <f>_xll.EQNXTDZ($A$1,$B59,AJ$5,$B$1)</f>
        <v>21761.919999999998</v>
      </c>
      <c r="AK59" s="55">
        <f>_xll.EQNXTDZ($A$1,$B59,AK$5,$B$1)</f>
        <v>0</v>
      </c>
      <c r="AL59" s="55">
        <f>_xll.EQNXTDZ($A$1,$B59,AL$5,$B$1)</f>
        <v>22322.26</v>
      </c>
      <c r="AM59" s="55">
        <f>_xll.EQNXTDZ($A$1,$B59,AM$5,$B$1)</f>
        <v>0</v>
      </c>
      <c r="AN59" s="55">
        <f>_xll.EQNXTDZ($A$1,$B59,AN$5,$B$1)</f>
        <v>21277.200000000001</v>
      </c>
      <c r="AO59" s="55">
        <f>_xll.EQNXTDZ($A$1,$B59,AO$5,$B$1)</f>
        <v>0</v>
      </c>
      <c r="AP59" s="55">
        <f>_xll.EQNXTDZ($A$1,$B59,AP$5,$B$1)</f>
        <v>22441.56</v>
      </c>
      <c r="AQ59" s="55">
        <f>_xll.EQNXTDZ($A$1,$B59,AQ$5,$B$1)</f>
        <v>0</v>
      </c>
      <c r="AR59" s="55">
        <f>_xll.EQNXTDZ($A$1,$B59,AR$5,$B$1)</f>
        <v>25682.21</v>
      </c>
      <c r="AS59" s="55">
        <f>_xll.EQNXTDZ($A$1,$B59,AS$5,$B$1)</f>
        <v>0</v>
      </c>
      <c r="AT59" s="55">
        <f>_xll.EQNXTDZ($A$1,$B59,AT$5,$B$1)</f>
        <v>28787.43</v>
      </c>
      <c r="AU59" s="55">
        <f>_xll.EQNXTDZ($A$1,$B59,AU$5,$B$1)</f>
        <v>0</v>
      </c>
      <c r="AV59" s="55">
        <f>_xll.EQNXTDZ($A$1,$B59,AV$5,$B$1)</f>
        <v>30136.31</v>
      </c>
      <c r="AW59" s="55">
        <f>_xll.EQNXTDZ($A$1,$B59,AW$5,$B$1)</f>
        <v>0</v>
      </c>
      <c r="AX59" s="55">
        <f>_xll.EQNXTDZ($A$1,$B59,AX$5,$B$1)</f>
        <v>32355.29</v>
      </c>
      <c r="AY59" s="55">
        <f>_xll.EQNXTDZ($A$1,$B59,AY$5,$B$1)</f>
        <v>0</v>
      </c>
      <c r="AZ59" s="55">
        <f>_xll.EQNXTDZ($A$1,$B59,AZ$5,$B$1)</f>
        <v>33679.1</v>
      </c>
      <c r="BA59" s="55">
        <f>_xll.EQNXTDZ($A$1,$B59,BA$5,$B$1)</f>
        <v>0</v>
      </c>
      <c r="BB59" s="55">
        <f>_xll.EQNXTDZ($A$1,$B59,BB$5,$B$1)</f>
        <v>35840.67</v>
      </c>
      <c r="BC59" s="55">
        <f>_xll.EQNXTDZ($A$1,$B59,BC$5,$B$1)</f>
        <v>0</v>
      </c>
      <c r="BD59" s="55">
        <f>_xll.EQNXTDZ($A$1,$B59,BD$5,$B$1)</f>
        <v>37689.53</v>
      </c>
      <c r="BE59" s="55">
        <f>_xll.EQNXTDZ($A$1,$B59,BE$5,$B$1)</f>
        <v>0</v>
      </c>
      <c r="BF59" s="55">
        <f>_xll.EQNXTDZ($A$1,$B59,BF$5,$B$1)</f>
        <v>39467.21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2064.6</v>
      </c>
      <c r="G60" s="55">
        <f>_xll.EQNXTDZ($A$1,$B60,G$5,$B$1)</f>
        <v>0</v>
      </c>
      <c r="H60" s="55">
        <f>_xll.EQNXTDZ($A$1,$B60,H$5,$B$1)</f>
        <v>2163.7800000000002</v>
      </c>
      <c r="I60" s="55">
        <f>_xll.EQNXTDZ($A$1,$B60,I$5,$B$1)</f>
        <v>0</v>
      </c>
      <c r="J60" s="55">
        <f>_xll.EQNXTDZ($A$1,$B60,J$5,$B$1)</f>
        <v>2273.31</v>
      </c>
      <c r="K60" s="55">
        <f>_xll.EQNXTDZ($A$1,$B60,K$5,$B$1)</f>
        <v>0</v>
      </c>
      <c r="L60" s="55">
        <f>_xll.EQNXTDZ($A$1,$B60,L$5,$B$1)</f>
        <v>2385.5700000000002</v>
      </c>
      <c r="M60" s="55">
        <f>_xll.EQNXTDZ($A$1,$B60,M$5,$B$1)</f>
        <v>0</v>
      </c>
      <c r="N60" s="55">
        <f>_xll.EQNXTDZ($A$1,$B60,N$5,$B$1)</f>
        <v>2492.59</v>
      </c>
      <c r="O60" s="55">
        <f>_xll.EQNXTDZ($A$1,$B60,O$5,$B$1)</f>
        <v>0</v>
      </c>
      <c r="P60" s="55">
        <f>_xll.EQNXTDZ($A$1,$B60,P$5,$B$1)</f>
        <v>2563.91</v>
      </c>
      <c r="Q60" s="55">
        <f>_xll.EQNXTDZ($A$1,$B60,Q$5,$B$1)</f>
        <v>0</v>
      </c>
      <c r="R60" s="55">
        <f>_xll.EQNXTDZ($A$1,$B60,R$5,$B$1)</f>
        <v>1749.81</v>
      </c>
      <c r="S60" s="55">
        <f>_xll.EQNXTDZ($A$1,$B60,S$5,$B$1)</f>
        <v>0</v>
      </c>
      <c r="T60" s="55">
        <f>_xll.EQNXTDZ($A$1,$B60,T$5,$B$1)</f>
        <v>1795.01</v>
      </c>
      <c r="U60" s="55">
        <f>_xll.EQNXTDZ($A$1,$B60,U$5,$B$1)</f>
        <v>0</v>
      </c>
      <c r="V60" s="55">
        <f>_xll.EQNXTDZ($A$1,$B60,V$5,$B$1)</f>
        <v>1868.99</v>
      </c>
      <c r="W60" s="55">
        <f>_xll.EQNXTDZ($A$1,$B60,W$5,$B$1)</f>
        <v>0</v>
      </c>
      <c r="X60" s="55">
        <f>_xll.EQNXTDZ($A$1,$B60,X$5,$B$1)</f>
        <v>1926.04</v>
      </c>
      <c r="Y60" s="55">
        <f>_xll.EQNXTDZ($A$1,$B60,Y$5,$B$1)</f>
        <v>0</v>
      </c>
      <c r="Z60" s="55">
        <f>_xll.EQNXTDZ($A$1,$B60,Z$5,$B$1)</f>
        <v>2015.29</v>
      </c>
      <c r="AA60" s="55">
        <f>_xll.EQNXTDZ($A$1,$B60,AA$5,$B$1)</f>
        <v>0</v>
      </c>
      <c r="AB60" s="55">
        <f>_xll.EQNXTDZ($A$1,$B60,AB$5,$B$1)</f>
        <v>2066.46</v>
      </c>
      <c r="AC60" s="55">
        <f>_xll.EQNXTDZ($A$1,$B60,AC$5,$B$1)</f>
        <v>0</v>
      </c>
      <c r="AD60" s="55">
        <f>_xll.EQNXTDZ($A$1,$B60,AD$5,$B$1)</f>
        <v>2166.66</v>
      </c>
      <c r="AE60" s="55">
        <f>_xll.EQNXTDZ($A$1,$B60,AE$5,$B$1)</f>
        <v>0</v>
      </c>
      <c r="AF60" s="55">
        <f>_xll.EQNXTDZ($A$1,$B60,AF$5,$B$1)</f>
        <v>2193.4299999999998</v>
      </c>
      <c r="AG60" s="55">
        <f>_xll.EQNXTDZ($A$1,$B60,AG$5,$B$1)</f>
        <v>0</v>
      </c>
      <c r="AH60" s="55">
        <f>_xll.EQNXTDZ($A$1,$B60,AH$5,$B$1)</f>
        <v>2332.04</v>
      </c>
      <c r="AI60" s="55">
        <f>_xll.EQNXTDZ($A$1,$B60,AI$5,$B$1)</f>
        <v>0</v>
      </c>
      <c r="AJ60" s="55">
        <f>_xll.EQNXTDZ($A$1,$B60,AJ$5,$B$1)</f>
        <v>2534.46</v>
      </c>
      <c r="AK60" s="55">
        <f>_xll.EQNXTDZ($A$1,$B60,AK$5,$B$1)</f>
        <v>0</v>
      </c>
      <c r="AL60" s="55">
        <f>_xll.EQNXTDZ($A$1,$B60,AL$5,$B$1)</f>
        <v>2927.3</v>
      </c>
      <c r="AM60" s="55">
        <f>_xll.EQNXTDZ($A$1,$B60,AM$5,$B$1)</f>
        <v>0</v>
      </c>
      <c r="AN60" s="55">
        <f>_xll.EQNXTDZ($A$1,$B60,AN$5,$B$1)</f>
        <v>3148.14</v>
      </c>
      <c r="AO60" s="55">
        <f>_xll.EQNXTDZ($A$1,$B60,AO$5,$B$1)</f>
        <v>0</v>
      </c>
      <c r="AP60" s="55">
        <f>_xll.EQNXTDZ($A$1,$B60,AP$5,$B$1)</f>
        <v>3586.9</v>
      </c>
      <c r="AQ60" s="55">
        <f>_xll.EQNXTDZ($A$1,$B60,AQ$5,$B$1)</f>
        <v>0</v>
      </c>
      <c r="AR60" s="55">
        <f>_xll.EQNXTDZ($A$1,$B60,AR$5,$B$1)</f>
        <v>4198.83</v>
      </c>
      <c r="AS60" s="55">
        <f>_xll.EQNXTDZ($A$1,$B60,AS$5,$B$1)</f>
        <v>0</v>
      </c>
      <c r="AT60" s="55">
        <f>_xll.EQNXTDZ($A$1,$B60,AT$5,$B$1)</f>
        <v>5416.69</v>
      </c>
      <c r="AU60" s="55">
        <f>_xll.EQNXTDZ($A$1,$B60,AU$5,$B$1)</f>
        <v>0</v>
      </c>
      <c r="AV60" s="55">
        <f>_xll.EQNXTDZ($A$1,$B60,AV$5,$B$1)</f>
        <v>5677.72</v>
      </c>
      <c r="AW60" s="55">
        <f>_xll.EQNXTDZ($A$1,$B60,AW$5,$B$1)</f>
        <v>0</v>
      </c>
      <c r="AX60" s="55">
        <f>_xll.EQNXTDZ($A$1,$B60,AX$5,$B$1)</f>
        <v>5977.48</v>
      </c>
      <c r="AY60" s="55">
        <f>_xll.EQNXTDZ($A$1,$B60,AY$5,$B$1)</f>
        <v>0</v>
      </c>
      <c r="AZ60" s="55">
        <f>_xll.EQNXTDZ($A$1,$B60,AZ$5,$B$1)</f>
        <v>6233.77</v>
      </c>
      <c r="BA60" s="55">
        <f>_xll.EQNXTDZ($A$1,$B60,BA$5,$B$1)</f>
        <v>0</v>
      </c>
      <c r="BB60" s="55">
        <f>_xll.EQNXTDZ($A$1,$B60,BB$5,$B$1)</f>
        <v>6765.37</v>
      </c>
      <c r="BC60" s="55">
        <f>_xll.EQNXTDZ($A$1,$B60,BC$5,$B$1)</f>
        <v>0</v>
      </c>
      <c r="BD60" s="55">
        <f>_xll.EQNXTDZ($A$1,$B60,BD$5,$B$1)</f>
        <v>7054.01</v>
      </c>
      <c r="BE60" s="55">
        <f>_xll.EQNXTDZ($A$1,$B60,BE$5,$B$1)</f>
        <v>0</v>
      </c>
      <c r="BF60" s="55">
        <f>_xll.EQNXTDZ($A$1,$B60,BF$5,$B$1)</f>
        <v>8070.86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9940.7099999999991</v>
      </c>
      <c r="E61" s="55">
        <f>_xll.EQNXTDZ($A$1,$B61,E$5,$B$1)</f>
        <v>0</v>
      </c>
      <c r="F61" s="55">
        <f>_xll.EQNXTDZ($A$1,$B61,F$5,$B$1)</f>
        <v>33099.339999999997</v>
      </c>
      <c r="G61" s="55">
        <f>_xll.EQNXTDZ($A$1,$B61,G$5,$B$1)</f>
        <v>0</v>
      </c>
      <c r="H61" s="55">
        <f>_xll.EQNXTDZ($A$1,$B61,H$5,$B$1)</f>
        <v>34342.239999999998</v>
      </c>
      <c r="I61" s="55">
        <f>_xll.EQNXTDZ($A$1,$B61,I$5,$B$1)</f>
        <v>0</v>
      </c>
      <c r="J61" s="55">
        <f>_xll.EQNXTDZ($A$1,$B61,J$5,$B$1)</f>
        <v>31969.94</v>
      </c>
      <c r="K61" s="55">
        <f>_xll.EQNXTDZ($A$1,$B61,K$5,$B$1)</f>
        <v>0</v>
      </c>
      <c r="L61" s="55">
        <f>_xll.EQNXTDZ($A$1,$B61,L$5,$B$1)</f>
        <v>35016.6</v>
      </c>
      <c r="M61" s="55">
        <f>_xll.EQNXTDZ($A$1,$B61,M$5,$B$1)</f>
        <v>0</v>
      </c>
      <c r="N61" s="55">
        <f>_xll.EQNXTDZ($A$1,$B61,N$5,$B$1)</f>
        <v>33893.129999999997</v>
      </c>
      <c r="O61" s="55">
        <f>_xll.EQNXTDZ($A$1,$B61,O$5,$B$1)</f>
        <v>0</v>
      </c>
      <c r="P61" s="55">
        <f>_xll.EQNXTDZ($A$1,$B61,P$5,$B$1)</f>
        <v>32414.66</v>
      </c>
      <c r="Q61" s="55">
        <f>_xll.EQNXTDZ($A$1,$B61,Q$5,$B$1)</f>
        <v>0</v>
      </c>
      <c r="R61" s="55">
        <f>_xll.EQNXTDZ($A$1,$B61,R$5,$B$1)</f>
        <v>22413.88</v>
      </c>
      <c r="S61" s="55">
        <f>_xll.EQNXTDZ($A$1,$B61,S$5,$B$1)</f>
        <v>0</v>
      </c>
      <c r="T61" s="55">
        <f>_xll.EQNXTDZ($A$1,$B61,T$5,$B$1)</f>
        <v>26611.7</v>
      </c>
      <c r="U61" s="55">
        <f>_xll.EQNXTDZ($A$1,$B61,U$5,$B$1)</f>
        <v>0</v>
      </c>
      <c r="V61" s="55">
        <f>_xll.EQNXTDZ($A$1,$B61,V$5,$B$1)</f>
        <v>25142.959999999999</v>
      </c>
      <c r="W61" s="55">
        <f>_xll.EQNXTDZ($A$1,$B61,W$5,$B$1)</f>
        <v>0</v>
      </c>
      <c r="X61" s="55">
        <f>_xll.EQNXTDZ($A$1,$B61,X$5,$B$1)</f>
        <v>19541.96</v>
      </c>
      <c r="Y61" s="55">
        <f>_xll.EQNXTDZ($A$1,$B61,Y$5,$B$1)</f>
        <v>0</v>
      </c>
      <c r="Z61" s="55">
        <f>_xll.EQNXTDZ($A$1,$B61,Z$5,$B$1)</f>
        <v>22356.31</v>
      </c>
      <c r="AA61" s="55">
        <f>_xll.EQNXTDZ($A$1,$B61,AA$5,$B$1)</f>
        <v>0</v>
      </c>
      <c r="AB61" s="55">
        <f>_xll.EQNXTDZ($A$1,$B61,AB$5,$B$1)</f>
        <v>28051.84</v>
      </c>
      <c r="AC61" s="55">
        <f>_xll.EQNXTDZ($A$1,$B61,AC$5,$B$1)</f>
        <v>0</v>
      </c>
      <c r="AD61" s="55">
        <f>_xll.EQNXTDZ($A$1,$B61,AD$5,$B$1)</f>
        <v>31139.23</v>
      </c>
      <c r="AE61" s="55">
        <f>_xll.EQNXTDZ($A$1,$B61,AE$5,$B$1)</f>
        <v>0</v>
      </c>
      <c r="AF61" s="55">
        <f>_xll.EQNXTDZ($A$1,$B61,AF$5,$B$1)</f>
        <v>32155.79</v>
      </c>
      <c r="AG61" s="55">
        <f>_xll.EQNXTDZ($A$1,$B61,AG$5,$B$1)</f>
        <v>0</v>
      </c>
      <c r="AH61" s="55">
        <f>_xll.EQNXTDZ($A$1,$B61,AH$5,$B$1)</f>
        <v>32695.14</v>
      </c>
      <c r="AI61" s="55">
        <f>_xll.EQNXTDZ($A$1,$B61,AI$5,$B$1)</f>
        <v>0</v>
      </c>
      <c r="AJ61" s="55">
        <f>_xll.EQNXTDZ($A$1,$B61,AJ$5,$B$1)</f>
        <v>32736.959999999999</v>
      </c>
      <c r="AK61" s="55">
        <f>_xll.EQNXTDZ($A$1,$B61,AK$5,$B$1)</f>
        <v>0</v>
      </c>
      <c r="AL61" s="55">
        <f>_xll.EQNXTDZ($A$1,$B61,AL$5,$B$1)</f>
        <v>30044.85</v>
      </c>
      <c r="AM61" s="55">
        <f>_xll.EQNXTDZ($A$1,$B61,AM$5,$B$1)</f>
        <v>0</v>
      </c>
      <c r="AN61" s="55">
        <f>_xll.EQNXTDZ($A$1,$B61,AN$5,$B$1)</f>
        <v>27853.74</v>
      </c>
      <c r="AO61" s="55">
        <f>_xll.EQNXTDZ($A$1,$B61,AO$5,$B$1)</f>
        <v>0</v>
      </c>
      <c r="AP61" s="55">
        <f>_xll.EQNXTDZ($A$1,$B61,AP$5,$B$1)</f>
        <v>32729.7</v>
      </c>
      <c r="AQ61" s="55">
        <f>_xll.EQNXTDZ($A$1,$B61,AQ$5,$B$1)</f>
        <v>0</v>
      </c>
      <c r="AR61" s="55">
        <f>_xll.EQNXTDZ($A$1,$B61,AR$5,$B$1)</f>
        <v>29601.03</v>
      </c>
      <c r="AS61" s="55">
        <f>_xll.EQNXTDZ($A$1,$B61,AS$5,$B$1)</f>
        <v>0</v>
      </c>
      <c r="AT61" s="55">
        <f>_xll.EQNXTDZ($A$1,$B61,AT$5,$B$1)</f>
        <v>30708.49</v>
      </c>
      <c r="AU61" s="55">
        <f>_xll.EQNXTDZ($A$1,$B61,AU$5,$B$1)</f>
        <v>0</v>
      </c>
      <c r="AV61" s="55">
        <f>_xll.EQNXTDZ($A$1,$B61,AV$5,$B$1)</f>
        <v>33129.24</v>
      </c>
      <c r="AW61" s="55">
        <f>_xll.EQNXTDZ($A$1,$B61,AW$5,$B$1)</f>
        <v>0</v>
      </c>
      <c r="AX61" s="55">
        <f>_xll.EQNXTDZ($A$1,$B61,AX$5,$B$1)</f>
        <v>37392.25</v>
      </c>
      <c r="AY61" s="55">
        <f>_xll.EQNXTDZ($A$1,$B61,AY$5,$B$1)</f>
        <v>0</v>
      </c>
      <c r="AZ61" s="55">
        <f>_xll.EQNXTDZ($A$1,$B61,AZ$5,$B$1)</f>
        <v>39232.19</v>
      </c>
      <c r="BA61" s="55">
        <f>_xll.EQNXTDZ($A$1,$B61,BA$5,$B$1)</f>
        <v>0</v>
      </c>
      <c r="BB61" s="55">
        <f>_xll.EQNXTDZ($A$1,$B61,BB$5,$B$1)</f>
        <v>44129.72</v>
      </c>
      <c r="BC61" s="55">
        <f>_xll.EQNXTDZ($A$1,$B61,BC$5,$B$1)</f>
        <v>0</v>
      </c>
      <c r="BD61" s="55">
        <f>_xll.EQNXTDZ($A$1,$B61,BD$5,$B$1)</f>
        <v>52360.08</v>
      </c>
      <c r="BE61" s="55">
        <f>_xll.EQNXTDZ($A$1,$B61,BE$5,$B$1)</f>
        <v>0</v>
      </c>
      <c r="BF61" s="55">
        <f>_xll.EQNXTDZ($A$1,$B61,BF$5,$B$1)</f>
        <v>61608.57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9940.7099999999991</v>
      </c>
      <c r="E63" s="55">
        <f>_xll.EQNXTDZ($A$1,$B63,E$5,$B$1)</f>
        <v>0</v>
      </c>
      <c r="F63" s="55">
        <f>_xll.EQNXTDZ($A$1,$B63,F$5,$B$1)</f>
        <v>33099.339999999997</v>
      </c>
      <c r="G63" s="55">
        <f>_xll.EQNXTDZ($A$1,$B63,G$5,$B$1)</f>
        <v>0</v>
      </c>
      <c r="H63" s="55">
        <f>_xll.EQNXTDZ($A$1,$B63,H$5,$B$1)</f>
        <v>34342.239999999998</v>
      </c>
      <c r="I63" s="55">
        <f>_xll.EQNXTDZ($A$1,$B63,I$5,$B$1)</f>
        <v>0</v>
      </c>
      <c r="J63" s="55">
        <f>_xll.EQNXTDZ($A$1,$B63,J$5,$B$1)</f>
        <v>31969.94</v>
      </c>
      <c r="K63" s="55">
        <f>_xll.EQNXTDZ($A$1,$B63,K$5,$B$1)</f>
        <v>0</v>
      </c>
      <c r="L63" s="55">
        <f>_xll.EQNXTDZ($A$1,$B63,L$5,$B$1)</f>
        <v>35016.6</v>
      </c>
      <c r="M63" s="55">
        <f>_xll.EQNXTDZ($A$1,$B63,M$5,$B$1)</f>
        <v>0</v>
      </c>
      <c r="N63" s="55">
        <f>_xll.EQNXTDZ($A$1,$B63,N$5,$B$1)</f>
        <v>33893.129999999997</v>
      </c>
      <c r="O63" s="55">
        <f>_xll.EQNXTDZ($A$1,$B63,O$5,$B$1)</f>
        <v>0</v>
      </c>
      <c r="P63" s="55">
        <f>_xll.EQNXTDZ($A$1,$B63,P$5,$B$1)</f>
        <v>32414.66</v>
      </c>
      <c r="Q63" s="55">
        <f>_xll.EQNXTDZ($A$1,$B63,Q$5,$B$1)</f>
        <v>0</v>
      </c>
      <c r="R63" s="55">
        <f>_xll.EQNXTDZ($A$1,$B63,R$5,$B$1)</f>
        <v>22413.88</v>
      </c>
      <c r="S63" s="55">
        <f>_xll.EQNXTDZ($A$1,$B63,S$5,$B$1)</f>
        <v>0</v>
      </c>
      <c r="T63" s="55">
        <f>_xll.EQNXTDZ($A$1,$B63,T$5,$B$1)</f>
        <v>26611.7</v>
      </c>
      <c r="U63" s="55">
        <f>_xll.EQNXTDZ($A$1,$B63,U$5,$B$1)</f>
        <v>0</v>
      </c>
      <c r="V63" s="55">
        <f>_xll.EQNXTDZ($A$1,$B63,V$5,$B$1)</f>
        <v>25142.959999999999</v>
      </c>
      <c r="W63" s="55">
        <f>_xll.EQNXTDZ($A$1,$B63,W$5,$B$1)</f>
        <v>0</v>
      </c>
      <c r="X63" s="55">
        <f>_xll.EQNXTDZ($A$1,$B63,X$5,$B$1)</f>
        <v>19541.96</v>
      </c>
      <c r="Y63" s="55">
        <f>_xll.EQNXTDZ($A$1,$B63,Y$5,$B$1)</f>
        <v>0</v>
      </c>
      <c r="Z63" s="55">
        <f>_xll.EQNXTDZ($A$1,$B63,Z$5,$B$1)</f>
        <v>22356.31</v>
      </c>
      <c r="AA63" s="55">
        <f>_xll.EQNXTDZ($A$1,$B63,AA$5,$B$1)</f>
        <v>0</v>
      </c>
      <c r="AB63" s="55">
        <f>_xll.EQNXTDZ($A$1,$B63,AB$5,$B$1)</f>
        <v>28051.84</v>
      </c>
      <c r="AC63" s="55">
        <f>_xll.EQNXTDZ($A$1,$B63,AC$5,$B$1)</f>
        <v>0</v>
      </c>
      <c r="AD63" s="55">
        <f>_xll.EQNXTDZ($A$1,$B63,AD$5,$B$1)</f>
        <v>31139.23</v>
      </c>
      <c r="AE63" s="55">
        <f>_xll.EQNXTDZ($A$1,$B63,AE$5,$B$1)</f>
        <v>0</v>
      </c>
      <c r="AF63" s="55">
        <f>_xll.EQNXTDZ($A$1,$B63,AF$5,$B$1)</f>
        <v>32155.79</v>
      </c>
      <c r="AG63" s="55">
        <f>_xll.EQNXTDZ($A$1,$B63,AG$5,$B$1)</f>
        <v>0</v>
      </c>
      <c r="AH63" s="55">
        <f>_xll.EQNXTDZ($A$1,$B63,AH$5,$B$1)</f>
        <v>32695.14</v>
      </c>
      <c r="AI63" s="55">
        <f>_xll.EQNXTDZ($A$1,$B63,AI$5,$B$1)</f>
        <v>0</v>
      </c>
      <c r="AJ63" s="55">
        <f>_xll.EQNXTDZ($A$1,$B63,AJ$5,$B$1)</f>
        <v>32736.959999999999</v>
      </c>
      <c r="AK63" s="55">
        <f>_xll.EQNXTDZ($A$1,$B63,AK$5,$B$1)</f>
        <v>0</v>
      </c>
      <c r="AL63" s="55">
        <f>_xll.EQNXTDZ($A$1,$B63,AL$5,$B$1)</f>
        <v>30044.85</v>
      </c>
      <c r="AM63" s="55">
        <f>_xll.EQNXTDZ($A$1,$B63,AM$5,$B$1)</f>
        <v>0</v>
      </c>
      <c r="AN63" s="55">
        <f>_xll.EQNXTDZ($A$1,$B63,AN$5,$B$1)</f>
        <v>27853.74</v>
      </c>
      <c r="AO63" s="55">
        <f>_xll.EQNXTDZ($A$1,$B63,AO$5,$B$1)</f>
        <v>0</v>
      </c>
      <c r="AP63" s="55">
        <f>_xll.EQNXTDZ($A$1,$B63,AP$5,$B$1)</f>
        <v>32729.7</v>
      </c>
      <c r="AQ63" s="55">
        <f>_xll.EQNXTDZ($A$1,$B63,AQ$5,$B$1)</f>
        <v>0</v>
      </c>
      <c r="AR63" s="55">
        <f>_xll.EQNXTDZ($A$1,$B63,AR$5,$B$1)</f>
        <v>29601.03</v>
      </c>
      <c r="AS63" s="55">
        <f>_xll.EQNXTDZ($A$1,$B63,AS$5,$B$1)</f>
        <v>0</v>
      </c>
      <c r="AT63" s="55">
        <f>_xll.EQNXTDZ($A$1,$B63,AT$5,$B$1)</f>
        <v>30708.49</v>
      </c>
      <c r="AU63" s="55">
        <f>_xll.EQNXTDZ($A$1,$B63,AU$5,$B$1)</f>
        <v>0</v>
      </c>
      <c r="AV63" s="55">
        <f>_xll.EQNXTDZ($A$1,$B63,AV$5,$B$1)</f>
        <v>33129.24</v>
      </c>
      <c r="AW63" s="55">
        <f>_xll.EQNXTDZ($A$1,$B63,AW$5,$B$1)</f>
        <v>0</v>
      </c>
      <c r="AX63" s="55">
        <f>_xll.EQNXTDZ($A$1,$B63,AX$5,$B$1)</f>
        <v>37392.25</v>
      </c>
      <c r="AY63" s="55">
        <f>_xll.EQNXTDZ($A$1,$B63,AY$5,$B$1)</f>
        <v>0</v>
      </c>
      <c r="AZ63" s="55">
        <f>_xll.EQNXTDZ($A$1,$B63,AZ$5,$B$1)</f>
        <v>39232.19</v>
      </c>
      <c r="BA63" s="55">
        <f>_xll.EQNXTDZ($A$1,$B63,BA$5,$B$1)</f>
        <v>0</v>
      </c>
      <c r="BB63" s="55">
        <f>_xll.EQNXTDZ($A$1,$B63,BB$5,$B$1)</f>
        <v>44129.72</v>
      </c>
      <c r="BC63" s="55">
        <f>_xll.EQNXTDZ($A$1,$B63,BC$5,$B$1)</f>
        <v>0</v>
      </c>
      <c r="BD63" s="55">
        <f>_xll.EQNXTDZ($A$1,$B63,BD$5,$B$1)</f>
        <v>52360.08</v>
      </c>
      <c r="BE63" s="55">
        <f>_xll.EQNXTDZ($A$1,$B63,BE$5,$B$1)</f>
        <v>0</v>
      </c>
      <c r="BF63" s="55">
        <f>_xll.EQNXTDZ($A$1,$B63,BF$5,$B$1)</f>
        <v>61608.57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99.86</v>
      </c>
      <c r="E64" s="55">
        <f>_xll.EQNXTDZ($A$1,$B64,E$5,$B$1)</f>
        <v>0</v>
      </c>
      <c r="F64" s="55">
        <f>_xll.EQNXTDZ($A$1,$B64,F$5,$B$1)</f>
        <v>949.11</v>
      </c>
      <c r="G64" s="55">
        <f>_xll.EQNXTDZ($A$1,$B64,G$5,$B$1)</f>
        <v>0</v>
      </c>
      <c r="H64" s="55">
        <f>_xll.EQNXTDZ($A$1,$B64,H$5,$B$1)</f>
        <v>993.27</v>
      </c>
      <c r="I64" s="55">
        <f>_xll.EQNXTDZ($A$1,$B64,I$5,$B$1)</f>
        <v>0</v>
      </c>
      <c r="J64" s="55">
        <f>_xll.EQNXTDZ($A$1,$B64,J$5,$B$1)</f>
        <v>974.57</v>
      </c>
      <c r="K64" s="55">
        <f>_xll.EQNXTDZ($A$1,$B64,K$5,$B$1)</f>
        <v>0</v>
      </c>
      <c r="L64" s="55">
        <f>_xll.EQNXTDZ($A$1,$B64,L$5,$B$1)</f>
        <v>1046.95</v>
      </c>
      <c r="M64" s="55">
        <f>_xll.EQNXTDZ($A$1,$B64,M$5,$B$1)</f>
        <v>0</v>
      </c>
      <c r="N64" s="55">
        <f>_xll.EQNXTDZ($A$1,$B64,N$5,$B$1)</f>
        <v>1074.24</v>
      </c>
      <c r="O64" s="55">
        <f>_xll.EQNXTDZ($A$1,$B64,O$5,$B$1)</f>
        <v>0</v>
      </c>
      <c r="P64" s="55">
        <f>_xll.EQNXTDZ($A$1,$B64,P$5,$B$1)</f>
        <v>1150.68</v>
      </c>
      <c r="Q64" s="55">
        <f>_xll.EQNXTDZ($A$1,$B64,Q$5,$B$1)</f>
        <v>0</v>
      </c>
      <c r="R64" s="55">
        <f>_xll.EQNXTDZ($A$1,$B64,R$5,$B$1)</f>
        <v>3618.19</v>
      </c>
      <c r="S64" s="55">
        <f>_xll.EQNXTDZ($A$1,$B64,S$5,$B$1)</f>
        <v>0</v>
      </c>
      <c r="T64" s="55">
        <f>_xll.EQNXTDZ($A$1,$B64,T$5,$B$1)</f>
        <v>1294.99</v>
      </c>
      <c r="U64" s="55">
        <f>_xll.EQNXTDZ($A$1,$B64,U$5,$B$1)</f>
        <v>0</v>
      </c>
      <c r="V64" s="55">
        <f>_xll.EQNXTDZ($A$1,$B64,V$5,$B$1)</f>
        <v>3633.33</v>
      </c>
      <c r="W64" s="55">
        <f>_xll.EQNXTDZ($A$1,$B64,W$5,$B$1)</f>
        <v>0</v>
      </c>
      <c r="X64" s="55">
        <f>_xll.EQNXTDZ($A$1,$B64,X$5,$B$1)</f>
        <v>4326.1400000000003</v>
      </c>
      <c r="Y64" s="55">
        <f>_xll.EQNXTDZ($A$1,$B64,Y$5,$B$1)</f>
        <v>0</v>
      </c>
      <c r="Z64" s="55">
        <f>_xll.EQNXTDZ($A$1,$B64,Z$5,$B$1)</f>
        <v>2492.5300000000002</v>
      </c>
      <c r="AA64" s="55">
        <f>_xll.EQNXTDZ($A$1,$B64,AA$5,$B$1)</f>
        <v>0</v>
      </c>
      <c r="AB64" s="55">
        <f>_xll.EQNXTDZ($A$1,$B64,AB$5,$B$1)</f>
        <v>4187.18</v>
      </c>
      <c r="AC64" s="55">
        <f>_xll.EQNXTDZ($A$1,$B64,AC$5,$B$1)</f>
        <v>0</v>
      </c>
      <c r="AD64" s="55">
        <f>_xll.EQNXTDZ($A$1,$B64,AD$5,$B$1)</f>
        <v>3557.3</v>
      </c>
      <c r="AE64" s="55">
        <f>_xll.EQNXTDZ($A$1,$B64,AE$5,$B$1)</f>
        <v>0</v>
      </c>
      <c r="AF64" s="55">
        <f>_xll.EQNXTDZ($A$1,$B64,AF$5,$B$1)</f>
        <v>6684.22</v>
      </c>
      <c r="AG64" s="55">
        <f>_xll.EQNXTDZ($A$1,$B64,AG$5,$B$1)</f>
        <v>0</v>
      </c>
      <c r="AH64" s="55">
        <f>_xll.EQNXTDZ($A$1,$B64,AH$5,$B$1)</f>
        <v>7052.08</v>
      </c>
      <c r="AI64" s="55">
        <f>_xll.EQNXTDZ($A$1,$B64,AI$5,$B$1)</f>
        <v>0</v>
      </c>
      <c r="AJ64" s="55">
        <f>_xll.EQNXTDZ($A$1,$B64,AJ$5,$B$1)</f>
        <v>10254.17</v>
      </c>
      <c r="AK64" s="55">
        <f>_xll.EQNXTDZ($A$1,$B64,AK$5,$B$1)</f>
        <v>0</v>
      </c>
      <c r="AL64" s="55">
        <f>_xll.EQNXTDZ($A$1,$B64,AL$5,$B$1)</f>
        <v>10742.28</v>
      </c>
      <c r="AM64" s="55">
        <f>_xll.EQNXTDZ($A$1,$B64,AM$5,$B$1)</f>
        <v>0</v>
      </c>
      <c r="AN64" s="55">
        <f>_xll.EQNXTDZ($A$1,$B64,AN$5,$B$1)</f>
        <v>12649.12</v>
      </c>
      <c r="AO64" s="55">
        <f>_xll.EQNXTDZ($A$1,$B64,AO$5,$B$1)</f>
        <v>0</v>
      </c>
      <c r="AP64" s="55">
        <f>_xll.EQNXTDZ($A$1,$B64,AP$5,$B$1)</f>
        <v>13254.86</v>
      </c>
      <c r="AQ64" s="55">
        <f>_xll.EQNXTDZ($A$1,$B64,AQ$5,$B$1)</f>
        <v>0</v>
      </c>
      <c r="AR64" s="55">
        <f>_xll.EQNXTDZ($A$1,$B64,AR$5,$B$1)</f>
        <v>14415.3</v>
      </c>
      <c r="AS64" s="55">
        <f>_xll.EQNXTDZ($A$1,$B64,AS$5,$B$1)</f>
        <v>0</v>
      </c>
      <c r="AT64" s="55">
        <f>_xll.EQNXTDZ($A$1,$B64,AT$5,$B$1)</f>
        <v>16117.82</v>
      </c>
      <c r="AU64" s="55">
        <f>_xll.EQNXTDZ($A$1,$B64,AU$5,$B$1)</f>
        <v>0</v>
      </c>
      <c r="AV64" s="55">
        <f>_xll.EQNXTDZ($A$1,$B64,AV$5,$B$1)</f>
        <v>16035.81</v>
      </c>
      <c r="AW64" s="55">
        <f>_xll.EQNXTDZ($A$1,$B64,AW$5,$B$1)</f>
        <v>0</v>
      </c>
      <c r="AX64" s="55">
        <f>_xll.EQNXTDZ($A$1,$B64,AX$5,$B$1)</f>
        <v>17092.39</v>
      </c>
      <c r="AY64" s="55">
        <f>_xll.EQNXTDZ($A$1,$B64,AY$5,$B$1)</f>
        <v>0</v>
      </c>
      <c r="AZ64" s="55">
        <f>_xll.EQNXTDZ($A$1,$B64,AZ$5,$B$1)</f>
        <v>17694.47</v>
      </c>
      <c r="BA64" s="55">
        <f>_xll.EQNXTDZ($A$1,$B64,BA$5,$B$1)</f>
        <v>0</v>
      </c>
      <c r="BB64" s="55">
        <f>_xll.EQNXTDZ($A$1,$B64,BB$5,$B$1)</f>
        <v>18053.2</v>
      </c>
      <c r="BC64" s="55">
        <f>_xll.EQNXTDZ($A$1,$B64,BC$5,$B$1)</f>
        <v>0</v>
      </c>
      <c r="BD64" s="55">
        <f>_xll.EQNXTDZ($A$1,$B64,BD$5,$B$1)</f>
        <v>18668.28</v>
      </c>
      <c r="BE64" s="55">
        <f>_xll.EQNXTDZ($A$1,$B64,BE$5,$B$1)</f>
        <v>0</v>
      </c>
      <c r="BF64" s="55">
        <f>_xll.EQNXTDZ($A$1,$B64,BF$5,$B$1)</f>
        <v>18779.84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33.119999999999997</v>
      </c>
      <c r="S65" s="55">
        <f>_xll.EQNXTDZ($A$1,$B65,S$5,$B$1)</f>
        <v>0</v>
      </c>
      <c r="T65" s="55">
        <f>_xll.EQNXTDZ($A$1,$B65,T$5,$B$1)</f>
        <v>34.86</v>
      </c>
      <c r="U65" s="55">
        <f>_xll.EQNXTDZ($A$1,$B65,U$5,$B$1)</f>
        <v>0</v>
      </c>
      <c r="V65" s="55">
        <f>_xll.EQNXTDZ($A$1,$B65,V$5,$B$1)</f>
        <v>35.57</v>
      </c>
      <c r="W65" s="55">
        <f>_xll.EQNXTDZ($A$1,$B65,W$5,$B$1)</f>
        <v>0</v>
      </c>
      <c r="X65" s="55">
        <f>_xll.EQNXTDZ($A$1,$B65,X$5,$B$1)</f>
        <v>37.15</v>
      </c>
      <c r="Y65" s="55">
        <f>_xll.EQNXTDZ($A$1,$B65,Y$5,$B$1)</f>
        <v>0</v>
      </c>
      <c r="Z65" s="55">
        <f>_xll.EQNXTDZ($A$1,$B65,Z$5,$B$1)</f>
        <v>21</v>
      </c>
      <c r="AA65" s="55">
        <f>_xll.EQNXTDZ($A$1,$B65,AA$5,$B$1)</f>
        <v>0</v>
      </c>
      <c r="AB65" s="55">
        <f>_xll.EQNXTDZ($A$1,$B65,AB$5,$B$1)</f>
        <v>21.9</v>
      </c>
      <c r="AC65" s="55">
        <f>_xll.EQNXTDZ($A$1,$B65,AC$5,$B$1)</f>
        <v>0</v>
      </c>
      <c r="AD65" s="55">
        <f>_xll.EQNXTDZ($A$1,$B65,AD$5,$B$1)</f>
        <v>22.75</v>
      </c>
      <c r="AE65" s="55">
        <f>_xll.EQNXTDZ($A$1,$B65,AE$5,$B$1)</f>
        <v>0</v>
      </c>
      <c r="AF65" s="55">
        <f>_xll.EQNXTDZ($A$1,$B65,AF$5,$B$1)</f>
        <v>23.69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1.67</v>
      </c>
      <c r="AK65" s="55">
        <f>_xll.EQNXTDZ($A$1,$B65,AK$5,$B$1)</f>
        <v>0</v>
      </c>
      <c r="AL65" s="55">
        <f>_xll.EQNXTDZ($A$1,$B65,AL$5,$B$1)</f>
        <v>1.67</v>
      </c>
      <c r="AM65" s="55">
        <f>_xll.EQNXTDZ($A$1,$B65,AM$5,$B$1)</f>
        <v>0</v>
      </c>
      <c r="AN65" s="55">
        <f>_xll.EQNXTDZ($A$1,$B65,AN$5,$B$1)</f>
        <v>27.23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529.38</v>
      </c>
      <c r="E66" s="55">
        <f>_xll.EQNXTDZ($A$1,$B66,E$5,$B$1)</f>
        <v>0</v>
      </c>
      <c r="F66" s="55">
        <f>_xll.EQNXTDZ($A$1,$B66,F$5,$B$1)</f>
        <v>1164.5899999999999</v>
      </c>
      <c r="G66" s="55">
        <f>_xll.EQNXTDZ($A$1,$B66,G$5,$B$1)</f>
        <v>0</v>
      </c>
      <c r="H66" s="55">
        <f>_xll.EQNXTDZ($A$1,$B66,H$5,$B$1)</f>
        <v>1273.1099999999999</v>
      </c>
      <c r="I66" s="55">
        <f>_xll.EQNXTDZ($A$1,$B66,I$5,$B$1)</f>
        <v>0</v>
      </c>
      <c r="J66" s="55">
        <f>_xll.EQNXTDZ($A$1,$B66,J$5,$B$1)</f>
        <v>914.77</v>
      </c>
      <c r="K66" s="55">
        <f>_xll.EQNXTDZ($A$1,$B66,K$5,$B$1)</f>
        <v>0</v>
      </c>
      <c r="L66" s="55">
        <f>_xll.EQNXTDZ($A$1,$B66,L$5,$B$1)</f>
        <v>944.59</v>
      </c>
      <c r="M66" s="55">
        <f>_xll.EQNXTDZ($A$1,$B66,M$5,$B$1)</f>
        <v>0</v>
      </c>
      <c r="N66" s="55">
        <f>_xll.EQNXTDZ($A$1,$B66,N$5,$B$1)</f>
        <v>921.38</v>
      </c>
      <c r="O66" s="55">
        <f>_xll.EQNXTDZ($A$1,$B66,O$5,$B$1)</f>
        <v>0</v>
      </c>
      <c r="P66" s="55">
        <f>_xll.EQNXTDZ($A$1,$B66,P$5,$B$1)</f>
        <v>981.86</v>
      </c>
      <c r="Q66" s="55">
        <f>_xll.EQNXTDZ($A$1,$B66,Q$5,$B$1)</f>
        <v>0</v>
      </c>
      <c r="R66" s="55">
        <f>_xll.EQNXTDZ($A$1,$B66,R$5,$B$1)</f>
        <v>243.53</v>
      </c>
      <c r="S66" s="55">
        <f>_xll.EQNXTDZ($A$1,$B66,S$5,$B$1)</f>
        <v>0</v>
      </c>
      <c r="T66" s="55">
        <f>_xll.EQNXTDZ($A$1,$B66,T$5,$B$1)</f>
        <v>260.95999999999998</v>
      </c>
      <c r="U66" s="55">
        <f>_xll.EQNXTDZ($A$1,$B66,U$5,$B$1)</f>
        <v>0</v>
      </c>
      <c r="V66" s="55">
        <f>_xll.EQNXTDZ($A$1,$B66,V$5,$B$1)</f>
        <v>270.68</v>
      </c>
      <c r="W66" s="55">
        <f>_xll.EQNXTDZ($A$1,$B66,W$5,$B$1)</f>
        <v>0</v>
      </c>
      <c r="X66" s="55">
        <f>_xll.EQNXTDZ($A$1,$B66,X$5,$B$1)</f>
        <v>301.58999999999997</v>
      </c>
      <c r="Y66" s="55">
        <f>_xll.EQNXTDZ($A$1,$B66,Y$5,$B$1)</f>
        <v>0</v>
      </c>
      <c r="Z66" s="55">
        <f>_xll.EQNXTDZ($A$1,$B66,Z$5,$B$1)</f>
        <v>300</v>
      </c>
      <c r="AA66" s="55">
        <f>_xll.EQNXTDZ($A$1,$B66,AA$5,$B$1)</f>
        <v>0</v>
      </c>
      <c r="AB66" s="55">
        <f>_xll.EQNXTDZ($A$1,$B66,AB$5,$B$1)</f>
        <v>305.25</v>
      </c>
      <c r="AC66" s="55">
        <f>_xll.EQNXTDZ($A$1,$B66,AC$5,$B$1)</f>
        <v>0</v>
      </c>
      <c r="AD66" s="55">
        <f>_xll.EQNXTDZ($A$1,$B66,AD$5,$B$1)</f>
        <v>333.6</v>
      </c>
      <c r="AE66" s="55">
        <f>_xll.EQNXTDZ($A$1,$B66,AE$5,$B$1)</f>
        <v>0</v>
      </c>
      <c r="AF66" s="55">
        <f>_xll.EQNXTDZ($A$1,$B66,AF$5,$B$1)</f>
        <v>348.12</v>
      </c>
      <c r="AG66" s="55">
        <f>_xll.EQNXTDZ($A$1,$B66,AG$5,$B$1)</f>
        <v>0</v>
      </c>
      <c r="AH66" s="55">
        <f>_xll.EQNXTDZ($A$1,$B66,AH$5,$B$1)</f>
        <v>407.4</v>
      </c>
      <c r="AI66" s="55">
        <f>_xll.EQNXTDZ($A$1,$B66,AI$5,$B$1)</f>
        <v>0</v>
      </c>
      <c r="AJ66" s="55">
        <f>_xll.EQNXTDZ($A$1,$B66,AJ$5,$B$1)</f>
        <v>416.99</v>
      </c>
      <c r="AK66" s="55">
        <f>_xll.EQNXTDZ($A$1,$B66,AK$5,$B$1)</f>
        <v>0</v>
      </c>
      <c r="AL66" s="55">
        <f>_xll.EQNXTDZ($A$1,$B66,AL$5,$B$1)</f>
        <v>667.27</v>
      </c>
      <c r="AM66" s="55">
        <f>_xll.EQNXTDZ($A$1,$B66,AM$5,$B$1)</f>
        <v>0</v>
      </c>
      <c r="AN66" s="55">
        <f>_xll.EQNXTDZ($A$1,$B66,AN$5,$B$1)</f>
        <v>820.72</v>
      </c>
      <c r="AO66" s="55">
        <f>_xll.EQNXTDZ($A$1,$B66,AO$5,$B$1)</f>
        <v>0</v>
      </c>
      <c r="AP66" s="55">
        <f>_xll.EQNXTDZ($A$1,$B66,AP$5,$B$1)</f>
        <v>1218.18</v>
      </c>
      <c r="AQ66" s="55">
        <f>_xll.EQNXTDZ($A$1,$B66,AQ$5,$B$1)</f>
        <v>0</v>
      </c>
      <c r="AR66" s="55">
        <f>_xll.EQNXTDZ($A$1,$B66,AR$5,$B$1)</f>
        <v>1369.53</v>
      </c>
      <c r="AS66" s="55">
        <f>_xll.EQNXTDZ($A$1,$B66,AS$5,$B$1)</f>
        <v>0</v>
      </c>
      <c r="AT66" s="55">
        <f>_xll.EQNXTDZ($A$1,$B66,AT$5,$B$1)</f>
        <v>1420.02</v>
      </c>
      <c r="AU66" s="55">
        <f>_xll.EQNXTDZ($A$1,$B66,AU$5,$B$1)</f>
        <v>0</v>
      </c>
      <c r="AV66" s="55">
        <f>_xll.EQNXTDZ($A$1,$B66,AV$5,$B$1)</f>
        <v>1531.54</v>
      </c>
      <c r="AW66" s="55">
        <f>_xll.EQNXTDZ($A$1,$B66,AW$5,$B$1)</f>
        <v>0</v>
      </c>
      <c r="AX66" s="55">
        <f>_xll.EQNXTDZ($A$1,$B66,AX$5,$B$1)</f>
        <v>1865.08</v>
      </c>
      <c r="AY66" s="55">
        <f>_xll.EQNXTDZ($A$1,$B66,AY$5,$B$1)</f>
        <v>0</v>
      </c>
      <c r="AZ66" s="55">
        <f>_xll.EQNXTDZ($A$1,$B66,AZ$5,$B$1)</f>
        <v>2054.7800000000002</v>
      </c>
      <c r="BA66" s="55">
        <f>_xll.EQNXTDZ($A$1,$B66,BA$5,$B$1)</f>
        <v>0</v>
      </c>
      <c r="BB66" s="55">
        <f>_xll.EQNXTDZ($A$1,$B66,BB$5,$B$1)</f>
        <v>2548.69</v>
      </c>
      <c r="BC66" s="55">
        <f>_xll.EQNXTDZ($A$1,$B66,BC$5,$B$1)</f>
        <v>0</v>
      </c>
      <c r="BD66" s="55">
        <f>_xll.EQNXTDZ($A$1,$B66,BD$5,$B$1)</f>
        <v>2888.99</v>
      </c>
      <c r="BE66" s="55">
        <f>_xll.EQNXTDZ($A$1,$B66,BE$5,$B$1)</f>
        <v>0</v>
      </c>
      <c r="BF66" s="55">
        <f>_xll.EQNXTDZ($A$1,$B66,BF$5,$B$1)</f>
        <v>3213.85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22971.3</v>
      </c>
      <c r="E67" s="55">
        <f>_xll.EQNXTDZ($A$1,$B67,E$5,$B$1)</f>
        <v>0</v>
      </c>
      <c r="F67" s="55">
        <f>_xll.EQNXTDZ($A$1,$B67,F$5,$B$1)</f>
        <v>49613.43</v>
      </c>
      <c r="G67" s="55">
        <f>_xll.EQNXTDZ($A$1,$B67,G$5,$B$1)</f>
        <v>0</v>
      </c>
      <c r="H67" s="55">
        <f>_xll.EQNXTDZ($A$1,$B67,H$5,$B$1)</f>
        <v>51821.47</v>
      </c>
      <c r="I67" s="55">
        <f>_xll.EQNXTDZ($A$1,$B67,I$5,$B$1)</f>
        <v>0</v>
      </c>
      <c r="J67" s="55">
        <f>_xll.EQNXTDZ($A$1,$B67,J$5,$B$1)</f>
        <v>48533.66</v>
      </c>
      <c r="K67" s="55">
        <f>_xll.EQNXTDZ($A$1,$B67,K$5,$B$1)</f>
        <v>0</v>
      </c>
      <c r="L67" s="55">
        <f>_xll.EQNXTDZ($A$1,$B67,L$5,$B$1)</f>
        <v>52039.83</v>
      </c>
      <c r="M67" s="55">
        <f>_xll.EQNXTDZ($A$1,$B67,M$5,$B$1)</f>
        <v>0</v>
      </c>
      <c r="N67" s="55">
        <f>_xll.EQNXTDZ($A$1,$B67,N$5,$B$1)</f>
        <v>52700.23</v>
      </c>
      <c r="O67" s="55">
        <f>_xll.EQNXTDZ($A$1,$B67,O$5,$B$1)</f>
        <v>0</v>
      </c>
      <c r="P67" s="55">
        <f>_xll.EQNXTDZ($A$1,$B67,P$5,$B$1)</f>
        <v>52056.99</v>
      </c>
      <c r="Q67" s="55">
        <f>_xll.EQNXTDZ($A$1,$B67,Q$5,$B$1)</f>
        <v>0</v>
      </c>
      <c r="R67" s="55">
        <f>_xll.EQNXTDZ($A$1,$B67,R$5,$B$1)</f>
        <v>41191.910000000003</v>
      </c>
      <c r="S67" s="55">
        <f>_xll.EQNXTDZ($A$1,$B67,S$5,$B$1)</f>
        <v>0</v>
      </c>
      <c r="T67" s="55">
        <f>_xll.EQNXTDZ($A$1,$B67,T$5,$B$1)</f>
        <v>46448.82</v>
      </c>
      <c r="U67" s="55">
        <f>_xll.EQNXTDZ($A$1,$B67,U$5,$B$1)</f>
        <v>0</v>
      </c>
      <c r="V67" s="55">
        <f>_xll.EQNXTDZ($A$1,$B67,V$5,$B$1)</f>
        <v>45666.080000000002</v>
      </c>
      <c r="W67" s="55">
        <f>_xll.EQNXTDZ($A$1,$B67,W$5,$B$1)</f>
        <v>0</v>
      </c>
      <c r="X67" s="55">
        <f>_xll.EQNXTDZ($A$1,$B67,X$5,$B$1)</f>
        <v>40584.31</v>
      </c>
      <c r="Y67" s="55">
        <f>_xll.EQNXTDZ($A$1,$B67,Y$5,$B$1)</f>
        <v>0</v>
      </c>
      <c r="Z67" s="55">
        <f>_xll.EQNXTDZ($A$1,$B67,Z$5,$B$1)</f>
        <v>43585.01</v>
      </c>
      <c r="AA67" s="55">
        <f>_xll.EQNXTDZ($A$1,$B67,AA$5,$B$1)</f>
        <v>0</v>
      </c>
      <c r="AB67" s="55">
        <f>_xll.EQNXTDZ($A$1,$B67,AB$5,$B$1)</f>
        <v>53158.7</v>
      </c>
      <c r="AC67" s="55">
        <f>_xll.EQNXTDZ($A$1,$B67,AC$5,$B$1)</f>
        <v>0</v>
      </c>
      <c r="AD67" s="55">
        <f>_xll.EQNXTDZ($A$1,$B67,AD$5,$B$1)</f>
        <v>55525.05</v>
      </c>
      <c r="AE67" s="55">
        <f>_xll.EQNXTDZ($A$1,$B67,AE$5,$B$1)</f>
        <v>0</v>
      </c>
      <c r="AF67" s="55">
        <f>_xll.EQNXTDZ($A$1,$B67,AF$5,$B$1)</f>
        <v>59694.3</v>
      </c>
      <c r="AG67" s="55">
        <f>_xll.EQNXTDZ($A$1,$B67,AG$5,$B$1)</f>
        <v>0</v>
      </c>
      <c r="AH67" s="55">
        <f>_xll.EQNXTDZ($A$1,$B67,AH$5,$B$1)</f>
        <v>62052.68</v>
      </c>
      <c r="AI67" s="55">
        <f>_xll.EQNXTDZ($A$1,$B67,AI$5,$B$1)</f>
        <v>0</v>
      </c>
      <c r="AJ67" s="55">
        <f>_xll.EQNXTDZ($A$1,$B67,AJ$5,$B$1)</f>
        <v>67706.17</v>
      </c>
      <c r="AK67" s="55">
        <f>_xll.EQNXTDZ($A$1,$B67,AK$5,$B$1)</f>
        <v>0</v>
      </c>
      <c r="AL67" s="55">
        <f>_xll.EQNXTDZ($A$1,$B67,AL$5,$B$1)</f>
        <v>66705.63</v>
      </c>
      <c r="AM67" s="55">
        <f>_xll.EQNXTDZ($A$1,$B67,AM$5,$B$1)</f>
        <v>0</v>
      </c>
      <c r="AN67" s="55">
        <f>_xll.EQNXTDZ($A$1,$B67,AN$5,$B$1)</f>
        <v>65776.149999999994</v>
      </c>
      <c r="AO67" s="55">
        <f>_xll.EQNXTDZ($A$1,$B67,AO$5,$B$1)</f>
        <v>0</v>
      </c>
      <c r="AP67" s="55">
        <f>_xll.EQNXTDZ($A$1,$B67,AP$5,$B$1)</f>
        <v>73231.199999999997</v>
      </c>
      <c r="AQ67" s="55">
        <f>_xll.EQNXTDZ($A$1,$B67,AQ$5,$B$1)</f>
        <v>0</v>
      </c>
      <c r="AR67" s="55">
        <f>_xll.EQNXTDZ($A$1,$B67,AR$5,$B$1)</f>
        <v>75266.899999999994</v>
      </c>
      <c r="AS67" s="55">
        <f>_xll.EQNXTDZ($A$1,$B67,AS$5,$B$1)</f>
        <v>0</v>
      </c>
      <c r="AT67" s="55">
        <f>_xll.EQNXTDZ($A$1,$B67,AT$5,$B$1)</f>
        <v>82450.45</v>
      </c>
      <c r="AU67" s="55">
        <f>_xll.EQNXTDZ($A$1,$B67,AU$5,$B$1)</f>
        <v>0</v>
      </c>
      <c r="AV67" s="55">
        <f>_xll.EQNXTDZ($A$1,$B67,AV$5,$B$1)</f>
        <v>86510.62</v>
      </c>
      <c r="AW67" s="55">
        <f>_xll.EQNXTDZ($A$1,$B67,AW$5,$B$1)</f>
        <v>0</v>
      </c>
      <c r="AX67" s="55">
        <f>_xll.EQNXTDZ($A$1,$B67,AX$5,$B$1)</f>
        <v>94682.49</v>
      </c>
      <c r="AY67" s="55">
        <f>_xll.EQNXTDZ($A$1,$B67,AY$5,$B$1)</f>
        <v>0</v>
      </c>
      <c r="AZ67" s="55">
        <f>_xll.EQNXTDZ($A$1,$B67,AZ$5,$B$1)</f>
        <v>98894.31</v>
      </c>
      <c r="BA67" s="55">
        <f>_xll.EQNXTDZ($A$1,$B67,BA$5,$B$1)</f>
        <v>0</v>
      </c>
      <c r="BB67" s="55">
        <f>_xll.EQNXTDZ($A$1,$B67,BB$5,$B$1)</f>
        <v>107337.65</v>
      </c>
      <c r="BC67" s="55">
        <f>_xll.EQNXTDZ($A$1,$B67,BC$5,$B$1)</f>
        <v>0</v>
      </c>
      <c r="BD67" s="55">
        <f>_xll.EQNXTDZ($A$1,$B67,BD$5,$B$1)</f>
        <v>118660.89</v>
      </c>
      <c r="BE67" s="55">
        <f>_xll.EQNXTDZ($A$1,$B67,BE$5,$B$1)</f>
        <v>0</v>
      </c>
      <c r="BF67" s="55">
        <f>_xll.EQNXTDZ($A$1,$B67,BF$5,$B$1)</f>
        <v>131140.32999999999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7783.97</v>
      </c>
      <c r="E68" s="55">
        <f>_xll.EQNXTDZ($A$1,$B68,E$5,$B$1)</f>
        <v>0</v>
      </c>
      <c r="F68" s="55">
        <f>_xll.EQNXTDZ($A$1,$B68,F$5,$B$1)</f>
        <v>37986.720000000001</v>
      </c>
      <c r="G68" s="55">
        <f>_xll.EQNXTDZ($A$1,$B68,G$5,$B$1)</f>
        <v>0</v>
      </c>
      <c r="H68" s="55">
        <f>_xll.EQNXTDZ($A$1,$B68,H$5,$B$1)</f>
        <v>40051.89</v>
      </c>
      <c r="I68" s="55">
        <f>_xll.EQNXTDZ($A$1,$B68,I$5,$B$1)</f>
        <v>0</v>
      </c>
      <c r="J68" s="55">
        <f>_xll.EQNXTDZ($A$1,$B68,J$5,$B$1)</f>
        <v>40450.230000000003</v>
      </c>
      <c r="K68" s="55">
        <f>_xll.EQNXTDZ($A$1,$B68,K$5,$B$1)</f>
        <v>0</v>
      </c>
      <c r="L68" s="55">
        <f>_xll.EQNXTDZ($A$1,$B68,L$5,$B$1)</f>
        <v>41079.120000000003</v>
      </c>
      <c r="M68" s="55">
        <f>_xll.EQNXTDZ($A$1,$B68,M$5,$B$1)</f>
        <v>0</v>
      </c>
      <c r="N68" s="55">
        <f>_xll.EQNXTDZ($A$1,$B68,N$5,$B$1)</f>
        <v>41423.129999999997</v>
      </c>
      <c r="O68" s="55">
        <f>_xll.EQNXTDZ($A$1,$B68,O$5,$B$1)</f>
        <v>0</v>
      </c>
      <c r="P68" s="55">
        <f>_xll.EQNXTDZ($A$1,$B68,P$5,$B$1)</f>
        <v>42903.94</v>
      </c>
      <c r="Q68" s="55">
        <f>_xll.EQNXTDZ($A$1,$B68,Q$5,$B$1)</f>
        <v>0</v>
      </c>
      <c r="R68" s="55">
        <f>_xll.EQNXTDZ($A$1,$B68,R$5,$B$1)</f>
        <v>36618.93</v>
      </c>
      <c r="S68" s="55">
        <f>_xll.EQNXTDZ($A$1,$B68,S$5,$B$1)</f>
        <v>0</v>
      </c>
      <c r="T68" s="55">
        <f>_xll.EQNXTDZ($A$1,$B68,T$5,$B$1)</f>
        <v>41650.519999999997</v>
      </c>
      <c r="U68" s="55">
        <f>_xll.EQNXTDZ($A$1,$B68,U$5,$B$1)</f>
        <v>0</v>
      </c>
      <c r="V68" s="55">
        <f>_xll.EQNXTDZ($A$1,$B68,V$5,$B$1)</f>
        <v>45193.41</v>
      </c>
      <c r="W68" s="55">
        <f>_xll.EQNXTDZ($A$1,$B68,W$5,$B$1)</f>
        <v>0</v>
      </c>
      <c r="X68" s="55">
        <f>_xll.EQNXTDZ($A$1,$B68,X$5,$B$1)</f>
        <v>44770.01</v>
      </c>
      <c r="Y68" s="55">
        <f>_xll.EQNXTDZ($A$1,$B68,Y$5,$B$1)</f>
        <v>0</v>
      </c>
      <c r="Z68" s="55">
        <f>_xll.EQNXTDZ($A$1,$B68,Z$5,$B$1)</f>
        <v>43014.69</v>
      </c>
      <c r="AA68" s="55">
        <f>_xll.EQNXTDZ($A$1,$B68,AA$5,$B$1)</f>
        <v>0</v>
      </c>
      <c r="AB68" s="55">
        <f>_xll.EQNXTDZ($A$1,$B68,AB$5,$B$1)</f>
        <v>44788.7</v>
      </c>
      <c r="AC68" s="55">
        <f>_xll.EQNXTDZ($A$1,$B68,AC$5,$B$1)</f>
        <v>0</v>
      </c>
      <c r="AD68" s="55">
        <f>_xll.EQNXTDZ($A$1,$B68,AD$5,$B$1)</f>
        <v>42663.32</v>
      </c>
      <c r="AE68" s="55">
        <f>_xll.EQNXTDZ($A$1,$B68,AE$5,$B$1)</f>
        <v>0</v>
      </c>
      <c r="AF68" s="55">
        <f>_xll.EQNXTDZ($A$1,$B68,AF$5,$B$1)</f>
        <v>47061.93</v>
      </c>
      <c r="AG68" s="55">
        <f>_xll.EQNXTDZ($A$1,$B68,AG$5,$B$1)</f>
        <v>0</v>
      </c>
      <c r="AH68" s="55">
        <f>_xll.EQNXTDZ($A$1,$B68,AH$5,$B$1)</f>
        <v>46024.79</v>
      </c>
      <c r="AI68" s="55">
        <f>_xll.EQNXTDZ($A$1,$B68,AI$5,$B$1)</f>
        <v>0</v>
      </c>
      <c r="AJ68" s="55">
        <f>_xll.EQNXTDZ($A$1,$B68,AJ$5,$B$1)</f>
        <v>47079.1</v>
      </c>
      <c r="AK68" s="55">
        <f>_xll.EQNXTDZ($A$1,$B68,AK$5,$B$1)</f>
        <v>0</v>
      </c>
      <c r="AL68" s="55">
        <f>_xll.EQNXTDZ($A$1,$B68,AL$5,$B$1)</f>
        <v>46702.31</v>
      </c>
      <c r="AM68" s="55">
        <f>_xll.EQNXTDZ($A$1,$B68,AM$5,$B$1)</f>
        <v>0</v>
      </c>
      <c r="AN68" s="55">
        <f>_xll.EQNXTDZ($A$1,$B68,AN$5,$B$1)</f>
        <v>52418.39</v>
      </c>
      <c r="AO68" s="55">
        <f>_xll.EQNXTDZ($A$1,$B68,AO$5,$B$1)</f>
        <v>0</v>
      </c>
      <c r="AP68" s="55">
        <f>_xll.EQNXTDZ($A$1,$B68,AP$5,$B$1)</f>
        <v>51869.14</v>
      </c>
      <c r="AQ68" s="55">
        <f>_xll.EQNXTDZ($A$1,$B68,AQ$5,$B$1)</f>
        <v>0</v>
      </c>
      <c r="AR68" s="55">
        <f>_xll.EQNXTDZ($A$1,$B68,AR$5,$B$1)</f>
        <v>53695.35</v>
      </c>
      <c r="AS68" s="55">
        <f>_xll.EQNXTDZ($A$1,$B68,AS$5,$B$1)</f>
        <v>0</v>
      </c>
      <c r="AT68" s="55">
        <f>_xll.EQNXTDZ($A$1,$B68,AT$5,$B$1)</f>
        <v>55906.3</v>
      </c>
      <c r="AU68" s="55">
        <f>_xll.EQNXTDZ($A$1,$B68,AU$5,$B$1)</f>
        <v>0</v>
      </c>
      <c r="AV68" s="55">
        <f>_xll.EQNXTDZ($A$1,$B68,AV$5,$B$1)</f>
        <v>56626.17</v>
      </c>
      <c r="AW68" s="55">
        <f>_xll.EQNXTDZ($A$1,$B68,AW$5,$B$1)</f>
        <v>0</v>
      </c>
      <c r="AX68" s="55">
        <f>_xll.EQNXTDZ($A$1,$B68,AX$5,$B$1)</f>
        <v>61083.35</v>
      </c>
      <c r="AY68" s="55">
        <f>_xll.EQNXTDZ($A$1,$B68,AY$5,$B$1)</f>
        <v>0</v>
      </c>
      <c r="AZ68" s="55">
        <f>_xll.EQNXTDZ($A$1,$B68,AZ$5,$B$1)</f>
        <v>63898.62</v>
      </c>
      <c r="BA68" s="55">
        <f>_xll.EQNXTDZ($A$1,$B68,BA$5,$B$1)</f>
        <v>0</v>
      </c>
      <c r="BB68" s="55">
        <f>_xll.EQNXTDZ($A$1,$B68,BB$5,$B$1)</f>
        <v>71633.08</v>
      </c>
      <c r="BC68" s="55">
        <f>_xll.EQNXTDZ($A$1,$B68,BC$5,$B$1)</f>
        <v>0</v>
      </c>
      <c r="BD68" s="55">
        <f>_xll.EQNXTDZ($A$1,$B68,BD$5,$B$1)</f>
        <v>72165.649999999994</v>
      </c>
      <c r="BE68" s="55">
        <f>_xll.EQNXTDZ($A$1,$B68,BE$5,$B$1)</f>
        <v>0</v>
      </c>
      <c r="BF68" s="55">
        <f>_xll.EQNXTDZ($A$1,$B68,BF$5,$B$1)</f>
        <v>80115.789999999994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7783.97</v>
      </c>
      <c r="E71" s="55">
        <f>_xll.EQNXTDZ($A$1,$B71,E$5,$B$1)</f>
        <v>0</v>
      </c>
      <c r="F71" s="55">
        <f>_xll.EQNXTDZ($A$1,$B71,F$5,$B$1)</f>
        <v>37986.720000000001</v>
      </c>
      <c r="G71" s="55">
        <f>_xll.EQNXTDZ($A$1,$B71,G$5,$B$1)</f>
        <v>0</v>
      </c>
      <c r="H71" s="55">
        <f>_xll.EQNXTDZ($A$1,$B71,H$5,$B$1)</f>
        <v>40051.89</v>
      </c>
      <c r="I71" s="55">
        <f>_xll.EQNXTDZ($A$1,$B71,I$5,$B$1)</f>
        <v>0</v>
      </c>
      <c r="J71" s="55">
        <f>_xll.EQNXTDZ($A$1,$B71,J$5,$B$1)</f>
        <v>40450.230000000003</v>
      </c>
      <c r="K71" s="55">
        <f>_xll.EQNXTDZ($A$1,$B71,K$5,$B$1)</f>
        <v>0</v>
      </c>
      <c r="L71" s="55">
        <f>_xll.EQNXTDZ($A$1,$B71,L$5,$B$1)</f>
        <v>41079.120000000003</v>
      </c>
      <c r="M71" s="55">
        <f>_xll.EQNXTDZ($A$1,$B71,M$5,$B$1)</f>
        <v>0</v>
      </c>
      <c r="N71" s="55">
        <f>_xll.EQNXTDZ($A$1,$B71,N$5,$B$1)</f>
        <v>41423.129999999997</v>
      </c>
      <c r="O71" s="55">
        <f>_xll.EQNXTDZ($A$1,$B71,O$5,$B$1)</f>
        <v>0</v>
      </c>
      <c r="P71" s="55">
        <f>_xll.EQNXTDZ($A$1,$B71,P$5,$B$1)</f>
        <v>42903.94</v>
      </c>
      <c r="Q71" s="55">
        <f>_xll.EQNXTDZ($A$1,$B71,Q$5,$B$1)</f>
        <v>0</v>
      </c>
      <c r="R71" s="55">
        <f>_xll.EQNXTDZ($A$1,$B71,R$5,$B$1)</f>
        <v>36618.93</v>
      </c>
      <c r="S71" s="55">
        <f>_xll.EQNXTDZ($A$1,$B71,S$5,$B$1)</f>
        <v>0</v>
      </c>
      <c r="T71" s="55">
        <f>_xll.EQNXTDZ($A$1,$B71,T$5,$B$1)</f>
        <v>41650.519999999997</v>
      </c>
      <c r="U71" s="55">
        <f>_xll.EQNXTDZ($A$1,$B71,U$5,$B$1)</f>
        <v>0</v>
      </c>
      <c r="V71" s="55">
        <f>_xll.EQNXTDZ($A$1,$B71,V$5,$B$1)</f>
        <v>45193.41</v>
      </c>
      <c r="W71" s="55">
        <f>_xll.EQNXTDZ($A$1,$B71,W$5,$B$1)</f>
        <v>0</v>
      </c>
      <c r="X71" s="55">
        <f>_xll.EQNXTDZ($A$1,$B71,X$5,$B$1)</f>
        <v>44770.01</v>
      </c>
      <c r="Y71" s="55">
        <f>_xll.EQNXTDZ($A$1,$B71,Y$5,$B$1)</f>
        <v>0</v>
      </c>
      <c r="Z71" s="55">
        <f>_xll.EQNXTDZ($A$1,$B71,Z$5,$B$1)</f>
        <v>43014.69</v>
      </c>
      <c r="AA71" s="55">
        <f>_xll.EQNXTDZ($A$1,$B71,AA$5,$B$1)</f>
        <v>0</v>
      </c>
      <c r="AB71" s="55">
        <f>_xll.EQNXTDZ($A$1,$B71,AB$5,$B$1)</f>
        <v>44788.7</v>
      </c>
      <c r="AC71" s="55">
        <f>_xll.EQNXTDZ($A$1,$B71,AC$5,$B$1)</f>
        <v>0</v>
      </c>
      <c r="AD71" s="55">
        <f>_xll.EQNXTDZ($A$1,$B71,AD$5,$B$1)</f>
        <v>42663.32</v>
      </c>
      <c r="AE71" s="55">
        <f>_xll.EQNXTDZ($A$1,$B71,AE$5,$B$1)</f>
        <v>0</v>
      </c>
      <c r="AF71" s="55">
        <f>_xll.EQNXTDZ($A$1,$B71,AF$5,$B$1)</f>
        <v>47061.93</v>
      </c>
      <c r="AG71" s="55">
        <f>_xll.EQNXTDZ($A$1,$B71,AG$5,$B$1)</f>
        <v>0</v>
      </c>
      <c r="AH71" s="55">
        <f>_xll.EQNXTDZ($A$1,$B71,AH$5,$B$1)</f>
        <v>46024.79</v>
      </c>
      <c r="AI71" s="55">
        <f>_xll.EQNXTDZ($A$1,$B71,AI$5,$B$1)</f>
        <v>0</v>
      </c>
      <c r="AJ71" s="55">
        <f>_xll.EQNXTDZ($A$1,$B71,AJ$5,$B$1)</f>
        <v>47079.1</v>
      </c>
      <c r="AK71" s="55">
        <f>_xll.EQNXTDZ($A$1,$B71,AK$5,$B$1)</f>
        <v>0</v>
      </c>
      <c r="AL71" s="55">
        <f>_xll.EQNXTDZ($A$1,$B71,AL$5,$B$1)</f>
        <v>46702.31</v>
      </c>
      <c r="AM71" s="55">
        <f>_xll.EQNXTDZ($A$1,$B71,AM$5,$B$1)</f>
        <v>0</v>
      </c>
      <c r="AN71" s="55">
        <f>_xll.EQNXTDZ($A$1,$B71,AN$5,$B$1)</f>
        <v>52418.39</v>
      </c>
      <c r="AO71" s="55">
        <f>_xll.EQNXTDZ($A$1,$B71,AO$5,$B$1)</f>
        <v>0</v>
      </c>
      <c r="AP71" s="55">
        <f>_xll.EQNXTDZ($A$1,$B71,AP$5,$B$1)</f>
        <v>51869.14</v>
      </c>
      <c r="AQ71" s="55">
        <f>_xll.EQNXTDZ($A$1,$B71,AQ$5,$B$1)</f>
        <v>0</v>
      </c>
      <c r="AR71" s="55">
        <f>_xll.EQNXTDZ($A$1,$B71,AR$5,$B$1)</f>
        <v>53695.35</v>
      </c>
      <c r="AS71" s="55">
        <f>_xll.EQNXTDZ($A$1,$B71,AS$5,$B$1)</f>
        <v>0</v>
      </c>
      <c r="AT71" s="55">
        <f>_xll.EQNXTDZ($A$1,$B71,AT$5,$B$1)</f>
        <v>55906.3</v>
      </c>
      <c r="AU71" s="55">
        <f>_xll.EQNXTDZ($A$1,$B71,AU$5,$B$1)</f>
        <v>0</v>
      </c>
      <c r="AV71" s="55">
        <f>_xll.EQNXTDZ($A$1,$B71,AV$5,$B$1)</f>
        <v>56626.17</v>
      </c>
      <c r="AW71" s="55">
        <f>_xll.EQNXTDZ($A$1,$B71,AW$5,$B$1)</f>
        <v>0</v>
      </c>
      <c r="AX71" s="55">
        <f>_xll.EQNXTDZ($A$1,$B71,AX$5,$B$1)</f>
        <v>61083.35</v>
      </c>
      <c r="AY71" s="55">
        <f>_xll.EQNXTDZ($A$1,$B71,AY$5,$B$1)</f>
        <v>0</v>
      </c>
      <c r="AZ71" s="55">
        <f>_xll.EQNXTDZ($A$1,$B71,AZ$5,$B$1)</f>
        <v>63898.62</v>
      </c>
      <c r="BA71" s="55">
        <f>_xll.EQNXTDZ($A$1,$B71,BA$5,$B$1)</f>
        <v>0</v>
      </c>
      <c r="BB71" s="55">
        <f>_xll.EQNXTDZ($A$1,$B71,BB$5,$B$1)</f>
        <v>71633.08</v>
      </c>
      <c r="BC71" s="55">
        <f>_xll.EQNXTDZ($A$1,$B71,BC$5,$B$1)</f>
        <v>0</v>
      </c>
      <c r="BD71" s="55">
        <f>_xll.EQNXTDZ($A$1,$B71,BD$5,$B$1)</f>
        <v>72165.649999999994</v>
      </c>
      <c r="BE71" s="55">
        <f>_xll.EQNXTDZ($A$1,$B71,BE$5,$B$1)</f>
        <v>0</v>
      </c>
      <c r="BF71" s="55">
        <f>_xll.EQNXTDZ($A$1,$B71,BF$5,$B$1)</f>
        <v>80115.789999999994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5724.14</v>
      </c>
      <c r="G72" s="55">
        <f>_xll.EQNXTDZ($A$1,$B72,G$5,$B$1)</f>
        <v>0</v>
      </c>
      <c r="H72" s="55">
        <f>_xll.EQNXTDZ($A$1,$B72,H$5,$B$1)</f>
        <v>6605.38</v>
      </c>
      <c r="I72" s="55">
        <f>_xll.EQNXTDZ($A$1,$B72,I$5,$B$1)</f>
        <v>0</v>
      </c>
      <c r="J72" s="55">
        <f>_xll.EQNXTDZ($A$1,$B72,J$5,$B$1)</f>
        <v>6332.04</v>
      </c>
      <c r="K72" s="55">
        <f>_xll.EQNXTDZ($A$1,$B72,K$5,$B$1)</f>
        <v>0</v>
      </c>
      <c r="L72" s="55">
        <f>_xll.EQNXTDZ($A$1,$B72,L$5,$B$1)</f>
        <v>6534.11</v>
      </c>
      <c r="M72" s="55">
        <f>_xll.EQNXTDZ($A$1,$B72,M$5,$B$1)</f>
        <v>0</v>
      </c>
      <c r="N72" s="55">
        <f>_xll.EQNXTDZ($A$1,$B72,N$5,$B$1)</f>
        <v>6625.76</v>
      </c>
      <c r="O72" s="55">
        <f>_xll.EQNXTDZ($A$1,$B72,O$5,$B$1)</f>
        <v>0</v>
      </c>
      <c r="P72" s="55">
        <f>_xll.EQNXTDZ($A$1,$B72,P$5,$B$1)</f>
        <v>7187.42</v>
      </c>
      <c r="Q72" s="55">
        <f>_xll.EQNXTDZ($A$1,$B72,Q$5,$B$1)</f>
        <v>0</v>
      </c>
      <c r="R72" s="55">
        <f>_xll.EQNXTDZ($A$1,$B72,R$5,$B$1)</f>
        <v>5.54</v>
      </c>
      <c r="S72" s="55">
        <f>_xll.EQNXTDZ($A$1,$B72,S$5,$B$1)</f>
        <v>0</v>
      </c>
      <c r="T72" s="55">
        <f>_xll.EQNXTDZ($A$1,$B72,T$5,$B$1)</f>
        <v>1698.23</v>
      </c>
      <c r="U72" s="55">
        <f>_xll.EQNXTDZ($A$1,$B72,U$5,$B$1)</f>
        <v>0</v>
      </c>
      <c r="V72" s="55">
        <f>_xll.EQNXTDZ($A$1,$B72,V$5,$B$1)</f>
        <v>1653.57</v>
      </c>
      <c r="W72" s="55">
        <f>_xll.EQNXTDZ($A$1,$B72,W$5,$B$1)</f>
        <v>0</v>
      </c>
      <c r="X72" s="55">
        <f>_xll.EQNXTDZ($A$1,$B72,X$5,$B$1)</f>
        <v>1654.69</v>
      </c>
      <c r="Y72" s="55">
        <f>_xll.EQNXTDZ($A$1,$B72,Y$5,$B$1)</f>
        <v>0</v>
      </c>
      <c r="Z72" s="55">
        <f>_xll.EQNXTDZ($A$1,$B72,Z$5,$B$1)</f>
        <v>1641.57</v>
      </c>
      <c r="AA72" s="55">
        <f>_xll.EQNXTDZ($A$1,$B72,AA$5,$B$1)</f>
        <v>0</v>
      </c>
      <c r="AB72" s="55">
        <f>_xll.EQNXTDZ($A$1,$B72,AB$5,$B$1)</f>
        <v>1641.57</v>
      </c>
      <c r="AC72" s="55">
        <f>_xll.EQNXTDZ($A$1,$B72,AC$5,$B$1)</f>
        <v>0</v>
      </c>
      <c r="AD72" s="55">
        <f>_xll.EQNXTDZ($A$1,$B72,AD$5,$B$1)</f>
        <v>1641.57</v>
      </c>
      <c r="AE72" s="55">
        <f>_xll.EQNXTDZ($A$1,$B72,AE$5,$B$1)</f>
        <v>0</v>
      </c>
      <c r="AF72" s="55">
        <f>_xll.EQNXTDZ($A$1,$B72,AF$5,$B$1)</f>
        <v>1641.57</v>
      </c>
      <c r="AG72" s="55">
        <f>_xll.EQNXTDZ($A$1,$B72,AG$5,$B$1)</f>
        <v>0</v>
      </c>
      <c r="AH72" s="55">
        <f>_xll.EQNXTDZ($A$1,$B72,AH$5,$B$1)</f>
        <v>1641.57</v>
      </c>
      <c r="AI72" s="55">
        <f>_xll.EQNXTDZ($A$1,$B72,AI$5,$B$1)</f>
        <v>0</v>
      </c>
      <c r="AJ72" s="55">
        <f>_xll.EQNXTDZ($A$1,$B72,AJ$5,$B$1)</f>
        <v>1667.52</v>
      </c>
      <c r="AK72" s="55">
        <f>_xll.EQNXTDZ($A$1,$B72,AK$5,$B$1)</f>
        <v>0</v>
      </c>
      <c r="AL72" s="55">
        <f>_xll.EQNXTDZ($A$1,$B72,AL$5,$B$1)</f>
        <v>1794.57</v>
      </c>
      <c r="AM72" s="55">
        <f>_xll.EQNXTDZ($A$1,$B72,AM$5,$B$1)</f>
        <v>0</v>
      </c>
      <c r="AN72" s="55">
        <f>_xll.EQNXTDZ($A$1,$B72,AN$5,$B$1)</f>
        <v>1858.31</v>
      </c>
      <c r="AO72" s="55">
        <f>_xll.EQNXTDZ($A$1,$B72,AO$5,$B$1)</f>
        <v>0</v>
      </c>
      <c r="AP72" s="55">
        <f>_xll.EQNXTDZ($A$1,$B72,AP$5,$B$1)</f>
        <v>1858.31</v>
      </c>
      <c r="AQ72" s="55">
        <f>_xll.EQNXTDZ($A$1,$B72,AQ$5,$B$1)</f>
        <v>0</v>
      </c>
      <c r="AR72" s="55">
        <f>_xll.EQNXTDZ($A$1,$B72,AR$5,$B$1)</f>
        <v>1858.31</v>
      </c>
      <c r="AS72" s="55">
        <f>_xll.EQNXTDZ($A$1,$B72,AS$5,$B$1)</f>
        <v>0</v>
      </c>
      <c r="AT72" s="55">
        <f>_xll.EQNXTDZ($A$1,$B72,AT$5,$B$1)</f>
        <v>1858.31</v>
      </c>
      <c r="AU72" s="55">
        <f>_xll.EQNXTDZ($A$1,$B72,AU$5,$B$1)</f>
        <v>0</v>
      </c>
      <c r="AV72" s="55">
        <f>_xll.EQNXTDZ($A$1,$B72,AV$5,$B$1)</f>
        <v>1858.31</v>
      </c>
      <c r="AW72" s="55">
        <f>_xll.EQNXTDZ($A$1,$B72,AW$5,$B$1)</f>
        <v>0</v>
      </c>
      <c r="AX72" s="55">
        <f>_xll.EQNXTDZ($A$1,$B72,AX$5,$B$1)</f>
        <v>1757.46</v>
      </c>
      <c r="AY72" s="55">
        <f>_xll.EQNXTDZ($A$1,$B72,AY$5,$B$1)</f>
        <v>0</v>
      </c>
      <c r="AZ72" s="55">
        <f>_xll.EQNXTDZ($A$1,$B72,AZ$5,$B$1)</f>
        <v>1757.46</v>
      </c>
      <c r="BA72" s="55">
        <f>_xll.EQNXTDZ($A$1,$B72,BA$5,$B$1)</f>
        <v>0</v>
      </c>
      <c r="BB72" s="55">
        <f>_xll.EQNXTDZ($A$1,$B72,BB$5,$B$1)</f>
        <v>1651.46</v>
      </c>
      <c r="BC72" s="55">
        <f>_xll.EQNXTDZ($A$1,$B72,BC$5,$B$1)</f>
        <v>0</v>
      </c>
      <c r="BD72" s="55">
        <f>_xll.EQNXTDZ($A$1,$B72,BD$5,$B$1)</f>
        <v>1651.46</v>
      </c>
      <c r="BE72" s="55">
        <f>_xll.EQNXTDZ($A$1,$B72,BE$5,$B$1)</f>
        <v>0</v>
      </c>
      <c r="BF72" s="55">
        <f>_xll.EQNXTDZ($A$1,$B72,BF$5,$B$1)</f>
        <v>1651.46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1134.1600000000001</v>
      </c>
      <c r="S74" s="55">
        <f>_xll.EQNXTDZ($A$1,$B74,S$5,$B$1)</f>
        <v>0</v>
      </c>
      <c r="T74" s="55">
        <f>_xll.EQNXTDZ($A$1,$B74,T$5,$B$1)</f>
        <v>1912.18</v>
      </c>
      <c r="U74" s="55">
        <f>_xll.EQNXTDZ($A$1,$B74,U$5,$B$1)</f>
        <v>0</v>
      </c>
      <c r="V74" s="55">
        <f>_xll.EQNXTDZ($A$1,$B74,V$5,$B$1)</f>
        <v>1923.24</v>
      </c>
      <c r="W74" s="55">
        <f>_xll.EQNXTDZ($A$1,$B74,W$5,$B$1)</f>
        <v>0</v>
      </c>
      <c r="X74" s="55">
        <f>_xll.EQNXTDZ($A$1,$B74,X$5,$B$1)</f>
        <v>2761.41</v>
      </c>
      <c r="Y74" s="55">
        <f>_xll.EQNXTDZ($A$1,$B74,Y$5,$B$1)</f>
        <v>0</v>
      </c>
      <c r="Z74" s="55">
        <f>_xll.EQNXTDZ($A$1,$B74,Z$5,$B$1)</f>
        <v>1652.6</v>
      </c>
      <c r="AA74" s="55">
        <f>_xll.EQNXTDZ($A$1,$B74,AA$5,$B$1)</f>
        <v>0</v>
      </c>
      <c r="AB74" s="55">
        <f>_xll.EQNXTDZ($A$1,$B74,AB$5,$B$1)</f>
        <v>1166.01</v>
      </c>
      <c r="AC74" s="55">
        <f>_xll.EQNXTDZ($A$1,$B74,AC$5,$B$1)</f>
        <v>0</v>
      </c>
      <c r="AD74" s="55">
        <f>_xll.EQNXTDZ($A$1,$B74,AD$5,$B$1)</f>
        <v>2575.6999999999998</v>
      </c>
      <c r="AE74" s="55">
        <f>_xll.EQNXTDZ($A$1,$B74,AE$5,$B$1)</f>
        <v>0</v>
      </c>
      <c r="AF74" s="55">
        <f>_xll.EQNXTDZ($A$1,$B74,AF$5,$B$1)</f>
        <v>1294.06</v>
      </c>
      <c r="AG74" s="55">
        <f>_xll.EQNXTDZ($A$1,$B74,AG$5,$B$1)</f>
        <v>0</v>
      </c>
      <c r="AH74" s="55">
        <f>_xll.EQNXTDZ($A$1,$B74,AH$5,$B$1)</f>
        <v>1611.52</v>
      </c>
      <c r="AI74" s="55">
        <f>_xll.EQNXTDZ($A$1,$B74,AI$5,$B$1)</f>
        <v>0</v>
      </c>
      <c r="AJ74" s="55">
        <f>_xll.EQNXTDZ($A$1,$B74,AJ$5,$B$1)</f>
        <v>2941.61</v>
      </c>
      <c r="AK74" s="55">
        <f>_xll.EQNXTDZ($A$1,$B74,AK$5,$B$1)</f>
        <v>0</v>
      </c>
      <c r="AL74" s="55">
        <f>_xll.EQNXTDZ($A$1,$B74,AL$5,$B$1)</f>
        <v>3270.26</v>
      </c>
      <c r="AM74" s="55">
        <f>_xll.EQNXTDZ($A$1,$B74,AM$5,$B$1)</f>
        <v>0</v>
      </c>
      <c r="AN74" s="55">
        <f>_xll.EQNXTDZ($A$1,$B74,AN$5,$B$1)</f>
        <v>4318.16</v>
      </c>
      <c r="AO74" s="55">
        <f>_xll.EQNXTDZ($A$1,$B74,AO$5,$B$1)</f>
        <v>0</v>
      </c>
      <c r="AP74" s="55">
        <f>_xll.EQNXTDZ($A$1,$B74,AP$5,$B$1)</f>
        <v>4635.1000000000004</v>
      </c>
      <c r="AQ74" s="55">
        <f>_xll.EQNXTDZ($A$1,$B74,AQ$5,$B$1)</f>
        <v>0</v>
      </c>
      <c r="AR74" s="55">
        <f>_xll.EQNXTDZ($A$1,$B74,AR$5,$B$1)</f>
        <v>3667.82</v>
      </c>
      <c r="AS74" s="55">
        <f>_xll.EQNXTDZ($A$1,$B74,AS$5,$B$1)</f>
        <v>0</v>
      </c>
      <c r="AT74" s="55">
        <f>_xll.EQNXTDZ($A$1,$B74,AT$5,$B$1)</f>
        <v>5376.36</v>
      </c>
      <c r="AU74" s="55">
        <f>_xll.EQNXTDZ($A$1,$B74,AU$5,$B$1)</f>
        <v>0</v>
      </c>
      <c r="AV74" s="55">
        <f>_xll.EQNXTDZ($A$1,$B74,AV$5,$B$1)</f>
        <v>7199.24</v>
      </c>
      <c r="AW74" s="55">
        <f>_xll.EQNXTDZ($A$1,$B74,AW$5,$B$1)</f>
        <v>0</v>
      </c>
      <c r="AX74" s="55">
        <f>_xll.EQNXTDZ($A$1,$B74,AX$5,$B$1)</f>
        <v>11561.31</v>
      </c>
      <c r="AY74" s="55">
        <f>_xll.EQNXTDZ($A$1,$B74,AY$5,$B$1)</f>
        <v>0</v>
      </c>
      <c r="AZ74" s="55">
        <f>_xll.EQNXTDZ($A$1,$B74,AZ$5,$B$1)</f>
        <v>14305.77</v>
      </c>
      <c r="BA74" s="55">
        <f>_xll.EQNXTDZ($A$1,$B74,BA$5,$B$1)</f>
        <v>0</v>
      </c>
      <c r="BB74" s="55">
        <f>_xll.EQNXTDZ($A$1,$B74,BB$5,$B$1)</f>
        <v>12678.87</v>
      </c>
      <c r="BC74" s="55">
        <f>_xll.EQNXTDZ($A$1,$B74,BC$5,$B$1)</f>
        <v>0</v>
      </c>
      <c r="BD74" s="55">
        <f>_xll.EQNXTDZ($A$1,$B74,BD$5,$B$1)</f>
        <v>15943.12</v>
      </c>
      <c r="BE74" s="55">
        <f>_xll.EQNXTDZ($A$1,$B74,BE$5,$B$1)</f>
        <v>0</v>
      </c>
      <c r="BF74" s="55">
        <f>_xll.EQNXTDZ($A$1,$B74,BF$5,$B$1)</f>
        <v>14595.13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9282.83</v>
      </c>
      <c r="E77" s="55">
        <f>_xll.EQNXTDZ($A$1,$B77,E$5,$B$1)</f>
        <v>0</v>
      </c>
      <c r="F77" s="55">
        <f>_xll.EQNXTDZ($A$1,$B77,F$5,$B$1)</f>
        <v>2642.71</v>
      </c>
      <c r="G77" s="55">
        <f>_xll.EQNXTDZ($A$1,$B77,G$5,$B$1)</f>
        <v>0</v>
      </c>
      <c r="H77" s="55">
        <f>_xll.EQNXTDZ($A$1,$B77,H$5,$B$1)</f>
        <v>2810.98</v>
      </c>
      <c r="I77" s="55">
        <f>_xll.EQNXTDZ($A$1,$B77,I$5,$B$1)</f>
        <v>0</v>
      </c>
      <c r="J77" s="55">
        <f>_xll.EQNXTDZ($A$1,$B77,J$5,$B$1)</f>
        <v>2678.72</v>
      </c>
      <c r="K77" s="55">
        <f>_xll.EQNXTDZ($A$1,$B77,K$5,$B$1)</f>
        <v>0</v>
      </c>
      <c r="L77" s="55">
        <f>_xll.EQNXTDZ($A$1,$B77,L$5,$B$1)</f>
        <v>2708.3</v>
      </c>
      <c r="M77" s="55">
        <f>_xll.EQNXTDZ($A$1,$B77,M$5,$B$1)</f>
        <v>0</v>
      </c>
      <c r="N77" s="55">
        <f>_xll.EQNXTDZ($A$1,$B77,N$5,$B$1)</f>
        <v>2839</v>
      </c>
      <c r="O77" s="55">
        <f>_xll.EQNXTDZ($A$1,$B77,O$5,$B$1)</f>
        <v>0</v>
      </c>
      <c r="P77" s="55">
        <f>_xll.EQNXTDZ($A$1,$B77,P$5,$B$1)</f>
        <v>2762.84</v>
      </c>
      <c r="Q77" s="55">
        <f>_xll.EQNXTDZ($A$1,$B77,Q$5,$B$1)</f>
        <v>0</v>
      </c>
      <c r="R77" s="55">
        <f>_xll.EQNXTDZ($A$1,$B77,R$5,$B$1)</f>
        <v>11449.4</v>
      </c>
      <c r="S77" s="55">
        <f>_xll.EQNXTDZ($A$1,$B77,S$5,$B$1)</f>
        <v>0</v>
      </c>
      <c r="T77" s="55">
        <f>_xll.EQNXTDZ($A$1,$B77,T$5,$B$1)</f>
        <v>15897.43</v>
      </c>
      <c r="U77" s="55">
        <f>_xll.EQNXTDZ($A$1,$B77,U$5,$B$1)</f>
        <v>0</v>
      </c>
      <c r="V77" s="55">
        <f>_xll.EQNXTDZ($A$1,$B77,V$5,$B$1)</f>
        <v>10777.72</v>
      </c>
      <c r="W77" s="55">
        <f>_xll.EQNXTDZ($A$1,$B77,W$5,$B$1)</f>
        <v>0</v>
      </c>
      <c r="X77" s="55">
        <f>_xll.EQNXTDZ($A$1,$B77,X$5,$B$1)</f>
        <v>10500.7</v>
      </c>
      <c r="Y77" s="55">
        <f>_xll.EQNXTDZ($A$1,$B77,Y$5,$B$1)</f>
        <v>0</v>
      </c>
      <c r="Z77" s="55">
        <f>_xll.EQNXTDZ($A$1,$B77,Z$5,$B$1)</f>
        <v>11992.77</v>
      </c>
      <c r="AA77" s="55">
        <f>_xll.EQNXTDZ($A$1,$B77,AA$5,$B$1)</f>
        <v>0</v>
      </c>
      <c r="AB77" s="55">
        <f>_xll.EQNXTDZ($A$1,$B77,AB$5,$B$1)</f>
        <v>13793.01</v>
      </c>
      <c r="AC77" s="55">
        <f>_xll.EQNXTDZ($A$1,$B77,AC$5,$B$1)</f>
        <v>0</v>
      </c>
      <c r="AD77" s="55">
        <f>_xll.EQNXTDZ($A$1,$B77,AD$5,$B$1)</f>
        <v>13374.89</v>
      </c>
      <c r="AE77" s="55">
        <f>_xll.EQNXTDZ($A$1,$B77,AE$5,$B$1)</f>
        <v>0</v>
      </c>
      <c r="AF77" s="55">
        <f>_xll.EQNXTDZ($A$1,$B77,AF$5,$B$1)</f>
        <v>12072.28</v>
      </c>
      <c r="AG77" s="55">
        <f>_xll.EQNXTDZ($A$1,$B77,AG$5,$B$1)</f>
        <v>0</v>
      </c>
      <c r="AH77" s="55">
        <f>_xll.EQNXTDZ($A$1,$B77,AH$5,$B$1)</f>
        <v>13835.33</v>
      </c>
      <c r="AI77" s="55">
        <f>_xll.EQNXTDZ($A$1,$B77,AI$5,$B$1)</f>
        <v>0</v>
      </c>
      <c r="AJ77" s="55">
        <f>_xll.EQNXTDZ($A$1,$B77,AJ$5,$B$1)</f>
        <v>13467.03</v>
      </c>
      <c r="AK77" s="55">
        <f>_xll.EQNXTDZ($A$1,$B77,AK$5,$B$1)</f>
        <v>0</v>
      </c>
      <c r="AL77" s="55">
        <f>_xll.EQNXTDZ($A$1,$B77,AL$5,$B$1)</f>
        <v>12649.51</v>
      </c>
      <c r="AM77" s="55">
        <f>_xll.EQNXTDZ($A$1,$B77,AM$5,$B$1)</f>
        <v>0</v>
      </c>
      <c r="AN77" s="55">
        <f>_xll.EQNXTDZ($A$1,$B77,AN$5,$B$1)</f>
        <v>12907.35</v>
      </c>
      <c r="AO77" s="55">
        <f>_xll.EQNXTDZ($A$1,$B77,AO$5,$B$1)</f>
        <v>0</v>
      </c>
      <c r="AP77" s="55">
        <f>_xll.EQNXTDZ($A$1,$B77,AP$5,$B$1)</f>
        <v>13749.81</v>
      </c>
      <c r="AQ77" s="55">
        <f>_xll.EQNXTDZ($A$1,$B77,AQ$5,$B$1)</f>
        <v>0</v>
      </c>
      <c r="AR77" s="55">
        <f>_xll.EQNXTDZ($A$1,$B77,AR$5,$B$1)</f>
        <v>15815.07</v>
      </c>
      <c r="AS77" s="55">
        <f>_xll.EQNXTDZ($A$1,$B77,AS$5,$B$1)</f>
        <v>0</v>
      </c>
      <c r="AT77" s="55">
        <f>_xll.EQNXTDZ($A$1,$B77,AT$5,$B$1)</f>
        <v>15520.09</v>
      </c>
      <c r="AU77" s="55">
        <f>_xll.EQNXTDZ($A$1,$B77,AU$5,$B$1)</f>
        <v>0</v>
      </c>
      <c r="AV77" s="55">
        <f>_xll.EQNXTDZ($A$1,$B77,AV$5,$B$1)</f>
        <v>15585.86</v>
      </c>
      <c r="AW77" s="55">
        <f>_xll.EQNXTDZ($A$1,$B77,AW$5,$B$1)</f>
        <v>0</v>
      </c>
      <c r="AX77" s="55">
        <f>_xll.EQNXTDZ($A$1,$B77,AX$5,$B$1)</f>
        <v>14838.1</v>
      </c>
      <c r="AY77" s="55">
        <f>_xll.EQNXTDZ($A$1,$B77,AY$5,$B$1)</f>
        <v>0</v>
      </c>
      <c r="AZ77" s="55">
        <f>_xll.EQNXTDZ($A$1,$B77,AZ$5,$B$1)</f>
        <v>15003.92</v>
      </c>
      <c r="BA77" s="55">
        <f>_xll.EQNXTDZ($A$1,$B77,BA$5,$B$1)</f>
        <v>0</v>
      </c>
      <c r="BB77" s="55">
        <f>_xll.EQNXTDZ($A$1,$B77,BB$5,$B$1)</f>
        <v>15013.97</v>
      </c>
      <c r="BC77" s="55">
        <f>_xll.EQNXTDZ($A$1,$B77,BC$5,$B$1)</f>
        <v>0</v>
      </c>
      <c r="BD77" s="55">
        <f>_xll.EQNXTDZ($A$1,$B77,BD$5,$B$1)</f>
        <v>15282.08</v>
      </c>
      <c r="BE77" s="55">
        <f>_xll.EQNXTDZ($A$1,$B77,BE$5,$B$1)</f>
        <v>0</v>
      </c>
      <c r="BF77" s="55">
        <f>_xll.EQNXTDZ($A$1,$B77,BF$5,$B$1)</f>
        <v>15218.42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2203.4499999999998</v>
      </c>
      <c r="E78" s="55">
        <f>_xll.EQNXTDZ($A$1,$B78,E$5,$B$1)</f>
        <v>0</v>
      </c>
      <c r="F78" s="55">
        <f>_xll.EQNXTDZ($A$1,$B78,F$5,$B$1)</f>
        <v>1603.85</v>
      </c>
      <c r="G78" s="55">
        <f>_xll.EQNXTDZ($A$1,$B78,G$5,$B$1)</f>
        <v>0</v>
      </c>
      <c r="H78" s="55">
        <f>_xll.EQNXTDZ($A$1,$B78,H$5,$B$1)</f>
        <v>1647.88</v>
      </c>
      <c r="I78" s="55">
        <f>_xll.EQNXTDZ($A$1,$B78,I$5,$B$1)</f>
        <v>0</v>
      </c>
      <c r="J78" s="55">
        <f>_xll.EQNXTDZ($A$1,$B78,J$5,$B$1)</f>
        <v>1512.38</v>
      </c>
      <c r="K78" s="55">
        <f>_xll.EQNXTDZ($A$1,$B78,K$5,$B$1)</f>
        <v>0</v>
      </c>
      <c r="L78" s="55">
        <f>_xll.EQNXTDZ($A$1,$B78,L$5,$B$1)</f>
        <v>1893.96</v>
      </c>
      <c r="M78" s="55">
        <f>_xll.EQNXTDZ($A$1,$B78,M$5,$B$1)</f>
        <v>0</v>
      </c>
      <c r="N78" s="55">
        <f>_xll.EQNXTDZ($A$1,$B78,N$5,$B$1)</f>
        <v>1776.01</v>
      </c>
      <c r="O78" s="55">
        <f>_xll.EQNXTDZ($A$1,$B78,O$5,$B$1)</f>
        <v>0</v>
      </c>
      <c r="P78" s="55">
        <f>_xll.EQNXTDZ($A$1,$B78,P$5,$B$1)</f>
        <v>1746.33</v>
      </c>
      <c r="Q78" s="55">
        <f>_xll.EQNXTDZ($A$1,$B78,Q$5,$B$1)</f>
        <v>0</v>
      </c>
      <c r="R78" s="55">
        <f>_xll.EQNXTDZ($A$1,$B78,R$5,$B$1)</f>
        <v>390.37</v>
      </c>
      <c r="S78" s="55">
        <f>_xll.EQNXTDZ($A$1,$B78,S$5,$B$1)</f>
        <v>0</v>
      </c>
      <c r="T78" s="55">
        <f>_xll.EQNXTDZ($A$1,$B78,T$5,$B$1)</f>
        <v>431.56</v>
      </c>
      <c r="U78" s="55">
        <f>_xll.EQNXTDZ($A$1,$B78,U$5,$B$1)</f>
        <v>0</v>
      </c>
      <c r="V78" s="55">
        <f>_xll.EQNXTDZ($A$1,$B78,V$5,$B$1)</f>
        <v>77.16</v>
      </c>
      <c r="W78" s="55">
        <f>_xll.EQNXTDZ($A$1,$B78,W$5,$B$1)</f>
        <v>0</v>
      </c>
      <c r="X78" s="55">
        <f>_xll.EQNXTDZ($A$1,$B78,X$5,$B$1)</f>
        <v>76.8</v>
      </c>
      <c r="Y78" s="55">
        <f>_xll.EQNXTDZ($A$1,$B78,Y$5,$B$1)</f>
        <v>0</v>
      </c>
      <c r="Z78" s="55">
        <f>_xll.EQNXTDZ($A$1,$B78,Z$5,$B$1)</f>
        <v>131.72999999999999</v>
      </c>
      <c r="AA78" s="55">
        <f>_xll.EQNXTDZ($A$1,$B78,AA$5,$B$1)</f>
        <v>0</v>
      </c>
      <c r="AB78" s="55">
        <f>_xll.EQNXTDZ($A$1,$B78,AB$5,$B$1)</f>
        <v>78.19</v>
      </c>
      <c r="AC78" s="55">
        <f>_xll.EQNXTDZ($A$1,$B78,AC$5,$B$1)</f>
        <v>0</v>
      </c>
      <c r="AD78" s="55">
        <f>_xll.EQNXTDZ($A$1,$B78,AD$5,$B$1)</f>
        <v>90.56</v>
      </c>
      <c r="AE78" s="55">
        <f>_xll.EQNXTDZ($A$1,$B78,AE$5,$B$1)</f>
        <v>0</v>
      </c>
      <c r="AF78" s="55">
        <f>_xll.EQNXTDZ($A$1,$B78,AF$5,$B$1)</f>
        <v>88.48</v>
      </c>
      <c r="AG78" s="55">
        <f>_xll.EQNXTDZ($A$1,$B78,AG$5,$B$1)</f>
        <v>0</v>
      </c>
      <c r="AH78" s="55">
        <f>_xll.EQNXTDZ($A$1,$B78,AH$5,$B$1)</f>
        <v>80.88</v>
      </c>
      <c r="AI78" s="55">
        <f>_xll.EQNXTDZ($A$1,$B78,AI$5,$B$1)</f>
        <v>0</v>
      </c>
      <c r="AJ78" s="55">
        <f>_xll.EQNXTDZ($A$1,$B78,AJ$5,$B$1)</f>
        <v>79.72</v>
      </c>
      <c r="AK78" s="55">
        <f>_xll.EQNXTDZ($A$1,$B78,AK$5,$B$1)</f>
        <v>0</v>
      </c>
      <c r="AL78" s="55">
        <f>_xll.EQNXTDZ($A$1,$B78,AL$5,$B$1)</f>
        <v>4.5999999999999996</v>
      </c>
      <c r="AM78" s="55">
        <f>_xll.EQNXTDZ($A$1,$B78,AM$5,$B$1)</f>
        <v>0</v>
      </c>
      <c r="AN78" s="55">
        <f>_xll.EQNXTDZ($A$1,$B78,AN$5,$B$1)</f>
        <v>3.97</v>
      </c>
      <c r="AO78" s="55">
        <f>_xll.EQNXTDZ($A$1,$B78,AO$5,$B$1)</f>
        <v>0</v>
      </c>
      <c r="AP78" s="55">
        <f>_xll.EQNXTDZ($A$1,$B78,AP$5,$B$1)</f>
        <v>3.45</v>
      </c>
      <c r="AQ78" s="55">
        <f>_xll.EQNXTDZ($A$1,$B78,AQ$5,$B$1)</f>
        <v>0</v>
      </c>
      <c r="AR78" s="55">
        <f>_xll.EQNXTDZ($A$1,$B78,AR$5,$B$1)</f>
        <v>3.28</v>
      </c>
      <c r="AS78" s="55">
        <f>_xll.EQNXTDZ($A$1,$B78,AS$5,$B$1)</f>
        <v>0</v>
      </c>
      <c r="AT78" s="55">
        <f>_xll.EQNXTDZ($A$1,$B78,AT$5,$B$1)</f>
        <v>2.99</v>
      </c>
      <c r="AU78" s="55">
        <f>_xll.EQNXTDZ($A$1,$B78,AU$5,$B$1)</f>
        <v>0</v>
      </c>
      <c r="AV78" s="55">
        <f>_xll.EQNXTDZ($A$1,$B78,AV$5,$B$1)</f>
        <v>2.8</v>
      </c>
      <c r="AW78" s="55">
        <f>_xll.EQNXTDZ($A$1,$B78,AW$5,$B$1)</f>
        <v>0</v>
      </c>
      <c r="AX78" s="55">
        <f>_xll.EQNXTDZ($A$1,$B78,AX$5,$B$1)</f>
        <v>2.48</v>
      </c>
      <c r="AY78" s="55">
        <f>_xll.EQNXTDZ($A$1,$B78,AY$5,$B$1)</f>
        <v>0</v>
      </c>
      <c r="AZ78" s="55">
        <f>_xll.EQNXTDZ($A$1,$B78,AZ$5,$B$1)</f>
        <v>2.25</v>
      </c>
      <c r="BA78" s="55">
        <f>_xll.EQNXTDZ($A$1,$B78,BA$5,$B$1)</f>
        <v>0</v>
      </c>
      <c r="BB78" s="55">
        <f>_xll.EQNXTDZ($A$1,$B78,BB$5,$B$1)</f>
        <v>2</v>
      </c>
      <c r="BC78" s="55">
        <f>_xll.EQNXTDZ($A$1,$B78,BC$5,$B$1)</f>
        <v>0</v>
      </c>
      <c r="BD78" s="55">
        <f>_xll.EQNXTDZ($A$1,$B78,BD$5,$B$1)</f>
        <v>1.77</v>
      </c>
      <c r="BE78" s="55">
        <f>_xll.EQNXTDZ($A$1,$B78,BE$5,$B$1)</f>
        <v>0</v>
      </c>
      <c r="BF78" s="55">
        <f>_xll.EQNXTDZ($A$1,$B78,BF$5,$B$1)</f>
        <v>37.14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2068.73</v>
      </c>
      <c r="E79" s="55">
        <f>_xll.EQNXTDZ($A$1,$B79,E$5,$B$1)</f>
        <v>0</v>
      </c>
      <c r="F79" s="55">
        <f>_xll.EQNXTDZ($A$1,$B79,F$5,$B$1)</f>
        <v>7148.99</v>
      </c>
      <c r="G79" s="55">
        <f>_xll.EQNXTDZ($A$1,$B79,G$5,$B$1)</f>
        <v>0</v>
      </c>
      <c r="H79" s="55">
        <f>_xll.EQNXTDZ($A$1,$B79,H$5,$B$1)</f>
        <v>6313.87</v>
      </c>
      <c r="I79" s="55">
        <f>_xll.EQNXTDZ($A$1,$B79,I$5,$B$1)</f>
        <v>0</v>
      </c>
      <c r="J79" s="55">
        <f>_xll.EQNXTDZ($A$1,$B79,J$5,$B$1)</f>
        <v>7049.05</v>
      </c>
      <c r="K79" s="55">
        <f>_xll.EQNXTDZ($A$1,$B79,K$5,$B$1)</f>
        <v>0</v>
      </c>
      <c r="L79" s="55">
        <f>_xll.EQNXTDZ($A$1,$B79,L$5,$B$1)</f>
        <v>6976.49</v>
      </c>
      <c r="M79" s="55">
        <f>_xll.EQNXTDZ($A$1,$B79,M$5,$B$1)</f>
        <v>0</v>
      </c>
      <c r="N79" s="55">
        <f>_xll.EQNXTDZ($A$1,$B79,N$5,$B$1)</f>
        <v>7622.48</v>
      </c>
      <c r="O79" s="55">
        <f>_xll.EQNXTDZ($A$1,$B79,O$5,$B$1)</f>
        <v>0</v>
      </c>
      <c r="P79" s="55">
        <f>_xll.EQNXTDZ($A$1,$B79,P$5,$B$1)</f>
        <v>6385</v>
      </c>
      <c r="Q79" s="55">
        <f>_xll.EQNXTDZ($A$1,$B79,Q$5,$B$1)</f>
        <v>0</v>
      </c>
      <c r="R79" s="55">
        <f>_xll.EQNXTDZ($A$1,$B79,R$5,$B$1)</f>
        <v>3290.82</v>
      </c>
      <c r="S79" s="55">
        <f>_xll.EQNXTDZ($A$1,$B79,S$5,$B$1)</f>
        <v>0</v>
      </c>
      <c r="T79" s="55">
        <f>_xll.EQNXTDZ($A$1,$B79,T$5,$B$1)</f>
        <v>3948.97</v>
      </c>
      <c r="U79" s="55">
        <f>_xll.EQNXTDZ($A$1,$B79,U$5,$B$1)</f>
        <v>0</v>
      </c>
      <c r="V79" s="55">
        <f>_xll.EQNXTDZ($A$1,$B79,V$5,$B$1)</f>
        <v>3339.5</v>
      </c>
      <c r="W79" s="55">
        <f>_xll.EQNXTDZ($A$1,$B79,W$5,$B$1)</f>
        <v>0</v>
      </c>
      <c r="X79" s="55">
        <f>_xll.EQNXTDZ($A$1,$B79,X$5,$B$1)</f>
        <v>8133.3</v>
      </c>
      <c r="Y79" s="55">
        <f>_xll.EQNXTDZ($A$1,$B79,Y$5,$B$1)</f>
        <v>0</v>
      </c>
      <c r="Z79" s="55">
        <f>_xll.EQNXTDZ($A$1,$B79,Z$5,$B$1)</f>
        <v>2783.39</v>
      </c>
      <c r="AA79" s="55">
        <f>_xll.EQNXTDZ($A$1,$B79,AA$5,$B$1)</f>
        <v>0</v>
      </c>
      <c r="AB79" s="55">
        <f>_xll.EQNXTDZ($A$1,$B79,AB$5,$B$1)</f>
        <v>1743.28</v>
      </c>
      <c r="AC79" s="55">
        <f>_xll.EQNXTDZ($A$1,$B79,AC$5,$B$1)</f>
        <v>0</v>
      </c>
      <c r="AD79" s="55">
        <f>_xll.EQNXTDZ($A$1,$B79,AD$5,$B$1)</f>
        <v>13532.25</v>
      </c>
      <c r="AE79" s="55">
        <f>_xll.EQNXTDZ($A$1,$B79,AE$5,$B$1)</f>
        <v>0</v>
      </c>
      <c r="AF79" s="55">
        <f>_xll.EQNXTDZ($A$1,$B79,AF$5,$B$1)</f>
        <v>13073.72</v>
      </c>
      <c r="AG79" s="55">
        <f>_xll.EQNXTDZ($A$1,$B79,AG$5,$B$1)</f>
        <v>0</v>
      </c>
      <c r="AH79" s="55">
        <f>_xll.EQNXTDZ($A$1,$B79,AH$5,$B$1)</f>
        <v>14458.34</v>
      </c>
      <c r="AI79" s="55">
        <f>_xll.EQNXTDZ($A$1,$B79,AI$5,$B$1)</f>
        <v>0</v>
      </c>
      <c r="AJ79" s="55">
        <f>_xll.EQNXTDZ($A$1,$B79,AJ$5,$B$1)</f>
        <v>14109</v>
      </c>
      <c r="AK79" s="55">
        <f>_xll.EQNXTDZ($A$1,$B79,AK$5,$B$1)</f>
        <v>0</v>
      </c>
      <c r="AL79" s="55">
        <f>_xll.EQNXTDZ($A$1,$B79,AL$5,$B$1)</f>
        <v>17893.810000000001</v>
      </c>
      <c r="AM79" s="55">
        <f>_xll.EQNXTDZ($A$1,$B79,AM$5,$B$1)</f>
        <v>0</v>
      </c>
      <c r="AN79" s="55">
        <f>_xll.EQNXTDZ($A$1,$B79,AN$5,$B$1)</f>
        <v>15742.06</v>
      </c>
      <c r="AO79" s="55">
        <f>_xll.EQNXTDZ($A$1,$B79,AO$5,$B$1)</f>
        <v>0</v>
      </c>
      <c r="AP79" s="55">
        <f>_xll.EQNXTDZ($A$1,$B79,AP$5,$B$1)</f>
        <v>18848.75</v>
      </c>
      <c r="AQ79" s="55">
        <f>_xll.EQNXTDZ($A$1,$B79,AQ$5,$B$1)</f>
        <v>0</v>
      </c>
      <c r="AR79" s="55">
        <f>_xll.EQNXTDZ($A$1,$B79,AR$5,$B$1)</f>
        <v>19827.04</v>
      </c>
      <c r="AS79" s="55">
        <f>_xll.EQNXTDZ($A$1,$B79,AS$5,$B$1)</f>
        <v>0</v>
      </c>
      <c r="AT79" s="55">
        <f>_xll.EQNXTDZ($A$1,$B79,AT$5,$B$1)</f>
        <v>21640.46</v>
      </c>
      <c r="AU79" s="55">
        <f>_xll.EQNXTDZ($A$1,$B79,AU$5,$B$1)</f>
        <v>0</v>
      </c>
      <c r="AV79" s="55">
        <f>_xll.EQNXTDZ($A$1,$B79,AV$5,$B$1)</f>
        <v>14979.61</v>
      </c>
      <c r="AW79" s="55">
        <f>_xll.EQNXTDZ($A$1,$B79,AW$5,$B$1)</f>
        <v>0</v>
      </c>
      <c r="AX79" s="55">
        <f>_xll.EQNXTDZ($A$1,$B79,AX$5,$B$1)</f>
        <v>22547.31</v>
      </c>
      <c r="AY79" s="55">
        <f>_xll.EQNXTDZ($A$1,$B79,AY$5,$B$1)</f>
        <v>0</v>
      </c>
      <c r="AZ79" s="55">
        <f>_xll.EQNXTDZ($A$1,$B79,AZ$5,$B$1)</f>
        <v>15549.61</v>
      </c>
      <c r="BA79" s="55">
        <f>_xll.EQNXTDZ($A$1,$B79,BA$5,$B$1)</f>
        <v>0</v>
      </c>
      <c r="BB79" s="55">
        <f>_xll.EQNXTDZ($A$1,$B79,BB$5,$B$1)</f>
        <v>26457.27</v>
      </c>
      <c r="BC79" s="55">
        <f>_xll.EQNXTDZ($A$1,$B79,BC$5,$B$1)</f>
        <v>0</v>
      </c>
      <c r="BD79" s="55">
        <f>_xll.EQNXTDZ($A$1,$B79,BD$5,$B$1)</f>
        <v>28985.89</v>
      </c>
      <c r="BE79" s="55">
        <f>_xll.EQNXTDZ($A$1,$B79,BE$5,$B$1)</f>
        <v>0</v>
      </c>
      <c r="BF79" s="55">
        <f>_xll.EQNXTDZ($A$1,$B79,BF$5,$B$1)</f>
        <v>32375.25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88.31</v>
      </c>
      <c r="E80" s="55">
        <f>_xll.EQNXTDZ($A$1,$B80,E$5,$B$1)</f>
        <v>0</v>
      </c>
      <c r="F80" s="55">
        <f>_xll.EQNXTDZ($A$1,$B80,F$5,$B$1)</f>
        <v>477.4</v>
      </c>
      <c r="G80" s="55">
        <f>_xll.EQNXTDZ($A$1,$B80,G$5,$B$1)</f>
        <v>0</v>
      </c>
      <c r="H80" s="55">
        <f>_xll.EQNXTDZ($A$1,$B80,H$5,$B$1)</f>
        <v>237.21</v>
      </c>
      <c r="I80" s="55">
        <f>_xll.EQNXTDZ($A$1,$B80,I$5,$B$1)</f>
        <v>0</v>
      </c>
      <c r="J80" s="55">
        <f>_xll.EQNXTDZ($A$1,$B80,J$5,$B$1)</f>
        <v>340.54</v>
      </c>
      <c r="K80" s="55">
        <f>_xll.EQNXTDZ($A$1,$B80,K$5,$B$1)</f>
        <v>0</v>
      </c>
      <c r="L80" s="55">
        <f>_xll.EQNXTDZ($A$1,$B80,L$5,$B$1)</f>
        <v>420.97</v>
      </c>
      <c r="M80" s="55">
        <f>_xll.EQNXTDZ($A$1,$B80,M$5,$B$1)</f>
        <v>0</v>
      </c>
      <c r="N80" s="55">
        <f>_xll.EQNXTDZ($A$1,$B80,N$5,$B$1)</f>
        <v>605.57000000000005</v>
      </c>
      <c r="O80" s="55">
        <f>_xll.EQNXTDZ($A$1,$B80,O$5,$B$1)</f>
        <v>0</v>
      </c>
      <c r="P80" s="55">
        <f>_xll.EQNXTDZ($A$1,$B80,P$5,$B$1)</f>
        <v>407.28</v>
      </c>
      <c r="Q80" s="55">
        <f>_xll.EQNXTDZ($A$1,$B80,Q$5,$B$1)</f>
        <v>0</v>
      </c>
      <c r="R80" s="55">
        <f>_xll.EQNXTDZ($A$1,$B80,R$5,$B$1)</f>
        <v>335.95</v>
      </c>
      <c r="S80" s="55">
        <f>_xll.EQNXTDZ($A$1,$B80,S$5,$B$1)</f>
        <v>0</v>
      </c>
      <c r="T80" s="55">
        <f>_xll.EQNXTDZ($A$1,$B80,T$5,$B$1)</f>
        <v>831.5</v>
      </c>
      <c r="U80" s="55">
        <f>_xll.EQNXTDZ($A$1,$B80,U$5,$B$1)</f>
        <v>0</v>
      </c>
      <c r="V80" s="55">
        <f>_xll.EQNXTDZ($A$1,$B80,V$5,$B$1)</f>
        <v>1097.78</v>
      </c>
      <c r="W80" s="55">
        <f>_xll.EQNXTDZ($A$1,$B80,W$5,$B$1)</f>
        <v>0</v>
      </c>
      <c r="X80" s="55">
        <f>_xll.EQNXTDZ($A$1,$B80,X$5,$B$1)</f>
        <v>765.15</v>
      </c>
      <c r="Y80" s="55">
        <f>_xll.EQNXTDZ($A$1,$B80,Y$5,$B$1)</f>
        <v>0</v>
      </c>
      <c r="Z80" s="55">
        <f>_xll.EQNXTDZ($A$1,$B80,Z$5,$B$1)</f>
        <v>436.16</v>
      </c>
      <c r="AA80" s="55">
        <f>_xll.EQNXTDZ($A$1,$B80,AA$5,$B$1)</f>
        <v>0</v>
      </c>
      <c r="AB80" s="55">
        <f>_xll.EQNXTDZ($A$1,$B80,AB$5,$B$1)</f>
        <v>344.15</v>
      </c>
      <c r="AC80" s="55">
        <f>_xll.EQNXTDZ($A$1,$B80,AC$5,$B$1)</f>
        <v>0</v>
      </c>
      <c r="AD80" s="55">
        <f>_xll.EQNXTDZ($A$1,$B80,AD$5,$B$1)</f>
        <v>166.98</v>
      </c>
      <c r="AE80" s="55">
        <f>_xll.EQNXTDZ($A$1,$B80,AE$5,$B$1)</f>
        <v>0</v>
      </c>
      <c r="AF80" s="55">
        <f>_xll.EQNXTDZ($A$1,$B80,AF$5,$B$1)</f>
        <v>564.20000000000005</v>
      </c>
      <c r="AG80" s="55">
        <f>_xll.EQNXTDZ($A$1,$B80,AG$5,$B$1)</f>
        <v>0</v>
      </c>
      <c r="AH80" s="55">
        <f>_xll.EQNXTDZ($A$1,$B80,AH$5,$B$1)</f>
        <v>699.51</v>
      </c>
      <c r="AI80" s="55">
        <f>_xll.EQNXTDZ($A$1,$B80,AI$5,$B$1)</f>
        <v>0</v>
      </c>
      <c r="AJ80" s="55">
        <f>_xll.EQNXTDZ($A$1,$B80,AJ$5,$B$1)</f>
        <v>1445.85</v>
      </c>
      <c r="AK80" s="55">
        <f>_xll.EQNXTDZ($A$1,$B80,AK$5,$B$1)</f>
        <v>0</v>
      </c>
      <c r="AL80" s="55">
        <f>_xll.EQNXTDZ($A$1,$B80,AL$5,$B$1)</f>
        <v>499.54</v>
      </c>
      <c r="AM80" s="55">
        <f>_xll.EQNXTDZ($A$1,$B80,AM$5,$B$1)</f>
        <v>0</v>
      </c>
      <c r="AN80" s="55">
        <f>_xll.EQNXTDZ($A$1,$B80,AN$5,$B$1)</f>
        <v>209.43</v>
      </c>
      <c r="AO80" s="55">
        <f>_xll.EQNXTDZ($A$1,$B80,AO$5,$B$1)</f>
        <v>0</v>
      </c>
      <c r="AP80" s="55">
        <f>_xll.EQNXTDZ($A$1,$B80,AP$5,$B$1)</f>
        <v>410.52</v>
      </c>
      <c r="AQ80" s="55">
        <f>_xll.EQNXTDZ($A$1,$B80,AQ$5,$B$1)</f>
        <v>0</v>
      </c>
      <c r="AR80" s="55">
        <f>_xll.EQNXTDZ($A$1,$B80,AR$5,$B$1)</f>
        <v>2035.6</v>
      </c>
      <c r="AS80" s="55">
        <f>_xll.EQNXTDZ($A$1,$B80,AS$5,$B$1)</f>
        <v>0</v>
      </c>
      <c r="AT80" s="55">
        <f>_xll.EQNXTDZ($A$1,$B80,AT$5,$B$1)</f>
        <v>1149.5999999999999</v>
      </c>
      <c r="AU80" s="55">
        <f>_xll.EQNXTDZ($A$1,$B80,AU$5,$B$1)</f>
        <v>0</v>
      </c>
      <c r="AV80" s="55">
        <f>_xll.EQNXTDZ($A$1,$B80,AV$5,$B$1)</f>
        <v>671.75</v>
      </c>
      <c r="AW80" s="55">
        <f>_xll.EQNXTDZ($A$1,$B80,AW$5,$B$1)</f>
        <v>0</v>
      </c>
      <c r="AX80" s="55">
        <f>_xll.EQNXTDZ($A$1,$B80,AX$5,$B$1)</f>
        <v>1477.89</v>
      </c>
      <c r="AY80" s="55">
        <f>_xll.EQNXTDZ($A$1,$B80,AY$5,$B$1)</f>
        <v>0</v>
      </c>
      <c r="AZ80" s="55">
        <f>_xll.EQNXTDZ($A$1,$B80,AZ$5,$B$1)</f>
        <v>437.56</v>
      </c>
      <c r="BA80" s="55">
        <f>_xll.EQNXTDZ($A$1,$B80,BA$5,$B$1)</f>
        <v>0</v>
      </c>
      <c r="BB80" s="55">
        <f>_xll.EQNXTDZ($A$1,$B80,BB$5,$B$1)</f>
        <v>1302.42</v>
      </c>
      <c r="BC80" s="55">
        <f>_xll.EQNXTDZ($A$1,$B80,BC$5,$B$1)</f>
        <v>0</v>
      </c>
      <c r="BD80" s="55">
        <f>_xll.EQNXTDZ($A$1,$B80,BD$5,$B$1)</f>
        <v>1742.83</v>
      </c>
      <c r="BE80" s="55">
        <f>_xll.EQNXTDZ($A$1,$B80,BE$5,$B$1)</f>
        <v>0</v>
      </c>
      <c r="BF80" s="55">
        <f>_xll.EQNXTDZ($A$1,$B80,BF$5,$B$1)</f>
        <v>1356.12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819.57</v>
      </c>
      <c r="E81" s="55">
        <f>_xll.EQNXTDZ($A$1,$B81,E$5,$B$1)</f>
        <v>0</v>
      </c>
      <c r="F81" s="55">
        <f>_xll.EQNXTDZ($A$1,$B81,F$5,$B$1)</f>
        <v>2026.51</v>
      </c>
      <c r="G81" s="55">
        <f>_xll.EQNXTDZ($A$1,$B81,G$5,$B$1)</f>
        <v>0</v>
      </c>
      <c r="H81" s="55">
        <f>_xll.EQNXTDZ($A$1,$B81,H$5,$B$1)</f>
        <v>2637.37</v>
      </c>
      <c r="I81" s="55">
        <f>_xll.EQNXTDZ($A$1,$B81,I$5,$B$1)</f>
        <v>0</v>
      </c>
      <c r="J81" s="55">
        <f>_xll.EQNXTDZ($A$1,$B81,J$5,$B$1)</f>
        <v>2073.27</v>
      </c>
      <c r="K81" s="55">
        <f>_xll.EQNXTDZ($A$1,$B81,K$5,$B$1)</f>
        <v>0</v>
      </c>
      <c r="L81" s="55">
        <f>_xll.EQNXTDZ($A$1,$B81,L$5,$B$1)</f>
        <v>2071.87</v>
      </c>
      <c r="M81" s="55">
        <f>_xll.EQNXTDZ($A$1,$B81,M$5,$B$1)</f>
        <v>0</v>
      </c>
      <c r="N81" s="55">
        <f>_xll.EQNXTDZ($A$1,$B81,N$5,$B$1)</f>
        <v>1844.17</v>
      </c>
      <c r="O81" s="55">
        <f>_xll.EQNXTDZ($A$1,$B81,O$5,$B$1)</f>
        <v>0</v>
      </c>
      <c r="P81" s="55">
        <f>_xll.EQNXTDZ($A$1,$B81,P$5,$B$1)</f>
        <v>2047.46</v>
      </c>
      <c r="Q81" s="55">
        <f>_xll.EQNXTDZ($A$1,$B81,Q$5,$B$1)</f>
        <v>0</v>
      </c>
      <c r="R81" s="55">
        <f>_xll.EQNXTDZ($A$1,$B81,R$5,$B$1)</f>
        <v>1373.4</v>
      </c>
      <c r="S81" s="55">
        <f>_xll.EQNXTDZ($A$1,$B81,S$5,$B$1)</f>
        <v>0</v>
      </c>
      <c r="T81" s="55">
        <f>_xll.EQNXTDZ($A$1,$B81,T$5,$B$1)</f>
        <v>1487.77</v>
      </c>
      <c r="U81" s="55">
        <f>_xll.EQNXTDZ($A$1,$B81,U$5,$B$1)</f>
        <v>0</v>
      </c>
      <c r="V81" s="55">
        <f>_xll.EQNXTDZ($A$1,$B81,V$5,$B$1)</f>
        <v>1599.56</v>
      </c>
      <c r="W81" s="55">
        <f>_xll.EQNXTDZ($A$1,$B81,W$5,$B$1)</f>
        <v>0</v>
      </c>
      <c r="X81" s="55">
        <f>_xll.EQNXTDZ($A$1,$B81,X$5,$B$1)</f>
        <v>1861.23</v>
      </c>
      <c r="Y81" s="55">
        <f>_xll.EQNXTDZ($A$1,$B81,Y$5,$B$1)</f>
        <v>0</v>
      </c>
      <c r="Z81" s="55">
        <f>_xll.EQNXTDZ($A$1,$B81,Z$5,$B$1)</f>
        <v>1623.08</v>
      </c>
      <c r="AA81" s="55">
        <f>_xll.EQNXTDZ($A$1,$B81,AA$5,$B$1)</f>
        <v>0</v>
      </c>
      <c r="AB81" s="55">
        <f>_xll.EQNXTDZ($A$1,$B81,AB$5,$B$1)</f>
        <v>1929.24</v>
      </c>
      <c r="AC81" s="55">
        <f>_xll.EQNXTDZ($A$1,$B81,AC$5,$B$1)</f>
        <v>0</v>
      </c>
      <c r="AD81" s="55">
        <f>_xll.EQNXTDZ($A$1,$B81,AD$5,$B$1)</f>
        <v>1706.42</v>
      </c>
      <c r="AE81" s="55">
        <f>_xll.EQNXTDZ($A$1,$B81,AE$5,$B$1)</f>
        <v>0</v>
      </c>
      <c r="AF81" s="55">
        <f>_xll.EQNXTDZ($A$1,$B81,AF$5,$B$1)</f>
        <v>1520.7</v>
      </c>
      <c r="AG81" s="55">
        <f>_xll.EQNXTDZ($A$1,$B81,AG$5,$B$1)</f>
        <v>0</v>
      </c>
      <c r="AH81" s="55">
        <f>_xll.EQNXTDZ($A$1,$B81,AH$5,$B$1)</f>
        <v>1752.35</v>
      </c>
      <c r="AI81" s="55">
        <f>_xll.EQNXTDZ($A$1,$B81,AI$5,$B$1)</f>
        <v>0</v>
      </c>
      <c r="AJ81" s="55">
        <f>_xll.EQNXTDZ($A$1,$B81,AJ$5,$B$1)</f>
        <v>1823.44</v>
      </c>
      <c r="AK81" s="55">
        <f>_xll.EQNXTDZ($A$1,$B81,AK$5,$B$1)</f>
        <v>0</v>
      </c>
      <c r="AL81" s="55">
        <f>_xll.EQNXTDZ($A$1,$B81,AL$5,$B$1)</f>
        <v>1885.62</v>
      </c>
      <c r="AM81" s="55">
        <f>_xll.EQNXTDZ($A$1,$B81,AM$5,$B$1)</f>
        <v>0</v>
      </c>
      <c r="AN81" s="55">
        <f>_xll.EQNXTDZ($A$1,$B81,AN$5,$B$1)</f>
        <v>2361.9499999999998</v>
      </c>
      <c r="AO81" s="55">
        <f>_xll.EQNXTDZ($A$1,$B81,AO$5,$B$1)</f>
        <v>0</v>
      </c>
      <c r="AP81" s="55">
        <f>_xll.EQNXTDZ($A$1,$B81,AP$5,$B$1)</f>
        <v>4231.5200000000004</v>
      </c>
      <c r="AQ81" s="55">
        <f>_xll.EQNXTDZ($A$1,$B81,AQ$5,$B$1)</f>
        <v>0</v>
      </c>
      <c r="AR81" s="55">
        <f>_xll.EQNXTDZ($A$1,$B81,AR$5,$B$1)</f>
        <v>4395.91</v>
      </c>
      <c r="AS81" s="55">
        <f>_xll.EQNXTDZ($A$1,$B81,AS$5,$B$1)</f>
        <v>0</v>
      </c>
      <c r="AT81" s="55">
        <f>_xll.EQNXTDZ($A$1,$B81,AT$5,$B$1)</f>
        <v>3942.88</v>
      </c>
      <c r="AU81" s="55">
        <f>_xll.EQNXTDZ($A$1,$B81,AU$5,$B$1)</f>
        <v>0</v>
      </c>
      <c r="AV81" s="55">
        <f>_xll.EQNXTDZ($A$1,$B81,AV$5,$B$1)</f>
        <v>3659.91</v>
      </c>
      <c r="AW81" s="55">
        <f>_xll.EQNXTDZ($A$1,$B81,AW$5,$B$1)</f>
        <v>0</v>
      </c>
      <c r="AX81" s="55">
        <f>_xll.EQNXTDZ($A$1,$B81,AX$5,$B$1)</f>
        <v>4419.63</v>
      </c>
      <c r="AY81" s="55">
        <f>_xll.EQNXTDZ($A$1,$B81,AY$5,$B$1)</f>
        <v>0</v>
      </c>
      <c r="AZ81" s="55">
        <f>_xll.EQNXTDZ($A$1,$B81,AZ$5,$B$1)</f>
        <v>4417.59</v>
      </c>
      <c r="BA81" s="55">
        <f>_xll.EQNXTDZ($A$1,$B81,BA$5,$B$1)</f>
        <v>0</v>
      </c>
      <c r="BB81" s="55">
        <f>_xll.EQNXTDZ($A$1,$B81,BB$5,$B$1)</f>
        <v>4571.82</v>
      </c>
      <c r="BC81" s="55">
        <f>_xll.EQNXTDZ($A$1,$B81,BC$5,$B$1)</f>
        <v>0</v>
      </c>
      <c r="BD81" s="55">
        <f>_xll.EQNXTDZ($A$1,$B81,BD$5,$B$1)</f>
        <v>5251.53</v>
      </c>
      <c r="BE81" s="55">
        <f>_xll.EQNXTDZ($A$1,$B81,BE$5,$B$1)</f>
        <v>0</v>
      </c>
      <c r="BF81" s="55">
        <f>_xll.EQNXTDZ($A$1,$B81,BF$5,$B$1)</f>
        <v>5107.6400000000003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1595.37</v>
      </c>
      <c r="E82" s="55">
        <f>_xll.EQNXTDZ($A$1,$B82,E$5,$B$1)</f>
        <v>0</v>
      </c>
      <c r="F82" s="55">
        <f>_xll.EQNXTDZ($A$1,$B82,F$5,$B$1)</f>
        <v>3305.01</v>
      </c>
      <c r="G82" s="55">
        <f>_xll.EQNXTDZ($A$1,$B82,G$5,$B$1)</f>
        <v>0</v>
      </c>
      <c r="H82" s="55">
        <f>_xll.EQNXTDZ($A$1,$B82,H$5,$B$1)</f>
        <v>4452.78</v>
      </c>
      <c r="I82" s="55">
        <f>_xll.EQNXTDZ($A$1,$B82,I$5,$B$1)</f>
        <v>0</v>
      </c>
      <c r="J82" s="55">
        <f>_xll.EQNXTDZ($A$1,$B82,J$5,$B$1)</f>
        <v>4542.6099999999997</v>
      </c>
      <c r="K82" s="55">
        <f>_xll.EQNXTDZ($A$1,$B82,K$5,$B$1)</f>
        <v>0</v>
      </c>
      <c r="L82" s="55">
        <f>_xll.EQNXTDZ($A$1,$B82,L$5,$B$1)</f>
        <v>5302.17</v>
      </c>
      <c r="M82" s="55">
        <f>_xll.EQNXTDZ($A$1,$B82,M$5,$B$1)</f>
        <v>0</v>
      </c>
      <c r="N82" s="55">
        <f>_xll.EQNXTDZ($A$1,$B82,N$5,$B$1)</f>
        <v>5563.95</v>
      </c>
      <c r="O82" s="55">
        <f>_xll.EQNXTDZ($A$1,$B82,O$5,$B$1)</f>
        <v>0</v>
      </c>
      <c r="P82" s="55">
        <f>_xll.EQNXTDZ($A$1,$B82,P$5,$B$1)</f>
        <v>5583.44</v>
      </c>
      <c r="Q82" s="55">
        <f>_xll.EQNXTDZ($A$1,$B82,Q$5,$B$1)</f>
        <v>0</v>
      </c>
      <c r="R82" s="55">
        <f>_xll.EQNXTDZ($A$1,$B82,R$5,$B$1)</f>
        <v>4431.68</v>
      </c>
      <c r="S82" s="55">
        <f>_xll.EQNXTDZ($A$1,$B82,S$5,$B$1)</f>
        <v>0</v>
      </c>
      <c r="T82" s="55">
        <f>_xll.EQNXTDZ($A$1,$B82,T$5,$B$1)</f>
        <v>4937.95</v>
      </c>
      <c r="U82" s="55">
        <f>_xll.EQNXTDZ($A$1,$B82,U$5,$B$1)</f>
        <v>0</v>
      </c>
      <c r="V82" s="55">
        <f>_xll.EQNXTDZ($A$1,$B82,V$5,$B$1)</f>
        <v>4953.2</v>
      </c>
      <c r="W82" s="55">
        <f>_xll.EQNXTDZ($A$1,$B82,W$5,$B$1)</f>
        <v>0</v>
      </c>
      <c r="X82" s="55">
        <f>_xll.EQNXTDZ($A$1,$B82,X$5,$B$1)</f>
        <v>5317.95</v>
      </c>
      <c r="Y82" s="55">
        <f>_xll.EQNXTDZ($A$1,$B82,Y$5,$B$1)</f>
        <v>0</v>
      </c>
      <c r="Z82" s="55">
        <f>_xll.EQNXTDZ($A$1,$B82,Z$5,$B$1)</f>
        <v>3599.02</v>
      </c>
      <c r="AA82" s="55">
        <f>_xll.EQNXTDZ($A$1,$B82,AA$5,$B$1)</f>
        <v>0</v>
      </c>
      <c r="AB82" s="55">
        <f>_xll.EQNXTDZ($A$1,$B82,AB$5,$B$1)</f>
        <v>5195.33</v>
      </c>
      <c r="AC82" s="55">
        <f>_xll.EQNXTDZ($A$1,$B82,AC$5,$B$1)</f>
        <v>0</v>
      </c>
      <c r="AD82" s="55">
        <f>_xll.EQNXTDZ($A$1,$B82,AD$5,$B$1)</f>
        <v>5321.01</v>
      </c>
      <c r="AE82" s="55">
        <f>_xll.EQNXTDZ($A$1,$B82,AE$5,$B$1)</f>
        <v>0</v>
      </c>
      <c r="AF82" s="55">
        <f>_xll.EQNXTDZ($A$1,$B82,AF$5,$B$1)</f>
        <v>5917.03</v>
      </c>
      <c r="AG82" s="55">
        <f>_xll.EQNXTDZ($A$1,$B82,AG$5,$B$1)</f>
        <v>0</v>
      </c>
      <c r="AH82" s="55">
        <f>_xll.EQNXTDZ($A$1,$B82,AH$5,$B$1)</f>
        <v>5258.52</v>
      </c>
      <c r="AI82" s="55">
        <f>_xll.EQNXTDZ($A$1,$B82,AI$5,$B$1)</f>
        <v>0</v>
      </c>
      <c r="AJ82" s="55">
        <f>_xll.EQNXTDZ($A$1,$B82,AJ$5,$B$1)</f>
        <v>5563.52</v>
      </c>
      <c r="AK82" s="55">
        <f>_xll.EQNXTDZ($A$1,$B82,AK$5,$B$1)</f>
        <v>0</v>
      </c>
      <c r="AL82" s="55">
        <f>_xll.EQNXTDZ($A$1,$B82,AL$5,$B$1)</f>
        <v>5241.53</v>
      </c>
      <c r="AM82" s="55">
        <f>_xll.EQNXTDZ($A$1,$B82,AM$5,$B$1)</f>
        <v>0</v>
      </c>
      <c r="AN82" s="55">
        <f>_xll.EQNXTDZ($A$1,$B82,AN$5,$B$1)</f>
        <v>7718.05</v>
      </c>
      <c r="AO82" s="55">
        <f>_xll.EQNXTDZ($A$1,$B82,AO$5,$B$1)</f>
        <v>0</v>
      </c>
      <c r="AP82" s="55">
        <f>_xll.EQNXTDZ($A$1,$B82,AP$5,$B$1)</f>
        <v>8265.31</v>
      </c>
      <c r="AQ82" s="55">
        <f>_xll.EQNXTDZ($A$1,$B82,AQ$5,$B$1)</f>
        <v>0</v>
      </c>
      <c r="AR82" s="55">
        <f>_xll.EQNXTDZ($A$1,$B82,AR$5,$B$1)</f>
        <v>11520.42</v>
      </c>
      <c r="AS82" s="55">
        <f>_xll.EQNXTDZ($A$1,$B82,AS$5,$B$1)</f>
        <v>0</v>
      </c>
      <c r="AT82" s="55">
        <f>_xll.EQNXTDZ($A$1,$B82,AT$5,$B$1)</f>
        <v>9408.86</v>
      </c>
      <c r="AU82" s="55">
        <f>_xll.EQNXTDZ($A$1,$B82,AU$5,$B$1)</f>
        <v>0</v>
      </c>
      <c r="AV82" s="55">
        <f>_xll.EQNXTDZ($A$1,$B82,AV$5,$B$1)</f>
        <v>11098.62</v>
      </c>
      <c r="AW82" s="55">
        <f>_xll.EQNXTDZ($A$1,$B82,AW$5,$B$1)</f>
        <v>0</v>
      </c>
      <c r="AX82" s="55">
        <f>_xll.EQNXTDZ($A$1,$B82,AX$5,$B$1)</f>
        <v>9953.92</v>
      </c>
      <c r="AY82" s="55">
        <f>_xll.EQNXTDZ($A$1,$B82,AY$5,$B$1)</f>
        <v>0</v>
      </c>
      <c r="AZ82" s="55">
        <f>_xll.EQNXTDZ($A$1,$B82,AZ$5,$B$1)</f>
        <v>6876.66</v>
      </c>
      <c r="BA82" s="55">
        <f>_xll.EQNXTDZ($A$1,$B82,BA$5,$B$1)</f>
        <v>0</v>
      </c>
      <c r="BB82" s="55">
        <f>_xll.EQNXTDZ($A$1,$B82,BB$5,$B$1)</f>
        <v>8446.84</v>
      </c>
      <c r="BC82" s="55">
        <f>_xll.EQNXTDZ($A$1,$B82,BC$5,$B$1)</f>
        <v>0</v>
      </c>
      <c r="BD82" s="55">
        <f>_xll.EQNXTDZ($A$1,$B82,BD$5,$B$1)</f>
        <v>6798.91</v>
      </c>
      <c r="BE82" s="55">
        <f>_xll.EQNXTDZ($A$1,$B82,BE$5,$B$1)</f>
        <v>0</v>
      </c>
      <c r="BF82" s="55">
        <f>_xll.EQNXTDZ($A$1,$B82,BF$5,$B$1)</f>
        <v>7266.59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365.11</v>
      </c>
      <c r="E83" s="55">
        <f>_xll.EQNXTDZ($A$1,$B83,E$5,$B$1)</f>
        <v>0</v>
      </c>
      <c r="F83" s="55">
        <f>_xll.EQNXTDZ($A$1,$B83,F$5,$B$1)</f>
        <v>1989.89</v>
      </c>
      <c r="G83" s="55">
        <f>_xll.EQNXTDZ($A$1,$B83,G$5,$B$1)</f>
        <v>0</v>
      </c>
      <c r="H83" s="55">
        <f>_xll.EQNXTDZ($A$1,$B83,H$5,$B$1)</f>
        <v>1943.81</v>
      </c>
      <c r="I83" s="55">
        <f>_xll.EQNXTDZ($A$1,$B83,I$5,$B$1)</f>
        <v>0</v>
      </c>
      <c r="J83" s="55">
        <f>_xll.EQNXTDZ($A$1,$B83,J$5,$B$1)</f>
        <v>1555.01</v>
      </c>
      <c r="K83" s="55">
        <f>_xll.EQNXTDZ($A$1,$B83,K$5,$B$1)</f>
        <v>0</v>
      </c>
      <c r="L83" s="55">
        <f>_xll.EQNXTDZ($A$1,$B83,L$5,$B$1)</f>
        <v>2049.4299999999998</v>
      </c>
      <c r="M83" s="55">
        <f>_xll.EQNXTDZ($A$1,$B83,M$5,$B$1)</f>
        <v>0</v>
      </c>
      <c r="N83" s="55">
        <f>_xll.EQNXTDZ($A$1,$B83,N$5,$B$1)</f>
        <v>1483.45</v>
      </c>
      <c r="O83" s="55">
        <f>_xll.EQNXTDZ($A$1,$B83,O$5,$B$1)</f>
        <v>0</v>
      </c>
      <c r="P83" s="55">
        <f>_xll.EQNXTDZ($A$1,$B83,P$5,$B$1)</f>
        <v>1004.16</v>
      </c>
      <c r="Q83" s="55">
        <f>_xll.EQNXTDZ($A$1,$B83,Q$5,$B$1)</f>
        <v>0</v>
      </c>
      <c r="R83" s="55">
        <f>_xll.EQNXTDZ($A$1,$B83,R$5,$B$1)</f>
        <v>663.16</v>
      </c>
      <c r="S83" s="55">
        <f>_xll.EQNXTDZ($A$1,$B83,S$5,$B$1)</f>
        <v>0</v>
      </c>
      <c r="T83" s="55">
        <f>_xll.EQNXTDZ($A$1,$B83,T$5,$B$1)</f>
        <v>814.54</v>
      </c>
      <c r="U83" s="55">
        <f>_xll.EQNXTDZ($A$1,$B83,U$5,$B$1)</f>
        <v>0</v>
      </c>
      <c r="V83" s="55">
        <f>_xll.EQNXTDZ($A$1,$B83,V$5,$B$1)</f>
        <v>954.3</v>
      </c>
      <c r="W83" s="55">
        <f>_xll.EQNXTDZ($A$1,$B83,W$5,$B$1)</f>
        <v>0</v>
      </c>
      <c r="X83" s="55">
        <f>_xll.EQNXTDZ($A$1,$B83,X$5,$B$1)</f>
        <v>755.73</v>
      </c>
      <c r="Y83" s="55">
        <f>_xll.EQNXTDZ($A$1,$B83,Y$5,$B$1)</f>
        <v>0</v>
      </c>
      <c r="Z83" s="55">
        <f>_xll.EQNXTDZ($A$1,$B83,Z$5,$B$1)</f>
        <v>1185.78</v>
      </c>
      <c r="AA83" s="55">
        <f>_xll.EQNXTDZ($A$1,$B83,AA$5,$B$1)</f>
        <v>0</v>
      </c>
      <c r="AB83" s="55">
        <f>_xll.EQNXTDZ($A$1,$B83,AB$5,$B$1)</f>
        <v>908</v>
      </c>
      <c r="AC83" s="55">
        <f>_xll.EQNXTDZ($A$1,$B83,AC$5,$B$1)</f>
        <v>0</v>
      </c>
      <c r="AD83" s="55">
        <f>_xll.EQNXTDZ($A$1,$B83,AD$5,$B$1)</f>
        <v>787.45</v>
      </c>
      <c r="AE83" s="55">
        <f>_xll.EQNXTDZ($A$1,$B83,AE$5,$B$1)</f>
        <v>0</v>
      </c>
      <c r="AF83" s="55">
        <f>_xll.EQNXTDZ($A$1,$B83,AF$5,$B$1)</f>
        <v>1426.69</v>
      </c>
      <c r="AG83" s="55">
        <f>_xll.EQNXTDZ($A$1,$B83,AG$5,$B$1)</f>
        <v>0</v>
      </c>
      <c r="AH83" s="55">
        <f>_xll.EQNXTDZ($A$1,$B83,AH$5,$B$1)</f>
        <v>2094.1799999999998</v>
      </c>
      <c r="AI83" s="55">
        <f>_xll.EQNXTDZ($A$1,$B83,AI$5,$B$1)</f>
        <v>0</v>
      </c>
      <c r="AJ83" s="55">
        <f>_xll.EQNXTDZ($A$1,$B83,AJ$5,$B$1)</f>
        <v>4620.8999999999996</v>
      </c>
      <c r="AK83" s="55">
        <f>_xll.EQNXTDZ($A$1,$B83,AK$5,$B$1)</f>
        <v>0</v>
      </c>
      <c r="AL83" s="55">
        <f>_xll.EQNXTDZ($A$1,$B83,AL$5,$B$1)</f>
        <v>5870.67</v>
      </c>
      <c r="AM83" s="55">
        <f>_xll.EQNXTDZ($A$1,$B83,AM$5,$B$1)</f>
        <v>0</v>
      </c>
      <c r="AN83" s="55">
        <f>_xll.EQNXTDZ($A$1,$B83,AN$5,$B$1)</f>
        <v>4607.7299999999996</v>
      </c>
      <c r="AO83" s="55">
        <f>_xll.EQNXTDZ($A$1,$B83,AO$5,$B$1)</f>
        <v>0</v>
      </c>
      <c r="AP83" s="55">
        <f>_xll.EQNXTDZ($A$1,$B83,AP$5,$B$1)</f>
        <v>6640.7</v>
      </c>
      <c r="AQ83" s="55">
        <f>_xll.EQNXTDZ($A$1,$B83,AQ$5,$B$1)</f>
        <v>0</v>
      </c>
      <c r="AR83" s="55">
        <f>_xll.EQNXTDZ($A$1,$B83,AR$5,$B$1)</f>
        <v>6215.82</v>
      </c>
      <c r="AS83" s="55">
        <f>_xll.EQNXTDZ($A$1,$B83,AS$5,$B$1)</f>
        <v>0</v>
      </c>
      <c r="AT83" s="55">
        <f>_xll.EQNXTDZ($A$1,$B83,AT$5,$B$1)</f>
        <v>11206.53</v>
      </c>
      <c r="AU83" s="55">
        <f>_xll.EQNXTDZ($A$1,$B83,AU$5,$B$1)</f>
        <v>0</v>
      </c>
      <c r="AV83" s="55">
        <f>_xll.EQNXTDZ($A$1,$B83,AV$5,$B$1)</f>
        <v>10101.709999999999</v>
      </c>
      <c r="AW83" s="55">
        <f>_xll.EQNXTDZ($A$1,$B83,AW$5,$B$1)</f>
        <v>0</v>
      </c>
      <c r="AX83" s="55">
        <f>_xll.EQNXTDZ($A$1,$B83,AX$5,$B$1)</f>
        <v>9151.91</v>
      </c>
      <c r="AY83" s="55">
        <f>_xll.EQNXTDZ($A$1,$B83,AY$5,$B$1)</f>
        <v>0</v>
      </c>
      <c r="AZ83" s="55">
        <f>_xll.EQNXTDZ($A$1,$B83,AZ$5,$B$1)</f>
        <v>9218.36</v>
      </c>
      <c r="BA83" s="55">
        <f>_xll.EQNXTDZ($A$1,$B83,BA$5,$B$1)</f>
        <v>0</v>
      </c>
      <c r="BB83" s="55">
        <f>_xll.EQNXTDZ($A$1,$B83,BB$5,$B$1)</f>
        <v>11750.98</v>
      </c>
      <c r="BC83" s="55">
        <f>_xll.EQNXTDZ($A$1,$B83,BC$5,$B$1)</f>
        <v>0</v>
      </c>
      <c r="BD83" s="55">
        <f>_xll.EQNXTDZ($A$1,$B83,BD$5,$B$1)</f>
        <v>9399.84</v>
      </c>
      <c r="BE83" s="55">
        <f>_xll.EQNXTDZ($A$1,$B83,BE$5,$B$1)</f>
        <v>0</v>
      </c>
      <c r="BF83" s="55">
        <f>_xll.EQNXTDZ($A$1,$B83,BF$5,$B$1)</f>
        <v>13644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645.94000000000005</v>
      </c>
      <c r="E84" s="55">
        <f>_xll.EQNXTDZ($A$1,$B84,E$5,$B$1)</f>
        <v>0</v>
      </c>
      <c r="F84" s="55">
        <f>_xll.EQNXTDZ($A$1,$B84,F$5,$B$1)</f>
        <v>1051.4000000000001</v>
      </c>
      <c r="G84" s="55">
        <f>_xll.EQNXTDZ($A$1,$B84,G$5,$B$1)</f>
        <v>0</v>
      </c>
      <c r="H84" s="55">
        <f>_xll.EQNXTDZ($A$1,$B84,H$5,$B$1)</f>
        <v>2545.9</v>
      </c>
      <c r="I84" s="55">
        <f>_xll.EQNXTDZ($A$1,$B84,I$5,$B$1)</f>
        <v>0</v>
      </c>
      <c r="J84" s="55">
        <f>_xll.EQNXTDZ($A$1,$B84,J$5,$B$1)</f>
        <v>1633.49</v>
      </c>
      <c r="K84" s="55">
        <f>_xll.EQNXTDZ($A$1,$B84,K$5,$B$1)</f>
        <v>0</v>
      </c>
      <c r="L84" s="55">
        <f>_xll.EQNXTDZ($A$1,$B84,L$5,$B$1)</f>
        <v>2151.7800000000002</v>
      </c>
      <c r="M84" s="55">
        <f>_xll.EQNXTDZ($A$1,$B84,M$5,$B$1)</f>
        <v>0</v>
      </c>
      <c r="N84" s="55">
        <f>_xll.EQNXTDZ($A$1,$B84,N$5,$B$1)</f>
        <v>1831.99</v>
      </c>
      <c r="O84" s="55">
        <f>_xll.EQNXTDZ($A$1,$B84,O$5,$B$1)</f>
        <v>0</v>
      </c>
      <c r="P84" s="55">
        <f>_xll.EQNXTDZ($A$1,$B84,P$5,$B$1)</f>
        <v>2954.56</v>
      </c>
      <c r="Q84" s="55">
        <f>_xll.EQNXTDZ($A$1,$B84,Q$5,$B$1)</f>
        <v>0</v>
      </c>
      <c r="R84" s="55">
        <f>_xll.EQNXTDZ($A$1,$B84,R$5,$B$1)</f>
        <v>9952.83</v>
      </c>
      <c r="S84" s="55">
        <f>_xll.EQNXTDZ($A$1,$B84,S$5,$B$1)</f>
        <v>0</v>
      </c>
      <c r="T84" s="55">
        <f>_xll.EQNXTDZ($A$1,$B84,T$5,$B$1)</f>
        <v>9513.27</v>
      </c>
      <c r="U84" s="55">
        <f>_xll.EQNXTDZ($A$1,$B84,U$5,$B$1)</f>
        <v>0</v>
      </c>
      <c r="V84" s="55">
        <f>_xll.EQNXTDZ($A$1,$B84,V$5,$B$1)</f>
        <v>10604.38</v>
      </c>
      <c r="W84" s="55">
        <f>_xll.EQNXTDZ($A$1,$B84,W$5,$B$1)</f>
        <v>0</v>
      </c>
      <c r="X84" s="55">
        <f>_xll.EQNXTDZ($A$1,$B84,X$5,$B$1)</f>
        <v>4931.63</v>
      </c>
      <c r="Y84" s="55">
        <f>_xll.EQNXTDZ($A$1,$B84,Y$5,$B$1)</f>
        <v>0</v>
      </c>
      <c r="Z84" s="55">
        <f>_xll.EQNXTDZ($A$1,$B84,Z$5,$B$1)</f>
        <v>13046.21</v>
      </c>
      <c r="AA84" s="55">
        <f>_xll.EQNXTDZ($A$1,$B84,AA$5,$B$1)</f>
        <v>0</v>
      </c>
      <c r="AB84" s="55">
        <f>_xll.EQNXTDZ($A$1,$B84,AB$5,$B$1)</f>
        <v>12895.6</v>
      </c>
      <c r="AC84" s="55">
        <f>_xll.EQNXTDZ($A$1,$B84,AC$5,$B$1)</f>
        <v>0</v>
      </c>
      <c r="AD84" s="55">
        <f>_xll.EQNXTDZ($A$1,$B84,AD$5,$B$1)</f>
        <v>2126.11</v>
      </c>
      <c r="AE84" s="55">
        <f>_xll.EQNXTDZ($A$1,$B84,AE$5,$B$1)</f>
        <v>0</v>
      </c>
      <c r="AF84" s="55">
        <f>_xll.EQNXTDZ($A$1,$B84,AF$5,$B$1)</f>
        <v>1682.13</v>
      </c>
      <c r="AG84" s="55">
        <f>_xll.EQNXTDZ($A$1,$B84,AG$5,$B$1)</f>
        <v>0</v>
      </c>
      <c r="AH84" s="55">
        <f>_xll.EQNXTDZ($A$1,$B84,AH$5,$B$1)</f>
        <v>2183.92</v>
      </c>
      <c r="AI84" s="55">
        <f>_xll.EQNXTDZ($A$1,$B84,AI$5,$B$1)</f>
        <v>0</v>
      </c>
      <c r="AJ84" s="55">
        <f>_xll.EQNXTDZ($A$1,$B84,AJ$5,$B$1)</f>
        <v>1275.3399999999999</v>
      </c>
      <c r="AK84" s="55">
        <f>_xll.EQNXTDZ($A$1,$B84,AK$5,$B$1)</f>
        <v>0</v>
      </c>
      <c r="AL84" s="55">
        <f>_xll.EQNXTDZ($A$1,$B84,AL$5,$B$1)</f>
        <v>2834.79</v>
      </c>
      <c r="AM84" s="55">
        <f>_xll.EQNXTDZ($A$1,$B84,AM$5,$B$1)</f>
        <v>0</v>
      </c>
      <c r="AN84" s="55">
        <f>_xll.EQNXTDZ($A$1,$B84,AN$5,$B$1)</f>
        <v>1388.5</v>
      </c>
      <c r="AO84" s="55">
        <f>_xll.EQNXTDZ($A$1,$B84,AO$5,$B$1)</f>
        <v>0</v>
      </c>
      <c r="AP84" s="55">
        <f>_xll.EQNXTDZ($A$1,$B84,AP$5,$B$1)</f>
        <v>2028.04</v>
      </c>
      <c r="AQ84" s="55">
        <f>_xll.EQNXTDZ($A$1,$B84,AQ$5,$B$1)</f>
        <v>0</v>
      </c>
      <c r="AR84" s="55">
        <f>_xll.EQNXTDZ($A$1,$B84,AR$5,$B$1)</f>
        <v>2261.06</v>
      </c>
      <c r="AS84" s="55">
        <f>_xll.EQNXTDZ($A$1,$B84,AS$5,$B$1)</f>
        <v>0</v>
      </c>
      <c r="AT84" s="55">
        <f>_xll.EQNXTDZ($A$1,$B84,AT$5,$B$1)</f>
        <v>2072.21</v>
      </c>
      <c r="AU84" s="55">
        <f>_xll.EQNXTDZ($A$1,$B84,AU$5,$B$1)</f>
        <v>0</v>
      </c>
      <c r="AV84" s="55">
        <f>_xll.EQNXTDZ($A$1,$B84,AV$5,$B$1)</f>
        <v>9945.2199999999993</v>
      </c>
      <c r="AW84" s="55">
        <f>_xll.EQNXTDZ($A$1,$B84,AW$5,$B$1)</f>
        <v>0</v>
      </c>
      <c r="AX84" s="55">
        <f>_xll.EQNXTDZ($A$1,$B84,AX$5,$B$1)</f>
        <v>2249.9</v>
      </c>
      <c r="AY84" s="55">
        <f>_xll.EQNXTDZ($A$1,$B84,AY$5,$B$1)</f>
        <v>0</v>
      </c>
      <c r="AZ84" s="55">
        <f>_xll.EQNXTDZ($A$1,$B84,AZ$5,$B$1)</f>
        <v>13091.82</v>
      </c>
      <c r="BA84" s="55">
        <f>_xll.EQNXTDZ($A$1,$B84,BA$5,$B$1)</f>
        <v>0</v>
      </c>
      <c r="BB84" s="55">
        <f>_xll.EQNXTDZ($A$1,$B84,BB$5,$B$1)</f>
        <v>2672.25</v>
      </c>
      <c r="BC84" s="55">
        <f>_xll.EQNXTDZ($A$1,$B84,BC$5,$B$1)</f>
        <v>0</v>
      </c>
      <c r="BD84" s="55">
        <f>_xll.EQNXTDZ($A$1,$B84,BD$5,$B$1)</f>
        <v>6000.51</v>
      </c>
      <c r="BE84" s="55">
        <f>_xll.EQNXTDZ($A$1,$B84,BE$5,$B$1)</f>
        <v>0</v>
      </c>
      <c r="BF84" s="55">
        <f>_xll.EQNXTDZ($A$1,$B84,BF$5,$B$1)</f>
        <v>3176.9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1973.67</v>
      </c>
      <c r="E85" s="55">
        <f>_xll.EQNXTDZ($A$1,$B85,E$5,$B$1)</f>
        <v>0</v>
      </c>
      <c r="F85" s="55">
        <f>_xll.EQNXTDZ($A$1,$B85,F$5,$B$1)</f>
        <v>3299.91</v>
      </c>
      <c r="G85" s="55">
        <f>_xll.EQNXTDZ($A$1,$B85,G$5,$B$1)</f>
        <v>0</v>
      </c>
      <c r="H85" s="55">
        <f>_xll.EQNXTDZ($A$1,$B85,H$5,$B$1)</f>
        <v>3437.91</v>
      </c>
      <c r="I85" s="55">
        <f>_xll.EQNXTDZ($A$1,$B85,I$5,$B$1)</f>
        <v>0</v>
      </c>
      <c r="J85" s="55">
        <f>_xll.EQNXTDZ($A$1,$B85,J$5,$B$1)</f>
        <v>3215.96</v>
      </c>
      <c r="K85" s="55">
        <f>_xll.EQNXTDZ($A$1,$B85,K$5,$B$1)</f>
        <v>0</v>
      </c>
      <c r="L85" s="55">
        <f>_xll.EQNXTDZ($A$1,$B85,L$5,$B$1)</f>
        <v>3497.72</v>
      </c>
      <c r="M85" s="55">
        <f>_xll.EQNXTDZ($A$1,$B85,M$5,$B$1)</f>
        <v>0</v>
      </c>
      <c r="N85" s="55">
        <f>_xll.EQNXTDZ($A$1,$B85,N$5,$B$1)</f>
        <v>3569.83</v>
      </c>
      <c r="O85" s="55">
        <f>_xll.EQNXTDZ($A$1,$B85,O$5,$B$1)</f>
        <v>0</v>
      </c>
      <c r="P85" s="55">
        <f>_xll.EQNXTDZ($A$1,$B85,P$5,$B$1)</f>
        <v>4284.8100000000004</v>
      </c>
      <c r="Q85" s="55">
        <f>_xll.EQNXTDZ($A$1,$B85,Q$5,$B$1)</f>
        <v>0</v>
      </c>
      <c r="R85" s="55">
        <f>_xll.EQNXTDZ($A$1,$B85,R$5,$B$1)</f>
        <v>410.27</v>
      </c>
      <c r="S85" s="55">
        <f>_xll.EQNXTDZ($A$1,$B85,S$5,$B$1)</f>
        <v>0</v>
      </c>
      <c r="T85" s="55">
        <f>_xll.EQNXTDZ($A$1,$B85,T$5,$B$1)</f>
        <v>337.31</v>
      </c>
      <c r="U85" s="55">
        <f>_xll.EQNXTDZ($A$1,$B85,U$5,$B$1)</f>
        <v>0</v>
      </c>
      <c r="V85" s="55">
        <f>_xll.EQNXTDZ($A$1,$B85,V$5,$B$1)</f>
        <v>655.44</v>
      </c>
      <c r="W85" s="55">
        <f>_xll.EQNXTDZ($A$1,$B85,W$5,$B$1)</f>
        <v>0</v>
      </c>
      <c r="X85" s="55">
        <f>_xll.EQNXTDZ($A$1,$B85,X$5,$B$1)</f>
        <v>657.55</v>
      </c>
      <c r="Y85" s="55">
        <f>_xll.EQNXTDZ($A$1,$B85,Y$5,$B$1)</f>
        <v>0</v>
      </c>
      <c r="Z85" s="55">
        <f>_xll.EQNXTDZ($A$1,$B85,Z$5,$B$1)</f>
        <v>784.8</v>
      </c>
      <c r="AA85" s="55">
        <f>_xll.EQNXTDZ($A$1,$B85,AA$5,$B$1)</f>
        <v>0</v>
      </c>
      <c r="AB85" s="55">
        <f>_xll.EQNXTDZ($A$1,$B85,AB$5,$B$1)</f>
        <v>180.08</v>
      </c>
      <c r="AC85" s="55">
        <f>_xll.EQNXTDZ($A$1,$B85,AC$5,$B$1)</f>
        <v>0</v>
      </c>
      <c r="AD85" s="55">
        <f>_xll.EQNXTDZ($A$1,$B85,AD$5,$B$1)</f>
        <v>87.18</v>
      </c>
      <c r="AE85" s="55">
        <f>_xll.EQNXTDZ($A$1,$B85,AE$5,$B$1)</f>
        <v>0</v>
      </c>
      <c r="AF85" s="55">
        <f>_xll.EQNXTDZ($A$1,$B85,AF$5,$B$1)</f>
        <v>24.31</v>
      </c>
      <c r="AG85" s="55">
        <f>_xll.EQNXTDZ($A$1,$B85,AG$5,$B$1)</f>
        <v>0</v>
      </c>
      <c r="AH85" s="55">
        <f>_xll.EQNXTDZ($A$1,$B85,AH$5,$B$1)</f>
        <v>33</v>
      </c>
      <c r="AI85" s="55">
        <f>_xll.EQNXTDZ($A$1,$B85,AI$5,$B$1)</f>
        <v>0</v>
      </c>
      <c r="AJ85" s="55">
        <f>_xll.EQNXTDZ($A$1,$B85,AJ$5,$B$1)</f>
        <v>31.15</v>
      </c>
      <c r="AK85" s="55">
        <f>_xll.EQNXTDZ($A$1,$B85,AK$5,$B$1)</f>
        <v>0</v>
      </c>
      <c r="AL85" s="55">
        <f>_xll.EQNXTDZ($A$1,$B85,AL$5,$B$1)</f>
        <v>7.63</v>
      </c>
      <c r="AM85" s="55">
        <f>_xll.EQNXTDZ($A$1,$B85,AM$5,$B$1)</f>
        <v>0</v>
      </c>
      <c r="AN85" s="55">
        <f>_xll.EQNXTDZ($A$1,$B85,AN$5,$B$1)</f>
        <v>15.15</v>
      </c>
      <c r="AO85" s="55">
        <f>_xll.EQNXTDZ($A$1,$B85,AO$5,$B$1)</f>
        <v>0</v>
      </c>
      <c r="AP85" s="55">
        <f>_xll.EQNXTDZ($A$1,$B85,AP$5,$B$1)</f>
        <v>9.34</v>
      </c>
      <c r="AQ85" s="55">
        <f>_xll.EQNXTDZ($A$1,$B85,AQ$5,$B$1)</f>
        <v>0</v>
      </c>
      <c r="AR85" s="55">
        <f>_xll.EQNXTDZ($A$1,$B85,AR$5,$B$1)</f>
        <v>22.57</v>
      </c>
      <c r="AS85" s="55">
        <f>_xll.EQNXTDZ($A$1,$B85,AS$5,$B$1)</f>
        <v>0</v>
      </c>
      <c r="AT85" s="55">
        <f>_xll.EQNXTDZ($A$1,$B85,AT$5,$B$1)</f>
        <v>11.55</v>
      </c>
      <c r="AU85" s="55">
        <f>_xll.EQNXTDZ($A$1,$B85,AU$5,$B$1)</f>
        <v>0</v>
      </c>
      <c r="AV85" s="55">
        <f>_xll.EQNXTDZ($A$1,$B85,AV$5,$B$1)</f>
        <v>19.71</v>
      </c>
      <c r="AW85" s="55">
        <f>_xll.EQNXTDZ($A$1,$B85,AW$5,$B$1)</f>
        <v>0</v>
      </c>
      <c r="AX85" s="55">
        <f>_xll.EQNXTDZ($A$1,$B85,AX$5,$B$1)</f>
        <v>11.14</v>
      </c>
      <c r="AY85" s="55">
        <f>_xll.EQNXTDZ($A$1,$B85,AY$5,$B$1)</f>
        <v>0</v>
      </c>
      <c r="AZ85" s="55">
        <f>_xll.EQNXTDZ($A$1,$B85,AZ$5,$B$1)</f>
        <v>19.149999999999999</v>
      </c>
      <c r="BA85" s="55">
        <f>_xll.EQNXTDZ($A$1,$B85,BA$5,$B$1)</f>
        <v>0</v>
      </c>
      <c r="BB85" s="55">
        <f>_xll.EQNXTDZ($A$1,$B85,BB$5,$B$1)</f>
        <v>12.34</v>
      </c>
      <c r="BC85" s="55">
        <f>_xll.EQNXTDZ($A$1,$B85,BC$5,$B$1)</f>
        <v>0</v>
      </c>
      <c r="BD85" s="55">
        <f>_xll.EQNXTDZ($A$1,$B85,BD$5,$B$1)</f>
        <v>22.71</v>
      </c>
      <c r="BE85" s="55">
        <f>_xll.EQNXTDZ($A$1,$B85,BE$5,$B$1)</f>
        <v>0</v>
      </c>
      <c r="BF85" s="55">
        <f>_xll.EQNXTDZ($A$1,$B85,BF$5,$B$1)</f>
        <v>19.8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5487.97</v>
      </c>
      <c r="E86" s="55">
        <f>_xll.EQNXTDZ($A$1,$B86,E$5,$B$1)</f>
        <v>0</v>
      </c>
      <c r="F86" s="55">
        <f>_xll.EQNXTDZ($A$1,$B86,F$5,$B$1)</f>
        <v>12150.12</v>
      </c>
      <c r="G86" s="55">
        <f>_xll.EQNXTDZ($A$1,$B86,G$5,$B$1)</f>
        <v>0</v>
      </c>
      <c r="H86" s="55">
        <f>_xll.EQNXTDZ($A$1,$B86,H$5,$B$1)</f>
        <v>15254.98</v>
      </c>
      <c r="I86" s="55">
        <f>_xll.EQNXTDZ($A$1,$B86,I$5,$B$1)</f>
        <v>0</v>
      </c>
      <c r="J86" s="55">
        <f>_xll.EQNXTDZ($A$1,$B86,J$5,$B$1)</f>
        <v>13360.88</v>
      </c>
      <c r="K86" s="55">
        <f>_xll.EQNXTDZ($A$1,$B86,K$5,$B$1)</f>
        <v>0</v>
      </c>
      <c r="L86" s="55">
        <f>_xll.EQNXTDZ($A$1,$B86,L$5,$B$1)</f>
        <v>15493.94</v>
      </c>
      <c r="M86" s="55">
        <f>_xll.EQNXTDZ($A$1,$B86,M$5,$B$1)</f>
        <v>0</v>
      </c>
      <c r="N86" s="55">
        <f>_xll.EQNXTDZ($A$1,$B86,N$5,$B$1)</f>
        <v>14898.96</v>
      </c>
      <c r="O86" s="55">
        <f>_xll.EQNXTDZ($A$1,$B86,O$5,$B$1)</f>
        <v>0</v>
      </c>
      <c r="P86" s="55">
        <f>_xll.EQNXTDZ($A$1,$B86,P$5,$B$1)</f>
        <v>16281.71</v>
      </c>
      <c r="Q86" s="55">
        <f>_xll.EQNXTDZ($A$1,$B86,Q$5,$B$1)</f>
        <v>0</v>
      </c>
      <c r="R86" s="55">
        <f>_xll.EQNXTDZ($A$1,$B86,R$5,$B$1)</f>
        <v>17167.29</v>
      </c>
      <c r="S86" s="55">
        <f>_xll.EQNXTDZ($A$1,$B86,S$5,$B$1)</f>
        <v>0</v>
      </c>
      <c r="T86" s="55">
        <f>_xll.EQNXTDZ($A$1,$B86,T$5,$B$1)</f>
        <v>17922.34</v>
      </c>
      <c r="U86" s="55">
        <f>_xll.EQNXTDZ($A$1,$B86,U$5,$B$1)</f>
        <v>0</v>
      </c>
      <c r="V86" s="55">
        <f>_xll.EQNXTDZ($A$1,$B86,V$5,$B$1)</f>
        <v>19864.66</v>
      </c>
      <c r="W86" s="55">
        <f>_xll.EQNXTDZ($A$1,$B86,W$5,$B$1)</f>
        <v>0</v>
      </c>
      <c r="X86" s="55">
        <f>_xll.EQNXTDZ($A$1,$B86,X$5,$B$1)</f>
        <v>14289.24</v>
      </c>
      <c r="Y86" s="55">
        <f>_xll.EQNXTDZ($A$1,$B86,Y$5,$B$1)</f>
        <v>0</v>
      </c>
      <c r="Z86" s="55">
        <f>_xll.EQNXTDZ($A$1,$B86,Z$5,$B$1)</f>
        <v>20675.05</v>
      </c>
      <c r="AA86" s="55">
        <f>_xll.EQNXTDZ($A$1,$B86,AA$5,$B$1)</f>
        <v>0</v>
      </c>
      <c r="AB86" s="55">
        <f>_xll.EQNXTDZ($A$1,$B86,AB$5,$B$1)</f>
        <v>21452.400000000001</v>
      </c>
      <c r="AC86" s="55">
        <f>_xll.EQNXTDZ($A$1,$B86,AC$5,$B$1)</f>
        <v>0</v>
      </c>
      <c r="AD86" s="55">
        <f>_xll.EQNXTDZ($A$1,$B86,AD$5,$B$1)</f>
        <v>10195.15</v>
      </c>
      <c r="AE86" s="55">
        <f>_xll.EQNXTDZ($A$1,$B86,AE$5,$B$1)</f>
        <v>0</v>
      </c>
      <c r="AF86" s="55">
        <f>_xll.EQNXTDZ($A$1,$B86,AF$5,$B$1)</f>
        <v>11135.06</v>
      </c>
      <c r="AG86" s="55">
        <f>_xll.EQNXTDZ($A$1,$B86,AG$5,$B$1)</f>
        <v>0</v>
      </c>
      <c r="AH86" s="55">
        <f>_xll.EQNXTDZ($A$1,$B86,AH$5,$B$1)</f>
        <v>12021.48</v>
      </c>
      <c r="AI86" s="55">
        <f>_xll.EQNXTDZ($A$1,$B86,AI$5,$B$1)</f>
        <v>0</v>
      </c>
      <c r="AJ86" s="55">
        <f>_xll.EQNXTDZ($A$1,$B86,AJ$5,$B$1)</f>
        <v>14760.2</v>
      </c>
      <c r="AK86" s="55">
        <f>_xll.EQNXTDZ($A$1,$B86,AK$5,$B$1)</f>
        <v>0</v>
      </c>
      <c r="AL86" s="55">
        <f>_xll.EQNXTDZ($A$1,$B86,AL$5,$B$1)</f>
        <v>16339.78</v>
      </c>
      <c r="AM86" s="55">
        <f>_xll.EQNXTDZ($A$1,$B86,AM$5,$B$1)</f>
        <v>0</v>
      </c>
      <c r="AN86" s="55">
        <f>_xll.EQNXTDZ($A$1,$B86,AN$5,$B$1)</f>
        <v>16300.81</v>
      </c>
      <c r="AO86" s="55">
        <f>_xll.EQNXTDZ($A$1,$B86,AO$5,$B$1)</f>
        <v>0</v>
      </c>
      <c r="AP86" s="55">
        <f>_xll.EQNXTDZ($A$1,$B86,AP$5,$B$1)</f>
        <v>21585.43</v>
      </c>
      <c r="AQ86" s="55">
        <f>_xll.EQNXTDZ($A$1,$B86,AQ$5,$B$1)</f>
        <v>0</v>
      </c>
      <c r="AR86" s="55">
        <f>_xll.EQNXTDZ($A$1,$B86,AR$5,$B$1)</f>
        <v>26451.38</v>
      </c>
      <c r="AS86" s="55">
        <f>_xll.EQNXTDZ($A$1,$B86,AS$5,$B$1)</f>
        <v>0</v>
      </c>
      <c r="AT86" s="55">
        <f>_xll.EQNXTDZ($A$1,$B86,AT$5,$B$1)</f>
        <v>27791.63</v>
      </c>
      <c r="AU86" s="55">
        <f>_xll.EQNXTDZ($A$1,$B86,AU$5,$B$1)</f>
        <v>0</v>
      </c>
      <c r="AV86" s="55">
        <f>_xll.EQNXTDZ($A$1,$B86,AV$5,$B$1)</f>
        <v>35496.92</v>
      </c>
      <c r="AW86" s="55">
        <f>_xll.EQNXTDZ($A$1,$B86,AW$5,$B$1)</f>
        <v>0</v>
      </c>
      <c r="AX86" s="55">
        <f>_xll.EQNXTDZ($A$1,$B86,AX$5,$B$1)</f>
        <v>27264.39</v>
      </c>
      <c r="AY86" s="55">
        <f>_xll.EQNXTDZ($A$1,$B86,AY$5,$B$1)</f>
        <v>0</v>
      </c>
      <c r="AZ86" s="55">
        <f>_xll.EQNXTDZ($A$1,$B86,AZ$5,$B$1)</f>
        <v>34061.14</v>
      </c>
      <c r="BA86" s="55">
        <f>_xll.EQNXTDZ($A$1,$B86,BA$5,$B$1)</f>
        <v>0</v>
      </c>
      <c r="BB86" s="55">
        <f>_xll.EQNXTDZ($A$1,$B86,BB$5,$B$1)</f>
        <v>28756.65</v>
      </c>
      <c r="BC86" s="55">
        <f>_xll.EQNXTDZ($A$1,$B86,BC$5,$B$1)</f>
        <v>0</v>
      </c>
      <c r="BD86" s="55">
        <f>_xll.EQNXTDZ($A$1,$B86,BD$5,$B$1)</f>
        <v>29216.33</v>
      </c>
      <c r="BE86" s="55">
        <f>_xll.EQNXTDZ($A$1,$B86,BE$5,$B$1)</f>
        <v>0</v>
      </c>
      <c r="BF86" s="55">
        <f>_xll.EQNXTDZ($A$1,$B86,BF$5,$B$1)</f>
        <v>30571.05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2496.67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803.92</v>
      </c>
      <c r="E88" s="55">
        <f>_xll.EQNXTDZ($A$1,$B88,E$5,$B$1)</f>
        <v>0</v>
      </c>
      <c r="F88" s="55">
        <f>_xll.EQNXTDZ($A$1,$B88,F$5,$B$1)</f>
        <v>3547.18</v>
      </c>
      <c r="G88" s="55">
        <f>_xll.EQNXTDZ($A$1,$B88,G$5,$B$1)</f>
        <v>0</v>
      </c>
      <c r="H88" s="55">
        <f>_xll.EQNXTDZ($A$1,$B88,H$5,$B$1)</f>
        <v>5204.92</v>
      </c>
      <c r="I88" s="55">
        <f>_xll.EQNXTDZ($A$1,$B88,I$5,$B$1)</f>
        <v>0</v>
      </c>
      <c r="J88" s="55">
        <f>_xll.EQNXTDZ($A$1,$B88,J$5,$B$1)</f>
        <v>4706.78</v>
      </c>
      <c r="K88" s="55">
        <f>_xll.EQNXTDZ($A$1,$B88,K$5,$B$1)</f>
        <v>0</v>
      </c>
      <c r="L88" s="55">
        <f>_xll.EQNXTDZ($A$1,$B88,L$5,$B$1)</f>
        <v>4040.01</v>
      </c>
      <c r="M88" s="55">
        <f>_xll.EQNXTDZ($A$1,$B88,M$5,$B$1)</f>
        <v>0</v>
      </c>
      <c r="N88" s="55">
        <f>_xll.EQNXTDZ($A$1,$B88,N$5,$B$1)</f>
        <v>4586.5600000000004</v>
      </c>
      <c r="O88" s="55">
        <f>_xll.EQNXTDZ($A$1,$B88,O$5,$B$1)</f>
        <v>0</v>
      </c>
      <c r="P88" s="55">
        <f>_xll.EQNXTDZ($A$1,$B88,P$5,$B$1)</f>
        <v>3899.64</v>
      </c>
      <c r="Q88" s="55">
        <f>_xll.EQNXTDZ($A$1,$B88,Q$5,$B$1)</f>
        <v>0</v>
      </c>
      <c r="R88" s="55">
        <f>_xll.EQNXTDZ($A$1,$B88,R$5,$B$1)</f>
        <v>14588.91</v>
      </c>
      <c r="S88" s="55">
        <f>_xll.EQNXTDZ($A$1,$B88,S$5,$B$1)</f>
        <v>0</v>
      </c>
      <c r="T88" s="55">
        <f>_xll.EQNXTDZ($A$1,$B88,T$5,$B$1)</f>
        <v>15536.97</v>
      </c>
      <c r="U88" s="55">
        <f>_xll.EQNXTDZ($A$1,$B88,U$5,$B$1)</f>
        <v>0</v>
      </c>
      <c r="V88" s="55">
        <f>_xll.EQNXTDZ($A$1,$B88,V$5,$B$1)</f>
        <v>16279.79</v>
      </c>
      <c r="W88" s="55">
        <f>_xll.EQNXTDZ($A$1,$B88,W$5,$B$1)</f>
        <v>0</v>
      </c>
      <c r="X88" s="55">
        <f>_xll.EQNXTDZ($A$1,$B88,X$5,$B$1)</f>
        <v>20071.75</v>
      </c>
      <c r="Y88" s="55">
        <f>_xll.EQNXTDZ($A$1,$B88,Y$5,$B$1)</f>
        <v>0</v>
      </c>
      <c r="Z88" s="55">
        <f>_xll.EQNXTDZ($A$1,$B88,Z$5,$B$1)</f>
        <v>18827.28</v>
      </c>
      <c r="AA88" s="55">
        <f>_xll.EQNXTDZ($A$1,$B88,AA$5,$B$1)</f>
        <v>0</v>
      </c>
      <c r="AB88" s="55">
        <f>_xll.EQNXTDZ($A$1,$B88,AB$5,$B$1)</f>
        <v>17000.990000000002</v>
      </c>
      <c r="AC88" s="55">
        <f>_xll.EQNXTDZ($A$1,$B88,AC$5,$B$1)</f>
        <v>0</v>
      </c>
      <c r="AD88" s="55">
        <f>_xll.EQNXTDZ($A$1,$B88,AD$5,$B$1)</f>
        <v>13875.38</v>
      </c>
      <c r="AE88" s="55">
        <f>_xll.EQNXTDZ($A$1,$B88,AE$5,$B$1)</f>
        <v>0</v>
      </c>
      <c r="AF88" s="55">
        <f>_xll.EQNXTDZ($A$1,$B88,AF$5,$B$1)</f>
        <v>12751.46</v>
      </c>
      <c r="AG88" s="55">
        <f>_xll.EQNXTDZ($A$1,$B88,AG$5,$B$1)</f>
        <v>0</v>
      </c>
      <c r="AH88" s="55">
        <f>_xll.EQNXTDZ($A$1,$B88,AH$5,$B$1)</f>
        <v>11844.36</v>
      </c>
      <c r="AI88" s="55">
        <f>_xll.EQNXTDZ($A$1,$B88,AI$5,$B$1)</f>
        <v>0</v>
      </c>
      <c r="AJ88" s="55">
        <f>_xll.EQNXTDZ($A$1,$B88,AJ$5,$B$1)</f>
        <v>7745.75</v>
      </c>
      <c r="AK88" s="55">
        <f>_xll.EQNXTDZ($A$1,$B88,AK$5,$B$1)</f>
        <v>0</v>
      </c>
      <c r="AL88" s="55">
        <f>_xll.EQNXTDZ($A$1,$B88,AL$5,$B$1)</f>
        <v>13125.79</v>
      </c>
      <c r="AM88" s="55">
        <f>_xll.EQNXTDZ($A$1,$B88,AM$5,$B$1)</f>
        <v>0</v>
      </c>
      <c r="AN88" s="55">
        <f>_xll.EQNXTDZ($A$1,$B88,AN$5,$B$1)</f>
        <v>17658.29</v>
      </c>
      <c r="AO88" s="55">
        <f>_xll.EQNXTDZ($A$1,$B88,AO$5,$B$1)</f>
        <v>0</v>
      </c>
      <c r="AP88" s="55">
        <f>_xll.EQNXTDZ($A$1,$B88,AP$5,$B$1)</f>
        <v>14860.3</v>
      </c>
      <c r="AQ88" s="55">
        <f>_xll.EQNXTDZ($A$1,$B88,AQ$5,$B$1)</f>
        <v>0</v>
      </c>
      <c r="AR88" s="55">
        <f>_xll.EQNXTDZ($A$1,$B88,AR$5,$B$1)</f>
        <v>19934.27</v>
      </c>
      <c r="AS88" s="55">
        <f>_xll.EQNXTDZ($A$1,$B88,AS$5,$B$1)</f>
        <v>0</v>
      </c>
      <c r="AT88" s="55">
        <f>_xll.EQNXTDZ($A$1,$B88,AT$5,$B$1)</f>
        <v>18265.939999999999</v>
      </c>
      <c r="AU88" s="55">
        <f>_xll.EQNXTDZ($A$1,$B88,AU$5,$B$1)</f>
        <v>0</v>
      </c>
      <c r="AV88" s="55">
        <f>_xll.EQNXTDZ($A$1,$B88,AV$5,$B$1)</f>
        <v>15228.85</v>
      </c>
      <c r="AW88" s="55">
        <f>_xll.EQNXTDZ($A$1,$B88,AW$5,$B$1)</f>
        <v>0</v>
      </c>
      <c r="AX88" s="55">
        <f>_xll.EQNXTDZ($A$1,$B88,AX$5,$B$1)</f>
        <v>12087.56</v>
      </c>
      <c r="AY88" s="55">
        <f>_xll.EQNXTDZ($A$1,$B88,AY$5,$B$1)</f>
        <v>0</v>
      </c>
      <c r="AZ88" s="55">
        <f>_xll.EQNXTDZ($A$1,$B88,AZ$5,$B$1)</f>
        <v>14759.49</v>
      </c>
      <c r="BA88" s="55">
        <f>_xll.EQNXTDZ($A$1,$B88,BA$5,$B$1)</f>
        <v>0</v>
      </c>
      <c r="BB88" s="55">
        <f>_xll.EQNXTDZ($A$1,$B88,BB$5,$B$1)</f>
        <v>14015.84</v>
      </c>
      <c r="BC88" s="55">
        <f>_xll.EQNXTDZ($A$1,$B88,BC$5,$B$1)</f>
        <v>0</v>
      </c>
      <c r="BD88" s="55">
        <f>_xll.EQNXTDZ($A$1,$B88,BD$5,$B$1)</f>
        <v>12783.42</v>
      </c>
      <c r="BE88" s="55">
        <f>_xll.EQNXTDZ($A$1,$B88,BE$5,$B$1)</f>
        <v>0</v>
      </c>
      <c r="BF88" s="55">
        <f>_xll.EQNXTDZ($A$1,$B88,BF$5,$B$1)</f>
        <v>9513.82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3540.85</v>
      </c>
      <c r="G89" s="55">
        <f>_xll.EQNXTDZ($A$1,$B89,G$5,$B$1)</f>
        <v>0</v>
      </c>
      <c r="H89" s="55">
        <f>_xll.EQNXTDZ($A$1,$B89,H$5,$B$1)</f>
        <v>4208.68</v>
      </c>
      <c r="I89" s="55">
        <f>_xll.EQNXTDZ($A$1,$B89,I$5,$B$1)</f>
        <v>0</v>
      </c>
      <c r="J89" s="55">
        <f>_xll.EQNXTDZ($A$1,$B89,J$5,$B$1)</f>
        <v>4574</v>
      </c>
      <c r="K89" s="55">
        <f>_xll.EQNXTDZ($A$1,$B89,K$5,$B$1)</f>
        <v>0</v>
      </c>
      <c r="L89" s="55">
        <f>_xll.EQNXTDZ($A$1,$B89,L$5,$B$1)</f>
        <v>4833.54</v>
      </c>
      <c r="M89" s="55">
        <f>_xll.EQNXTDZ($A$1,$B89,M$5,$B$1)</f>
        <v>0</v>
      </c>
      <c r="N89" s="55">
        <f>_xll.EQNXTDZ($A$1,$B89,N$5,$B$1)</f>
        <v>5235.42</v>
      </c>
      <c r="O89" s="55">
        <f>_xll.EQNXTDZ($A$1,$B89,O$5,$B$1)</f>
        <v>0</v>
      </c>
      <c r="P89" s="55">
        <f>_xll.EQNXTDZ($A$1,$B89,P$5,$B$1)</f>
        <v>5907.76</v>
      </c>
      <c r="Q89" s="55">
        <f>_xll.EQNXTDZ($A$1,$B89,Q$5,$B$1)</f>
        <v>0</v>
      </c>
      <c r="R89" s="55">
        <f>_xll.EQNXTDZ($A$1,$B89,R$5,$B$1)</f>
        <v>4401.3599999999997</v>
      </c>
      <c r="S89" s="55">
        <f>_xll.EQNXTDZ($A$1,$B89,S$5,$B$1)</f>
        <v>0</v>
      </c>
      <c r="T89" s="55">
        <f>_xll.EQNXTDZ($A$1,$B89,T$5,$B$1)</f>
        <v>4304.75</v>
      </c>
      <c r="U89" s="55">
        <f>_xll.EQNXTDZ($A$1,$B89,U$5,$B$1)</f>
        <v>0</v>
      </c>
      <c r="V89" s="55">
        <f>_xll.EQNXTDZ($A$1,$B89,V$5,$B$1)</f>
        <v>5529</v>
      </c>
      <c r="W89" s="55">
        <f>_xll.EQNXTDZ($A$1,$B89,W$5,$B$1)</f>
        <v>0</v>
      </c>
      <c r="X89" s="55">
        <f>_xll.EQNXTDZ($A$1,$B89,X$5,$B$1)</f>
        <v>5183.93</v>
      </c>
      <c r="Y89" s="55">
        <f>_xll.EQNXTDZ($A$1,$B89,Y$5,$B$1)</f>
        <v>0</v>
      </c>
      <c r="Z89" s="55">
        <f>_xll.EQNXTDZ($A$1,$B89,Z$5,$B$1)</f>
        <v>5609.82</v>
      </c>
      <c r="AA89" s="55">
        <f>_xll.EQNXTDZ($A$1,$B89,AA$5,$B$1)</f>
        <v>0</v>
      </c>
      <c r="AB89" s="55">
        <f>_xll.EQNXTDZ($A$1,$B89,AB$5,$B$1)</f>
        <v>5110.1400000000003</v>
      </c>
      <c r="AC89" s="55">
        <f>_xll.EQNXTDZ($A$1,$B89,AC$5,$B$1)</f>
        <v>0</v>
      </c>
      <c r="AD89" s="55">
        <f>_xll.EQNXTDZ($A$1,$B89,AD$5,$B$1)</f>
        <v>5481.49</v>
      </c>
      <c r="AE89" s="55">
        <f>_xll.EQNXTDZ($A$1,$B89,AE$5,$B$1)</f>
        <v>0</v>
      </c>
      <c r="AF89" s="55">
        <f>_xll.EQNXTDZ($A$1,$B89,AF$5,$B$1)</f>
        <v>4777.34</v>
      </c>
      <c r="AG89" s="55">
        <f>_xll.EQNXTDZ($A$1,$B89,AG$5,$B$1)</f>
        <v>0</v>
      </c>
      <c r="AH89" s="55">
        <f>_xll.EQNXTDZ($A$1,$B89,AH$5,$B$1)</f>
        <v>5095.4399999999996</v>
      </c>
      <c r="AI89" s="55">
        <f>_xll.EQNXTDZ($A$1,$B89,AI$5,$B$1)</f>
        <v>0</v>
      </c>
      <c r="AJ89" s="55">
        <f>_xll.EQNXTDZ($A$1,$B89,AJ$5,$B$1)</f>
        <v>5456.08</v>
      </c>
      <c r="AK89" s="55">
        <f>_xll.EQNXTDZ($A$1,$B89,AK$5,$B$1)</f>
        <v>0</v>
      </c>
      <c r="AL89" s="55">
        <f>_xll.EQNXTDZ($A$1,$B89,AL$5,$B$1)</f>
        <v>7146.41</v>
      </c>
      <c r="AM89" s="55">
        <f>_xll.EQNXTDZ($A$1,$B89,AM$5,$B$1)</f>
        <v>0</v>
      </c>
      <c r="AN89" s="55">
        <f>_xll.EQNXTDZ($A$1,$B89,AN$5,$B$1)</f>
        <v>7080.82</v>
      </c>
      <c r="AO89" s="55">
        <f>_xll.EQNXTDZ($A$1,$B89,AO$5,$B$1)</f>
        <v>0</v>
      </c>
      <c r="AP89" s="55">
        <f>_xll.EQNXTDZ($A$1,$B89,AP$5,$B$1)</f>
        <v>10459.6</v>
      </c>
      <c r="AQ89" s="55">
        <f>_xll.EQNXTDZ($A$1,$B89,AQ$5,$B$1)</f>
        <v>0</v>
      </c>
      <c r="AR89" s="55">
        <f>_xll.EQNXTDZ($A$1,$B89,AR$5,$B$1)</f>
        <v>10377.77</v>
      </c>
      <c r="AS89" s="55">
        <f>_xll.EQNXTDZ($A$1,$B89,AS$5,$B$1)</f>
        <v>0</v>
      </c>
      <c r="AT89" s="55">
        <f>_xll.EQNXTDZ($A$1,$B89,AT$5,$B$1)</f>
        <v>7407.2</v>
      </c>
      <c r="AU89" s="55">
        <f>_xll.EQNXTDZ($A$1,$B89,AU$5,$B$1)</f>
        <v>0</v>
      </c>
      <c r="AV89" s="55">
        <f>_xll.EQNXTDZ($A$1,$B89,AV$5,$B$1)</f>
        <v>10287.549999999999</v>
      </c>
      <c r="AW89" s="55">
        <f>_xll.EQNXTDZ($A$1,$B89,AW$5,$B$1)</f>
        <v>0</v>
      </c>
      <c r="AX89" s="55">
        <f>_xll.EQNXTDZ($A$1,$B89,AX$5,$B$1)</f>
        <v>8776.2199999999993</v>
      </c>
      <c r="AY89" s="55">
        <f>_xll.EQNXTDZ($A$1,$B89,AY$5,$B$1)</f>
        <v>0</v>
      </c>
      <c r="AZ89" s="55">
        <f>_xll.EQNXTDZ($A$1,$B89,AZ$5,$B$1)</f>
        <v>9123.82</v>
      </c>
      <c r="BA89" s="55">
        <f>_xll.EQNXTDZ($A$1,$B89,BA$5,$B$1)</f>
        <v>0</v>
      </c>
      <c r="BB89" s="55">
        <f>_xll.EQNXTDZ($A$1,$B89,BB$5,$B$1)</f>
        <v>8854.5499999999993</v>
      </c>
      <c r="BC89" s="55">
        <f>_xll.EQNXTDZ($A$1,$B89,BC$5,$B$1)</f>
        <v>0</v>
      </c>
      <c r="BD89" s="55">
        <f>_xll.EQNXTDZ($A$1,$B89,BD$5,$B$1)</f>
        <v>7209.85</v>
      </c>
      <c r="BE89" s="55">
        <f>_xll.EQNXTDZ($A$1,$B89,BE$5,$B$1)</f>
        <v>0</v>
      </c>
      <c r="BF89" s="55">
        <f>_xll.EQNXTDZ($A$1,$B89,BF$5,$B$1)</f>
        <v>7138.23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8776.1299999999992</v>
      </c>
      <c r="G91" s="55">
        <f>_xll.EQNXTDZ($A$1,$B91,G$5,$B$1)</f>
        <v>0</v>
      </c>
      <c r="H91" s="55">
        <f>_xll.EQNXTDZ($A$1,$B91,H$5,$B$1)</f>
        <v>10029.6</v>
      </c>
      <c r="I91" s="55">
        <f>_xll.EQNXTDZ($A$1,$B91,I$5,$B$1)</f>
        <v>0</v>
      </c>
      <c r="J91" s="55">
        <f>_xll.EQNXTDZ($A$1,$B91,J$5,$B$1)</f>
        <v>11545.58</v>
      </c>
      <c r="K91" s="55">
        <f>_xll.EQNXTDZ($A$1,$B91,K$5,$B$1)</f>
        <v>0</v>
      </c>
      <c r="L91" s="55">
        <f>_xll.EQNXTDZ($A$1,$B91,L$5,$B$1)</f>
        <v>12027.34</v>
      </c>
      <c r="M91" s="55">
        <f>_xll.EQNXTDZ($A$1,$B91,M$5,$B$1)</f>
        <v>0</v>
      </c>
      <c r="N91" s="55">
        <f>_xll.EQNXTDZ($A$1,$B91,N$5,$B$1)</f>
        <v>10497.14</v>
      </c>
      <c r="O91" s="55">
        <f>_xll.EQNXTDZ($A$1,$B91,O$5,$B$1)</f>
        <v>0</v>
      </c>
      <c r="P91" s="55">
        <f>_xll.EQNXTDZ($A$1,$B91,P$5,$B$1)</f>
        <v>13290.57</v>
      </c>
      <c r="Q91" s="55">
        <f>_xll.EQNXTDZ($A$1,$B91,Q$5,$B$1)</f>
        <v>0</v>
      </c>
      <c r="R91" s="55">
        <f>_xll.EQNXTDZ($A$1,$B91,R$5,$B$1)</f>
        <v>7518.24</v>
      </c>
      <c r="S91" s="55">
        <f>_xll.EQNXTDZ($A$1,$B91,S$5,$B$1)</f>
        <v>0</v>
      </c>
      <c r="T91" s="55">
        <f>_xll.EQNXTDZ($A$1,$B91,T$5,$B$1)</f>
        <v>13841.77</v>
      </c>
      <c r="U91" s="55">
        <f>_xll.EQNXTDZ($A$1,$B91,U$5,$B$1)</f>
        <v>0</v>
      </c>
      <c r="V91" s="55">
        <f>_xll.EQNXTDZ($A$1,$B91,V$5,$B$1)</f>
        <v>13487.09</v>
      </c>
      <c r="W91" s="55">
        <f>_xll.EQNXTDZ($A$1,$B91,W$5,$B$1)</f>
        <v>0</v>
      </c>
      <c r="X91" s="55">
        <f>_xll.EQNXTDZ($A$1,$B91,X$5,$B$1)</f>
        <v>15007.66</v>
      </c>
      <c r="Y91" s="55">
        <f>_xll.EQNXTDZ($A$1,$B91,Y$5,$B$1)</f>
        <v>0</v>
      </c>
      <c r="Z91" s="55">
        <f>_xll.EQNXTDZ($A$1,$B91,Z$5,$B$1)</f>
        <v>13277.86</v>
      </c>
      <c r="AA91" s="55">
        <f>_xll.EQNXTDZ($A$1,$B91,AA$5,$B$1)</f>
        <v>0</v>
      </c>
      <c r="AB91" s="55">
        <f>_xll.EQNXTDZ($A$1,$B91,AB$5,$B$1)</f>
        <v>8261.09</v>
      </c>
      <c r="AC91" s="55">
        <f>_xll.EQNXTDZ($A$1,$B91,AC$5,$B$1)</f>
        <v>0</v>
      </c>
      <c r="AD91" s="55">
        <f>_xll.EQNXTDZ($A$1,$B91,AD$5,$B$1)</f>
        <v>8130.65</v>
      </c>
      <c r="AE91" s="55">
        <f>_xll.EQNXTDZ($A$1,$B91,AE$5,$B$1)</f>
        <v>0</v>
      </c>
      <c r="AF91" s="55">
        <f>_xll.EQNXTDZ($A$1,$B91,AF$5,$B$1)</f>
        <v>7885.09</v>
      </c>
      <c r="AG91" s="55">
        <f>_xll.EQNXTDZ($A$1,$B91,AG$5,$B$1)</f>
        <v>0</v>
      </c>
      <c r="AH91" s="55">
        <f>_xll.EQNXTDZ($A$1,$B91,AH$5,$B$1)</f>
        <v>9465.2099999999991</v>
      </c>
      <c r="AI91" s="55">
        <f>_xll.EQNXTDZ($A$1,$B91,AI$5,$B$1)</f>
        <v>0</v>
      </c>
      <c r="AJ91" s="55">
        <f>_xll.EQNXTDZ($A$1,$B91,AJ$5,$B$1)</f>
        <v>11724.65</v>
      </c>
      <c r="AK91" s="55">
        <f>_xll.EQNXTDZ($A$1,$B91,AK$5,$B$1)</f>
        <v>0</v>
      </c>
      <c r="AL91" s="55">
        <f>_xll.EQNXTDZ($A$1,$B91,AL$5,$B$1)</f>
        <v>10721.57</v>
      </c>
      <c r="AM91" s="55">
        <f>_xll.EQNXTDZ($A$1,$B91,AM$5,$B$1)</f>
        <v>0</v>
      </c>
      <c r="AN91" s="55">
        <f>_xll.EQNXTDZ($A$1,$B91,AN$5,$B$1)</f>
        <v>11518.82</v>
      </c>
      <c r="AO91" s="55">
        <f>_xll.EQNXTDZ($A$1,$B91,AO$5,$B$1)</f>
        <v>0</v>
      </c>
      <c r="AP91" s="55">
        <f>_xll.EQNXTDZ($A$1,$B91,AP$5,$B$1)</f>
        <v>12955.37</v>
      </c>
      <c r="AQ91" s="55">
        <f>_xll.EQNXTDZ($A$1,$B91,AQ$5,$B$1)</f>
        <v>0</v>
      </c>
      <c r="AR91" s="55">
        <f>_xll.EQNXTDZ($A$1,$B91,AR$5,$B$1)</f>
        <v>14276.98</v>
      </c>
      <c r="AS91" s="55">
        <f>_xll.EQNXTDZ($A$1,$B91,AS$5,$B$1)</f>
        <v>0</v>
      </c>
      <c r="AT91" s="55">
        <f>_xll.EQNXTDZ($A$1,$B91,AT$5,$B$1)</f>
        <v>17995.009999999998</v>
      </c>
      <c r="AU91" s="55">
        <f>_xll.EQNXTDZ($A$1,$B91,AU$5,$B$1)</f>
        <v>0</v>
      </c>
      <c r="AV91" s="55">
        <f>_xll.EQNXTDZ($A$1,$B91,AV$5,$B$1)</f>
        <v>17575.79</v>
      </c>
      <c r="AW91" s="55">
        <f>_xll.EQNXTDZ($A$1,$B91,AW$5,$B$1)</f>
        <v>0</v>
      </c>
      <c r="AX91" s="55">
        <f>_xll.EQNXTDZ($A$1,$B91,AX$5,$B$1)</f>
        <v>20940.55</v>
      </c>
      <c r="AY91" s="55">
        <f>_xll.EQNXTDZ($A$1,$B91,AY$5,$B$1)</f>
        <v>0</v>
      </c>
      <c r="AZ91" s="55">
        <f>_xll.EQNXTDZ($A$1,$B91,AZ$5,$B$1)</f>
        <v>18096.77</v>
      </c>
      <c r="BA91" s="55">
        <f>_xll.EQNXTDZ($A$1,$B91,BA$5,$B$1)</f>
        <v>0</v>
      </c>
      <c r="BB91" s="55">
        <f>_xll.EQNXTDZ($A$1,$B91,BB$5,$B$1)</f>
        <v>21961.57</v>
      </c>
      <c r="BC91" s="55">
        <f>_xll.EQNXTDZ($A$1,$B91,BC$5,$B$1)</f>
        <v>0</v>
      </c>
      <c r="BD91" s="55">
        <f>_xll.EQNXTDZ($A$1,$B91,BD$5,$B$1)</f>
        <v>19957.21</v>
      </c>
      <c r="BE91" s="55">
        <f>_xll.EQNXTDZ($A$1,$B91,BE$5,$B$1)</f>
        <v>0</v>
      </c>
      <c r="BF91" s="55">
        <f>_xll.EQNXTDZ($A$1,$B91,BF$5,$B$1)</f>
        <v>21891.08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105</v>
      </c>
      <c r="E92" s="55">
        <f>_xll.EQNXTDZ($A$1,$B92,E$5,$B$1)</f>
        <v>0</v>
      </c>
      <c r="F92" s="55">
        <f>_xll.EQNXTDZ($A$1,$B92,F$5,$B$1)</f>
        <v>778.41</v>
      </c>
      <c r="G92" s="55">
        <f>_xll.EQNXTDZ($A$1,$B92,G$5,$B$1)</f>
        <v>0</v>
      </c>
      <c r="H92" s="55">
        <f>_xll.EQNXTDZ($A$1,$B92,H$5,$B$1)</f>
        <v>415.36</v>
      </c>
      <c r="I92" s="55">
        <f>_xll.EQNXTDZ($A$1,$B92,I$5,$B$1)</f>
        <v>0</v>
      </c>
      <c r="J92" s="55">
        <f>_xll.EQNXTDZ($A$1,$B92,J$5,$B$1)</f>
        <v>900.36</v>
      </c>
      <c r="K92" s="55">
        <f>_xll.EQNXTDZ($A$1,$B92,K$5,$B$1)</f>
        <v>0</v>
      </c>
      <c r="L92" s="55">
        <f>_xll.EQNXTDZ($A$1,$B92,L$5,$B$1)</f>
        <v>511.01</v>
      </c>
      <c r="M92" s="55">
        <f>_xll.EQNXTDZ($A$1,$B92,M$5,$B$1)</f>
        <v>0</v>
      </c>
      <c r="N92" s="55">
        <f>_xll.EQNXTDZ($A$1,$B92,N$5,$B$1)</f>
        <v>770.47</v>
      </c>
      <c r="O92" s="55">
        <f>_xll.EQNXTDZ($A$1,$B92,O$5,$B$1)</f>
        <v>0</v>
      </c>
      <c r="P92" s="55">
        <f>_xll.EQNXTDZ($A$1,$B92,P$5,$B$1)</f>
        <v>639.6</v>
      </c>
      <c r="Q92" s="55">
        <f>_xll.EQNXTDZ($A$1,$B92,Q$5,$B$1)</f>
        <v>0</v>
      </c>
      <c r="R92" s="55">
        <f>_xll.EQNXTDZ($A$1,$B92,R$5,$B$1)</f>
        <v>262.43</v>
      </c>
      <c r="S92" s="55">
        <f>_xll.EQNXTDZ($A$1,$B92,S$5,$B$1)</f>
        <v>0</v>
      </c>
      <c r="T92" s="55">
        <f>_xll.EQNXTDZ($A$1,$B92,T$5,$B$1)</f>
        <v>241.68</v>
      </c>
      <c r="U92" s="55">
        <f>_xll.EQNXTDZ($A$1,$B92,U$5,$B$1)</f>
        <v>0</v>
      </c>
      <c r="V92" s="55">
        <f>_xll.EQNXTDZ($A$1,$B92,V$5,$B$1)</f>
        <v>207.69</v>
      </c>
      <c r="W92" s="55">
        <f>_xll.EQNXTDZ($A$1,$B92,W$5,$B$1)</f>
        <v>0</v>
      </c>
      <c r="X92" s="55">
        <f>_xll.EQNXTDZ($A$1,$B92,X$5,$B$1)</f>
        <v>244.88</v>
      </c>
      <c r="Y92" s="55">
        <f>_xll.EQNXTDZ($A$1,$B92,Y$5,$B$1)</f>
        <v>0</v>
      </c>
      <c r="Z92" s="55">
        <f>_xll.EQNXTDZ($A$1,$B92,Z$5,$B$1)</f>
        <v>193.44</v>
      </c>
      <c r="AA92" s="55">
        <f>_xll.EQNXTDZ($A$1,$B92,AA$5,$B$1)</f>
        <v>0</v>
      </c>
      <c r="AB92" s="55">
        <f>_xll.EQNXTDZ($A$1,$B92,AB$5,$B$1)</f>
        <v>192.48</v>
      </c>
      <c r="AC92" s="55">
        <f>_xll.EQNXTDZ($A$1,$B92,AC$5,$B$1)</f>
        <v>0</v>
      </c>
      <c r="AD92" s="55">
        <f>_xll.EQNXTDZ($A$1,$B92,AD$5,$B$1)</f>
        <v>93.55</v>
      </c>
      <c r="AE92" s="55">
        <f>_xll.EQNXTDZ($A$1,$B92,AE$5,$B$1)</f>
        <v>0</v>
      </c>
      <c r="AF92" s="55">
        <f>_xll.EQNXTDZ($A$1,$B92,AF$5,$B$1)</f>
        <v>137.37</v>
      </c>
      <c r="AG92" s="55">
        <f>_xll.EQNXTDZ($A$1,$B92,AG$5,$B$1)</f>
        <v>0</v>
      </c>
      <c r="AH92" s="55">
        <f>_xll.EQNXTDZ($A$1,$B92,AH$5,$B$1)</f>
        <v>116.42</v>
      </c>
      <c r="AI92" s="55">
        <f>_xll.EQNXTDZ($A$1,$B92,AI$5,$B$1)</f>
        <v>0</v>
      </c>
      <c r="AJ92" s="55">
        <f>_xll.EQNXTDZ($A$1,$B92,AJ$5,$B$1)</f>
        <v>184.13</v>
      </c>
      <c r="AK92" s="55">
        <f>_xll.EQNXTDZ($A$1,$B92,AK$5,$B$1)</f>
        <v>0</v>
      </c>
      <c r="AL92" s="55">
        <f>_xll.EQNXTDZ($A$1,$B92,AL$5,$B$1)</f>
        <v>163.31</v>
      </c>
      <c r="AM92" s="55">
        <f>_xll.EQNXTDZ($A$1,$B92,AM$5,$B$1)</f>
        <v>0</v>
      </c>
      <c r="AN92" s="55">
        <f>_xll.EQNXTDZ($A$1,$B92,AN$5,$B$1)</f>
        <v>303.7</v>
      </c>
      <c r="AO92" s="55">
        <f>_xll.EQNXTDZ($A$1,$B92,AO$5,$B$1)</f>
        <v>0</v>
      </c>
      <c r="AP92" s="55">
        <f>_xll.EQNXTDZ($A$1,$B92,AP$5,$B$1)</f>
        <v>344.82</v>
      </c>
      <c r="AQ92" s="55">
        <f>_xll.EQNXTDZ($A$1,$B92,AQ$5,$B$1)</f>
        <v>0</v>
      </c>
      <c r="AR92" s="55">
        <f>_xll.EQNXTDZ($A$1,$B92,AR$5,$B$1)</f>
        <v>397.29</v>
      </c>
      <c r="AS92" s="55">
        <f>_xll.EQNXTDZ($A$1,$B92,AS$5,$B$1)</f>
        <v>0</v>
      </c>
      <c r="AT92" s="55">
        <f>_xll.EQNXTDZ($A$1,$B92,AT$5,$B$1)</f>
        <v>311.07</v>
      </c>
      <c r="AU92" s="55">
        <f>_xll.EQNXTDZ($A$1,$B92,AU$5,$B$1)</f>
        <v>0</v>
      </c>
      <c r="AV92" s="55">
        <f>_xll.EQNXTDZ($A$1,$B92,AV$5,$B$1)</f>
        <v>299.66000000000003</v>
      </c>
      <c r="AW92" s="55">
        <f>_xll.EQNXTDZ($A$1,$B92,AW$5,$B$1)</f>
        <v>0</v>
      </c>
      <c r="AX92" s="55">
        <f>_xll.EQNXTDZ($A$1,$B92,AX$5,$B$1)</f>
        <v>294.33999999999997</v>
      </c>
      <c r="AY92" s="55">
        <f>_xll.EQNXTDZ($A$1,$B92,AY$5,$B$1)</f>
        <v>0</v>
      </c>
      <c r="AZ92" s="55">
        <f>_xll.EQNXTDZ($A$1,$B92,AZ$5,$B$1)</f>
        <v>468.21</v>
      </c>
      <c r="BA92" s="55">
        <f>_xll.EQNXTDZ($A$1,$B92,BA$5,$B$1)</f>
        <v>0</v>
      </c>
      <c r="BB92" s="55">
        <f>_xll.EQNXTDZ($A$1,$B92,BB$5,$B$1)</f>
        <v>437.56</v>
      </c>
      <c r="BC92" s="55">
        <f>_xll.EQNXTDZ($A$1,$B92,BC$5,$B$1)</f>
        <v>0</v>
      </c>
      <c r="BD92" s="55">
        <f>_xll.EQNXTDZ($A$1,$B92,BD$5,$B$1)</f>
        <v>579.75</v>
      </c>
      <c r="BE92" s="55">
        <f>_xll.EQNXTDZ($A$1,$B92,BE$5,$B$1)</f>
        <v>0</v>
      </c>
      <c r="BF92" s="55">
        <f>_xll.EQNXTDZ($A$1,$B92,BF$5,$B$1)</f>
        <v>680.44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3405.59</v>
      </c>
      <c r="E93" s="55">
        <f>_xll.EQNXTDZ($A$1,$B93,E$5,$B$1)</f>
        <v>0</v>
      </c>
      <c r="F93" s="55">
        <f>_xll.EQNXTDZ($A$1,$B93,F$5,$B$1)</f>
        <v>16642.57</v>
      </c>
      <c r="G93" s="55">
        <f>_xll.EQNXTDZ($A$1,$B93,G$5,$B$1)</f>
        <v>0</v>
      </c>
      <c r="H93" s="55">
        <f>_xll.EQNXTDZ($A$1,$B93,H$5,$B$1)</f>
        <v>19858.560000000001</v>
      </c>
      <c r="I93" s="55">
        <f>_xll.EQNXTDZ($A$1,$B93,I$5,$B$1)</f>
        <v>0</v>
      </c>
      <c r="J93" s="55">
        <f>_xll.EQNXTDZ($A$1,$B93,J$5,$B$1)</f>
        <v>21726.720000000001</v>
      </c>
      <c r="K93" s="55">
        <f>_xll.EQNXTDZ($A$1,$B93,K$5,$B$1)</f>
        <v>0</v>
      </c>
      <c r="L93" s="55">
        <f>_xll.EQNXTDZ($A$1,$B93,L$5,$B$1)</f>
        <v>21411.9</v>
      </c>
      <c r="M93" s="55">
        <f>_xll.EQNXTDZ($A$1,$B93,M$5,$B$1)</f>
        <v>0</v>
      </c>
      <c r="N93" s="55">
        <f>_xll.EQNXTDZ($A$1,$B93,N$5,$B$1)</f>
        <v>21089.59</v>
      </c>
      <c r="O93" s="55">
        <f>_xll.EQNXTDZ($A$1,$B93,O$5,$B$1)</f>
        <v>0</v>
      </c>
      <c r="P93" s="55">
        <f>_xll.EQNXTDZ($A$1,$B93,P$5,$B$1)</f>
        <v>23737.57</v>
      </c>
      <c r="Q93" s="55">
        <f>_xll.EQNXTDZ($A$1,$B93,Q$5,$B$1)</f>
        <v>0</v>
      </c>
      <c r="R93" s="55">
        <f>_xll.EQNXTDZ($A$1,$B93,R$5,$B$1)</f>
        <v>26770.94</v>
      </c>
      <c r="S93" s="55">
        <f>_xll.EQNXTDZ($A$1,$B93,S$5,$B$1)</f>
        <v>0</v>
      </c>
      <c r="T93" s="55">
        <f>_xll.EQNXTDZ($A$1,$B93,T$5,$B$1)</f>
        <v>33925.17</v>
      </c>
      <c r="U93" s="55">
        <f>_xll.EQNXTDZ($A$1,$B93,U$5,$B$1)</f>
        <v>0</v>
      </c>
      <c r="V93" s="55">
        <f>_xll.EQNXTDZ($A$1,$B93,V$5,$B$1)</f>
        <v>35503.57</v>
      </c>
      <c r="W93" s="55">
        <f>_xll.EQNXTDZ($A$1,$B93,W$5,$B$1)</f>
        <v>0</v>
      </c>
      <c r="X93" s="55">
        <f>_xll.EQNXTDZ($A$1,$B93,X$5,$B$1)</f>
        <v>40508.22</v>
      </c>
      <c r="Y93" s="55">
        <f>_xll.EQNXTDZ($A$1,$B93,Y$5,$B$1)</f>
        <v>0</v>
      </c>
      <c r="Z93" s="55">
        <f>_xll.EQNXTDZ($A$1,$B93,Z$5,$B$1)</f>
        <v>37908.400000000001</v>
      </c>
      <c r="AA93" s="55">
        <f>_xll.EQNXTDZ($A$1,$B93,AA$5,$B$1)</f>
        <v>0</v>
      </c>
      <c r="AB93" s="55">
        <f>_xll.EQNXTDZ($A$1,$B93,AB$5,$B$1)</f>
        <v>30564.7</v>
      </c>
      <c r="AC93" s="55">
        <f>_xll.EQNXTDZ($A$1,$B93,AC$5,$B$1)</f>
        <v>0</v>
      </c>
      <c r="AD93" s="55">
        <f>_xll.EQNXTDZ($A$1,$B93,AD$5,$B$1)</f>
        <v>27581.07</v>
      </c>
      <c r="AE93" s="55">
        <f>_xll.EQNXTDZ($A$1,$B93,AE$5,$B$1)</f>
        <v>0</v>
      </c>
      <c r="AF93" s="55">
        <f>_xll.EQNXTDZ($A$1,$B93,AF$5,$B$1)</f>
        <v>25551.26</v>
      </c>
      <c r="AG93" s="55">
        <f>_xll.EQNXTDZ($A$1,$B93,AG$5,$B$1)</f>
        <v>0</v>
      </c>
      <c r="AH93" s="55">
        <f>_xll.EQNXTDZ($A$1,$B93,AH$5,$B$1)</f>
        <v>26521.43</v>
      </c>
      <c r="AI93" s="55">
        <f>_xll.EQNXTDZ($A$1,$B93,AI$5,$B$1)</f>
        <v>0</v>
      </c>
      <c r="AJ93" s="55">
        <f>_xll.EQNXTDZ($A$1,$B93,AJ$5,$B$1)</f>
        <v>25110.61</v>
      </c>
      <c r="AK93" s="55">
        <f>_xll.EQNXTDZ($A$1,$B93,AK$5,$B$1)</f>
        <v>0</v>
      </c>
      <c r="AL93" s="55">
        <f>_xll.EQNXTDZ($A$1,$B93,AL$5,$B$1)</f>
        <v>31157.08</v>
      </c>
      <c r="AM93" s="55">
        <f>_xll.EQNXTDZ($A$1,$B93,AM$5,$B$1)</f>
        <v>0</v>
      </c>
      <c r="AN93" s="55">
        <f>_xll.EQNXTDZ($A$1,$B93,AN$5,$B$1)</f>
        <v>36561.629999999997</v>
      </c>
      <c r="AO93" s="55">
        <f>_xll.EQNXTDZ($A$1,$B93,AO$5,$B$1)</f>
        <v>0</v>
      </c>
      <c r="AP93" s="55">
        <f>_xll.EQNXTDZ($A$1,$B93,AP$5,$B$1)</f>
        <v>38620.089999999997</v>
      </c>
      <c r="AQ93" s="55">
        <f>_xll.EQNXTDZ($A$1,$B93,AQ$5,$B$1)</f>
        <v>0</v>
      </c>
      <c r="AR93" s="55">
        <f>_xll.EQNXTDZ($A$1,$B93,AR$5,$B$1)</f>
        <v>44986.31</v>
      </c>
      <c r="AS93" s="55">
        <f>_xll.EQNXTDZ($A$1,$B93,AS$5,$B$1)</f>
        <v>0</v>
      </c>
      <c r="AT93" s="55">
        <f>_xll.EQNXTDZ($A$1,$B93,AT$5,$B$1)</f>
        <v>43979.22</v>
      </c>
      <c r="AU93" s="55">
        <f>_xll.EQNXTDZ($A$1,$B93,AU$5,$B$1)</f>
        <v>0</v>
      </c>
      <c r="AV93" s="55">
        <f>_xll.EQNXTDZ($A$1,$B93,AV$5,$B$1)</f>
        <v>43391.85</v>
      </c>
      <c r="AW93" s="55">
        <f>_xll.EQNXTDZ($A$1,$B93,AW$5,$B$1)</f>
        <v>0</v>
      </c>
      <c r="AX93" s="55">
        <f>_xll.EQNXTDZ($A$1,$B93,AX$5,$B$1)</f>
        <v>42098.67</v>
      </c>
      <c r="AY93" s="55">
        <f>_xll.EQNXTDZ($A$1,$B93,AY$5,$B$1)</f>
        <v>0</v>
      </c>
      <c r="AZ93" s="55">
        <f>_xll.EQNXTDZ($A$1,$B93,AZ$5,$B$1)</f>
        <v>42448.29</v>
      </c>
      <c r="BA93" s="55">
        <f>_xll.EQNXTDZ($A$1,$B93,BA$5,$B$1)</f>
        <v>0</v>
      </c>
      <c r="BB93" s="55">
        <f>_xll.EQNXTDZ($A$1,$B93,BB$5,$B$1)</f>
        <v>45269.52</v>
      </c>
      <c r="BC93" s="55">
        <f>_xll.EQNXTDZ($A$1,$B93,BC$5,$B$1)</f>
        <v>0</v>
      </c>
      <c r="BD93" s="55">
        <f>_xll.EQNXTDZ($A$1,$B93,BD$5,$B$1)</f>
        <v>40530.230000000003</v>
      </c>
      <c r="BE93" s="55">
        <f>_xll.EQNXTDZ($A$1,$B93,BE$5,$B$1)</f>
        <v>0</v>
      </c>
      <c r="BF93" s="55">
        <f>_xll.EQNXTDZ($A$1,$B93,BF$5,$B$1)</f>
        <v>39223.57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2082.38</v>
      </c>
      <c r="E94" s="55">
        <f>_xll.EQNXTDZ($A$1,$B94,E$5,$B$1)</f>
        <v>0</v>
      </c>
      <c r="F94" s="55">
        <f>_xll.EQNXTDZ($A$1,$B94,F$5,$B$1)</f>
        <v>-4492.45</v>
      </c>
      <c r="G94" s="55">
        <f>_xll.EQNXTDZ($A$1,$B94,G$5,$B$1)</f>
        <v>0</v>
      </c>
      <c r="H94" s="55">
        <f>_xll.EQNXTDZ($A$1,$B94,H$5,$B$1)</f>
        <v>-4603.58</v>
      </c>
      <c r="I94" s="55">
        <f>_xll.EQNXTDZ($A$1,$B94,I$5,$B$1)</f>
        <v>0</v>
      </c>
      <c r="J94" s="55">
        <f>_xll.EQNXTDZ($A$1,$B94,J$5,$B$1)</f>
        <v>-8365.84</v>
      </c>
      <c r="K94" s="55">
        <f>_xll.EQNXTDZ($A$1,$B94,K$5,$B$1)</f>
        <v>0</v>
      </c>
      <c r="L94" s="55">
        <f>_xll.EQNXTDZ($A$1,$B94,L$5,$B$1)</f>
        <v>-5917.96</v>
      </c>
      <c r="M94" s="55">
        <f>_xll.EQNXTDZ($A$1,$B94,M$5,$B$1)</f>
        <v>0</v>
      </c>
      <c r="N94" s="55">
        <f>_xll.EQNXTDZ($A$1,$B94,N$5,$B$1)</f>
        <v>-6190.63</v>
      </c>
      <c r="O94" s="55">
        <f>_xll.EQNXTDZ($A$1,$B94,O$5,$B$1)</f>
        <v>0</v>
      </c>
      <c r="P94" s="55">
        <f>_xll.EQNXTDZ($A$1,$B94,P$5,$B$1)</f>
        <v>-7455.86</v>
      </c>
      <c r="Q94" s="55">
        <f>_xll.EQNXTDZ($A$1,$B94,Q$5,$B$1)</f>
        <v>0</v>
      </c>
      <c r="R94" s="55">
        <f>_xll.EQNXTDZ($A$1,$B94,R$5,$B$1)</f>
        <v>-9603.65</v>
      </c>
      <c r="S94" s="55">
        <f>_xll.EQNXTDZ($A$1,$B94,S$5,$B$1)</f>
        <v>0</v>
      </c>
      <c r="T94" s="55">
        <f>_xll.EQNXTDZ($A$1,$B94,T$5,$B$1)</f>
        <v>-16002.83</v>
      </c>
      <c r="U94" s="55">
        <f>_xll.EQNXTDZ($A$1,$B94,U$5,$B$1)</f>
        <v>0</v>
      </c>
      <c r="V94" s="55">
        <f>_xll.EQNXTDZ($A$1,$B94,V$5,$B$1)</f>
        <v>-15638.91</v>
      </c>
      <c r="W94" s="55">
        <f>_xll.EQNXTDZ($A$1,$B94,W$5,$B$1)</f>
        <v>0</v>
      </c>
      <c r="X94" s="55">
        <f>_xll.EQNXTDZ($A$1,$B94,X$5,$B$1)</f>
        <v>-26218.98</v>
      </c>
      <c r="Y94" s="55">
        <f>_xll.EQNXTDZ($A$1,$B94,Y$5,$B$1)</f>
        <v>0</v>
      </c>
      <c r="Z94" s="55">
        <f>_xll.EQNXTDZ($A$1,$B94,Z$5,$B$1)</f>
        <v>-17233.349999999999</v>
      </c>
      <c r="AA94" s="55">
        <f>_xll.EQNXTDZ($A$1,$B94,AA$5,$B$1)</f>
        <v>0</v>
      </c>
      <c r="AB94" s="55">
        <f>_xll.EQNXTDZ($A$1,$B94,AB$5,$B$1)</f>
        <v>-9112.2999999999993</v>
      </c>
      <c r="AC94" s="55">
        <f>_xll.EQNXTDZ($A$1,$B94,AC$5,$B$1)</f>
        <v>0</v>
      </c>
      <c r="AD94" s="55">
        <f>_xll.EQNXTDZ($A$1,$B94,AD$5,$B$1)</f>
        <v>-17385.919999999998</v>
      </c>
      <c r="AE94" s="55">
        <f>_xll.EQNXTDZ($A$1,$B94,AE$5,$B$1)</f>
        <v>0</v>
      </c>
      <c r="AF94" s="55">
        <f>_xll.EQNXTDZ($A$1,$B94,AF$5,$B$1)</f>
        <v>-14416.2</v>
      </c>
      <c r="AG94" s="55">
        <f>_xll.EQNXTDZ($A$1,$B94,AG$5,$B$1)</f>
        <v>0</v>
      </c>
      <c r="AH94" s="55">
        <f>_xll.EQNXTDZ($A$1,$B94,AH$5,$B$1)</f>
        <v>-14499.95</v>
      </c>
      <c r="AI94" s="55">
        <f>_xll.EQNXTDZ($A$1,$B94,AI$5,$B$1)</f>
        <v>0</v>
      </c>
      <c r="AJ94" s="55">
        <f>_xll.EQNXTDZ($A$1,$B94,AJ$5,$B$1)</f>
        <v>-10350.41</v>
      </c>
      <c r="AK94" s="55">
        <f>_xll.EQNXTDZ($A$1,$B94,AK$5,$B$1)</f>
        <v>0</v>
      </c>
      <c r="AL94" s="55">
        <f>_xll.EQNXTDZ($A$1,$B94,AL$5,$B$1)</f>
        <v>-14817.3</v>
      </c>
      <c r="AM94" s="55">
        <f>_xll.EQNXTDZ($A$1,$B94,AM$5,$B$1)</f>
        <v>0</v>
      </c>
      <c r="AN94" s="55">
        <f>_xll.EQNXTDZ($A$1,$B94,AN$5,$B$1)</f>
        <v>-20260.82</v>
      </c>
      <c r="AO94" s="55">
        <f>_xll.EQNXTDZ($A$1,$B94,AO$5,$B$1)</f>
        <v>0</v>
      </c>
      <c r="AP94" s="55">
        <f>_xll.EQNXTDZ($A$1,$B94,AP$5,$B$1)</f>
        <v>-17034.66</v>
      </c>
      <c r="AQ94" s="55">
        <f>_xll.EQNXTDZ($A$1,$B94,AQ$5,$B$1)</f>
        <v>0</v>
      </c>
      <c r="AR94" s="55">
        <f>_xll.EQNXTDZ($A$1,$B94,AR$5,$B$1)</f>
        <v>-18534.93</v>
      </c>
      <c r="AS94" s="55">
        <f>_xll.EQNXTDZ($A$1,$B94,AS$5,$B$1)</f>
        <v>0</v>
      </c>
      <c r="AT94" s="55">
        <f>_xll.EQNXTDZ($A$1,$B94,AT$5,$B$1)</f>
        <v>-16187.59</v>
      </c>
      <c r="AU94" s="55">
        <f>_xll.EQNXTDZ($A$1,$B94,AU$5,$B$1)</f>
        <v>0</v>
      </c>
      <c r="AV94" s="55">
        <f>_xll.EQNXTDZ($A$1,$B94,AV$5,$B$1)</f>
        <v>-7894.93</v>
      </c>
      <c r="AW94" s="55">
        <f>_xll.EQNXTDZ($A$1,$B94,AW$5,$B$1)</f>
        <v>0</v>
      </c>
      <c r="AX94" s="55">
        <f>_xll.EQNXTDZ($A$1,$B94,AX$5,$B$1)</f>
        <v>-14834.28</v>
      </c>
      <c r="AY94" s="55">
        <f>_xll.EQNXTDZ($A$1,$B94,AY$5,$B$1)</f>
        <v>0</v>
      </c>
      <c r="AZ94" s="55">
        <f>_xll.EQNXTDZ($A$1,$B94,AZ$5,$B$1)</f>
        <v>-8387.1500000000106</v>
      </c>
      <c r="BA94" s="55">
        <f>_xll.EQNXTDZ($A$1,$B94,BA$5,$B$1)</f>
        <v>0</v>
      </c>
      <c r="BB94" s="55">
        <f>_xll.EQNXTDZ($A$1,$B94,BB$5,$B$1)</f>
        <v>-16512.87</v>
      </c>
      <c r="BC94" s="55">
        <f>_xll.EQNXTDZ($A$1,$B94,BC$5,$B$1)</f>
        <v>0</v>
      </c>
      <c r="BD94" s="55">
        <f>_xll.EQNXTDZ($A$1,$B94,BD$5,$B$1)</f>
        <v>-11313.9</v>
      </c>
      <c r="BE94" s="55">
        <f>_xll.EQNXTDZ($A$1,$B94,BE$5,$B$1)</f>
        <v>0</v>
      </c>
      <c r="BF94" s="55">
        <f>_xll.EQNXTDZ($A$1,$B94,BF$5,$B$1)</f>
        <v>-8652.52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-450.06</v>
      </c>
      <c r="E96" s="55">
        <f>_xll.EQNXTDZ($A$1,$B96,E$5,$B$1)</f>
        <v>0</v>
      </c>
      <c r="F96" s="55">
        <f>_xll.EQNXTDZ($A$1,$B96,F$5,$B$1)</f>
        <v>-1000.53</v>
      </c>
      <c r="G96" s="55">
        <f>_xll.EQNXTDZ($A$1,$B96,G$5,$B$1)</f>
        <v>0</v>
      </c>
      <c r="H96" s="55">
        <f>_xll.EQNXTDZ($A$1,$B96,H$5,$B$1)</f>
        <v>-1004.95</v>
      </c>
      <c r="I96" s="55">
        <f>_xll.EQNXTDZ($A$1,$B96,I$5,$B$1)</f>
        <v>0</v>
      </c>
      <c r="J96" s="55">
        <f>_xll.EQNXTDZ($A$1,$B96,J$5,$B$1)</f>
        <v>-1122.92</v>
      </c>
      <c r="K96" s="55">
        <f>_xll.EQNXTDZ($A$1,$B96,K$5,$B$1)</f>
        <v>0</v>
      </c>
      <c r="L96" s="55">
        <f>_xll.EQNXTDZ($A$1,$B96,L$5,$B$1)</f>
        <v>-1234.19</v>
      </c>
      <c r="M96" s="55">
        <f>_xll.EQNXTDZ($A$1,$B96,M$5,$B$1)</f>
        <v>0</v>
      </c>
      <c r="N96" s="55">
        <f>_xll.EQNXTDZ($A$1,$B96,N$5,$B$1)</f>
        <v>-1395.52</v>
      </c>
      <c r="O96" s="55">
        <f>_xll.EQNXTDZ($A$1,$B96,O$5,$B$1)</f>
        <v>0</v>
      </c>
      <c r="P96" s="55">
        <f>_xll.EQNXTDZ($A$1,$B96,P$5,$B$1)</f>
        <v>-1472.68</v>
      </c>
      <c r="Q96" s="55">
        <f>_xll.EQNXTDZ($A$1,$B96,Q$5,$B$1)</f>
        <v>0</v>
      </c>
      <c r="R96" s="55">
        <f>_xll.EQNXTDZ($A$1,$B96,R$5,$B$1)</f>
        <v>-2093.66</v>
      </c>
      <c r="S96" s="55">
        <f>_xll.EQNXTDZ($A$1,$B96,S$5,$B$1)</f>
        <v>0</v>
      </c>
      <c r="T96" s="55">
        <f>_xll.EQNXTDZ($A$1,$B96,T$5,$B$1)</f>
        <v>-3087.24</v>
      </c>
      <c r="U96" s="55">
        <f>_xll.EQNXTDZ($A$1,$B96,U$5,$B$1)</f>
        <v>0</v>
      </c>
      <c r="V96" s="55">
        <f>_xll.EQNXTDZ($A$1,$B96,V$5,$B$1)</f>
        <v>-1659.61</v>
      </c>
      <c r="W96" s="55">
        <f>_xll.EQNXTDZ($A$1,$B96,W$5,$B$1)</f>
        <v>0</v>
      </c>
      <c r="X96" s="55">
        <f>_xll.EQNXTDZ($A$1,$B96,X$5,$B$1)</f>
        <v>-1093.6199999999999</v>
      </c>
      <c r="Y96" s="55">
        <f>_xll.EQNXTDZ($A$1,$B96,Y$5,$B$1)</f>
        <v>0</v>
      </c>
      <c r="Z96" s="55">
        <f>_xll.EQNXTDZ($A$1,$B96,Z$5,$B$1)</f>
        <v>-398.39</v>
      </c>
      <c r="AA96" s="55">
        <f>_xll.EQNXTDZ($A$1,$B96,AA$5,$B$1)</f>
        <v>0</v>
      </c>
      <c r="AB96" s="55">
        <f>_xll.EQNXTDZ($A$1,$B96,AB$5,$B$1)</f>
        <v>-939.76</v>
      </c>
      <c r="AC96" s="55">
        <f>_xll.EQNXTDZ($A$1,$B96,AC$5,$B$1)</f>
        <v>0</v>
      </c>
      <c r="AD96" s="55">
        <f>_xll.EQNXTDZ($A$1,$B96,AD$5,$B$1)</f>
        <v>-967.32</v>
      </c>
      <c r="AE96" s="55">
        <f>_xll.EQNXTDZ($A$1,$B96,AE$5,$B$1)</f>
        <v>0</v>
      </c>
      <c r="AF96" s="55">
        <f>_xll.EQNXTDZ($A$1,$B96,AF$5,$B$1)</f>
        <v>-1121.54</v>
      </c>
      <c r="AG96" s="55">
        <f>_xll.EQNXTDZ($A$1,$B96,AG$5,$B$1)</f>
        <v>0</v>
      </c>
      <c r="AH96" s="55">
        <f>_xll.EQNXTDZ($A$1,$B96,AH$5,$B$1)</f>
        <v>-1099.8</v>
      </c>
      <c r="AI96" s="55">
        <f>_xll.EQNXTDZ($A$1,$B96,AI$5,$B$1)</f>
        <v>0</v>
      </c>
      <c r="AJ96" s="55">
        <f>_xll.EQNXTDZ($A$1,$B96,AJ$5,$B$1)</f>
        <v>-1287.4100000000001</v>
      </c>
      <c r="AK96" s="55">
        <f>_xll.EQNXTDZ($A$1,$B96,AK$5,$B$1)</f>
        <v>0</v>
      </c>
      <c r="AL96" s="55">
        <f>_xll.EQNXTDZ($A$1,$B96,AL$5,$B$1)</f>
        <v>-792.13</v>
      </c>
      <c r="AM96" s="55">
        <f>_xll.EQNXTDZ($A$1,$B96,AM$5,$B$1)</f>
        <v>0</v>
      </c>
      <c r="AN96" s="55">
        <f>_xll.EQNXTDZ($A$1,$B96,AN$5,$B$1)</f>
        <v>-1211.27</v>
      </c>
      <c r="AO96" s="55">
        <f>_xll.EQNXTDZ($A$1,$B96,AO$5,$B$1)</f>
        <v>0</v>
      </c>
      <c r="AP96" s="55">
        <f>_xll.EQNXTDZ($A$1,$B96,AP$5,$B$1)</f>
        <v>-698.7</v>
      </c>
      <c r="AQ96" s="55">
        <f>_xll.EQNXTDZ($A$1,$B96,AQ$5,$B$1)</f>
        <v>0</v>
      </c>
      <c r="AR96" s="55">
        <f>_xll.EQNXTDZ($A$1,$B96,AR$5,$B$1)</f>
        <v>-1065.04</v>
      </c>
      <c r="AS96" s="55">
        <f>_xll.EQNXTDZ($A$1,$B96,AS$5,$B$1)</f>
        <v>0</v>
      </c>
      <c r="AT96" s="55">
        <f>_xll.EQNXTDZ($A$1,$B96,AT$5,$B$1)</f>
        <v>-1666.47</v>
      </c>
      <c r="AU96" s="55">
        <f>_xll.EQNXTDZ($A$1,$B96,AU$5,$B$1)</f>
        <v>0</v>
      </c>
      <c r="AV96" s="55">
        <f>_xll.EQNXTDZ($A$1,$B96,AV$5,$B$1)</f>
        <v>-1846.44</v>
      </c>
      <c r="AW96" s="55">
        <f>_xll.EQNXTDZ($A$1,$B96,AW$5,$B$1)</f>
        <v>0</v>
      </c>
      <c r="AX96" s="55">
        <f>_xll.EQNXTDZ($A$1,$B96,AX$5,$B$1)</f>
        <v>-2273.2399999999998</v>
      </c>
      <c r="AY96" s="55">
        <f>_xll.EQNXTDZ($A$1,$B96,AY$5,$B$1)</f>
        <v>0</v>
      </c>
      <c r="AZ96" s="55">
        <f>_xll.EQNXTDZ($A$1,$B96,AZ$5,$B$1)</f>
        <v>-3236.17</v>
      </c>
      <c r="BA96" s="55">
        <f>_xll.EQNXTDZ($A$1,$B96,BA$5,$B$1)</f>
        <v>0</v>
      </c>
      <c r="BB96" s="55">
        <f>_xll.EQNXTDZ($A$1,$B96,BB$5,$B$1)</f>
        <v>-3586.13</v>
      </c>
      <c r="BC96" s="55">
        <f>_xll.EQNXTDZ($A$1,$B96,BC$5,$B$1)</f>
        <v>0</v>
      </c>
      <c r="BD96" s="55">
        <f>_xll.EQNXTDZ($A$1,$B96,BD$5,$B$1)</f>
        <v>-4055.18</v>
      </c>
      <c r="BE96" s="55">
        <f>_xll.EQNXTDZ($A$1,$B96,BE$5,$B$1)</f>
        <v>0</v>
      </c>
      <c r="BF96" s="55">
        <f>_xll.EQNXTDZ($A$1,$B96,BF$5,$B$1)</f>
        <v>-4200.34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22971.3</v>
      </c>
      <c r="E97" s="55">
        <f>_xll.EQNXTDZ($A$1,$B97,E$5,$B$1)</f>
        <v>0</v>
      </c>
      <c r="F97" s="55">
        <f>_xll.EQNXTDZ($A$1,$B97,F$5,$B$1)</f>
        <v>49613.43</v>
      </c>
      <c r="G97" s="55">
        <f>_xll.EQNXTDZ($A$1,$B97,G$5,$B$1)</f>
        <v>0</v>
      </c>
      <c r="H97" s="55">
        <f>_xll.EQNXTDZ($A$1,$B97,H$5,$B$1)</f>
        <v>51821.47</v>
      </c>
      <c r="I97" s="55">
        <f>_xll.EQNXTDZ($A$1,$B97,I$5,$B$1)</f>
        <v>0</v>
      </c>
      <c r="J97" s="55">
        <f>_xll.EQNXTDZ($A$1,$B97,J$5,$B$1)</f>
        <v>48533.66</v>
      </c>
      <c r="K97" s="55">
        <f>_xll.EQNXTDZ($A$1,$B97,K$5,$B$1)</f>
        <v>0</v>
      </c>
      <c r="L97" s="55">
        <f>_xll.EQNXTDZ($A$1,$B97,L$5,$B$1)</f>
        <v>52039.83</v>
      </c>
      <c r="M97" s="55">
        <f>_xll.EQNXTDZ($A$1,$B97,M$5,$B$1)</f>
        <v>0</v>
      </c>
      <c r="N97" s="55">
        <f>_xll.EQNXTDZ($A$1,$B97,N$5,$B$1)</f>
        <v>52700.23</v>
      </c>
      <c r="O97" s="55">
        <f>_xll.EQNXTDZ($A$1,$B97,O$5,$B$1)</f>
        <v>0</v>
      </c>
      <c r="P97" s="55">
        <f>_xll.EQNXTDZ($A$1,$B97,P$5,$B$1)</f>
        <v>52056.99</v>
      </c>
      <c r="Q97" s="55">
        <f>_xll.EQNXTDZ($A$1,$B97,Q$5,$B$1)</f>
        <v>0</v>
      </c>
      <c r="R97" s="55">
        <f>_xll.EQNXTDZ($A$1,$B97,R$5,$B$1)</f>
        <v>41191.910000000003</v>
      </c>
      <c r="S97" s="55">
        <f>_xll.EQNXTDZ($A$1,$B97,S$5,$B$1)</f>
        <v>0</v>
      </c>
      <c r="T97" s="55">
        <f>_xll.EQNXTDZ($A$1,$B97,T$5,$B$1)</f>
        <v>46448.82</v>
      </c>
      <c r="U97" s="55">
        <f>_xll.EQNXTDZ($A$1,$B97,U$5,$B$1)</f>
        <v>0</v>
      </c>
      <c r="V97" s="55">
        <f>_xll.EQNXTDZ($A$1,$B97,V$5,$B$1)</f>
        <v>45666.080000000002</v>
      </c>
      <c r="W97" s="55">
        <f>_xll.EQNXTDZ($A$1,$B97,W$5,$B$1)</f>
        <v>0</v>
      </c>
      <c r="X97" s="55">
        <f>_xll.EQNXTDZ($A$1,$B97,X$5,$B$1)</f>
        <v>40584.31</v>
      </c>
      <c r="Y97" s="55">
        <f>_xll.EQNXTDZ($A$1,$B97,Y$5,$B$1)</f>
        <v>0</v>
      </c>
      <c r="Z97" s="55">
        <f>_xll.EQNXTDZ($A$1,$B97,Z$5,$B$1)</f>
        <v>43585.01</v>
      </c>
      <c r="AA97" s="55">
        <f>_xll.EQNXTDZ($A$1,$B97,AA$5,$B$1)</f>
        <v>0</v>
      </c>
      <c r="AB97" s="55">
        <f>_xll.EQNXTDZ($A$1,$B97,AB$5,$B$1)</f>
        <v>53158.7</v>
      </c>
      <c r="AC97" s="55">
        <f>_xll.EQNXTDZ($A$1,$B97,AC$5,$B$1)</f>
        <v>0</v>
      </c>
      <c r="AD97" s="55">
        <f>_xll.EQNXTDZ($A$1,$B97,AD$5,$B$1)</f>
        <v>55525.05</v>
      </c>
      <c r="AE97" s="55">
        <f>_xll.EQNXTDZ($A$1,$B97,AE$5,$B$1)</f>
        <v>0</v>
      </c>
      <c r="AF97" s="55">
        <f>_xll.EQNXTDZ($A$1,$B97,AF$5,$B$1)</f>
        <v>59694.3</v>
      </c>
      <c r="AG97" s="55">
        <f>_xll.EQNXTDZ($A$1,$B97,AG$5,$B$1)</f>
        <v>0</v>
      </c>
      <c r="AH97" s="55">
        <f>_xll.EQNXTDZ($A$1,$B97,AH$5,$B$1)</f>
        <v>62052.68</v>
      </c>
      <c r="AI97" s="55">
        <f>_xll.EQNXTDZ($A$1,$B97,AI$5,$B$1)</f>
        <v>0</v>
      </c>
      <c r="AJ97" s="55">
        <f>_xll.EQNXTDZ($A$1,$B97,AJ$5,$B$1)</f>
        <v>67706.16</v>
      </c>
      <c r="AK97" s="55">
        <f>_xll.EQNXTDZ($A$1,$B97,AK$5,$B$1)</f>
        <v>0</v>
      </c>
      <c r="AL97" s="55">
        <f>_xll.EQNXTDZ($A$1,$B97,AL$5,$B$1)</f>
        <v>66705.63</v>
      </c>
      <c r="AM97" s="55">
        <f>_xll.EQNXTDZ($A$1,$B97,AM$5,$B$1)</f>
        <v>0</v>
      </c>
      <c r="AN97" s="55">
        <f>_xll.EQNXTDZ($A$1,$B97,AN$5,$B$1)</f>
        <v>65776.149999999994</v>
      </c>
      <c r="AO97" s="55">
        <f>_xll.EQNXTDZ($A$1,$B97,AO$5,$B$1)</f>
        <v>0</v>
      </c>
      <c r="AP97" s="55">
        <f>_xll.EQNXTDZ($A$1,$B97,AP$5,$B$1)</f>
        <v>73231.199999999997</v>
      </c>
      <c r="AQ97" s="55">
        <f>_xll.EQNXTDZ($A$1,$B97,AQ$5,$B$1)</f>
        <v>0</v>
      </c>
      <c r="AR97" s="55">
        <f>_xll.EQNXTDZ($A$1,$B97,AR$5,$B$1)</f>
        <v>75266.899999999994</v>
      </c>
      <c r="AS97" s="55">
        <f>_xll.EQNXTDZ($A$1,$B97,AS$5,$B$1)</f>
        <v>0</v>
      </c>
      <c r="AT97" s="55">
        <f>_xll.EQNXTDZ($A$1,$B97,AT$5,$B$1)</f>
        <v>82450.45</v>
      </c>
      <c r="AU97" s="55">
        <f>_xll.EQNXTDZ($A$1,$B97,AU$5,$B$1)</f>
        <v>0</v>
      </c>
      <c r="AV97" s="55">
        <f>_xll.EQNXTDZ($A$1,$B97,AV$5,$B$1)</f>
        <v>86510.62</v>
      </c>
      <c r="AW97" s="55">
        <f>_xll.EQNXTDZ($A$1,$B97,AW$5,$B$1)</f>
        <v>0</v>
      </c>
      <c r="AX97" s="55">
        <f>_xll.EQNXTDZ($A$1,$B97,AX$5,$B$1)</f>
        <v>94682.49</v>
      </c>
      <c r="AY97" s="55">
        <f>_xll.EQNXTDZ($A$1,$B97,AY$5,$B$1)</f>
        <v>0</v>
      </c>
      <c r="AZ97" s="55">
        <f>_xll.EQNXTDZ($A$1,$B97,AZ$5,$B$1)</f>
        <v>98894.31</v>
      </c>
      <c r="BA97" s="55">
        <f>_xll.EQNXTDZ($A$1,$B97,BA$5,$B$1)</f>
        <v>0</v>
      </c>
      <c r="BB97" s="55">
        <f>_xll.EQNXTDZ($A$1,$B97,BB$5,$B$1)</f>
        <v>107337.65</v>
      </c>
      <c r="BC97" s="55">
        <f>_xll.EQNXTDZ($A$1,$B97,BC$5,$B$1)</f>
        <v>0</v>
      </c>
      <c r="BD97" s="55">
        <f>_xll.EQNXTDZ($A$1,$B97,BD$5,$B$1)</f>
        <v>118660.89</v>
      </c>
      <c r="BE97" s="55">
        <f>_xll.EQNXTDZ($A$1,$B97,BE$5,$B$1)</f>
        <v>0</v>
      </c>
      <c r="BF97" s="55">
        <f>_xll.EQNXTDZ($A$1,$B97,BF$5,$B$1)</f>
        <v>131140.32999999999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S21" activePane="bottomRight" state="frozen"/>
      <selection pane="topRight" activeCell="C1" sqref="C1"/>
      <selection pane="bottomLeft" activeCell="A6" sqref="A6"/>
      <selection pane="bottomRight" activeCell="Y29" sqref="Y29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100400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Tata Power Company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3374.8175030000002</v>
      </c>
      <c r="D6" s="100">
        <f>_xll.EQNXTDZ($A$1,$B6,D$1,$B$1)</f>
        <v>3861.06</v>
      </c>
      <c r="E6" s="100">
        <f>_xll.EQNXTDZ($A$1,$B6,E$1,$B$1)</f>
        <v>4805.45</v>
      </c>
      <c r="F6" s="100">
        <f>_xll.EQNXTDZ($A$1,$B6,F$1,$B$1)</f>
        <v>4996.38</v>
      </c>
      <c r="G6" s="100">
        <f>_xll.EQNXTDZ($A$1,$B6,G$1,$B$1)</f>
        <v>4900.58</v>
      </c>
      <c r="H6" s="100">
        <f>_xll.EQNXTDZ($A$1,$B6,H$1,$B$1)</f>
        <v>5623.21</v>
      </c>
      <c r="I6" s="100">
        <f>_xll.EQNXTDZ($A$1,$B6,I$1,$B$1)</f>
        <v>6484.23</v>
      </c>
      <c r="J6" s="100">
        <f>_xll.EQNXTDZ($A$1,$B6,J$1,$B$1)</f>
        <v>10904.19</v>
      </c>
      <c r="K6" s="100">
        <f>_xll.EQNXTDZ($A$1,$B6,K$1,$B$1)</f>
        <v>18068.439999999999</v>
      </c>
      <c r="L6" s="100">
        <f>_xll.EQNXTDZ($A$1,$B6,L$1,$B$1)</f>
        <v>18996.79</v>
      </c>
      <c r="M6" s="100">
        <f>_xll.EQNXTDZ($A$1,$B6,M$1,$B$1)</f>
        <v>19462.88</v>
      </c>
      <c r="N6" s="100">
        <f>_xll.EQNXTDZ($A$1,$B6,N$1,$B$1)</f>
        <v>26019.81</v>
      </c>
      <c r="O6" s="100">
        <f>_xll.EQNXTDZ($A$1,$B6,O$1,$B$1)</f>
        <v>33042.1</v>
      </c>
      <c r="P6" s="100">
        <f>_xll.EQNXTDZ($A$1,$B6,P$1,$B$1)</f>
        <v>35737.879999999997</v>
      </c>
      <c r="Q6" s="100">
        <f>_xll.EQNXTDZ($A$1,$B6,Q$1,$B$1)</f>
        <v>33596.76</v>
      </c>
      <c r="R6" s="100">
        <f>_xll.EQNXTDZ($A$1,$B6,R$1,$B$1)</f>
        <v>29500.89</v>
      </c>
      <c r="S6" s="100">
        <f>_xll.EQNXTDZ($A$1,$B6,S$1,$B$1)</f>
        <v>27587.59</v>
      </c>
      <c r="T6" s="100">
        <f>_xll.EQNXTDZ($A$1,$B6,T$1,$B$1)</f>
        <v>26840.27</v>
      </c>
      <c r="U6" s="100">
        <f>_xll.EQNXTDZ($A$1,$B6,U$1,$B$1)</f>
        <v>29881.06</v>
      </c>
      <c r="V6" s="100">
        <f>_xll.EQNXTDZ($A$1,$B6,V$1,$B$1)</f>
        <v>29136.37</v>
      </c>
      <c r="W6" s="100">
        <f>_xll.EQNXTDZ($A$1,$B6,W$1,$B$1)</f>
        <v>32703.31</v>
      </c>
      <c r="X6" s="100">
        <f>_xll.EQNXTDZ($A$1,$B6,X$1,$B$1)</f>
        <v>42815.67</v>
      </c>
      <c r="Y6" s="100">
        <f>_xll.EQNXTDZ($A$1,$B6,Y$1,$B$1)</f>
        <v>55109.08</v>
      </c>
      <c r="Z6" s="100">
        <f>_xll.EQNXTDZ($A$1,$B6,Z$1,$B$1)</f>
        <v>61448.9</v>
      </c>
      <c r="AA6" s="100">
        <f>_xll.EQNXTDZ($A$1,$B6,AA$1,$B$1)</f>
        <v>65478.239999999998</v>
      </c>
      <c r="AB6" s="100">
        <f>_xll.EQNXTDZ($A$1,$B6,AB$1,$B$1)</f>
        <v>62428.59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0.35590899999999998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2.66</v>
      </c>
      <c r="G9" s="100">
        <f>_xll.EQNXTDZ($A$1,$B9,G$1,$B$1)</f>
        <v>0.28999999999999998</v>
      </c>
      <c r="H9" s="100">
        <f>_xll.EQNXTDZ($A$1,$B9,H$1,$B$1)</f>
        <v>1.95</v>
      </c>
      <c r="I9" s="100">
        <f>_xll.EQNXTDZ($A$1,$B9,I$1,$B$1)</f>
        <v>8.59</v>
      </c>
      <c r="J9" s="100">
        <f>_xll.EQNXTDZ($A$1,$B9,J$1,$B$1)</f>
        <v>13.33</v>
      </c>
      <c r="K9" s="100">
        <f>_xll.EQNXTDZ($A$1,$B9,K$1,$B$1)</f>
        <v>7.12</v>
      </c>
      <c r="L9" s="100">
        <f>_xll.EQNXTDZ($A$1,$B9,L$1,$B$1)</f>
        <v>10.95</v>
      </c>
      <c r="M9" s="100">
        <f>_xll.EQNXTDZ($A$1,$B9,M$1,$B$1)</f>
        <v>12.12</v>
      </c>
      <c r="N9" s="100">
        <f>_xll.EQNXTDZ($A$1,$B9,N$1,$B$1)</f>
        <v>18.41</v>
      </c>
      <c r="O9" s="100">
        <f>_xll.EQNXTDZ($A$1,$B9,O$1,$B$1)</f>
        <v>16.670000000000002</v>
      </c>
      <c r="P9" s="100">
        <f>_xll.EQNXTDZ($A$1,$B9,P$1,$B$1)</f>
        <v>19.64</v>
      </c>
      <c r="Q9" s="100">
        <f>_xll.EQNXTDZ($A$1,$B9,Q$1,$B$1)</f>
        <v>3.97</v>
      </c>
      <c r="R9" s="100">
        <f>_xll.EQNXTDZ($A$1,$B9,R$1,$B$1)</f>
        <v>6.59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3374.4615939999999</v>
      </c>
      <c r="D10" s="100">
        <f>_xll.EQNXTDZ($A$1,$B10,D$1,$B$1)</f>
        <v>3861.06</v>
      </c>
      <c r="E10" s="100">
        <f>_xll.EQNXTDZ($A$1,$B10,E$1,$B$1)</f>
        <v>4805.45</v>
      </c>
      <c r="F10" s="100">
        <f>_xll.EQNXTDZ($A$1,$B10,F$1,$B$1)</f>
        <v>4993.72</v>
      </c>
      <c r="G10" s="100">
        <f>_xll.EQNXTDZ($A$1,$B10,G$1,$B$1)</f>
        <v>4900.29</v>
      </c>
      <c r="H10" s="100">
        <f>_xll.EQNXTDZ($A$1,$B10,H$1,$B$1)</f>
        <v>5621.26</v>
      </c>
      <c r="I10" s="100">
        <f>_xll.EQNXTDZ($A$1,$B10,I$1,$B$1)</f>
        <v>6475.64</v>
      </c>
      <c r="J10" s="100">
        <f>_xll.EQNXTDZ($A$1,$B10,J$1,$B$1)</f>
        <v>10890.86</v>
      </c>
      <c r="K10" s="100">
        <f>_xll.EQNXTDZ($A$1,$B10,K$1,$B$1)</f>
        <v>18061.32</v>
      </c>
      <c r="L10" s="100">
        <f>_xll.EQNXTDZ($A$1,$B10,L$1,$B$1)</f>
        <v>18985.84</v>
      </c>
      <c r="M10" s="100">
        <f>_xll.EQNXTDZ($A$1,$B10,M$1,$B$1)</f>
        <v>19450.759999999998</v>
      </c>
      <c r="N10" s="100">
        <f>_xll.EQNXTDZ($A$1,$B10,N$1,$B$1)</f>
        <v>26001.4</v>
      </c>
      <c r="O10" s="100">
        <f>_xll.EQNXTDZ($A$1,$B10,O$1,$B$1)</f>
        <v>33025.43</v>
      </c>
      <c r="P10" s="100">
        <f>_xll.EQNXTDZ($A$1,$B10,P$1,$B$1)</f>
        <v>35718.239999999998</v>
      </c>
      <c r="Q10" s="100">
        <f>_xll.EQNXTDZ($A$1,$B10,Q$1,$B$1)</f>
        <v>33592.79</v>
      </c>
      <c r="R10" s="100">
        <f>_xll.EQNXTDZ($A$1,$B10,R$1,$B$1)</f>
        <v>29494.3</v>
      </c>
      <c r="S10" s="100">
        <f>_xll.EQNXTDZ($A$1,$B10,S$1,$B$1)</f>
        <v>27587.59</v>
      </c>
      <c r="T10" s="100">
        <f>_xll.EQNXTDZ($A$1,$B10,T$1,$B$1)</f>
        <v>26840.27</v>
      </c>
      <c r="U10" s="100">
        <f>_xll.EQNXTDZ($A$1,$B10,U$1,$B$1)</f>
        <v>29881.06</v>
      </c>
      <c r="V10" s="100">
        <f>_xll.EQNXTDZ($A$1,$B10,V$1,$B$1)</f>
        <v>29136.37</v>
      </c>
      <c r="W10" s="100">
        <f>_xll.EQNXTDZ($A$1,$B10,W$1,$B$1)</f>
        <v>32703.31</v>
      </c>
      <c r="X10" s="100">
        <f>_xll.EQNXTDZ($A$1,$B10,X$1,$B$1)</f>
        <v>42815.67</v>
      </c>
      <c r="Y10" s="100">
        <f>_xll.EQNXTDZ($A$1,$B10,Y$1,$B$1)</f>
        <v>55109.08</v>
      </c>
      <c r="Z10" s="100">
        <f>_xll.EQNXTDZ($A$1,$B10,Z$1,$B$1)</f>
        <v>61448.9</v>
      </c>
      <c r="AA10" s="100">
        <f>_xll.EQNXTDZ($A$1,$B10,AA$1,$B$1)</f>
        <v>65478.239999999998</v>
      </c>
      <c r="AB10" s="100">
        <f>_xll.EQNXTDZ($A$1,$B10,AB$1,$B$1)</f>
        <v>62428.59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-7.9388933000000002</v>
      </c>
      <c r="D11" s="100">
        <f>_xll.EQNXTDZ($A$1,$B11,D$1,$B$1)</f>
        <v>1.81</v>
      </c>
      <c r="E11" s="100">
        <f>_xll.EQNXTDZ($A$1,$B11,E$1,$B$1)</f>
        <v>19.2</v>
      </c>
      <c r="F11" s="100">
        <f>_xll.EQNXTDZ($A$1,$B11,F$1,$B$1)</f>
        <v>0.57999999999999996</v>
      </c>
      <c r="G11" s="100">
        <f>_xll.EQNXTDZ($A$1,$B11,G$1,$B$1)</f>
        <v>1.88</v>
      </c>
      <c r="H11" s="100">
        <f>_xll.EQNXTDZ($A$1,$B11,H$1,$B$1)</f>
        <v>-28.48</v>
      </c>
      <c r="I11" s="100">
        <f>_xll.EQNXTDZ($A$1,$B11,I$1,$B$1)</f>
        <v>-7.71</v>
      </c>
      <c r="J11" s="100">
        <f>_xll.EQNXTDZ($A$1,$B11,J$1,$B$1)</f>
        <v>17.260000000000002</v>
      </c>
      <c r="K11" s="100">
        <f>_xll.EQNXTDZ($A$1,$B11,K$1,$B$1)</f>
        <v>-79.38</v>
      </c>
      <c r="L11" s="100">
        <f>_xll.EQNXTDZ($A$1,$B11,L$1,$B$1)</f>
        <v>-27.47</v>
      </c>
      <c r="M11" s="100">
        <f>_xll.EQNXTDZ($A$1,$B11,M$1,$B$1)</f>
        <v>-11.38</v>
      </c>
      <c r="N11" s="100">
        <f>_xll.EQNXTDZ($A$1,$B11,N$1,$B$1)</f>
        <v>-177.01</v>
      </c>
      <c r="O11" s="100">
        <f>_xll.EQNXTDZ($A$1,$B11,O$1,$B$1)</f>
        <v>-275.12</v>
      </c>
      <c r="P11" s="100">
        <f>_xll.EQNXTDZ($A$1,$B11,P$1,$B$1)</f>
        <v>130.77000000000001</v>
      </c>
      <c r="Q11" s="100">
        <f>_xll.EQNXTDZ($A$1,$B11,Q$1,$B$1)</f>
        <v>120.72</v>
      </c>
      <c r="R11" s="100">
        <f>_xll.EQNXTDZ($A$1,$B11,R$1,$B$1)</f>
        <v>34.159999999999997</v>
      </c>
      <c r="S11" s="100">
        <f>_xll.EQNXTDZ($A$1,$B11,S$1,$B$1)</f>
        <v>28.24</v>
      </c>
      <c r="T11" s="100">
        <f>_xll.EQNXTDZ($A$1,$B11,T$1,$B$1)</f>
        <v>-8.2899999999999991</v>
      </c>
      <c r="U11" s="100">
        <f>_xll.EQNXTDZ($A$1,$B11,U$1,$B$1)</f>
        <v>24.37</v>
      </c>
      <c r="V11" s="100">
        <f>_xll.EQNXTDZ($A$1,$B11,V$1,$B$1)</f>
        <v>-15.64</v>
      </c>
      <c r="W11" s="100">
        <f>_xll.EQNXTDZ($A$1,$B11,W$1,$B$1)</f>
        <v>0.41</v>
      </c>
      <c r="X11" s="100">
        <f>_xll.EQNXTDZ($A$1,$B11,X$1,$B$1)</f>
        <v>-199.22</v>
      </c>
      <c r="Y11" s="100">
        <f>_xll.EQNXTDZ($A$1,$B11,Y$1,$B$1)</f>
        <v>43.53</v>
      </c>
      <c r="Z11" s="100">
        <f>_xll.EQNXTDZ($A$1,$B11,Z$1,$B$1)</f>
        <v>-51.78</v>
      </c>
      <c r="AA11" s="100">
        <f>_xll.EQNXTDZ($A$1,$B11,AA$1,$B$1)</f>
        <v>-440.76</v>
      </c>
      <c r="AB11" s="100">
        <f>_xll.EQNXTDZ($A$1,$B11,AB$1,$B$1)</f>
        <v>-84.11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2107.8015558000002</v>
      </c>
      <c r="D13" s="100">
        <f>_xll.EQNXTDZ($A$1,$B13,D$1,$B$1)</f>
        <v>2188.79</v>
      </c>
      <c r="E13" s="100">
        <f>_xll.EQNXTDZ($A$1,$B13,E$1,$B$1)</f>
        <v>2783.68</v>
      </c>
      <c r="F13" s="100">
        <f>_xll.EQNXTDZ($A$1,$B13,F$1,$B$1)</f>
        <v>2698.83</v>
      </c>
      <c r="G13" s="100">
        <f>_xll.EQNXTDZ($A$1,$B13,G$1,$B$1)</f>
        <v>3011.47</v>
      </c>
      <c r="H13" s="100">
        <f>_xll.EQNXTDZ($A$1,$B13,H$1,$B$1)</f>
        <v>3770.73</v>
      </c>
      <c r="I13" s="100">
        <f>_xll.EQNXTDZ($A$1,$B13,I$1,$B$1)</f>
        <v>4626</v>
      </c>
      <c r="J13" s="100">
        <f>_xll.EQNXTDZ($A$1,$B13,J$1,$B$1)</f>
        <v>6512.76</v>
      </c>
      <c r="K13" s="100">
        <f>_xll.EQNXTDZ($A$1,$B13,K$1,$B$1)</f>
        <v>10580.25</v>
      </c>
      <c r="L13" s="100">
        <f>_xll.EQNXTDZ($A$1,$B13,L$1,$B$1)</f>
        <v>9805.42</v>
      </c>
      <c r="M13" s="100">
        <f>_xll.EQNXTDZ($A$1,$B13,M$1,$B$1)</f>
        <v>9768.0499999999993</v>
      </c>
      <c r="N13" s="100">
        <f>_xll.EQNXTDZ($A$1,$B13,N$1,$B$1)</f>
        <v>13087.38</v>
      </c>
      <c r="O13" s="100">
        <f>_xll.EQNXTDZ($A$1,$B13,O$1,$B$1)</f>
        <v>18247.330000000002</v>
      </c>
      <c r="P13" s="100">
        <f>_xll.EQNXTDZ($A$1,$B13,P$1,$B$1)</f>
        <v>18635.689999999999</v>
      </c>
      <c r="Q13" s="100">
        <f>_xll.EQNXTDZ($A$1,$B13,Q$1,$B$1)</f>
        <v>17840.330000000002</v>
      </c>
      <c r="R13" s="100">
        <f>_xll.EQNXTDZ($A$1,$B13,R$1,$B$1)</f>
        <v>18536.89</v>
      </c>
      <c r="S13" s="100">
        <f>_xll.EQNXTDZ($A$1,$B13,S$1,$B$1)</f>
        <v>18171.580000000002</v>
      </c>
      <c r="T13" s="100">
        <f>_xll.EQNXTDZ($A$1,$B13,T$1,$B$1)</f>
        <v>16819.82</v>
      </c>
      <c r="U13" s="100">
        <f>_xll.EQNXTDZ($A$1,$B13,U$1,$B$1)</f>
        <v>19512.349999999999</v>
      </c>
      <c r="V13" s="100">
        <f>_xll.EQNXTDZ($A$1,$B13,V$1,$B$1)</f>
        <v>17425.77</v>
      </c>
      <c r="W13" s="100">
        <f>_xll.EQNXTDZ($A$1,$B13,W$1,$B$1)</f>
        <v>20571.05</v>
      </c>
      <c r="X13" s="100">
        <f>_xll.EQNXTDZ($A$1,$B13,X$1,$B$1)</f>
        <v>27831.67</v>
      </c>
      <c r="Y13" s="100">
        <f>_xll.EQNXTDZ($A$1,$B13,Y$1,$B$1)</f>
        <v>37959.660000000003</v>
      </c>
      <c r="Z13" s="100">
        <f>_xll.EQNXTDZ($A$1,$B13,Z$1,$B$1)</f>
        <v>40793.370000000003</v>
      </c>
      <c r="AA13" s="100">
        <f>_xll.EQNXTDZ($A$1,$B13,AA$1,$B$1)</f>
        <v>40673.19</v>
      </c>
      <c r="AB13" s="100">
        <f>_xll.EQNXTDZ($A$1,$B13,AB$1,$B$1)</f>
        <v>37274.370000000003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133.60525469999999</v>
      </c>
      <c r="D14" s="100">
        <f>_xll.EQNXTDZ($A$1,$B14,D$1,$B$1)</f>
        <v>137.15</v>
      </c>
      <c r="E14" s="100">
        <f>_xll.EQNXTDZ($A$1,$B14,E$1,$B$1)</f>
        <v>181.63</v>
      </c>
      <c r="F14" s="100">
        <f>_xll.EQNXTDZ($A$1,$B14,F$1,$B$1)</f>
        <v>245.5</v>
      </c>
      <c r="G14" s="100">
        <f>_xll.EQNXTDZ($A$1,$B14,G$1,$B$1)</f>
        <v>209.4</v>
      </c>
      <c r="H14" s="100">
        <f>_xll.EQNXTDZ($A$1,$B14,H$1,$B$1)</f>
        <v>234.95</v>
      </c>
      <c r="I14" s="100">
        <f>_xll.EQNXTDZ($A$1,$B14,I$1,$B$1)</f>
        <v>275.20999999999998</v>
      </c>
      <c r="J14" s="100">
        <f>_xll.EQNXTDZ($A$1,$B14,J$1,$B$1)</f>
        <v>448.32</v>
      </c>
      <c r="K14" s="100">
        <f>_xll.EQNXTDZ($A$1,$B14,K$1,$B$1)</f>
        <v>600.79999999999995</v>
      </c>
      <c r="L14" s="100">
        <f>_xll.EQNXTDZ($A$1,$B14,L$1,$B$1)</f>
        <v>788.18</v>
      </c>
      <c r="M14" s="100">
        <f>_xll.EQNXTDZ($A$1,$B14,M$1,$B$1)</f>
        <v>825.93</v>
      </c>
      <c r="N14" s="100">
        <f>_xll.EQNXTDZ($A$1,$B14,N$1,$B$1)</f>
        <v>1146.26</v>
      </c>
      <c r="O14" s="100">
        <f>_xll.EQNXTDZ($A$1,$B14,O$1,$B$1)</f>
        <v>1322.95</v>
      </c>
      <c r="P14" s="100">
        <f>_xll.EQNXTDZ($A$1,$B14,P$1,$B$1)</f>
        <v>1349.35</v>
      </c>
      <c r="Q14" s="100">
        <f>_xll.EQNXTDZ($A$1,$B14,Q$1,$B$1)</f>
        <v>1545.67</v>
      </c>
      <c r="R14" s="100">
        <f>_xll.EQNXTDZ($A$1,$B14,R$1,$B$1)</f>
        <v>1227.51</v>
      </c>
      <c r="S14" s="100">
        <f>_xll.EQNXTDZ($A$1,$B14,S$1,$B$1)</f>
        <v>1261.1099999999999</v>
      </c>
      <c r="T14" s="100">
        <f>_xll.EQNXTDZ($A$1,$B14,T$1,$B$1)</f>
        <v>1381.92</v>
      </c>
      <c r="U14" s="100">
        <f>_xll.EQNXTDZ($A$1,$B14,U$1,$B$1)</f>
        <v>1339.05</v>
      </c>
      <c r="V14" s="100">
        <f>_xll.EQNXTDZ($A$1,$B14,V$1,$B$1)</f>
        <v>1440.64</v>
      </c>
      <c r="W14" s="100">
        <f>_xll.EQNXTDZ($A$1,$B14,W$1,$B$1)</f>
        <v>2316.67</v>
      </c>
      <c r="X14" s="100">
        <f>_xll.EQNXTDZ($A$1,$B14,X$1,$B$1)</f>
        <v>3611.63</v>
      </c>
      <c r="Y14" s="100">
        <f>_xll.EQNXTDZ($A$1,$B14,Y$1,$B$1)</f>
        <v>3624.26</v>
      </c>
      <c r="Z14" s="100">
        <f>_xll.EQNXTDZ($A$1,$B14,Z$1,$B$1)</f>
        <v>4036.09</v>
      </c>
      <c r="AA14" s="100">
        <f>_xll.EQNXTDZ($A$1,$B14,AA$1,$B$1)</f>
        <v>4372.92</v>
      </c>
      <c r="AB14" s="100">
        <f>_xll.EQNXTDZ($A$1,$B14,AB$1,$B$1)</f>
        <v>4693.7299999999996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151.80271089999999</v>
      </c>
      <c r="D15" s="100">
        <f>_xll.EQNXTDZ($A$1,$B15,D$1,$B$1)</f>
        <v>195.58</v>
      </c>
      <c r="E15" s="100">
        <f>_xll.EQNXTDZ($A$1,$B15,E$1,$B$1)</f>
        <v>190.96</v>
      </c>
      <c r="F15" s="100">
        <f>_xll.EQNXTDZ($A$1,$B15,F$1,$B$1)</f>
        <v>322.60000000000002</v>
      </c>
      <c r="G15" s="100">
        <f>_xll.EQNXTDZ($A$1,$B15,G$1,$B$1)</f>
        <v>237.45</v>
      </c>
      <c r="H15" s="100">
        <f>_xll.EQNXTDZ($A$1,$B15,H$1,$B$1)</f>
        <v>470.94</v>
      </c>
      <c r="I15" s="100">
        <f>_xll.EQNXTDZ($A$1,$B15,I$1,$B$1)</f>
        <v>333.98</v>
      </c>
      <c r="J15" s="100">
        <f>_xll.EQNXTDZ($A$1,$B15,J$1,$B$1)</f>
        <v>1298.52</v>
      </c>
      <c r="K15" s="100">
        <f>_xll.EQNXTDZ($A$1,$B15,K$1,$B$1)</f>
        <v>2649.65</v>
      </c>
      <c r="L15" s="100">
        <f>_xll.EQNXTDZ($A$1,$B15,L$1,$B$1)</f>
        <v>3263.58</v>
      </c>
      <c r="M15" s="100">
        <f>_xll.EQNXTDZ($A$1,$B15,M$1,$B$1)</f>
        <v>3772.17</v>
      </c>
      <c r="N15" s="100">
        <f>_xll.EQNXTDZ($A$1,$B15,N$1,$B$1)</f>
        <v>5459.99</v>
      </c>
      <c r="O15" s="100">
        <f>_xll.EQNXTDZ($A$1,$B15,O$1,$B$1)</f>
        <v>5281.51</v>
      </c>
      <c r="P15" s="100">
        <f>_xll.EQNXTDZ($A$1,$B15,P$1,$B$1)</f>
        <v>6124.57</v>
      </c>
      <c r="Q15" s="100">
        <f>_xll.EQNXTDZ($A$1,$B15,Q$1,$B$1)</f>
        <v>5999.97</v>
      </c>
      <c r="R15" s="100">
        <f>_xll.EQNXTDZ($A$1,$B15,R$1,$B$1)</f>
        <v>1597.16</v>
      </c>
      <c r="S15" s="100">
        <f>_xll.EQNXTDZ($A$1,$B15,S$1,$B$1)</f>
        <v>1357.17</v>
      </c>
      <c r="T15" s="100">
        <f>_xll.EQNXTDZ($A$1,$B15,T$1,$B$1)</f>
        <v>1408.26</v>
      </c>
      <c r="U15" s="100">
        <f>_xll.EQNXTDZ($A$1,$B15,U$1,$B$1)</f>
        <v>1337.16</v>
      </c>
      <c r="V15" s="100">
        <f>_xll.EQNXTDZ($A$1,$B15,V$1,$B$1)</f>
        <v>1433.57</v>
      </c>
      <c r="W15" s="100">
        <f>_xll.EQNXTDZ($A$1,$B15,W$1,$B$1)</f>
        <v>1715.43</v>
      </c>
      <c r="X15" s="100">
        <f>_xll.EQNXTDZ($A$1,$B15,X$1,$B$1)</f>
        <v>2379.59</v>
      </c>
      <c r="Y15" s="100">
        <f>_xll.EQNXTDZ($A$1,$B15,Y$1,$B$1)</f>
        <v>2793.33</v>
      </c>
      <c r="Z15" s="100">
        <f>_xll.EQNXTDZ($A$1,$B15,Z$1,$B$1)</f>
        <v>3237.3</v>
      </c>
      <c r="AA15" s="100">
        <f>_xll.EQNXTDZ($A$1,$B15,AA$1,$B$1)</f>
        <v>5264.32</v>
      </c>
      <c r="AB15" s="100">
        <f>_xll.EQNXTDZ($A$1,$B15,AB$1,$B$1)</f>
        <v>5451.69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101.0173367</v>
      </c>
      <c r="D17" s="100">
        <f>_xll.EQNXTDZ($A$1,$B17,D$1,$B$1)</f>
        <v>64.540000000000006</v>
      </c>
      <c r="E17" s="100">
        <f>_xll.EQNXTDZ($A$1,$B17,E$1,$B$1)</f>
        <v>73.150000000000006</v>
      </c>
      <c r="F17" s="100">
        <f>_xll.EQNXTDZ($A$1,$B17,F$1,$B$1)</f>
        <v>100.9</v>
      </c>
      <c r="G17" s="100">
        <f>_xll.EQNXTDZ($A$1,$B17,G$1,$B$1)</f>
        <v>195.38</v>
      </c>
      <c r="H17" s="100">
        <f>_xll.EQNXTDZ($A$1,$B17,H$1,$B$1)</f>
        <v>99.68</v>
      </c>
      <c r="I17" s="100">
        <f>_xll.EQNXTDZ($A$1,$B17,I$1,$B$1)</f>
        <v>97.03</v>
      </c>
      <c r="J17" s="100">
        <f>_xll.EQNXTDZ($A$1,$B17,J$1,$B$1)</f>
        <v>157.74</v>
      </c>
      <c r="K17" s="100">
        <f>_xll.EQNXTDZ($A$1,$B17,K$1,$B$1)</f>
        <v>65.09</v>
      </c>
      <c r="L17" s="100">
        <f>_xll.EQNXTDZ($A$1,$B17,L$1,$B$1)</f>
        <v>111.64</v>
      </c>
      <c r="M17" s="100">
        <f>_xll.EQNXTDZ($A$1,$B17,M$1,$B$1)</f>
        <v>245.64</v>
      </c>
      <c r="N17" s="100">
        <f>_xll.EQNXTDZ($A$1,$B17,N$1,$B$1)</f>
        <v>465.67</v>
      </c>
      <c r="O17" s="100">
        <f>_xll.EQNXTDZ($A$1,$B17,O$1,$B$1)</f>
        <v>384.99</v>
      </c>
      <c r="P17" s="100">
        <f>_xll.EQNXTDZ($A$1,$B17,P$1,$B$1)</f>
        <v>544.33000000000004</v>
      </c>
      <c r="Q17" s="100">
        <f>_xll.EQNXTDZ($A$1,$B17,Q$1,$B$1)</f>
        <v>594.5</v>
      </c>
      <c r="R17" s="100">
        <f>_xll.EQNXTDZ($A$1,$B17,R$1,$B$1)</f>
        <v>590.29</v>
      </c>
      <c r="S17" s="100">
        <f>_xll.EQNXTDZ($A$1,$B17,S$1,$B$1)</f>
        <v>572.04</v>
      </c>
      <c r="T17" s="100">
        <f>_xll.EQNXTDZ($A$1,$B17,T$1,$B$1)</f>
        <v>653.69000000000005</v>
      </c>
      <c r="U17" s="100">
        <f>_xll.EQNXTDZ($A$1,$B17,U$1,$B$1)</f>
        <v>574.94000000000005</v>
      </c>
      <c r="V17" s="100">
        <f>_xll.EQNXTDZ($A$1,$B17,V$1,$B$1)</f>
        <v>640.89</v>
      </c>
      <c r="W17" s="100">
        <f>_xll.EQNXTDZ($A$1,$B17,W$1,$B$1)</f>
        <v>770.13</v>
      </c>
      <c r="X17" s="100">
        <f>_xll.EQNXTDZ($A$1,$B17,X$1,$B$1)</f>
        <v>1211.6400000000001</v>
      </c>
      <c r="Y17" s="100">
        <f>_xll.EQNXTDZ($A$1,$B17,Y$1,$B$1)</f>
        <v>1740.07</v>
      </c>
      <c r="Z17" s="100">
        <f>_xll.EQNXTDZ($A$1,$B17,Z$1,$B$1)</f>
        <v>1785.81</v>
      </c>
      <c r="AA17" s="100">
        <f>_xll.EQNXTDZ($A$1,$B17,AA$1,$B$1)</f>
        <v>749.09</v>
      </c>
      <c r="AB17" s="100">
        <f>_xll.EQNXTDZ($A$1,$B17,AB$1,$B$1)</f>
        <v>863.74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52.609518100000003</v>
      </c>
      <c r="D18" s="100">
        <f>_xll.EQNXTDZ($A$1,$B18,D$1,$B$1)</f>
        <v>117.17</v>
      </c>
      <c r="E18" s="100">
        <f>_xll.EQNXTDZ($A$1,$B18,E$1,$B$1)</f>
        <v>143.78</v>
      </c>
      <c r="F18" s="100">
        <f>_xll.EQNXTDZ($A$1,$B18,F$1,$B$1)</f>
        <v>149.63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237.8</v>
      </c>
      <c r="K18" s="100">
        <f>_xll.EQNXTDZ($A$1,$B18,K$1,$B$1)</f>
        <v>489.63</v>
      </c>
      <c r="L18" s="100">
        <f>_xll.EQNXTDZ($A$1,$B18,L$1,$B$1)</f>
        <v>483.86</v>
      </c>
      <c r="M18" s="100">
        <f>_xll.EQNXTDZ($A$1,$B18,M$1,$B$1)</f>
        <v>521.35</v>
      </c>
      <c r="N18" s="100">
        <f>_xll.EQNXTDZ($A$1,$B18,N$1,$B$1)</f>
        <v>652.44000000000005</v>
      </c>
      <c r="O18" s="100">
        <f>_xll.EQNXTDZ($A$1,$B18,O$1,$B$1)</f>
        <v>763.23</v>
      </c>
      <c r="P18" s="100">
        <f>_xll.EQNXTDZ($A$1,$B18,P$1,$B$1)</f>
        <v>773.62</v>
      </c>
      <c r="Q18" s="100">
        <f>_xll.EQNXTDZ($A$1,$B18,Q$1,$B$1)</f>
        <v>743.85</v>
      </c>
      <c r="R18" s="100">
        <f>_xll.EQNXTDZ($A$1,$B18,R$1,$B$1)</f>
        <v>26.84</v>
      </c>
      <c r="S18" s="100">
        <f>_xll.EQNXTDZ($A$1,$B18,S$1,$B$1)</f>
        <v>23</v>
      </c>
      <c r="T18" s="100">
        <f>_xll.EQNXTDZ($A$1,$B18,T$1,$B$1)</f>
        <v>27.45</v>
      </c>
      <c r="U18" s="100">
        <f>_xll.EQNXTDZ($A$1,$B18,U$1,$B$1)</f>
        <v>16.940000000000001</v>
      </c>
      <c r="V18" s="100">
        <f>_xll.EQNXTDZ($A$1,$B18,V$1,$B$1)</f>
        <v>15.4</v>
      </c>
      <c r="W18" s="100">
        <f>_xll.EQNXTDZ($A$1,$B18,W$1,$B$1)</f>
        <v>38.32</v>
      </c>
      <c r="X18" s="100">
        <f>_xll.EQNXTDZ($A$1,$B18,X$1,$B$1)</f>
        <v>14.98</v>
      </c>
      <c r="Y18" s="100">
        <f>_xll.EQNXTDZ($A$1,$B18,Y$1,$B$1)</f>
        <v>46.27</v>
      </c>
      <c r="Z18" s="100">
        <f>_xll.EQNXTDZ($A$1,$B18,Z$1,$B$1)</f>
        <v>56.15</v>
      </c>
      <c r="AA18" s="100">
        <f>_xll.EQNXTDZ($A$1,$B18,AA$1,$B$1)</f>
        <v>14.91</v>
      </c>
      <c r="AB18" s="100">
        <f>_xll.EQNXTDZ($A$1,$B18,AB$1,$B$1)</f>
        <v>90.64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145.92908180000001</v>
      </c>
      <c r="D19" s="100">
        <f>_xll.EQNXTDZ($A$1,$B19,D$1,$B$1)</f>
        <v>195.68</v>
      </c>
      <c r="E19" s="100">
        <f>_xll.EQNXTDZ($A$1,$B19,E$1,$B$1)</f>
        <v>163.08000000000001</v>
      </c>
      <c r="F19" s="100">
        <f>_xll.EQNXTDZ($A$1,$B19,F$1,$B$1)</f>
        <v>151.29</v>
      </c>
      <c r="G19" s="100">
        <f>_xll.EQNXTDZ($A$1,$B19,G$1,$B$1)</f>
        <v>139.97</v>
      </c>
      <c r="H19" s="100">
        <f>_xll.EQNXTDZ($A$1,$B19,H$1,$B$1)</f>
        <v>96.56</v>
      </c>
      <c r="I19" s="100">
        <f>_xll.EQNXTDZ($A$1,$B19,I$1,$B$1)</f>
        <v>66.44</v>
      </c>
      <c r="J19" s="100">
        <f>_xll.EQNXTDZ($A$1,$B19,J$1,$B$1)</f>
        <v>96.34</v>
      </c>
      <c r="K19" s="100">
        <f>_xll.EQNXTDZ($A$1,$B19,K$1,$B$1)</f>
        <v>106.87</v>
      </c>
      <c r="L19" s="100">
        <f>_xll.EQNXTDZ($A$1,$B19,L$1,$B$1)</f>
        <v>1002.68</v>
      </c>
      <c r="M19" s="100">
        <f>_xll.EQNXTDZ($A$1,$B19,M$1,$B$1)</f>
        <v>230.95</v>
      </c>
      <c r="N19" s="100">
        <f>_xll.EQNXTDZ($A$1,$B19,N$1,$B$1)</f>
        <v>720.9</v>
      </c>
      <c r="O19" s="100">
        <f>_xll.EQNXTDZ($A$1,$B19,O$1,$B$1)</f>
        <v>1011.53</v>
      </c>
      <c r="P19" s="100">
        <f>_xll.EQNXTDZ($A$1,$B19,P$1,$B$1)</f>
        <v>1272.8900000000001</v>
      </c>
      <c r="Q19" s="100">
        <f>_xll.EQNXTDZ($A$1,$B19,Q$1,$B$1)</f>
        <v>469.21</v>
      </c>
      <c r="R19" s="100">
        <f>_xll.EQNXTDZ($A$1,$B19,R$1,$B$1)</f>
        <v>997.21</v>
      </c>
      <c r="S19" s="100">
        <f>_xll.EQNXTDZ($A$1,$B19,S$1,$B$1)</f>
        <v>375.58</v>
      </c>
      <c r="T19" s="100">
        <f>_xll.EQNXTDZ($A$1,$B19,T$1,$B$1)</f>
        <v>285.31</v>
      </c>
      <c r="U19" s="100">
        <f>_xll.EQNXTDZ($A$1,$B19,U$1,$B$1)</f>
        <v>363.64</v>
      </c>
      <c r="V19" s="100">
        <f>_xll.EQNXTDZ($A$1,$B19,V$1,$B$1)</f>
        <v>275.16000000000003</v>
      </c>
      <c r="W19" s="100">
        <f>_xll.EQNXTDZ($A$1,$B19,W$1,$B$1)</f>
        <v>288.60000000000002</v>
      </c>
      <c r="X19" s="100">
        <f>_xll.EQNXTDZ($A$1,$B19,X$1,$B$1)</f>
        <v>495.3</v>
      </c>
      <c r="Y19" s="100">
        <f>_xll.EQNXTDZ($A$1,$B19,Y$1,$B$1)</f>
        <v>1225.6099999999999</v>
      </c>
      <c r="Z19" s="100">
        <f>_xll.EQNXTDZ($A$1,$B19,Z$1,$B$1)</f>
        <v>808.13</v>
      </c>
      <c r="AA19" s="100">
        <f>_xll.EQNXTDZ($A$1,$B19,AA$1,$B$1)</f>
        <v>937.43</v>
      </c>
      <c r="AB19" s="100">
        <f>_xll.EQNXTDZ($A$1,$B19,AB$1,$B$1)</f>
        <v>1043.47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2684.8265646999998</v>
      </c>
      <c r="D21" s="100">
        <f>_xll.EQNXTDZ($A$1,$B21,D$1,$B$1)</f>
        <v>2900.72</v>
      </c>
      <c r="E21" s="100">
        <f>_xll.EQNXTDZ($A$1,$B21,E$1,$B$1)</f>
        <v>3555.48</v>
      </c>
      <c r="F21" s="100">
        <f>_xll.EQNXTDZ($A$1,$B21,F$1,$B$1)</f>
        <v>3669.33</v>
      </c>
      <c r="G21" s="100">
        <f>_xll.EQNXTDZ($A$1,$B21,G$1,$B$1)</f>
        <v>3795.55</v>
      </c>
      <c r="H21" s="100">
        <f>_xll.EQNXTDZ($A$1,$B21,H$1,$B$1)</f>
        <v>4644.38</v>
      </c>
      <c r="I21" s="100">
        <f>_xll.EQNXTDZ($A$1,$B21,I$1,$B$1)</f>
        <v>5390.95</v>
      </c>
      <c r="J21" s="100">
        <f>_xll.EQNXTDZ($A$1,$B21,J$1,$B$1)</f>
        <v>8768.74</v>
      </c>
      <c r="K21" s="100">
        <f>_xll.EQNXTDZ($A$1,$B21,K$1,$B$1)</f>
        <v>14412.91</v>
      </c>
      <c r="L21" s="100">
        <f>_xll.EQNXTDZ($A$1,$B21,L$1,$B$1)</f>
        <v>15427.89</v>
      </c>
      <c r="M21" s="100">
        <f>_xll.EQNXTDZ($A$1,$B21,M$1,$B$1)</f>
        <v>15352.71</v>
      </c>
      <c r="N21" s="100">
        <f>_xll.EQNXTDZ($A$1,$B21,N$1,$B$1)</f>
        <v>21355.63</v>
      </c>
      <c r="O21" s="100">
        <f>_xll.EQNXTDZ($A$1,$B21,O$1,$B$1)</f>
        <v>26736.42</v>
      </c>
      <c r="P21" s="100">
        <f>_xll.EQNXTDZ($A$1,$B21,P$1,$B$1)</f>
        <v>28831.22</v>
      </c>
      <c r="Q21" s="100">
        <f>_xll.EQNXTDZ($A$1,$B21,Q$1,$B$1)</f>
        <v>27314.25</v>
      </c>
      <c r="R21" s="100">
        <f>_xll.EQNXTDZ($A$1,$B21,R$1,$B$1)</f>
        <v>23010.06</v>
      </c>
      <c r="S21" s="100">
        <f>_xll.EQNXTDZ($A$1,$B21,S$1,$B$1)</f>
        <v>21788.720000000001</v>
      </c>
      <c r="T21" s="100">
        <f>_xll.EQNXTDZ($A$1,$B21,T$1,$B$1)</f>
        <v>20568.16</v>
      </c>
      <c r="U21" s="100">
        <f>_xll.EQNXTDZ($A$1,$B21,U$1,$B$1)</f>
        <v>23168.45</v>
      </c>
      <c r="V21" s="100">
        <f>_xll.EQNXTDZ($A$1,$B21,V$1,$B$1)</f>
        <v>21215.79</v>
      </c>
      <c r="W21" s="100">
        <f>_xll.EQNXTDZ($A$1,$B21,W$1,$B$1)</f>
        <v>25700.61</v>
      </c>
      <c r="X21" s="100">
        <f>_xll.EQNXTDZ($A$1,$B21,X$1,$B$1)</f>
        <v>35345.589999999997</v>
      </c>
      <c r="Y21" s="100">
        <f>_xll.EQNXTDZ($A$1,$B21,Y$1,$B$1)</f>
        <v>47432.73</v>
      </c>
      <c r="Z21" s="100">
        <f>_xll.EQNXTDZ($A$1,$B21,Z$1,$B$1)</f>
        <v>50665.07</v>
      </c>
      <c r="AA21" s="100">
        <f>_xll.EQNXTDZ($A$1,$B21,AA$1,$B$1)</f>
        <v>51571.1</v>
      </c>
      <c r="AB21" s="100">
        <f>_xll.EQNXTDZ($A$1,$B21,AB$1,$B$1)</f>
        <v>49333.53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689.63502930000004</v>
      </c>
      <c r="D22" s="100">
        <f>_xll.EQNXTDZ($A$1,$B22,D$1,$B$1)</f>
        <v>960.34</v>
      </c>
      <c r="E22" s="100">
        <f>_xll.EQNXTDZ($A$1,$B22,E$1,$B$1)</f>
        <v>1249.97</v>
      </c>
      <c r="F22" s="100">
        <f>_xll.EQNXTDZ($A$1,$B22,F$1,$B$1)</f>
        <v>1324.39</v>
      </c>
      <c r="G22" s="100">
        <f>_xll.EQNXTDZ($A$1,$B22,G$1,$B$1)</f>
        <v>1104.74</v>
      </c>
      <c r="H22" s="100">
        <f>_xll.EQNXTDZ($A$1,$B22,H$1,$B$1)</f>
        <v>976.88</v>
      </c>
      <c r="I22" s="100">
        <f>_xll.EQNXTDZ($A$1,$B22,I$1,$B$1)</f>
        <v>1084.69</v>
      </c>
      <c r="J22" s="100">
        <f>_xll.EQNXTDZ($A$1,$B22,J$1,$B$1)</f>
        <v>2122.12</v>
      </c>
      <c r="K22" s="100">
        <f>_xll.EQNXTDZ($A$1,$B22,K$1,$B$1)</f>
        <v>3648.41</v>
      </c>
      <c r="L22" s="100">
        <f>_xll.EQNXTDZ($A$1,$B22,L$1,$B$1)</f>
        <v>3557.95</v>
      </c>
      <c r="M22" s="100">
        <f>_xll.EQNXTDZ($A$1,$B22,M$1,$B$1)</f>
        <v>4098.05</v>
      </c>
      <c r="N22" s="100">
        <f>_xll.EQNXTDZ($A$1,$B22,N$1,$B$1)</f>
        <v>4645.7700000000004</v>
      </c>
      <c r="O22" s="100">
        <f>_xll.EQNXTDZ($A$1,$B22,O$1,$B$1)</f>
        <v>6289.01</v>
      </c>
      <c r="P22" s="100">
        <f>_xll.EQNXTDZ($A$1,$B22,P$1,$B$1)</f>
        <v>6887.02</v>
      </c>
      <c r="Q22" s="100">
        <f>_xll.EQNXTDZ($A$1,$B22,Q$1,$B$1)</f>
        <v>6278.54</v>
      </c>
      <c r="R22" s="100">
        <f>_xll.EQNXTDZ($A$1,$B22,R$1,$B$1)</f>
        <v>6484.24</v>
      </c>
      <c r="S22" s="100">
        <f>_xll.EQNXTDZ($A$1,$B22,S$1,$B$1)</f>
        <v>5798.87</v>
      </c>
      <c r="T22" s="100">
        <f>_xll.EQNXTDZ($A$1,$B22,T$1,$B$1)</f>
        <v>6272.11</v>
      </c>
      <c r="U22" s="100">
        <f>_xll.EQNXTDZ($A$1,$B22,U$1,$B$1)</f>
        <v>6712.61</v>
      </c>
      <c r="V22" s="100">
        <f>_xll.EQNXTDZ($A$1,$B22,V$1,$B$1)</f>
        <v>7920.58</v>
      </c>
      <c r="W22" s="100">
        <f>_xll.EQNXTDZ($A$1,$B22,W$1,$B$1)</f>
        <v>7002.7</v>
      </c>
      <c r="X22" s="100">
        <f>_xll.EQNXTDZ($A$1,$B22,X$1,$B$1)</f>
        <v>7470.08</v>
      </c>
      <c r="Y22" s="100">
        <f>_xll.EQNXTDZ($A$1,$B22,Y$1,$B$1)</f>
        <v>7676.35</v>
      </c>
      <c r="Z22" s="100">
        <f>_xll.EQNXTDZ($A$1,$B22,Z$1,$B$1)</f>
        <v>10783.83</v>
      </c>
      <c r="AA22" s="100">
        <f>_xll.EQNXTDZ($A$1,$B22,AA$1,$B$1)</f>
        <v>13907.14</v>
      </c>
      <c r="AB22" s="100">
        <f>_xll.EQNXTDZ($A$1,$B22,AB$1,$B$1)</f>
        <v>13095.06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275.84054329999998</v>
      </c>
      <c r="D23" s="100">
        <f>_xll.EQNXTDZ($A$1,$B23,D$1,$B$1)</f>
        <v>361.88</v>
      </c>
      <c r="E23" s="100">
        <f>_xll.EQNXTDZ($A$1,$B23,E$1,$B$1)</f>
        <v>161.37</v>
      </c>
      <c r="F23" s="100">
        <f>_xll.EQNXTDZ($A$1,$B23,F$1,$B$1)</f>
        <v>191.05</v>
      </c>
      <c r="G23" s="100">
        <f>_xll.EQNXTDZ($A$1,$B23,G$1,$B$1)</f>
        <v>406.45</v>
      </c>
      <c r="H23" s="100">
        <f>_xll.EQNXTDZ($A$1,$B23,H$1,$B$1)</f>
        <v>347.22</v>
      </c>
      <c r="I23" s="100">
        <f>_xll.EQNXTDZ($A$1,$B23,I$1,$B$1)</f>
        <v>275.56</v>
      </c>
      <c r="J23" s="100">
        <f>_xll.EQNXTDZ($A$1,$B23,J$1,$B$1)</f>
        <v>522.91</v>
      </c>
      <c r="K23" s="100">
        <f>_xll.EQNXTDZ($A$1,$B23,K$1,$B$1)</f>
        <v>565.16</v>
      </c>
      <c r="L23" s="100">
        <f>_xll.EQNXTDZ($A$1,$B23,L$1,$B$1)</f>
        <v>868.85</v>
      </c>
      <c r="M23" s="100">
        <f>_xll.EQNXTDZ($A$1,$B23,M$1,$B$1)</f>
        <v>905.22</v>
      </c>
      <c r="N23" s="100">
        <f>_xll.EQNXTDZ($A$1,$B23,N$1,$B$1)</f>
        <v>523.21</v>
      </c>
      <c r="O23" s="100">
        <f>_xll.EQNXTDZ($A$1,$B23,O$1,$B$1)</f>
        <v>531.04999999999995</v>
      </c>
      <c r="P23" s="100">
        <f>_xll.EQNXTDZ($A$1,$B23,P$1,$B$1)</f>
        <v>257.57</v>
      </c>
      <c r="Q23" s="100">
        <f>_xll.EQNXTDZ($A$1,$B23,Q$1,$B$1)</f>
        <v>439.4</v>
      </c>
      <c r="R23" s="100">
        <f>_xll.EQNXTDZ($A$1,$B23,R$1,$B$1)</f>
        <v>754.09</v>
      </c>
      <c r="S23" s="100">
        <f>_xll.EQNXTDZ($A$1,$B23,S$1,$B$1)</f>
        <v>695.83</v>
      </c>
      <c r="T23" s="100">
        <f>_xll.EQNXTDZ($A$1,$B23,T$1,$B$1)</f>
        <v>433.51</v>
      </c>
      <c r="U23" s="100">
        <f>_xll.EQNXTDZ($A$1,$B23,U$1,$B$1)</f>
        <v>418.68</v>
      </c>
      <c r="V23" s="100">
        <f>_xll.EQNXTDZ($A$1,$B23,V$1,$B$1)</f>
        <v>585.73</v>
      </c>
      <c r="W23" s="100">
        <f>_xll.EQNXTDZ($A$1,$B23,W$1,$B$1)</f>
        <v>439.24</v>
      </c>
      <c r="X23" s="100">
        <f>_xll.EQNXTDZ($A$1,$B23,X$1,$B$1)</f>
        <v>966.27</v>
      </c>
      <c r="Y23" s="100">
        <f>_xll.EQNXTDZ($A$1,$B23,Y$1,$B$1)</f>
        <v>1468.24</v>
      </c>
      <c r="Z23" s="100">
        <f>_xll.EQNXTDZ($A$1,$B23,Z$1,$B$1)</f>
        <v>1823.62</v>
      </c>
      <c r="AA23" s="100">
        <f>_xll.EQNXTDZ($A$1,$B23,AA$1,$B$1)</f>
        <v>1536.66</v>
      </c>
      <c r="AB23" s="100">
        <f>_xll.EQNXTDZ($A$1,$B23,AB$1,$B$1)</f>
        <v>1743.47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965.47557259999996</v>
      </c>
      <c r="D24" s="100">
        <f>_xll.EQNXTDZ($A$1,$B24,D$1,$B$1)</f>
        <v>1322.22</v>
      </c>
      <c r="E24" s="100">
        <f>_xll.EQNXTDZ($A$1,$B24,E$1,$B$1)</f>
        <v>1411.34</v>
      </c>
      <c r="F24" s="100">
        <f>_xll.EQNXTDZ($A$1,$B24,F$1,$B$1)</f>
        <v>1515.44</v>
      </c>
      <c r="G24" s="100">
        <f>_xll.EQNXTDZ($A$1,$B24,G$1,$B$1)</f>
        <v>1511.19</v>
      </c>
      <c r="H24" s="100">
        <f>_xll.EQNXTDZ($A$1,$B24,H$1,$B$1)</f>
        <v>1324.1</v>
      </c>
      <c r="I24" s="100">
        <f>_xll.EQNXTDZ($A$1,$B24,I$1,$B$1)</f>
        <v>1360.25</v>
      </c>
      <c r="J24" s="100">
        <f>_xll.EQNXTDZ($A$1,$B24,J$1,$B$1)</f>
        <v>2645.03</v>
      </c>
      <c r="K24" s="100">
        <f>_xll.EQNXTDZ($A$1,$B24,K$1,$B$1)</f>
        <v>4213.57</v>
      </c>
      <c r="L24" s="100">
        <f>_xll.EQNXTDZ($A$1,$B24,L$1,$B$1)</f>
        <v>4426.8</v>
      </c>
      <c r="M24" s="100">
        <f>_xll.EQNXTDZ($A$1,$B24,M$1,$B$1)</f>
        <v>5003.2700000000004</v>
      </c>
      <c r="N24" s="100">
        <f>_xll.EQNXTDZ($A$1,$B24,N$1,$B$1)</f>
        <v>5168.9799999999996</v>
      </c>
      <c r="O24" s="100">
        <f>_xll.EQNXTDZ($A$1,$B24,O$1,$B$1)</f>
        <v>6820.06</v>
      </c>
      <c r="P24" s="100">
        <f>_xll.EQNXTDZ($A$1,$B24,P$1,$B$1)</f>
        <v>7144.59</v>
      </c>
      <c r="Q24" s="100">
        <f>_xll.EQNXTDZ($A$1,$B24,Q$1,$B$1)</f>
        <v>6717.94</v>
      </c>
      <c r="R24" s="100">
        <f>_xll.EQNXTDZ($A$1,$B24,R$1,$B$1)</f>
        <v>7238.33</v>
      </c>
      <c r="S24" s="100">
        <f>_xll.EQNXTDZ($A$1,$B24,S$1,$B$1)</f>
        <v>6494.7</v>
      </c>
      <c r="T24" s="100">
        <f>_xll.EQNXTDZ($A$1,$B24,T$1,$B$1)</f>
        <v>6705.62</v>
      </c>
      <c r="U24" s="100">
        <f>_xll.EQNXTDZ($A$1,$B24,U$1,$B$1)</f>
        <v>7131.29</v>
      </c>
      <c r="V24" s="100">
        <f>_xll.EQNXTDZ($A$1,$B24,V$1,$B$1)</f>
        <v>8506.31</v>
      </c>
      <c r="W24" s="100">
        <f>_xll.EQNXTDZ($A$1,$B24,W$1,$B$1)</f>
        <v>7441.94</v>
      </c>
      <c r="X24" s="100">
        <f>_xll.EQNXTDZ($A$1,$B24,X$1,$B$1)</f>
        <v>8436.35</v>
      </c>
      <c r="Y24" s="100">
        <f>_xll.EQNXTDZ($A$1,$B24,Y$1,$B$1)</f>
        <v>9144.59</v>
      </c>
      <c r="Z24" s="100">
        <f>_xll.EQNXTDZ($A$1,$B24,Z$1,$B$1)</f>
        <v>12607.45</v>
      </c>
      <c r="AA24" s="100">
        <f>_xll.EQNXTDZ($A$1,$B24,AA$1,$B$1)</f>
        <v>15443.8</v>
      </c>
      <c r="AB24" s="100">
        <f>_xll.EQNXTDZ($A$1,$B24,AB$1,$B$1)</f>
        <v>14838.53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230.91093670000001</v>
      </c>
      <c r="D25" s="100">
        <f>_xll.EQNXTDZ($A$1,$B25,D$1,$B$1)</f>
        <v>352.19</v>
      </c>
      <c r="E25" s="100">
        <f>_xll.EQNXTDZ($A$1,$B25,E$1,$B$1)</f>
        <v>343.8</v>
      </c>
      <c r="F25" s="100">
        <f>_xll.EQNXTDZ($A$1,$B25,F$1,$B$1)</f>
        <v>290.52</v>
      </c>
      <c r="G25" s="100">
        <f>_xll.EQNXTDZ($A$1,$B25,G$1,$B$1)</f>
        <v>206.77</v>
      </c>
      <c r="H25" s="100">
        <f>_xll.EQNXTDZ($A$1,$B25,H$1,$B$1)</f>
        <v>172.67</v>
      </c>
      <c r="I25" s="100">
        <f>_xll.EQNXTDZ($A$1,$B25,I$1,$B$1)</f>
        <v>285.36</v>
      </c>
      <c r="J25" s="100">
        <f>_xll.EQNXTDZ($A$1,$B25,J$1,$B$1)</f>
        <v>532.30999999999995</v>
      </c>
      <c r="K25" s="100">
        <f>_xll.EQNXTDZ($A$1,$B25,K$1,$B$1)</f>
        <v>812.88</v>
      </c>
      <c r="L25" s="100">
        <f>_xll.EQNXTDZ($A$1,$B25,L$1,$B$1)</f>
        <v>781.82</v>
      </c>
      <c r="M25" s="100">
        <f>_xll.EQNXTDZ($A$1,$B25,M$1,$B$1)</f>
        <v>866.15</v>
      </c>
      <c r="N25" s="100">
        <f>_xll.EQNXTDZ($A$1,$B25,N$1,$B$1)</f>
        <v>1527.09</v>
      </c>
      <c r="O25" s="100">
        <f>_xll.EQNXTDZ($A$1,$B25,O$1,$B$1)</f>
        <v>2641.69</v>
      </c>
      <c r="P25" s="100">
        <f>_xll.EQNXTDZ($A$1,$B25,P$1,$B$1)</f>
        <v>3439.9</v>
      </c>
      <c r="Q25" s="100">
        <f>_xll.EQNXTDZ($A$1,$B25,Q$1,$B$1)</f>
        <v>3698.72</v>
      </c>
      <c r="R25" s="100">
        <f>_xll.EQNXTDZ($A$1,$B25,R$1,$B$1)</f>
        <v>3235.81</v>
      </c>
      <c r="S25" s="100">
        <f>_xll.EQNXTDZ($A$1,$B25,S$1,$B$1)</f>
        <v>3364.96</v>
      </c>
      <c r="T25" s="100">
        <f>_xll.EQNXTDZ($A$1,$B25,T$1,$B$1)</f>
        <v>3761.48</v>
      </c>
      <c r="U25" s="100">
        <f>_xll.EQNXTDZ($A$1,$B25,U$1,$B$1)</f>
        <v>4170</v>
      </c>
      <c r="V25" s="100">
        <f>_xll.EQNXTDZ($A$1,$B25,V$1,$B$1)</f>
        <v>4494.6099999999997</v>
      </c>
      <c r="W25" s="100">
        <f>_xll.EQNXTDZ($A$1,$B25,W$1,$B$1)</f>
        <v>4010.39</v>
      </c>
      <c r="X25" s="100">
        <f>_xll.EQNXTDZ($A$1,$B25,X$1,$B$1)</f>
        <v>3864.24</v>
      </c>
      <c r="Y25" s="100">
        <f>_xll.EQNXTDZ($A$1,$B25,Y$1,$B$1)</f>
        <v>4371.8999999999996</v>
      </c>
      <c r="Z25" s="100">
        <f>_xll.EQNXTDZ($A$1,$B25,Z$1,$B$1)</f>
        <v>4633.42</v>
      </c>
      <c r="AA25" s="100">
        <f>_xll.EQNXTDZ($A$1,$B25,AA$1,$B$1)</f>
        <v>4702.4399999999996</v>
      </c>
      <c r="AB25" s="100">
        <f>_xll.EQNXTDZ($A$1,$B25,AB$1,$B$1)</f>
        <v>5257.19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734.56463589999998</v>
      </c>
      <c r="D26" s="100">
        <f>_xll.EQNXTDZ($A$1,$B26,D$1,$B$1)</f>
        <v>970.03</v>
      </c>
      <c r="E26" s="100">
        <f>_xll.EQNXTDZ($A$1,$B26,E$1,$B$1)</f>
        <v>1067.54</v>
      </c>
      <c r="F26" s="100">
        <f>_xll.EQNXTDZ($A$1,$B26,F$1,$B$1)</f>
        <v>1224.92</v>
      </c>
      <c r="G26" s="100">
        <f>_xll.EQNXTDZ($A$1,$B26,G$1,$B$1)</f>
        <v>1304.42</v>
      </c>
      <c r="H26" s="100">
        <f>_xll.EQNXTDZ($A$1,$B26,H$1,$B$1)</f>
        <v>1151.43</v>
      </c>
      <c r="I26" s="100">
        <f>_xll.EQNXTDZ($A$1,$B26,I$1,$B$1)</f>
        <v>1074.8900000000001</v>
      </c>
      <c r="J26" s="100">
        <f>_xll.EQNXTDZ($A$1,$B26,J$1,$B$1)</f>
        <v>2112.7199999999998</v>
      </c>
      <c r="K26" s="100">
        <f>_xll.EQNXTDZ($A$1,$B26,K$1,$B$1)</f>
        <v>3400.69</v>
      </c>
      <c r="L26" s="100">
        <f>_xll.EQNXTDZ($A$1,$B26,L$1,$B$1)</f>
        <v>3644.98</v>
      </c>
      <c r="M26" s="100">
        <f>_xll.EQNXTDZ($A$1,$B26,M$1,$B$1)</f>
        <v>4137.12</v>
      </c>
      <c r="N26" s="100">
        <f>_xll.EQNXTDZ($A$1,$B26,N$1,$B$1)</f>
        <v>3641.89</v>
      </c>
      <c r="O26" s="100">
        <f>_xll.EQNXTDZ($A$1,$B26,O$1,$B$1)</f>
        <v>4178.37</v>
      </c>
      <c r="P26" s="100">
        <f>_xll.EQNXTDZ($A$1,$B26,P$1,$B$1)</f>
        <v>3704.69</v>
      </c>
      <c r="Q26" s="100">
        <f>_xll.EQNXTDZ($A$1,$B26,Q$1,$B$1)</f>
        <v>3019.22</v>
      </c>
      <c r="R26" s="100">
        <f>_xll.EQNXTDZ($A$1,$B26,R$1,$B$1)</f>
        <v>4002.52</v>
      </c>
      <c r="S26" s="100">
        <f>_xll.EQNXTDZ($A$1,$B26,S$1,$B$1)</f>
        <v>3129.74</v>
      </c>
      <c r="T26" s="100">
        <f>_xll.EQNXTDZ($A$1,$B26,T$1,$B$1)</f>
        <v>2944.14</v>
      </c>
      <c r="U26" s="100">
        <f>_xll.EQNXTDZ($A$1,$B26,U$1,$B$1)</f>
        <v>2961.29</v>
      </c>
      <c r="V26" s="100">
        <f>_xll.EQNXTDZ($A$1,$B26,V$1,$B$1)</f>
        <v>4011.7</v>
      </c>
      <c r="W26" s="100">
        <f>_xll.EQNXTDZ($A$1,$B26,W$1,$B$1)</f>
        <v>3431.55</v>
      </c>
      <c r="X26" s="100">
        <f>_xll.EQNXTDZ($A$1,$B26,X$1,$B$1)</f>
        <v>4572.1099999999997</v>
      </c>
      <c r="Y26" s="100">
        <f>_xll.EQNXTDZ($A$1,$B26,Y$1,$B$1)</f>
        <v>4772.6899999999996</v>
      </c>
      <c r="Z26" s="100">
        <f>_xll.EQNXTDZ($A$1,$B26,Z$1,$B$1)</f>
        <v>7974.03</v>
      </c>
      <c r="AA26" s="100">
        <f>_xll.EQNXTDZ($A$1,$B26,AA$1,$B$1)</f>
        <v>10741.36</v>
      </c>
      <c r="AB26" s="100">
        <f>_xll.EQNXTDZ($A$1,$B26,AB$1,$B$1)</f>
        <v>9581.34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204.5452325</v>
      </c>
      <c r="D27" s="100">
        <f>_xll.EQNXTDZ($A$1,$B27,D$1,$B$1)</f>
        <v>316.44</v>
      </c>
      <c r="E27" s="100">
        <f>_xll.EQNXTDZ($A$1,$B27,E$1,$B$1)</f>
        <v>387.16</v>
      </c>
      <c r="F27" s="100">
        <f>_xll.EQNXTDZ($A$1,$B27,F$1,$B$1)</f>
        <v>429.49</v>
      </c>
      <c r="G27" s="100">
        <f>_xll.EQNXTDZ($A$1,$B27,G$1,$B$1)</f>
        <v>475.12</v>
      </c>
      <c r="H27" s="100">
        <f>_xll.EQNXTDZ($A$1,$B27,H$1,$B$1)</f>
        <v>345.73</v>
      </c>
      <c r="I27" s="100">
        <f>_xll.EQNXTDZ($A$1,$B27,I$1,$B$1)</f>
        <v>414.78</v>
      </c>
      <c r="J27" s="100">
        <f>_xll.EQNXTDZ($A$1,$B27,J$1,$B$1)</f>
        <v>559.28</v>
      </c>
      <c r="K27" s="100">
        <f>_xll.EQNXTDZ($A$1,$B27,K$1,$B$1)</f>
        <v>936.86</v>
      </c>
      <c r="L27" s="100">
        <f>_xll.EQNXTDZ($A$1,$B27,L$1,$B$1)</f>
        <v>877.68</v>
      </c>
      <c r="M27" s="100">
        <f>_xll.EQNXTDZ($A$1,$B27,M$1,$B$1)</f>
        <v>980.24</v>
      </c>
      <c r="N27" s="100">
        <f>_xll.EQNXTDZ($A$1,$B27,N$1,$B$1)</f>
        <v>1334.64</v>
      </c>
      <c r="O27" s="100">
        <f>_xll.EQNXTDZ($A$1,$B27,O$1,$B$1)</f>
        <v>2051.69</v>
      </c>
      <c r="P27" s="100">
        <f>_xll.EQNXTDZ($A$1,$B27,P$1,$B$1)</f>
        <v>2729.62</v>
      </c>
      <c r="Q27" s="100">
        <f>_xll.EQNXTDZ($A$1,$B27,Q$1,$B$1)</f>
        <v>2174.15</v>
      </c>
      <c r="R27" s="100">
        <f>_xll.EQNXTDZ($A$1,$B27,R$1,$B$1)</f>
        <v>1648.73</v>
      </c>
      <c r="S27" s="100">
        <f>_xll.EQNXTDZ($A$1,$B27,S$1,$B$1)</f>
        <v>1955.59</v>
      </c>
      <c r="T27" s="100">
        <f>_xll.EQNXTDZ($A$1,$B27,T$1,$B$1)</f>
        <v>2346.17</v>
      </c>
      <c r="U27" s="100">
        <f>_xll.EQNXTDZ($A$1,$B27,U$1,$B$1)</f>
        <v>2393.13</v>
      </c>
      <c r="V27" s="100">
        <f>_xll.EQNXTDZ($A$1,$B27,V$1,$B$1)</f>
        <v>2633.56</v>
      </c>
      <c r="W27" s="100">
        <f>_xll.EQNXTDZ($A$1,$B27,W$1,$B$1)</f>
        <v>2744.94</v>
      </c>
      <c r="X27" s="100">
        <f>_xll.EQNXTDZ($A$1,$B27,X$1,$B$1)</f>
        <v>3122.2</v>
      </c>
      <c r="Y27" s="100">
        <f>_xll.EQNXTDZ($A$1,$B27,Y$1,$B$1)</f>
        <v>3439.2</v>
      </c>
      <c r="Z27" s="100">
        <f>_xll.EQNXTDZ($A$1,$B27,Z$1,$B$1)</f>
        <v>3786.37</v>
      </c>
      <c r="AA27" s="100">
        <f>_xll.EQNXTDZ($A$1,$B27,AA$1,$B$1)</f>
        <v>4116.8599999999997</v>
      </c>
      <c r="AB27" s="100">
        <f>_xll.EQNXTDZ($A$1,$B27,AB$1,$B$1)</f>
        <v>4811.09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1225.79</v>
      </c>
      <c r="T28" s="100">
        <f>_xll.EQNXTDZ($A$1,$B28,T$1,$B$1)</f>
        <v>1553.91</v>
      </c>
      <c r="U28" s="100">
        <f>_xll.EQNXTDZ($A$1,$B28,U$1,$B$1)</f>
        <v>1401.83</v>
      </c>
      <c r="V28" s="100">
        <f>_xll.EQNXTDZ($A$1,$B28,V$1,$B$1)</f>
        <v>952.55</v>
      </c>
      <c r="W28" s="100">
        <f>_xll.EQNXTDZ($A$1,$B28,W$1,$B$1)</f>
        <v>873.39</v>
      </c>
      <c r="X28" s="100">
        <f>_xll.EQNXTDZ($A$1,$B28,X$1,$B$1)</f>
        <v>1942.83</v>
      </c>
      <c r="Y28" s="100">
        <f>_xll.EQNXTDZ($A$1,$B28,Y$1,$B$1)</f>
        <v>3199.46</v>
      </c>
      <c r="Z28" s="100">
        <f>_xll.EQNXTDZ($A$1,$B28,Z$1,$B$1)</f>
        <v>1177.57</v>
      </c>
      <c r="AA28" s="100">
        <f>_xll.EQNXTDZ($A$1,$B28,AA$1,$B$1)</f>
        <v>793.33</v>
      </c>
      <c r="AB28" s="100">
        <f>_xll.EQNXTDZ($A$1,$B28,AB$1,$B$1)</f>
        <v>707.87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-1800</v>
      </c>
      <c r="O29" s="100">
        <f>_xll.EQNXTDZ($A$1,$B29,O$1,$B$1)</f>
        <v>-850</v>
      </c>
      <c r="P29" s="100">
        <f>_xll.EQNXTDZ($A$1,$B29,P$1,$B$1)</f>
        <v>0</v>
      </c>
      <c r="Q29" s="100">
        <f>_xll.EQNXTDZ($A$1,$B29,Q$1,$B$1)</f>
        <v>639.28</v>
      </c>
      <c r="R29" s="100">
        <f>_xll.EQNXTDZ($A$1,$B29,R$1,$B$1)</f>
        <v>-1073.08</v>
      </c>
      <c r="S29" s="100">
        <f>_xll.EQNXTDZ($A$1,$B29,S$1,$B$1)</f>
        <v>-952.89</v>
      </c>
      <c r="T29" s="100">
        <f>_xll.EQNXTDZ($A$1,$B29,T$1,$B$1)</f>
        <v>692.68</v>
      </c>
      <c r="U29" s="100">
        <f>_xll.EQNXTDZ($A$1,$B29,U$1,$B$1)</f>
        <v>1849.1</v>
      </c>
      <c r="V29" s="100">
        <f>_xll.EQNXTDZ($A$1,$B29,V$1,$B$1)</f>
        <v>37.47</v>
      </c>
      <c r="W29" s="100">
        <f>_xll.EQNXTDZ($A$1,$B29,W$1,$B$1)</f>
        <v>426.73</v>
      </c>
      <c r="X29" s="100">
        <f>_xll.EQNXTDZ($A$1,$B29,X$1,$B$1)</f>
        <v>-389.74</v>
      </c>
      <c r="Y29" s="100">
        <f>_xll.EQNXTDZ($A$1,$B29,Y$1,$B$1)</f>
        <v>924.05</v>
      </c>
      <c r="Z29" s="100">
        <f>_xll.EQNXTDZ($A$1,$B29,Z$1,$B$1)</f>
        <v>366.79</v>
      </c>
      <c r="AA29" s="100">
        <f>_xll.EQNXTDZ($A$1,$B29,AA$1,$B$1)</f>
        <v>-1098.21</v>
      </c>
      <c r="AB29" s="100">
        <f>_xll.EQNXTDZ($A$1,$B29,AB$1,$B$1)</f>
        <v>1157.8699999999999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140.4215193</v>
      </c>
      <c r="D30" s="100">
        <f>_xll.EQNXTDZ($A$1,$B30,D$1,$B$1)</f>
        <v>165.13</v>
      </c>
      <c r="E30" s="100">
        <f>_xll.EQNXTDZ($A$1,$B30,E$1,$B$1)</f>
        <v>164.4</v>
      </c>
      <c r="F30" s="100">
        <f>_xll.EQNXTDZ($A$1,$B30,F$1,$B$1)</f>
        <v>252.55</v>
      </c>
      <c r="G30" s="100">
        <f>_xll.EQNXTDZ($A$1,$B30,G$1,$B$1)</f>
        <v>241.01</v>
      </c>
      <c r="H30" s="100">
        <f>_xll.EQNXTDZ($A$1,$B30,H$1,$B$1)</f>
        <v>168.69</v>
      </c>
      <c r="I30" s="100">
        <f>_xll.EQNXTDZ($A$1,$B30,I$1,$B$1)</f>
        <v>-99.05</v>
      </c>
      <c r="J30" s="100">
        <f>_xll.EQNXTDZ($A$1,$B30,J$1,$B$1)</f>
        <v>376.46</v>
      </c>
      <c r="K30" s="100">
        <f>_xll.EQNXTDZ($A$1,$B30,K$1,$B$1)</f>
        <v>1165.0999999999999</v>
      </c>
      <c r="L30" s="100">
        <f>_xll.EQNXTDZ($A$1,$B30,L$1,$B$1)</f>
        <v>628.66</v>
      </c>
      <c r="M30" s="100">
        <f>_xll.EQNXTDZ($A$1,$B30,M$1,$B$1)</f>
        <v>974.97</v>
      </c>
      <c r="N30" s="100">
        <f>_xll.EQNXTDZ($A$1,$B30,N$1,$B$1)</f>
        <v>1475.54</v>
      </c>
      <c r="O30" s="100">
        <f>_xll.EQNXTDZ($A$1,$B30,O$1,$B$1)</f>
        <v>1177.96</v>
      </c>
      <c r="P30" s="100">
        <f>_xll.EQNXTDZ($A$1,$B30,P$1,$B$1)</f>
        <v>1008.38</v>
      </c>
      <c r="Q30" s="100">
        <f>_xll.EQNXTDZ($A$1,$B30,Q$1,$B$1)</f>
        <v>1074.92</v>
      </c>
      <c r="R30" s="100">
        <f>_xll.EQNXTDZ($A$1,$B30,R$1,$B$1)</f>
        <v>680.31</v>
      </c>
      <c r="S30" s="100">
        <f>_xll.EQNXTDZ($A$1,$B30,S$1,$B$1)</f>
        <v>350.46</v>
      </c>
      <c r="T30" s="100">
        <f>_xll.EQNXTDZ($A$1,$B30,T$1,$B$1)</f>
        <v>161.97</v>
      </c>
      <c r="U30" s="100">
        <f>_xll.EQNXTDZ($A$1,$B30,U$1,$B$1)</f>
        <v>1087.5899999999999</v>
      </c>
      <c r="V30" s="100">
        <f>_xll.EQNXTDZ($A$1,$B30,V$1,$B$1)</f>
        <v>641.49</v>
      </c>
      <c r="W30" s="100">
        <f>_xll.EQNXTDZ($A$1,$B30,W$1,$B$1)</f>
        <v>501.88</v>
      </c>
      <c r="X30" s="100">
        <f>_xll.EQNXTDZ($A$1,$B30,X$1,$B$1)</f>
        <v>379.56</v>
      </c>
      <c r="Y30" s="100">
        <f>_xll.EQNXTDZ($A$1,$B30,Y$1,$B$1)</f>
        <v>1647.33</v>
      </c>
      <c r="Z30" s="100">
        <f>_xll.EQNXTDZ($A$1,$B30,Z$1,$B$1)</f>
        <v>1451.92</v>
      </c>
      <c r="AA30" s="100">
        <f>_xll.EQNXTDZ($A$1,$B30,AA$1,$B$1)</f>
        <v>1544.25</v>
      </c>
      <c r="AB30" s="100">
        <f>_xll.EQNXTDZ($A$1,$B30,AB$1,$B$1)</f>
        <v>1518.43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-1.04</v>
      </c>
      <c r="E32" s="100">
        <f>_xll.EQNXTDZ($A$1,$B32,E$1,$B$1)</f>
        <v>-0.85</v>
      </c>
      <c r="F32" s="100">
        <f>_xll.EQNXTDZ($A$1,$B32,F$1,$B$1)</f>
        <v>-0.51</v>
      </c>
      <c r="G32" s="100">
        <f>_xll.EQNXTDZ($A$1,$B32,G$1,$B$1)</f>
        <v>-0.34</v>
      </c>
      <c r="H32" s="100">
        <f>_xll.EQNXTDZ($A$1,$B32,H$1,$B$1)</f>
        <v>0.19</v>
      </c>
      <c r="I32" s="100">
        <f>_xll.EQNXTDZ($A$1,$B32,I$1,$B$1)</f>
        <v>-18.93</v>
      </c>
      <c r="J32" s="100">
        <f>_xll.EQNXTDZ($A$1,$B32,J$1,$B$1)</f>
        <v>-116.99</v>
      </c>
      <c r="K32" s="100">
        <f>_xll.EQNXTDZ($A$1,$B32,K$1,$B$1)</f>
        <v>-107.56</v>
      </c>
      <c r="L32" s="100">
        <f>_xll.EQNXTDZ($A$1,$B32,L$1,$B$1)</f>
        <v>-233.46</v>
      </c>
      <c r="M32" s="100">
        <f>_xll.EQNXTDZ($A$1,$B32,M$1,$B$1)</f>
        <v>-196.5</v>
      </c>
      <c r="N32" s="100">
        <f>_xll.EQNXTDZ($A$1,$B32,N$1,$B$1)</f>
        <v>-190.16</v>
      </c>
      <c r="O32" s="100">
        <f>_xll.EQNXTDZ($A$1,$B32,O$1,$B$1)</f>
        <v>-208.07</v>
      </c>
      <c r="P32" s="100">
        <f>_xll.EQNXTDZ($A$1,$B32,P$1,$B$1)</f>
        <v>-272.02999999999997</v>
      </c>
      <c r="Q32" s="100">
        <f>_xll.EQNXTDZ($A$1,$B32,Q$1,$B$1)</f>
        <v>-289.37</v>
      </c>
      <c r="R32" s="100">
        <f>_xll.EQNXTDZ($A$1,$B32,R$1,$B$1)</f>
        <v>-124.19</v>
      </c>
      <c r="S32" s="100">
        <f>_xll.EQNXTDZ($A$1,$B32,S$1,$B$1)</f>
        <v>-203.08</v>
      </c>
      <c r="T32" s="100">
        <f>_xll.EQNXTDZ($A$1,$B32,T$1,$B$1)</f>
        <v>-202.55</v>
      </c>
      <c r="U32" s="100">
        <f>_xll.EQNXTDZ($A$1,$B32,U$1,$B$1)</f>
        <v>-249.47</v>
      </c>
      <c r="V32" s="100">
        <f>_xll.EQNXTDZ($A$1,$B32,V$1,$B$1)</f>
        <v>-299.06</v>
      </c>
      <c r="W32" s="100">
        <f>_xll.EQNXTDZ($A$1,$B32,W$1,$B$1)</f>
        <v>-311.27</v>
      </c>
      <c r="X32" s="100">
        <f>_xll.EQNXTDZ($A$1,$B32,X$1,$B$1)</f>
        <v>-414.15</v>
      </c>
      <c r="Y32" s="100">
        <f>_xll.EQNXTDZ($A$1,$B32,Y$1,$B$1)</f>
        <v>-473.23</v>
      </c>
      <c r="Z32" s="100">
        <f>_xll.EQNXTDZ($A$1,$B32,Z$1,$B$1)</f>
        <v>-583.85</v>
      </c>
      <c r="AA32" s="100">
        <f>_xll.EQNXTDZ($A$1,$B32,AA$1,$B$1)</f>
        <v>-804.37</v>
      </c>
      <c r="AB32" s="100">
        <f>_xll.EQNXTDZ($A$1,$B32,AB$1,$B$1)</f>
        <v>-1370.37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-125.32</v>
      </c>
      <c r="F33" s="100">
        <f>_xll.EQNXTDZ($A$1,$B33,F$1,$B$1)</f>
        <v>-39.96</v>
      </c>
      <c r="G33" s="100">
        <f>_xll.EQNXTDZ($A$1,$B33,G$1,$B$1)</f>
        <v>3.02</v>
      </c>
      <c r="H33" s="100">
        <f>_xll.EQNXTDZ($A$1,$B33,H$1,$B$1)</f>
        <v>110.2</v>
      </c>
      <c r="I33" s="100">
        <f>_xll.EQNXTDZ($A$1,$B33,I$1,$B$1)</f>
        <v>19.54</v>
      </c>
      <c r="J33" s="100">
        <f>_xll.EQNXTDZ($A$1,$B33,J$1,$B$1)</f>
        <v>-4.92</v>
      </c>
      <c r="K33" s="100">
        <f>_xll.EQNXTDZ($A$1,$B33,K$1,$B$1)</f>
        <v>27.57</v>
      </c>
      <c r="L33" s="100">
        <f>_xll.EQNXTDZ($A$1,$B33,L$1,$B$1)</f>
        <v>61.66</v>
      </c>
      <c r="M33" s="100">
        <f>_xll.EQNXTDZ($A$1,$B33,M$1,$B$1)</f>
        <v>74.19</v>
      </c>
      <c r="N33" s="100">
        <f>_xll.EQNXTDZ($A$1,$B33,N$1,$B$1)</f>
        <v>70.77</v>
      </c>
      <c r="O33" s="100">
        <f>_xll.EQNXTDZ($A$1,$B33,O$1,$B$1)</f>
        <v>23.92</v>
      </c>
      <c r="P33" s="100">
        <f>_xll.EQNXTDZ($A$1,$B33,P$1,$B$1)</f>
        <v>45.37</v>
      </c>
      <c r="Q33" s="100">
        <f>_xll.EQNXTDZ($A$1,$B33,Q$1,$B$1)</f>
        <v>47.77</v>
      </c>
      <c r="R33" s="100">
        <f>_xll.EQNXTDZ($A$1,$B33,R$1,$B$1)</f>
        <v>185.99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389.59788409999999</v>
      </c>
      <c r="D35" s="100">
        <f>_xll.EQNXTDZ($A$1,$B35,D$1,$B$1)</f>
        <v>487.42</v>
      </c>
      <c r="E35" s="100">
        <f>_xll.EQNXTDZ($A$1,$B35,E$1,$B$1)</f>
        <v>389.81</v>
      </c>
      <c r="F35" s="100">
        <f>_xll.EQNXTDZ($A$1,$B35,F$1,$B$1)</f>
        <v>502.41</v>
      </c>
      <c r="G35" s="100">
        <f>_xll.EQNXTDZ($A$1,$B35,G$1,$B$1)</f>
        <v>590.97</v>
      </c>
      <c r="H35" s="100">
        <f>_xll.EQNXTDZ($A$1,$B35,H$1,$B$1)</f>
        <v>747.4</v>
      </c>
      <c r="I35" s="100">
        <f>_xll.EQNXTDZ($A$1,$B35,I$1,$B$1)</f>
        <v>759.77</v>
      </c>
      <c r="J35" s="100">
        <f>_xll.EQNXTDZ($A$1,$B35,J$1,$B$1)</f>
        <v>1055.07</v>
      </c>
      <c r="K35" s="100">
        <f>_xll.EQNXTDZ($A$1,$B35,K$1,$B$1)</f>
        <v>1218.74</v>
      </c>
      <c r="L35" s="100">
        <f>_xll.EQNXTDZ($A$1,$B35,L$1,$B$1)</f>
        <v>1966.84</v>
      </c>
      <c r="M35" s="100">
        <f>_xll.EQNXTDZ($A$1,$B35,M$1,$B$1)</f>
        <v>2059.6</v>
      </c>
      <c r="N35" s="100">
        <f>_xll.EQNXTDZ($A$1,$B35,N$1,$B$1)</f>
        <v>-1087.68</v>
      </c>
      <c r="O35" s="100">
        <f>_xll.EQNXTDZ($A$1,$B35,O$1,$B$1)</f>
        <v>-85.43</v>
      </c>
      <c r="P35" s="100">
        <f>_xll.EQNXTDZ($A$1,$B35,P$1,$B$1)</f>
        <v>-259.97000000000003</v>
      </c>
      <c r="Q35" s="100">
        <f>_xll.EQNXTDZ($A$1,$B35,Q$1,$B$1)</f>
        <v>167.83</v>
      </c>
      <c r="R35" s="100">
        <f>_xll.EQNXTDZ($A$1,$B35,R$1,$B$1)</f>
        <v>662.2</v>
      </c>
      <c r="S35" s="100">
        <f>_xll.EQNXTDZ($A$1,$B35,S$1,$B$1)</f>
        <v>896.55</v>
      </c>
      <c r="T35" s="100">
        <f>_xll.EQNXTDZ($A$1,$B35,T$1,$B$1)</f>
        <v>2408.3000000000002</v>
      </c>
      <c r="U35" s="100">
        <f>_xll.EQNXTDZ($A$1,$B35,U$1,$B$1)</f>
        <v>2356.19</v>
      </c>
      <c r="V35" s="100">
        <f>_xll.EQNXTDZ($A$1,$B35,V$1,$B$1)</f>
        <v>1017.38</v>
      </c>
      <c r="W35" s="100">
        <f>_xll.EQNXTDZ($A$1,$B35,W$1,$B$1)</f>
        <v>1127.3800000000001</v>
      </c>
      <c r="X35" s="100">
        <f>_xll.EQNXTDZ($A$1,$B35,X$1,$B$1)</f>
        <v>1741.46</v>
      </c>
      <c r="Y35" s="100">
        <f>_xll.EQNXTDZ($A$1,$B35,Y$1,$B$1)</f>
        <v>3336.44</v>
      </c>
      <c r="Z35" s="100">
        <f>_xll.EQNXTDZ($A$1,$B35,Z$1,$B$1)</f>
        <v>3696.25</v>
      </c>
      <c r="AA35" s="100">
        <f>_xll.EQNXTDZ($A$1,$B35,AA$1,$B$1)</f>
        <v>3971</v>
      </c>
      <c r="AB35" s="100">
        <f>_xll.EQNXTDZ($A$1,$B35,AB$1,$B$1)</f>
        <v>3747.19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3.04</v>
      </c>
      <c r="T36" s="100">
        <f>_xll.EQNXTDZ($A$1,$B36,T$1,$B$1)</f>
        <v>-71.739999999999995</v>
      </c>
      <c r="U36" s="100">
        <f>_xll.EQNXTDZ($A$1,$B36,U$1,$B$1)</f>
        <v>-125.84</v>
      </c>
      <c r="V36" s="100">
        <f>_xll.EQNXTDZ($A$1,$B36,V$1,$B$1)</f>
        <v>-410.23</v>
      </c>
      <c r="W36" s="100">
        <f>_xll.EQNXTDZ($A$1,$B36,W$1,$B$1)</f>
        <v>-46.2</v>
      </c>
      <c r="X36" s="100">
        <f>_xll.EQNXTDZ($A$1,$B36,X$1,$B$1)</f>
        <v>-467.83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197.91345190000001</v>
      </c>
      <c r="D41" s="55">
        <f>_xll.EQNXTDZ($A$1,$B41,D$1,$B$1)</f>
        <v>197.87</v>
      </c>
      <c r="E41" s="55">
        <f>_xll.EQNXTDZ($A$1,$B41,E$1,$B$1)</f>
        <v>197.87</v>
      </c>
      <c r="F41" s="55">
        <f>_xll.EQNXTDZ($A$1,$B41,F$1,$B$1)</f>
        <v>197.88</v>
      </c>
      <c r="G41" s="55">
        <f>_xll.EQNXTDZ($A$1,$B41,G$1,$B$1)</f>
        <v>197.88</v>
      </c>
      <c r="H41" s="55">
        <f>_xll.EQNXTDZ($A$1,$B41,H$1,$B$1)</f>
        <v>197.88</v>
      </c>
      <c r="I41" s="55">
        <f>_xll.EQNXTDZ($A$1,$B41,I$1,$B$1)</f>
        <v>197.88</v>
      </c>
      <c r="J41" s="55">
        <f>_xll.EQNXTDZ($A$1,$B41,J$1,$B$1)</f>
        <v>220.68</v>
      </c>
      <c r="K41" s="55">
        <f>_xll.EQNXTDZ($A$1,$B41,K$1,$B$1)</f>
        <v>221.4</v>
      </c>
      <c r="L41" s="55">
        <f>_xll.EQNXTDZ($A$1,$B41,L$1,$B$1)</f>
        <v>237.29</v>
      </c>
      <c r="M41" s="55">
        <f>_xll.EQNXTDZ($A$1,$B41,M$1,$B$1)</f>
        <v>237.29</v>
      </c>
      <c r="N41" s="55">
        <f>_xll.EQNXTDZ($A$1,$B41,N$1,$B$1)</f>
        <v>237.29</v>
      </c>
      <c r="O41" s="55">
        <f>_xll.EQNXTDZ($A$1,$B41,O$1,$B$1)</f>
        <v>237.29</v>
      </c>
      <c r="P41" s="55">
        <f>_xll.EQNXTDZ($A$1,$B41,P$1,$B$1)</f>
        <v>237.29</v>
      </c>
      <c r="Q41" s="55">
        <f>_xll.EQNXTDZ($A$1,$B41,Q$1,$B$1)</f>
        <v>270.48</v>
      </c>
      <c r="R41" s="55">
        <f>_xll.EQNXTDZ($A$1,$B41,R$1,$B$1)</f>
        <v>270.48</v>
      </c>
      <c r="S41" s="55">
        <f>_xll.EQNXTDZ($A$1,$B41,S$1,$B$1)</f>
        <v>270.5</v>
      </c>
      <c r="T41" s="55">
        <f>_xll.EQNXTDZ($A$1,$B41,T$1,$B$1)</f>
        <v>270.5</v>
      </c>
      <c r="U41" s="55">
        <f>_xll.EQNXTDZ($A$1,$B41,U$1,$B$1)</f>
        <v>270.5</v>
      </c>
      <c r="V41" s="55">
        <f>_xll.EQNXTDZ($A$1,$B41,V$1,$B$1)</f>
        <v>270.5</v>
      </c>
      <c r="W41" s="55">
        <f>_xll.EQNXTDZ($A$1,$B41,W$1,$B$1)</f>
        <v>319.56</v>
      </c>
      <c r="X41" s="55">
        <f>_xll.EQNXTDZ($A$1,$B41,X$1,$B$1)</f>
        <v>319.56</v>
      </c>
      <c r="Y41" s="55">
        <f>_xll.EQNXTDZ($A$1,$B41,Y$1,$B$1)</f>
        <v>319.56</v>
      </c>
      <c r="Z41" s="55">
        <f>_xll.EQNXTDZ($A$1,$B41,Z$1,$B$1)</f>
        <v>319.56</v>
      </c>
      <c r="AA41" s="55">
        <f>_xll.EQNXTDZ($A$1,$B41,AA$1,$B$1)</f>
        <v>319.56</v>
      </c>
      <c r="AB41" s="55">
        <f>_xll.EQNXTDZ($A$1,$B41,AB$1,$B$1)</f>
        <v>319.56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60.99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8.3000000000000007</v>
      </c>
      <c r="AA42" s="55">
        <f>_xll.EQNXTDZ($A$1,$B42,AA$1,$B$1)</f>
        <v>35.200000000000003</v>
      </c>
      <c r="AB42" s="55">
        <f>_xll.EQNXTDZ($A$1,$B42,AB$1,$B$1)</f>
        <v>80.84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3670.1512628999999</v>
      </c>
      <c r="D43" s="55">
        <f>_xll.EQNXTDZ($A$1,$B43,D$1,$B$1)</f>
        <v>4027.96</v>
      </c>
      <c r="E43" s="55">
        <f>_xll.EQNXTDZ($A$1,$B43,E$1,$B$1)</f>
        <v>4270.37</v>
      </c>
      <c r="F43" s="55">
        <f>_xll.EQNXTDZ($A$1,$B43,F$1,$B$1)</f>
        <v>4592.28</v>
      </c>
      <c r="G43" s="55">
        <f>_xll.EQNXTDZ($A$1,$B43,G$1,$B$1)</f>
        <v>4723.34</v>
      </c>
      <c r="H43" s="55">
        <f>_xll.EQNXTDZ($A$1,$B43,H$1,$B$1)</f>
        <v>5284.03</v>
      </c>
      <c r="I43" s="55">
        <f>_xll.EQNXTDZ($A$1,$B43,I$1,$B$1)</f>
        <v>5825.76</v>
      </c>
      <c r="J43" s="55">
        <f>_xll.EQNXTDZ($A$1,$B43,J$1,$B$1)</f>
        <v>8063.15</v>
      </c>
      <c r="K43" s="55">
        <f>_xll.EQNXTDZ($A$1,$B43,K$1,$B$1)</f>
        <v>9141.48</v>
      </c>
      <c r="L43" s="55">
        <f>_xll.EQNXTDZ($A$1,$B43,L$1,$B$1)</f>
        <v>12070.61</v>
      </c>
      <c r="M43" s="55">
        <f>_xll.EQNXTDZ($A$1,$B43,M$1,$B$1)</f>
        <v>13789.48</v>
      </c>
      <c r="N43" s="55">
        <f>_xll.EQNXTDZ($A$1,$B43,N$1,$B$1)</f>
        <v>12437.09</v>
      </c>
      <c r="O43" s="55">
        <f>_xll.EQNXTDZ($A$1,$B43,O$1,$B$1)</f>
        <v>12098.5</v>
      </c>
      <c r="P43" s="55">
        <f>_xll.EQNXTDZ($A$1,$B43,P$1,$B$1)</f>
        <v>12163.78</v>
      </c>
      <c r="Q43" s="55">
        <f>_xll.EQNXTDZ($A$1,$B43,Q$1,$B$1)</f>
        <v>14048.41</v>
      </c>
      <c r="R43" s="55">
        <f>_xll.EQNXTDZ($A$1,$B43,R$1,$B$1)</f>
        <v>11362.9</v>
      </c>
      <c r="S43" s="55">
        <f>_xll.EQNXTDZ($A$1,$B43,S$1,$B$1)</f>
        <v>12944.05</v>
      </c>
      <c r="T43" s="55">
        <f>_xll.EQNXTDZ($A$1,$B43,T$1,$B$1)</f>
        <v>14629.38</v>
      </c>
      <c r="U43" s="55">
        <f>_xll.EQNXTDZ($A$1,$B43,U$1,$B$1)</f>
        <v>16535.009999999998</v>
      </c>
      <c r="V43" s="55">
        <f>_xll.EQNXTDZ($A$1,$B43,V$1,$B$1)</f>
        <v>17795.52</v>
      </c>
      <c r="W43" s="55">
        <f>_xll.EQNXTDZ($A$1,$B43,W$1,$B$1)</f>
        <v>20502.7</v>
      </c>
      <c r="X43" s="55">
        <f>_xll.EQNXTDZ($A$1,$B43,X$1,$B$1)</f>
        <v>22122</v>
      </c>
      <c r="Y43" s="55">
        <f>_xll.EQNXTDZ($A$1,$B43,Y$1,$B$1)</f>
        <v>28467.87</v>
      </c>
      <c r="Z43" s="55">
        <f>_xll.EQNXTDZ($A$1,$B43,Z$1,$B$1)</f>
        <v>32027.43</v>
      </c>
      <c r="AA43" s="55">
        <f>_xll.EQNXTDZ($A$1,$B43,AA$1,$B$1)</f>
        <v>35485.910000000003</v>
      </c>
      <c r="AB43" s="55">
        <f>_xll.EQNXTDZ($A$1,$B43,AB$1,$B$1)</f>
        <v>39066.81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3868.0647147999998</v>
      </c>
      <c r="D44" s="55">
        <f>_xll.EQNXTDZ($A$1,$B44,D$1,$B$1)</f>
        <v>4225.83</v>
      </c>
      <c r="E44" s="55">
        <f>_xll.EQNXTDZ($A$1,$B44,E$1,$B$1)</f>
        <v>4468.24</v>
      </c>
      <c r="F44" s="55">
        <f>_xll.EQNXTDZ($A$1,$B44,F$1,$B$1)</f>
        <v>4790.16</v>
      </c>
      <c r="G44" s="55">
        <f>_xll.EQNXTDZ($A$1,$B44,G$1,$B$1)</f>
        <v>4921.22</v>
      </c>
      <c r="H44" s="55">
        <f>_xll.EQNXTDZ($A$1,$B44,H$1,$B$1)</f>
        <v>5481.91</v>
      </c>
      <c r="I44" s="55">
        <f>_xll.EQNXTDZ($A$1,$B44,I$1,$B$1)</f>
        <v>6023.64</v>
      </c>
      <c r="J44" s="55">
        <f>_xll.EQNXTDZ($A$1,$B44,J$1,$B$1)</f>
        <v>8344.82</v>
      </c>
      <c r="K44" s="55">
        <f>_xll.EQNXTDZ($A$1,$B44,K$1,$B$1)</f>
        <v>9362.8799999999992</v>
      </c>
      <c r="L44" s="55">
        <f>_xll.EQNXTDZ($A$1,$B44,L$1,$B$1)</f>
        <v>12307.9</v>
      </c>
      <c r="M44" s="55">
        <f>_xll.EQNXTDZ($A$1,$B44,M$1,$B$1)</f>
        <v>14026.77</v>
      </c>
      <c r="N44" s="55">
        <f>_xll.EQNXTDZ($A$1,$B44,N$1,$B$1)</f>
        <v>12674.38</v>
      </c>
      <c r="O44" s="55">
        <f>_xll.EQNXTDZ($A$1,$B44,O$1,$B$1)</f>
        <v>12335.79</v>
      </c>
      <c r="P44" s="55">
        <f>_xll.EQNXTDZ($A$1,$B44,P$1,$B$1)</f>
        <v>12401.07</v>
      </c>
      <c r="Q44" s="55">
        <f>_xll.EQNXTDZ($A$1,$B44,Q$1,$B$1)</f>
        <v>14318.89</v>
      </c>
      <c r="R44" s="55">
        <f>_xll.EQNXTDZ($A$1,$B44,R$1,$B$1)</f>
        <v>11633.38</v>
      </c>
      <c r="S44" s="55">
        <f>_xll.EQNXTDZ($A$1,$B44,S$1,$B$1)</f>
        <v>13214.55</v>
      </c>
      <c r="T44" s="55">
        <f>_xll.EQNXTDZ($A$1,$B44,T$1,$B$1)</f>
        <v>14899.88</v>
      </c>
      <c r="U44" s="55">
        <f>_xll.EQNXTDZ($A$1,$B44,U$1,$B$1)</f>
        <v>16805.509999999998</v>
      </c>
      <c r="V44" s="55">
        <f>_xll.EQNXTDZ($A$1,$B44,V$1,$B$1)</f>
        <v>18066.02</v>
      </c>
      <c r="W44" s="55">
        <f>_xll.EQNXTDZ($A$1,$B44,W$1,$B$1)</f>
        <v>20822.259999999998</v>
      </c>
      <c r="X44" s="55">
        <f>_xll.EQNXTDZ($A$1,$B44,X$1,$B$1)</f>
        <v>22441.56</v>
      </c>
      <c r="Y44" s="55">
        <f>_xll.EQNXTDZ($A$1,$B44,Y$1,$B$1)</f>
        <v>28787.43</v>
      </c>
      <c r="Z44" s="55">
        <f>_xll.EQNXTDZ($A$1,$B44,Z$1,$B$1)</f>
        <v>32355.29</v>
      </c>
      <c r="AA44" s="55">
        <f>_xll.EQNXTDZ($A$1,$B44,AA$1,$B$1)</f>
        <v>35840.67</v>
      </c>
      <c r="AB44" s="55">
        <f>_xll.EQNXTDZ($A$1,$B44,AB$1,$B$1)</f>
        <v>39467.21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9.57</v>
      </c>
      <c r="E45" s="55">
        <f>_xll.EQNXTDZ($A$1,$B45,E$1,$B$1)</f>
        <v>10</v>
      </c>
      <c r="F45" s="55">
        <f>_xll.EQNXTDZ($A$1,$B45,F$1,$B$1)</f>
        <v>10.1</v>
      </c>
      <c r="G45" s="55">
        <f>_xll.EQNXTDZ($A$1,$B45,G$1,$B$1)</f>
        <v>95.6</v>
      </c>
      <c r="H45" s="55">
        <f>_xll.EQNXTDZ($A$1,$B45,H$1,$B$1)</f>
        <v>206.75</v>
      </c>
      <c r="I45" s="55">
        <f>_xll.EQNXTDZ($A$1,$B45,I$1,$B$1)</f>
        <v>249.62</v>
      </c>
      <c r="J45" s="55">
        <f>_xll.EQNXTDZ($A$1,$B45,J$1,$B$1)</f>
        <v>806.17</v>
      </c>
      <c r="K45" s="55">
        <f>_xll.EQNXTDZ($A$1,$B45,K$1,$B$1)</f>
        <v>944.37</v>
      </c>
      <c r="L45" s="55">
        <f>_xll.EQNXTDZ($A$1,$B45,L$1,$B$1)</f>
        <v>1209.71</v>
      </c>
      <c r="M45" s="55">
        <f>_xll.EQNXTDZ($A$1,$B45,M$1,$B$1)</f>
        <v>1414.26</v>
      </c>
      <c r="N45" s="55">
        <f>_xll.EQNXTDZ($A$1,$B45,N$1,$B$1)</f>
        <v>1631.27</v>
      </c>
      <c r="O45" s="55">
        <f>_xll.EQNXTDZ($A$1,$B45,O$1,$B$1)</f>
        <v>2064.6</v>
      </c>
      <c r="P45" s="55">
        <f>_xll.EQNXTDZ($A$1,$B45,P$1,$B$1)</f>
        <v>2273.31</v>
      </c>
      <c r="Q45" s="55">
        <f>_xll.EQNXTDZ($A$1,$B45,Q$1,$B$1)</f>
        <v>2492.59</v>
      </c>
      <c r="R45" s="55">
        <f>_xll.EQNXTDZ($A$1,$B45,R$1,$B$1)</f>
        <v>1749.81</v>
      </c>
      <c r="S45" s="55">
        <f>_xll.EQNXTDZ($A$1,$B45,S$1,$B$1)</f>
        <v>1868.99</v>
      </c>
      <c r="T45" s="55">
        <f>_xll.EQNXTDZ($A$1,$B45,T$1,$B$1)</f>
        <v>2015.29</v>
      </c>
      <c r="U45" s="55">
        <f>_xll.EQNXTDZ($A$1,$B45,U$1,$B$1)</f>
        <v>2166.66</v>
      </c>
      <c r="V45" s="55">
        <f>_xll.EQNXTDZ($A$1,$B45,V$1,$B$1)</f>
        <v>2332.04</v>
      </c>
      <c r="W45" s="55">
        <f>_xll.EQNXTDZ($A$1,$B45,W$1,$B$1)</f>
        <v>2927.3</v>
      </c>
      <c r="X45" s="55">
        <f>_xll.EQNXTDZ($A$1,$B45,X$1,$B$1)</f>
        <v>3586.9</v>
      </c>
      <c r="Y45" s="55">
        <f>_xll.EQNXTDZ($A$1,$B45,Y$1,$B$1)</f>
        <v>5416.69</v>
      </c>
      <c r="Z45" s="55">
        <f>_xll.EQNXTDZ($A$1,$B45,Z$1,$B$1)</f>
        <v>5977.48</v>
      </c>
      <c r="AA45" s="55">
        <f>_xll.EQNXTDZ($A$1,$B45,AA$1,$B$1)</f>
        <v>6765.37</v>
      </c>
      <c r="AB45" s="55">
        <f>_xll.EQNXTDZ($A$1,$B45,AB$1,$B$1)</f>
        <v>8070.86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1337.9599330999999</v>
      </c>
      <c r="D47" s="55">
        <f>_xll.EQNXTDZ($A$1,$B47,D$1,$B$1)</f>
        <v>1516.3</v>
      </c>
      <c r="E47" s="55">
        <f>_xll.EQNXTDZ($A$1,$B47,E$1,$B$1)</f>
        <v>1691.54</v>
      </c>
      <c r="F47" s="55">
        <f>_xll.EQNXTDZ($A$1,$B47,F$1,$B$1)</f>
        <v>1090.93</v>
      </c>
      <c r="G47" s="55">
        <f>_xll.EQNXTDZ($A$1,$B47,G$1,$B$1)</f>
        <v>1949.47</v>
      </c>
      <c r="H47" s="55">
        <f>_xll.EQNXTDZ($A$1,$B47,H$1,$B$1)</f>
        <v>2363.9299999999998</v>
      </c>
      <c r="I47" s="55">
        <f>_xll.EQNXTDZ($A$1,$B47,I$1,$B$1)</f>
        <v>2822.83</v>
      </c>
      <c r="J47" s="55">
        <f>_xll.EQNXTDZ($A$1,$B47,J$1,$B$1)</f>
        <v>8208.08</v>
      </c>
      <c r="K47" s="55">
        <f>_xll.EQNXTDZ($A$1,$B47,K$1,$B$1)</f>
        <v>11050.67</v>
      </c>
      <c r="L47" s="55">
        <f>_xll.EQNXTDZ($A$1,$B47,L$1,$B$1)</f>
        <v>14700.13</v>
      </c>
      <c r="M47" s="55">
        <f>_xll.EQNXTDZ($A$1,$B47,M$1,$B$1)</f>
        <v>17549.16</v>
      </c>
      <c r="N47" s="55">
        <f>_xll.EQNXTDZ($A$1,$B47,N$1,$B$1)</f>
        <v>22579.96</v>
      </c>
      <c r="O47" s="55">
        <f>_xll.EQNXTDZ($A$1,$B47,O$1,$B$1)</f>
        <v>23200.16</v>
      </c>
      <c r="P47" s="55">
        <f>_xll.EQNXTDZ($A$1,$B47,P$1,$B$1)</f>
        <v>23874.32</v>
      </c>
      <c r="Q47" s="55">
        <f>_xll.EQNXTDZ($A$1,$B47,Q$1,$B$1)</f>
        <v>23436.45</v>
      </c>
      <c r="R47" s="55">
        <f>_xll.EQNXTDZ($A$1,$B47,R$1,$B$1)</f>
        <v>11057.42</v>
      </c>
      <c r="S47" s="55">
        <f>_xll.EQNXTDZ($A$1,$B47,S$1,$B$1)</f>
        <v>13807.29</v>
      </c>
      <c r="T47" s="55">
        <f>_xll.EQNXTDZ($A$1,$B47,T$1,$B$1)</f>
        <v>12397.71</v>
      </c>
      <c r="U47" s="55">
        <f>_xll.EQNXTDZ($A$1,$B47,U$1,$B$1)</f>
        <v>20084.57</v>
      </c>
      <c r="V47" s="55">
        <f>_xll.EQNXTDZ($A$1,$B47,V$1,$B$1)</f>
        <v>21083.53</v>
      </c>
      <c r="W47" s="55">
        <f>_xll.EQNXTDZ($A$1,$B47,W$1,$B$1)</f>
        <v>16765.830000000002</v>
      </c>
      <c r="X47" s="55">
        <f>_xll.EQNXTDZ($A$1,$B47,X$1,$B$1)</f>
        <v>19360.48</v>
      </c>
      <c r="Y47" s="55">
        <f>_xll.EQNXTDZ($A$1,$B47,Y$1,$B$1)</f>
        <v>23062.22</v>
      </c>
      <c r="Z47" s="55">
        <f>_xll.EQNXTDZ($A$1,$B47,Z$1,$B$1)</f>
        <v>23273.87</v>
      </c>
      <c r="AA47" s="55">
        <f>_xll.EQNXTDZ($A$1,$B47,AA$1,$B$1)</f>
        <v>29892.25</v>
      </c>
      <c r="AB47" s="55">
        <f>_xll.EQNXTDZ($A$1,$B47,AB$1,$B$1)</f>
        <v>35969.96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1259.9256418</v>
      </c>
      <c r="D48" s="55">
        <f>_xll.EQNXTDZ($A$1,$B48,D$1,$B$1)</f>
        <v>1290.45</v>
      </c>
      <c r="E48" s="55">
        <f>_xll.EQNXTDZ($A$1,$B48,E$1,$B$1)</f>
        <v>1059.1500000000001</v>
      </c>
      <c r="F48" s="55">
        <f>_xll.EQNXTDZ($A$1,$B48,F$1,$B$1)</f>
        <v>1003.36</v>
      </c>
      <c r="G48" s="55">
        <f>_xll.EQNXTDZ($A$1,$B48,G$1,$B$1)</f>
        <v>1806.3</v>
      </c>
      <c r="H48" s="55">
        <f>_xll.EQNXTDZ($A$1,$B48,H$1,$B$1)</f>
        <v>1864.54</v>
      </c>
      <c r="I48" s="55">
        <f>_xll.EQNXTDZ($A$1,$B48,I$1,$B$1)</f>
        <v>2355.61</v>
      </c>
      <c r="J48" s="55">
        <f>_xll.EQNXTDZ($A$1,$B48,J$1,$B$1)</f>
        <v>952.08</v>
      </c>
      <c r="K48" s="55">
        <f>_xll.EQNXTDZ($A$1,$B48,K$1,$B$1)</f>
        <v>3190.51</v>
      </c>
      <c r="L48" s="55">
        <f>_xll.EQNXTDZ($A$1,$B48,L$1,$B$1)</f>
        <v>3845.54</v>
      </c>
      <c r="M48" s="55">
        <f>_xll.EQNXTDZ($A$1,$B48,M$1,$B$1)</f>
        <v>4430.67</v>
      </c>
      <c r="N48" s="55">
        <f>_xll.EQNXTDZ($A$1,$B48,N$1,$B$1)</f>
        <v>8653.15</v>
      </c>
      <c r="O48" s="55">
        <f>_xll.EQNXTDZ($A$1,$B48,O$1,$B$1)</f>
        <v>9899.18</v>
      </c>
      <c r="P48" s="55">
        <f>_xll.EQNXTDZ($A$1,$B48,P$1,$B$1)</f>
        <v>8095.62</v>
      </c>
      <c r="Q48" s="55">
        <f>_xll.EQNXTDZ($A$1,$B48,Q$1,$B$1)</f>
        <v>10456.68</v>
      </c>
      <c r="R48" s="55">
        <f>_xll.EQNXTDZ($A$1,$B48,R$1,$B$1)</f>
        <v>12856.46</v>
      </c>
      <c r="S48" s="55">
        <f>_xll.EQNXTDZ($A$1,$B48,S$1,$B$1)</f>
        <v>12835.67</v>
      </c>
      <c r="T48" s="55">
        <f>_xll.EQNXTDZ($A$1,$B48,T$1,$B$1)</f>
        <v>11458.6</v>
      </c>
      <c r="U48" s="55">
        <f>_xll.EQNXTDZ($A$1,$B48,U$1,$B$1)</f>
        <v>12554.66</v>
      </c>
      <c r="V48" s="55">
        <f>_xll.EQNXTDZ($A$1,$B48,V$1,$B$1)</f>
        <v>13111.61</v>
      </c>
      <c r="W48" s="55">
        <f>_xll.EQNXTDZ($A$1,$B48,W$1,$B$1)</f>
        <v>14779.02</v>
      </c>
      <c r="X48" s="55">
        <f>_xll.EQNXTDZ($A$1,$B48,X$1,$B$1)</f>
        <v>13369.22</v>
      </c>
      <c r="Y48" s="55">
        <f>_xll.EQNXTDZ($A$1,$B48,Y$1,$B$1)</f>
        <v>7646.27</v>
      </c>
      <c r="Z48" s="55">
        <f>_xll.EQNXTDZ($A$1,$B48,Z$1,$B$1)</f>
        <v>14118.38</v>
      </c>
      <c r="AA48" s="55">
        <f>_xll.EQNXTDZ($A$1,$B48,AA$1,$B$1)</f>
        <v>14237.47</v>
      </c>
      <c r="AB48" s="55">
        <f>_xll.EQNXTDZ($A$1,$B48,AB$1,$B$1)</f>
        <v>25638.61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130.57</v>
      </c>
      <c r="E49" s="55">
        <f>_xll.EQNXTDZ($A$1,$B49,E$1,$B$1)</f>
        <v>-21.22</v>
      </c>
      <c r="F49" s="55">
        <f>_xll.EQNXTDZ($A$1,$B49,F$1,$B$1)</f>
        <v>-17.66</v>
      </c>
      <c r="G49" s="55">
        <f>_xll.EQNXTDZ($A$1,$B49,G$1,$B$1)</f>
        <v>43.96</v>
      </c>
      <c r="H49" s="55">
        <f>_xll.EQNXTDZ($A$1,$B49,H$1,$B$1)</f>
        <v>33.619999999999997</v>
      </c>
      <c r="I49" s="55">
        <f>_xll.EQNXTDZ($A$1,$B49,I$1,$B$1)</f>
        <v>45.82</v>
      </c>
      <c r="J49" s="55">
        <f>_xll.EQNXTDZ($A$1,$B49,J$1,$B$1)</f>
        <v>282.02</v>
      </c>
      <c r="K49" s="55">
        <f>_xll.EQNXTDZ($A$1,$B49,K$1,$B$1)</f>
        <v>515.42999999999995</v>
      </c>
      <c r="L49" s="55">
        <f>_xll.EQNXTDZ($A$1,$B49,L$1,$B$1)</f>
        <v>430.79</v>
      </c>
      <c r="M49" s="55">
        <f>_xll.EQNXTDZ($A$1,$B49,M$1,$B$1)</f>
        <v>475.25</v>
      </c>
      <c r="N49" s="55">
        <f>_xll.EQNXTDZ($A$1,$B49,N$1,$B$1)</f>
        <v>638.74</v>
      </c>
      <c r="O49" s="55">
        <f>_xll.EQNXTDZ($A$1,$B49,O$1,$B$1)</f>
        <v>1000.53</v>
      </c>
      <c r="P49" s="55">
        <f>_xll.EQNXTDZ($A$1,$B49,P$1,$B$1)</f>
        <v>1122.92</v>
      </c>
      <c r="Q49" s="55">
        <f>_xll.EQNXTDZ($A$1,$B49,Q$1,$B$1)</f>
        <v>1395.52</v>
      </c>
      <c r="R49" s="55">
        <f>_xll.EQNXTDZ($A$1,$B49,R$1,$B$1)</f>
        <v>2093.66</v>
      </c>
      <c r="S49" s="55">
        <f>_xll.EQNXTDZ($A$1,$B49,S$1,$B$1)</f>
        <v>1659.61</v>
      </c>
      <c r="T49" s="55">
        <f>_xll.EQNXTDZ($A$1,$B49,T$1,$B$1)</f>
        <v>398.39</v>
      </c>
      <c r="U49" s="55">
        <f>_xll.EQNXTDZ($A$1,$B49,U$1,$B$1)</f>
        <v>967.32</v>
      </c>
      <c r="V49" s="55">
        <f>_xll.EQNXTDZ($A$1,$B49,V$1,$B$1)</f>
        <v>1099.8</v>
      </c>
      <c r="W49" s="55">
        <f>_xll.EQNXTDZ($A$1,$B49,W$1,$B$1)</f>
        <v>792.13</v>
      </c>
      <c r="X49" s="55">
        <f>_xll.EQNXTDZ($A$1,$B49,X$1,$B$1)</f>
        <v>698.7</v>
      </c>
      <c r="Y49" s="55">
        <f>_xll.EQNXTDZ($A$1,$B49,Y$1,$B$1)</f>
        <v>1666.47</v>
      </c>
      <c r="Z49" s="55">
        <f>_xll.EQNXTDZ($A$1,$B49,Z$1,$B$1)</f>
        <v>2273.2399999999998</v>
      </c>
      <c r="AA49" s="55">
        <f>_xll.EQNXTDZ($A$1,$B49,AA$1,$B$1)</f>
        <v>3586.13</v>
      </c>
      <c r="AB49" s="55">
        <f>_xll.EQNXTDZ($A$1,$B49,AB$1,$B$1)</f>
        <v>4200.34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1337.45</v>
      </c>
      <c r="N50" s="55">
        <f>_xll.EQNXTDZ($A$1,$B50,N$1,$B$1)</f>
        <v>1151.8599999999999</v>
      </c>
      <c r="O50" s="55">
        <f>_xll.EQNXTDZ($A$1,$B50,O$1,$B$1)</f>
        <v>920.45</v>
      </c>
      <c r="P50" s="55">
        <f>_xll.EQNXTDZ($A$1,$B50,P$1,$B$1)</f>
        <v>946.06</v>
      </c>
      <c r="Q50" s="55">
        <f>_xll.EQNXTDZ($A$1,$B50,Q$1,$B$1)</f>
        <v>1043.56</v>
      </c>
      <c r="R50" s="55">
        <f>_xll.EQNXTDZ($A$1,$B50,R$1,$B$1)</f>
        <v>4294.83</v>
      </c>
      <c r="S50" s="55">
        <f>_xll.EQNXTDZ($A$1,$B50,S$1,$B$1)</f>
        <v>3629.59</v>
      </c>
      <c r="T50" s="55">
        <f>_xll.EQNXTDZ($A$1,$B50,T$1,$B$1)</f>
        <v>2488.79</v>
      </c>
      <c r="U50" s="55">
        <f>_xll.EQNXTDZ($A$1,$B50,U$1,$B$1)</f>
        <v>2561.06</v>
      </c>
      <c r="V50" s="55">
        <f>_xll.EQNXTDZ($A$1,$B50,V$1,$B$1)</f>
        <v>5986.52</v>
      </c>
      <c r="W50" s="55">
        <f>_xll.EQNXTDZ($A$1,$B50,W$1,$B$1)</f>
        <v>10500.54</v>
      </c>
      <c r="X50" s="55">
        <f>_xll.EQNXTDZ($A$1,$B50,X$1,$B$1)</f>
        <v>12503.64</v>
      </c>
      <c r="Y50" s="55">
        <f>_xll.EQNXTDZ($A$1,$B50,Y$1,$B$1)</f>
        <v>14768.92</v>
      </c>
      <c r="Z50" s="55">
        <f>_xll.EQNXTDZ($A$1,$B50,Z$1,$B$1)</f>
        <v>16262.41</v>
      </c>
      <c r="AA50" s="55">
        <f>_xll.EQNXTDZ($A$1,$B50,AA$1,$B$1)</f>
        <v>17800.900000000001</v>
      </c>
      <c r="AB50" s="55">
        <f>_xll.EQNXTDZ($A$1,$B50,AB$1,$B$1)</f>
        <v>18656.55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33.96</v>
      </c>
      <c r="N51" s="55">
        <f>_xll.EQNXTDZ($A$1,$B51,N$1,$B$1)</f>
        <v>29.44</v>
      </c>
      <c r="O51" s="55">
        <f>_xll.EQNXTDZ($A$1,$B51,O$1,$B$1)</f>
        <v>28.66</v>
      </c>
      <c r="P51" s="55">
        <f>_xll.EQNXTDZ($A$1,$B51,P$1,$B$1)</f>
        <v>28.51</v>
      </c>
      <c r="Q51" s="55">
        <f>_xll.EQNXTDZ($A$1,$B51,Q$1,$B$1)</f>
        <v>30.68</v>
      </c>
      <c r="R51" s="55">
        <f>_xll.EQNXTDZ($A$1,$B51,R$1,$B$1)</f>
        <v>33.119999999999997</v>
      </c>
      <c r="S51" s="55">
        <f>_xll.EQNXTDZ($A$1,$B51,S$1,$B$1)</f>
        <v>35.57</v>
      </c>
      <c r="T51" s="55">
        <f>_xll.EQNXTDZ($A$1,$B51,T$1,$B$1)</f>
        <v>21</v>
      </c>
      <c r="U51" s="55">
        <f>_xll.EQNXTDZ($A$1,$B51,U$1,$B$1)</f>
        <v>22.75</v>
      </c>
      <c r="V51" s="55">
        <f>_xll.EQNXTDZ($A$1,$B51,V$1,$B$1)</f>
        <v>0</v>
      </c>
      <c r="W51" s="55">
        <f>_xll.EQNXTDZ($A$1,$B51,W$1,$B$1)</f>
        <v>1.67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886.79</v>
      </c>
      <c r="N52" s="55">
        <f>_xll.EQNXTDZ($A$1,$B52,N$1,$B$1)</f>
        <v>1043.5</v>
      </c>
      <c r="O52" s="55">
        <f>_xll.EQNXTDZ($A$1,$B52,O$1,$B$1)</f>
        <v>1164.5899999999999</v>
      </c>
      <c r="P52" s="55">
        <f>_xll.EQNXTDZ($A$1,$B52,P$1,$B$1)</f>
        <v>914.77</v>
      </c>
      <c r="Q52" s="55">
        <f>_xll.EQNXTDZ($A$1,$B52,Q$1,$B$1)</f>
        <v>921.38</v>
      </c>
      <c r="R52" s="55">
        <f>_xll.EQNXTDZ($A$1,$B52,R$1,$B$1)</f>
        <v>247.27</v>
      </c>
      <c r="S52" s="55">
        <f>_xll.EQNXTDZ($A$1,$B52,S$1,$B$1)</f>
        <v>274.42</v>
      </c>
      <c r="T52" s="55">
        <f>_xll.EQNXTDZ($A$1,$B52,T$1,$B$1)</f>
        <v>303.74</v>
      </c>
      <c r="U52" s="55">
        <f>_xll.EQNXTDZ($A$1,$B52,U$1,$B$1)</f>
        <v>337.34</v>
      </c>
      <c r="V52" s="55">
        <f>_xll.EQNXTDZ($A$1,$B52,V$1,$B$1)</f>
        <v>410.43</v>
      </c>
      <c r="W52" s="55">
        <f>_xll.EQNXTDZ($A$1,$B52,W$1,$B$1)</f>
        <v>670.3</v>
      </c>
      <c r="X52" s="55">
        <f>_xll.EQNXTDZ($A$1,$B52,X$1,$B$1)</f>
        <v>1221.21</v>
      </c>
      <c r="Y52" s="55">
        <f>_xll.EQNXTDZ($A$1,$B52,Y$1,$B$1)</f>
        <v>1420.02</v>
      </c>
      <c r="Z52" s="55">
        <f>_xll.EQNXTDZ($A$1,$B52,Z$1,$B$1)</f>
        <v>1865.08</v>
      </c>
      <c r="AA52" s="55">
        <f>_xll.EQNXTDZ($A$1,$B52,AA$1,$B$1)</f>
        <v>2548.69</v>
      </c>
      <c r="AB52" s="55">
        <f>_xll.EQNXTDZ($A$1,$B52,AB$1,$B$1)</f>
        <v>3213.85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2597.8855748999999</v>
      </c>
      <c r="D53" s="55">
        <f>_xll.EQNXTDZ($A$1,$B53,D$1,$B$1)</f>
        <v>2937.32</v>
      </c>
      <c r="E53" s="55">
        <f>_xll.EQNXTDZ($A$1,$B53,E$1,$B$1)</f>
        <v>2729.47</v>
      </c>
      <c r="F53" s="55">
        <f>_xll.EQNXTDZ($A$1,$B53,F$1,$B$1)</f>
        <v>2076.63</v>
      </c>
      <c r="G53" s="55">
        <f>_xll.EQNXTDZ($A$1,$B53,G$1,$B$1)</f>
        <v>3799.73</v>
      </c>
      <c r="H53" s="55">
        <f>_xll.EQNXTDZ($A$1,$B53,H$1,$B$1)</f>
        <v>4262.09</v>
      </c>
      <c r="I53" s="55">
        <f>_xll.EQNXTDZ($A$1,$B53,I$1,$B$1)</f>
        <v>5224.26</v>
      </c>
      <c r="J53" s="55">
        <f>_xll.EQNXTDZ($A$1,$B53,J$1,$B$1)</f>
        <v>9442.18</v>
      </c>
      <c r="K53" s="55">
        <f>_xll.EQNXTDZ($A$1,$B53,K$1,$B$1)</f>
        <v>14756.61</v>
      </c>
      <c r="L53" s="55">
        <f>_xll.EQNXTDZ($A$1,$B53,L$1,$B$1)</f>
        <v>18976.46</v>
      </c>
      <c r="M53" s="55">
        <f>_xll.EQNXTDZ($A$1,$B53,M$1,$B$1)</f>
        <v>24713.279999999999</v>
      </c>
      <c r="N53" s="55">
        <f>_xll.EQNXTDZ($A$1,$B53,N$1,$B$1)</f>
        <v>34096.65</v>
      </c>
      <c r="O53" s="55">
        <f>_xll.EQNXTDZ($A$1,$B53,O$1,$B$1)</f>
        <v>36213.57</v>
      </c>
      <c r="P53" s="55">
        <f>_xll.EQNXTDZ($A$1,$B53,P$1,$B$1)</f>
        <v>34982.199999999997</v>
      </c>
      <c r="Q53" s="55">
        <f>_xll.EQNXTDZ($A$1,$B53,Q$1,$B$1)</f>
        <v>37284.269999999997</v>
      </c>
      <c r="R53" s="55">
        <f>_xll.EQNXTDZ($A$1,$B53,R$1,$B$1)</f>
        <v>30582.76</v>
      </c>
      <c r="S53" s="55">
        <f>_xll.EQNXTDZ($A$1,$B53,S$1,$B$1)</f>
        <v>32242.15</v>
      </c>
      <c r="T53" s="55">
        <f>_xll.EQNXTDZ($A$1,$B53,T$1,$B$1)</f>
        <v>27068.23</v>
      </c>
      <c r="U53" s="55">
        <f>_xll.EQNXTDZ($A$1,$B53,U$1,$B$1)</f>
        <v>36527.699999999997</v>
      </c>
      <c r="V53" s="55">
        <f>_xll.EQNXTDZ($A$1,$B53,V$1,$B$1)</f>
        <v>41691.89</v>
      </c>
      <c r="W53" s="55">
        <f>_xll.EQNXTDZ($A$1,$B53,W$1,$B$1)</f>
        <v>43509.49</v>
      </c>
      <c r="X53" s="55">
        <f>_xll.EQNXTDZ($A$1,$B53,X$1,$B$1)</f>
        <v>47153.25</v>
      </c>
      <c r="Y53" s="55">
        <f>_xll.EQNXTDZ($A$1,$B53,Y$1,$B$1)</f>
        <v>48563.9</v>
      </c>
      <c r="Z53" s="55">
        <f>_xll.EQNXTDZ($A$1,$B53,Z$1,$B$1)</f>
        <v>57792.98</v>
      </c>
      <c r="AA53" s="55">
        <f>_xll.EQNXTDZ($A$1,$B53,AA$1,$B$1)</f>
        <v>68065.440000000002</v>
      </c>
      <c r="AB53" s="55">
        <f>_xll.EQNXTDZ($A$1,$B53,AB$1,$B$1)</f>
        <v>87679.31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713.52413850000005</v>
      </c>
      <c r="D54" s="55">
        <f>_xll.EQNXTDZ($A$1,$B54,D$1,$B$1)</f>
        <v>894.04</v>
      </c>
      <c r="E54" s="55">
        <f>_xll.EQNXTDZ($A$1,$B54,E$1,$B$1)</f>
        <v>914.57</v>
      </c>
      <c r="F54" s="55">
        <f>_xll.EQNXTDZ($A$1,$B54,F$1,$B$1)</f>
        <v>714.59</v>
      </c>
      <c r="G54" s="55">
        <f>_xll.EQNXTDZ($A$1,$B54,G$1,$B$1)</f>
        <v>647.44000000000005</v>
      </c>
      <c r="H54" s="55">
        <f>_xll.EQNXTDZ($A$1,$B54,H$1,$B$1)</f>
        <v>709.96</v>
      </c>
      <c r="I54" s="55">
        <f>_xll.EQNXTDZ($A$1,$B54,I$1,$B$1)</f>
        <v>1029.9000000000001</v>
      </c>
      <c r="J54" s="55">
        <f>_xll.EQNXTDZ($A$1,$B54,J$1,$B$1)</f>
        <v>1044.81</v>
      </c>
      <c r="K54" s="55">
        <f>_xll.EQNXTDZ($A$1,$B54,K$1,$B$1)</f>
        <v>2105.02</v>
      </c>
      <c r="L54" s="55">
        <f>_xll.EQNXTDZ($A$1,$B54,L$1,$B$1)</f>
        <v>2962.63</v>
      </c>
      <c r="M54" s="55">
        <f>_xll.EQNXTDZ($A$1,$B54,M$1,$B$1)</f>
        <v>2023.45</v>
      </c>
      <c r="N54" s="55">
        <f>_xll.EQNXTDZ($A$1,$B54,N$1,$B$1)</f>
        <v>2750.13</v>
      </c>
      <c r="O54" s="55">
        <f>_xll.EQNXTDZ($A$1,$B54,O$1,$B$1)</f>
        <v>3540.85</v>
      </c>
      <c r="P54" s="55">
        <f>_xll.EQNXTDZ($A$1,$B54,P$1,$B$1)</f>
        <v>4574</v>
      </c>
      <c r="Q54" s="55">
        <f>_xll.EQNXTDZ($A$1,$B54,Q$1,$B$1)</f>
        <v>5235.42</v>
      </c>
      <c r="R54" s="55">
        <f>_xll.EQNXTDZ($A$1,$B54,R$1,$B$1)</f>
        <v>4401.3599999999997</v>
      </c>
      <c r="S54" s="55">
        <f>_xll.EQNXTDZ($A$1,$B54,S$1,$B$1)</f>
        <v>5529</v>
      </c>
      <c r="T54" s="55">
        <f>_xll.EQNXTDZ($A$1,$B54,T$1,$B$1)</f>
        <v>5609.82</v>
      </c>
      <c r="U54" s="55">
        <f>_xll.EQNXTDZ($A$1,$B54,U$1,$B$1)</f>
        <v>5481.49</v>
      </c>
      <c r="V54" s="55">
        <f>_xll.EQNXTDZ($A$1,$B54,V$1,$B$1)</f>
        <v>5095.4399999999996</v>
      </c>
      <c r="W54" s="55">
        <f>_xll.EQNXTDZ($A$1,$B54,W$1,$B$1)</f>
        <v>7146.41</v>
      </c>
      <c r="X54" s="55">
        <f>_xll.EQNXTDZ($A$1,$B54,X$1,$B$1)</f>
        <v>10459.6</v>
      </c>
      <c r="Y54" s="55">
        <f>_xll.EQNXTDZ($A$1,$B54,Y$1,$B$1)</f>
        <v>7407.2</v>
      </c>
      <c r="Z54" s="55">
        <f>_xll.EQNXTDZ($A$1,$B54,Z$1,$B$1)</f>
        <v>14093.44</v>
      </c>
      <c r="AA54" s="55">
        <f>_xll.EQNXTDZ($A$1,$B54,AA$1,$B$1)</f>
        <v>13984.48</v>
      </c>
      <c r="AB54" s="55">
        <f>_xll.EQNXTDZ($A$1,$B54,AB$1,$B$1)</f>
        <v>10786.2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177.49188100000001</v>
      </c>
      <c r="D55" s="55">
        <f>_xll.EQNXTDZ($A$1,$B55,D$1,$B$1)</f>
        <v>204.13</v>
      </c>
      <c r="E55" s="55">
        <f>_xll.EQNXTDZ($A$1,$B55,E$1,$B$1)</f>
        <v>229.63</v>
      </c>
      <c r="F55" s="55">
        <f>_xll.EQNXTDZ($A$1,$B55,F$1,$B$1)</f>
        <v>334.03</v>
      </c>
      <c r="G55" s="55">
        <f>_xll.EQNXTDZ($A$1,$B55,G$1,$B$1)</f>
        <v>341.52</v>
      </c>
      <c r="H55" s="55">
        <f>_xll.EQNXTDZ($A$1,$B55,H$1,$B$1)</f>
        <v>406.99</v>
      </c>
      <c r="I55" s="55">
        <f>_xll.EQNXTDZ($A$1,$B55,I$1,$B$1)</f>
        <v>552.47</v>
      </c>
      <c r="J55" s="55">
        <f>_xll.EQNXTDZ($A$1,$B55,J$1,$B$1)</f>
        <v>1936.73</v>
      </c>
      <c r="K55" s="55">
        <f>_xll.EQNXTDZ($A$1,$B55,K$1,$B$1)</f>
        <v>2703.61</v>
      </c>
      <c r="L55" s="55">
        <f>_xll.EQNXTDZ($A$1,$B55,L$1,$B$1)</f>
        <v>2987.86</v>
      </c>
      <c r="M55" s="55">
        <f>_xll.EQNXTDZ($A$1,$B55,M$1,$B$1)</f>
        <v>5508.87</v>
      </c>
      <c r="N55" s="55">
        <f>_xll.EQNXTDZ($A$1,$B55,N$1,$B$1)</f>
        <v>7376.6</v>
      </c>
      <c r="O55" s="55">
        <f>_xll.EQNXTDZ($A$1,$B55,O$1,$B$1)</f>
        <v>8776.1299999999992</v>
      </c>
      <c r="P55" s="55">
        <f>_xll.EQNXTDZ($A$1,$B55,P$1,$B$1)</f>
        <v>11545.58</v>
      </c>
      <c r="Q55" s="55">
        <f>_xll.EQNXTDZ($A$1,$B55,Q$1,$B$1)</f>
        <v>10497.14</v>
      </c>
      <c r="R55" s="55">
        <f>_xll.EQNXTDZ($A$1,$B55,R$1,$B$1)</f>
        <v>6767.7</v>
      </c>
      <c r="S55" s="55">
        <f>_xll.EQNXTDZ($A$1,$B55,S$1,$B$1)</f>
        <v>13365.05</v>
      </c>
      <c r="T55" s="55">
        <f>_xll.EQNXTDZ($A$1,$B55,T$1,$B$1)</f>
        <v>12213.7</v>
      </c>
      <c r="U55" s="55">
        <f>_xll.EQNXTDZ($A$1,$B55,U$1,$B$1)</f>
        <v>7980.43</v>
      </c>
      <c r="V55" s="55">
        <f>_xll.EQNXTDZ($A$1,$B55,V$1,$B$1)</f>
        <v>9335.7199999999993</v>
      </c>
      <c r="W55" s="55">
        <f>_xll.EQNXTDZ($A$1,$B55,W$1,$B$1)</f>
        <v>15311.79</v>
      </c>
      <c r="X55" s="55">
        <f>_xll.EQNXTDZ($A$1,$B55,X$1,$B$1)</f>
        <v>21328.28</v>
      </c>
      <c r="Y55" s="55">
        <f>_xll.EQNXTDZ($A$1,$B55,Y$1,$B$1)</f>
        <v>28077.18</v>
      </c>
      <c r="Z55" s="55">
        <f>_xll.EQNXTDZ($A$1,$B55,Z$1,$B$1)</f>
        <v>23136.560000000001</v>
      </c>
      <c r="AA55" s="55">
        <f>_xll.EQNXTDZ($A$1,$B55,AA$1,$B$1)</f>
        <v>26281.78</v>
      </c>
      <c r="AB55" s="55">
        <f>_xll.EQNXTDZ($A$1,$B55,AB$1,$B$1)</f>
        <v>24072.19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1619.32</v>
      </c>
      <c r="N56" s="55">
        <f>_xll.EQNXTDZ($A$1,$B56,N$1,$B$1)</f>
        <v>2186.7399999999998</v>
      </c>
      <c r="O56" s="55">
        <f>_xll.EQNXTDZ($A$1,$B56,O$1,$B$1)</f>
        <v>3547.18</v>
      </c>
      <c r="P56" s="55">
        <f>_xll.EQNXTDZ($A$1,$B56,P$1,$B$1)</f>
        <v>4706.78</v>
      </c>
      <c r="Q56" s="55">
        <f>_xll.EQNXTDZ($A$1,$B56,Q$1,$B$1)</f>
        <v>4586.5600000000004</v>
      </c>
      <c r="R56" s="55">
        <f>_xll.EQNXTDZ($A$1,$B56,R$1,$B$1)</f>
        <v>14588.91</v>
      </c>
      <c r="S56" s="55">
        <f>_xll.EQNXTDZ($A$1,$B56,S$1,$B$1)</f>
        <v>16279.79</v>
      </c>
      <c r="T56" s="55">
        <f>_xll.EQNXTDZ($A$1,$B56,T$1,$B$1)</f>
        <v>18827.28</v>
      </c>
      <c r="U56" s="55">
        <f>_xll.EQNXTDZ($A$1,$B56,U$1,$B$1)</f>
        <v>13875.38</v>
      </c>
      <c r="V56" s="55">
        <f>_xll.EQNXTDZ($A$1,$B56,V$1,$B$1)</f>
        <v>11844.36</v>
      </c>
      <c r="W56" s="55">
        <f>_xll.EQNXTDZ($A$1,$B56,W$1,$B$1)</f>
        <v>8436.1200000000008</v>
      </c>
      <c r="X56" s="55">
        <f>_xll.EQNXTDZ($A$1,$B56,X$1,$B$1)</f>
        <v>6975.02</v>
      </c>
      <c r="Y56" s="55">
        <f>_xll.EQNXTDZ($A$1,$B56,Y$1,$B$1)</f>
        <v>9201.15</v>
      </c>
      <c r="Z56" s="55">
        <f>_xll.EQNXTDZ($A$1,$B56,Z$1,$B$1)</f>
        <v>4999.21</v>
      </c>
      <c r="AA56" s="55">
        <f>_xll.EQNXTDZ($A$1,$B56,AA$1,$B$1)</f>
        <v>4496.24</v>
      </c>
      <c r="AB56" s="55">
        <f>_xll.EQNXTDZ($A$1,$B56,AB$1,$B$1)</f>
        <v>3508.37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323.46031169999998</v>
      </c>
      <c r="D57" s="55">
        <f>_xll.EQNXTDZ($A$1,$B57,D$1,$B$1)</f>
        <v>280.23</v>
      </c>
      <c r="E57" s="55">
        <f>_xll.EQNXTDZ($A$1,$B57,E$1,$B$1)</f>
        <v>466.75</v>
      </c>
      <c r="F57" s="55">
        <f>_xll.EQNXTDZ($A$1,$B57,F$1,$B$1)</f>
        <v>292.14999999999998</v>
      </c>
      <c r="G57" s="55">
        <f>_xll.EQNXTDZ($A$1,$B57,G$1,$B$1)</f>
        <v>604.59</v>
      </c>
      <c r="H57" s="55">
        <f>_xll.EQNXTDZ($A$1,$B57,H$1,$B$1)</f>
        <v>596.47</v>
      </c>
      <c r="I57" s="55">
        <f>_xll.EQNXTDZ($A$1,$B57,I$1,$B$1)</f>
        <v>641.46</v>
      </c>
      <c r="J57" s="55">
        <f>_xll.EQNXTDZ($A$1,$B57,J$1,$B$1)</f>
        <v>1063.82</v>
      </c>
      <c r="K57" s="55">
        <f>_xll.EQNXTDZ($A$1,$B57,K$1,$B$1)</f>
        <v>1972.54</v>
      </c>
      <c r="L57" s="55">
        <f>_xll.EQNXTDZ($A$1,$B57,L$1,$B$1)</f>
        <v>1457.58</v>
      </c>
      <c r="M57" s="55">
        <f>_xll.EQNXTDZ($A$1,$B57,M$1,$B$1)</f>
        <v>1030.99</v>
      </c>
      <c r="N57" s="55">
        <f>_xll.EQNXTDZ($A$1,$B57,N$1,$B$1)</f>
        <v>888.01</v>
      </c>
      <c r="O57" s="55">
        <f>_xll.EQNXTDZ($A$1,$B57,O$1,$B$1)</f>
        <v>778.41</v>
      </c>
      <c r="P57" s="55">
        <f>_xll.EQNXTDZ($A$1,$B57,P$1,$B$1)</f>
        <v>900.36</v>
      </c>
      <c r="Q57" s="55">
        <f>_xll.EQNXTDZ($A$1,$B57,Q$1,$B$1)</f>
        <v>770.47</v>
      </c>
      <c r="R57" s="55">
        <f>_xll.EQNXTDZ($A$1,$B57,R$1,$B$1)</f>
        <v>332.59</v>
      </c>
      <c r="S57" s="55">
        <f>_xll.EQNXTDZ($A$1,$B57,S$1,$B$1)</f>
        <v>329.73</v>
      </c>
      <c r="T57" s="55">
        <f>_xll.EQNXTDZ($A$1,$B57,T$1,$B$1)</f>
        <v>353.82</v>
      </c>
      <c r="U57" s="55">
        <f>_xll.EQNXTDZ($A$1,$B57,U$1,$B$1)</f>
        <v>243.77</v>
      </c>
      <c r="V57" s="55">
        <f>_xll.EQNXTDZ($A$1,$B57,V$1,$B$1)</f>
        <v>245.91</v>
      </c>
      <c r="W57" s="55">
        <f>_xll.EQNXTDZ($A$1,$B57,W$1,$B$1)</f>
        <v>361.69</v>
      </c>
      <c r="X57" s="55">
        <f>_xll.EQNXTDZ($A$1,$B57,X$1,$B$1)</f>
        <v>491.82</v>
      </c>
      <c r="Y57" s="55">
        <f>_xll.EQNXTDZ($A$1,$B57,Y$1,$B$1)</f>
        <v>529.03</v>
      </c>
      <c r="Z57" s="55">
        <f>_xll.EQNXTDZ($A$1,$B57,Z$1,$B$1)</f>
        <v>585.88</v>
      </c>
      <c r="AA57" s="55">
        <f>_xll.EQNXTDZ($A$1,$B57,AA$1,$B$1)</f>
        <v>645.76</v>
      </c>
      <c r="AB57" s="55">
        <f>_xll.EQNXTDZ($A$1,$B57,AB$1,$B$1)</f>
        <v>865.86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903.78</v>
      </c>
      <c r="U58" s="55">
        <f>_xll.EQNXTDZ($A$1,$B58,U$1,$B$1)</f>
        <v>992.5</v>
      </c>
      <c r="V58" s="55">
        <f>_xll.EQNXTDZ($A$1,$B58,V$1,$B$1)</f>
        <v>1062.53</v>
      </c>
      <c r="W58" s="55">
        <f>_xll.EQNXTDZ($A$1,$B58,W$1,$B$1)</f>
        <v>139.78</v>
      </c>
      <c r="X58" s="55">
        <f>_xll.EQNXTDZ($A$1,$B58,X$1,$B$1)</f>
        <v>113.56</v>
      </c>
      <c r="Y58" s="55">
        <f>_xll.EQNXTDZ($A$1,$B58,Y$1,$B$1)</f>
        <v>113.56</v>
      </c>
      <c r="Z58" s="55">
        <f>_xll.EQNXTDZ($A$1,$B58,Z$1,$B$1)</f>
        <v>113.56</v>
      </c>
      <c r="AA58" s="55">
        <f>_xll.EQNXTDZ($A$1,$B58,AA$1,$B$1)</f>
        <v>113.56</v>
      </c>
      <c r="AB58" s="55">
        <f>_xll.EQNXTDZ($A$1,$B58,AB$1,$B$1)</f>
        <v>114.24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1214.4763312</v>
      </c>
      <c r="D59" s="55">
        <f>_xll.EQNXTDZ($A$1,$B59,D$1,$B$1)</f>
        <v>1378.4</v>
      </c>
      <c r="E59" s="55">
        <f>_xll.EQNXTDZ($A$1,$B59,E$1,$B$1)</f>
        <v>1610.95</v>
      </c>
      <c r="F59" s="55">
        <f>_xll.EQNXTDZ($A$1,$B59,F$1,$B$1)</f>
        <v>1340.77</v>
      </c>
      <c r="G59" s="55">
        <f>_xll.EQNXTDZ($A$1,$B59,G$1,$B$1)</f>
        <v>1593.55</v>
      </c>
      <c r="H59" s="55">
        <f>_xll.EQNXTDZ($A$1,$B59,H$1,$B$1)</f>
        <v>1713.42</v>
      </c>
      <c r="I59" s="55">
        <f>_xll.EQNXTDZ($A$1,$B59,I$1,$B$1)</f>
        <v>2223.83</v>
      </c>
      <c r="J59" s="55">
        <f>_xll.EQNXTDZ($A$1,$B59,J$1,$B$1)</f>
        <v>4045.36</v>
      </c>
      <c r="K59" s="55">
        <f>_xll.EQNXTDZ($A$1,$B59,K$1,$B$1)</f>
        <v>6781.17</v>
      </c>
      <c r="L59" s="55">
        <f>_xll.EQNXTDZ($A$1,$B59,L$1,$B$1)</f>
        <v>7408.07</v>
      </c>
      <c r="M59" s="55">
        <f>_xll.EQNXTDZ($A$1,$B59,M$1,$B$1)</f>
        <v>10182.629999999999</v>
      </c>
      <c r="N59" s="55">
        <f>_xll.EQNXTDZ($A$1,$B59,N$1,$B$1)</f>
        <v>13201.48</v>
      </c>
      <c r="O59" s="55">
        <f>_xll.EQNXTDZ($A$1,$B59,O$1,$B$1)</f>
        <v>16642.57</v>
      </c>
      <c r="P59" s="55">
        <f>_xll.EQNXTDZ($A$1,$B59,P$1,$B$1)</f>
        <v>21726.720000000001</v>
      </c>
      <c r="Q59" s="55">
        <f>_xll.EQNXTDZ($A$1,$B59,Q$1,$B$1)</f>
        <v>21089.59</v>
      </c>
      <c r="R59" s="55">
        <f>_xll.EQNXTDZ($A$1,$B59,R$1,$B$1)</f>
        <v>26090.560000000001</v>
      </c>
      <c r="S59" s="55">
        <f>_xll.EQNXTDZ($A$1,$B59,S$1,$B$1)</f>
        <v>35503.57</v>
      </c>
      <c r="T59" s="55">
        <f>_xll.EQNXTDZ($A$1,$B59,T$1,$B$1)</f>
        <v>37004.620000000003</v>
      </c>
      <c r="U59" s="55">
        <f>_xll.EQNXTDZ($A$1,$B59,U$1,$B$1)</f>
        <v>27581.07</v>
      </c>
      <c r="V59" s="55">
        <f>_xll.EQNXTDZ($A$1,$B59,V$1,$B$1)</f>
        <v>26521.43</v>
      </c>
      <c r="W59" s="55">
        <f>_xll.EQNXTDZ($A$1,$B59,W$1,$B$1)</f>
        <v>31256.01</v>
      </c>
      <c r="X59" s="55">
        <f>_xll.EQNXTDZ($A$1,$B59,X$1,$B$1)</f>
        <v>39254.720000000001</v>
      </c>
      <c r="Y59" s="55">
        <f>_xll.EQNXTDZ($A$1,$B59,Y$1,$B$1)</f>
        <v>45214.559999999998</v>
      </c>
      <c r="Z59" s="55">
        <f>_xll.EQNXTDZ($A$1,$B59,Z$1,$B$1)</f>
        <v>42815.09</v>
      </c>
      <c r="AA59" s="55">
        <f>_xll.EQNXTDZ($A$1,$B59,AA$1,$B$1)</f>
        <v>45408.26</v>
      </c>
      <c r="AB59" s="55">
        <f>_xll.EQNXTDZ($A$1,$B59,AB$1,$B$1)</f>
        <v>39232.620000000003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7680.4266208999998</v>
      </c>
      <c r="D60" s="55">
        <f>_xll.EQNXTDZ($A$1,$B60,D$1,$B$1)</f>
        <v>8551.1200000000008</v>
      </c>
      <c r="E60" s="55">
        <f>_xll.EQNXTDZ($A$1,$B60,E$1,$B$1)</f>
        <v>8818.66</v>
      </c>
      <c r="F60" s="55">
        <f>_xll.EQNXTDZ($A$1,$B60,F$1,$B$1)</f>
        <v>8217.66</v>
      </c>
      <c r="G60" s="55">
        <f>_xll.EQNXTDZ($A$1,$B60,G$1,$B$1)</f>
        <v>10410.1</v>
      </c>
      <c r="H60" s="55">
        <f>_xll.EQNXTDZ($A$1,$B60,H$1,$B$1)</f>
        <v>11664.17</v>
      </c>
      <c r="I60" s="55">
        <f>_xll.EQNXTDZ($A$1,$B60,I$1,$B$1)</f>
        <v>13721.35</v>
      </c>
      <c r="J60" s="55">
        <f>_xll.EQNXTDZ($A$1,$B60,J$1,$B$1)</f>
        <v>22638.53</v>
      </c>
      <c r="K60" s="55">
        <f>_xll.EQNXTDZ($A$1,$B60,K$1,$B$1)</f>
        <v>31845.03</v>
      </c>
      <c r="L60" s="55">
        <f>_xll.EQNXTDZ($A$1,$B60,L$1,$B$1)</f>
        <v>39902.14</v>
      </c>
      <c r="M60" s="55">
        <f>_xll.EQNXTDZ($A$1,$B60,M$1,$B$1)</f>
        <v>50336.94</v>
      </c>
      <c r="N60" s="55">
        <f>_xll.EQNXTDZ($A$1,$B60,N$1,$B$1)</f>
        <v>61603.78</v>
      </c>
      <c r="O60" s="55">
        <f>_xll.EQNXTDZ($A$1,$B60,O$1,$B$1)</f>
        <v>67256.53</v>
      </c>
      <c r="P60" s="55">
        <f>_xll.EQNXTDZ($A$1,$B60,P$1,$B$1)</f>
        <v>71383.3</v>
      </c>
      <c r="Q60" s="55">
        <f>_xll.EQNXTDZ($A$1,$B60,Q$1,$B$1)</f>
        <v>75185.34</v>
      </c>
      <c r="R60" s="55">
        <f>_xll.EQNXTDZ($A$1,$B60,R$1,$B$1)</f>
        <v>70056.509999999995</v>
      </c>
      <c r="S60" s="55">
        <f>_xll.EQNXTDZ($A$1,$B60,S$1,$B$1)</f>
        <v>82829.259999999995</v>
      </c>
      <c r="T60" s="55">
        <f>_xll.EQNXTDZ($A$1,$B60,T$1,$B$1)</f>
        <v>81891.8</v>
      </c>
      <c r="U60" s="55">
        <f>_xll.EQNXTDZ($A$1,$B60,U$1,$B$1)</f>
        <v>84073.44</v>
      </c>
      <c r="V60" s="55">
        <f>_xll.EQNXTDZ($A$1,$B60,V$1,$B$1)</f>
        <v>89673.91</v>
      </c>
      <c r="W60" s="55">
        <f>_xll.EQNXTDZ($A$1,$B60,W$1,$B$1)</f>
        <v>98654.84</v>
      </c>
      <c r="X60" s="55">
        <f>_xll.EQNXTDZ($A$1,$B60,X$1,$B$1)</f>
        <v>112549.99</v>
      </c>
      <c r="Y60" s="55">
        <f>_xll.EQNXTDZ($A$1,$B60,Y$1,$B$1)</f>
        <v>128096.14</v>
      </c>
      <c r="Z60" s="55">
        <f>_xll.EQNXTDZ($A$1,$B60,Z$1,$B$1)</f>
        <v>139054.39999999999</v>
      </c>
      <c r="AA60" s="55">
        <f>_xll.EQNXTDZ($A$1,$B60,AA$1,$B$1)</f>
        <v>156193.29999999999</v>
      </c>
      <c r="AB60" s="55">
        <f>_xll.EQNXTDZ($A$1,$B60,AB$1,$B$1)</f>
        <v>174564.24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4397.4233486000003</v>
      </c>
      <c r="D62" s="55">
        <f>_xll.EQNXTDZ($A$1,$B62,D$1,$B$1)</f>
        <v>5205.3999999999996</v>
      </c>
      <c r="E62" s="55">
        <f>_xll.EQNXTDZ($A$1,$B62,E$1,$B$1)</f>
        <v>6285.34</v>
      </c>
      <c r="F62" s="55">
        <f>_xll.EQNXTDZ($A$1,$B62,F$1,$B$1)</f>
        <v>6515.43</v>
      </c>
      <c r="G62" s="55">
        <f>_xll.EQNXTDZ($A$1,$B62,G$1,$B$1)</f>
        <v>6415.28</v>
      </c>
      <c r="H62" s="55">
        <f>_xll.EQNXTDZ($A$1,$B62,H$1,$B$1)</f>
        <v>6925.93</v>
      </c>
      <c r="I62" s="55">
        <f>_xll.EQNXTDZ($A$1,$B62,I$1,$B$1)</f>
        <v>8885.67</v>
      </c>
      <c r="J62" s="55">
        <f>_xll.EQNXTDZ($A$1,$B62,J$1,$B$1)</f>
        <v>16559.419999999998</v>
      </c>
      <c r="K62" s="55">
        <f>_xll.EQNXTDZ($A$1,$B62,K$1,$B$1)</f>
        <v>21039.86</v>
      </c>
      <c r="L62" s="55">
        <f>_xll.EQNXTDZ($A$1,$B62,L$1,$B$1)</f>
        <v>22502.42</v>
      </c>
      <c r="M62" s="55">
        <f>_xll.EQNXTDZ($A$1,$B62,M$1,$B$1)</f>
        <v>24366.89</v>
      </c>
      <c r="N62" s="55">
        <f>_xll.EQNXTDZ($A$1,$B62,N$1,$B$1)</f>
        <v>38256.230000000003</v>
      </c>
      <c r="O62" s="55">
        <f>_xll.EQNXTDZ($A$1,$B62,O$1,$B$1)</f>
        <v>56192.85</v>
      </c>
      <c r="P62" s="55">
        <f>_xll.EQNXTDZ($A$1,$B62,P$1,$B$1)</f>
        <v>61366.559999999998</v>
      </c>
      <c r="Q62" s="55">
        <f>_xll.EQNXTDZ($A$1,$B62,Q$1,$B$1)</f>
        <v>64924.58</v>
      </c>
      <c r="R62" s="55">
        <f>_xll.EQNXTDZ($A$1,$B62,R$1,$B$1)</f>
        <v>47667.28</v>
      </c>
      <c r="S62" s="55">
        <f>_xll.EQNXTDZ($A$1,$B62,S$1,$B$1)</f>
        <v>59628.73</v>
      </c>
      <c r="T62" s="55">
        <f>_xll.EQNXTDZ($A$1,$B62,T$1,$B$1)</f>
        <v>59995.97</v>
      </c>
      <c r="U62" s="55">
        <f>_xll.EQNXTDZ($A$1,$B62,U$1,$B$1)</f>
        <v>61612.959999999999</v>
      </c>
      <c r="V62" s="55">
        <f>_xll.EQNXTDZ($A$1,$B62,V$1,$B$1)</f>
        <v>67064.37</v>
      </c>
      <c r="W62" s="55">
        <f>_xll.EQNXTDZ($A$1,$B62,W$1,$B$1)</f>
        <v>74155.539999999994</v>
      </c>
      <c r="X62" s="55">
        <f>_xll.EQNXTDZ($A$1,$B62,X$1,$B$1)</f>
        <v>82300.59</v>
      </c>
      <c r="Y62" s="55">
        <f>_xll.EQNXTDZ($A$1,$B62,Y$1,$B$1)</f>
        <v>89897.1</v>
      </c>
      <c r="Z62" s="55">
        <f>_xll.EQNXTDZ($A$1,$B62,Z$1,$B$1)</f>
        <v>98679.73</v>
      </c>
      <c r="AA62" s="55">
        <f>_xll.EQNXTDZ($A$1,$B62,AA$1,$B$1)</f>
        <v>113579.74</v>
      </c>
      <c r="AB62" s="55">
        <f>_xll.EQNXTDZ($A$1,$B62,AB$1,$B$1)</f>
        <v>126912.93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1446.8826839999999</v>
      </c>
      <c r="D63" s="55">
        <f>_xll.EQNXTDZ($A$1,$B63,D$1,$B$1)</f>
        <v>1836.47</v>
      </c>
      <c r="E63" s="55">
        <f>_xll.EQNXTDZ($A$1,$B63,E$1,$B$1)</f>
        <v>2355.61</v>
      </c>
      <c r="F63" s="55">
        <f>_xll.EQNXTDZ($A$1,$B63,F$1,$B$1)</f>
        <v>2762</v>
      </c>
      <c r="G63" s="55">
        <f>_xll.EQNXTDZ($A$1,$B63,G$1,$B$1)</f>
        <v>2952.32</v>
      </c>
      <c r="H63" s="55">
        <f>_xll.EQNXTDZ($A$1,$B63,H$1,$B$1)</f>
        <v>3277.34</v>
      </c>
      <c r="I63" s="55">
        <f>_xll.EQNXTDZ($A$1,$B63,I$1,$B$1)</f>
        <v>3676.32</v>
      </c>
      <c r="J63" s="55">
        <f>_xll.EQNXTDZ($A$1,$B63,J$1,$B$1)</f>
        <v>5825.48</v>
      </c>
      <c r="K63" s="55">
        <f>_xll.EQNXTDZ($A$1,$B63,K$1,$B$1)</f>
        <v>6807.89</v>
      </c>
      <c r="L63" s="55">
        <f>_xll.EQNXTDZ($A$1,$B63,L$1,$B$1)</f>
        <v>7454.93</v>
      </c>
      <c r="M63" s="55">
        <f>_xll.EQNXTDZ($A$1,$B63,M$1,$B$1)</f>
        <v>8329.51</v>
      </c>
      <c r="N63" s="55">
        <f>_xll.EQNXTDZ($A$1,$B63,N$1,$B$1)</f>
        <v>9960.36</v>
      </c>
      <c r="O63" s="55">
        <f>_xll.EQNXTDZ($A$1,$B63,O$1,$B$1)</f>
        <v>13682.01</v>
      </c>
      <c r="P63" s="55">
        <f>_xll.EQNXTDZ($A$1,$B63,P$1,$B$1)</f>
        <v>17972.96</v>
      </c>
      <c r="Q63" s="55">
        <f>_xll.EQNXTDZ($A$1,$B63,Q$1,$B$1)</f>
        <v>20198.88</v>
      </c>
      <c r="R63" s="55">
        <f>_xll.EQNXTDZ($A$1,$B63,R$1,$B$1)</f>
        <v>11253.56</v>
      </c>
      <c r="S63" s="55">
        <f>_xll.EQNXTDZ($A$1,$B63,S$1,$B$1)</f>
        <v>13036.43</v>
      </c>
      <c r="T63" s="55">
        <f>_xll.EQNXTDZ($A$1,$B63,T$1,$B$1)</f>
        <v>15339.71</v>
      </c>
      <c r="U63" s="55">
        <f>_xll.EQNXTDZ($A$1,$B63,U$1,$B$1)</f>
        <v>17308.07</v>
      </c>
      <c r="V63" s="55">
        <f>_xll.EQNXTDZ($A$1,$B63,V$1,$B$1)</f>
        <v>19398.009999999998</v>
      </c>
      <c r="W63" s="55">
        <f>_xll.EQNXTDZ($A$1,$B63,W$1,$B$1)</f>
        <v>21976.39</v>
      </c>
      <c r="X63" s="55">
        <f>_xll.EQNXTDZ($A$1,$B63,X$1,$B$1)</f>
        <v>24911.15</v>
      </c>
      <c r="Y63" s="55">
        <f>_xll.EQNXTDZ($A$1,$B63,Y$1,$B$1)</f>
        <v>28150.44</v>
      </c>
      <c r="Z63" s="55">
        <f>_xll.EQNXTDZ($A$1,$B63,Z$1,$B$1)</f>
        <v>31470.17</v>
      </c>
      <c r="AA63" s="55">
        <f>_xll.EQNXTDZ($A$1,$B63,AA$1,$B$1)</f>
        <v>35205.31</v>
      </c>
      <c r="AB63" s="55">
        <f>_xll.EQNXTDZ($A$1,$B63,AB$1,$B$1)</f>
        <v>39620.239999999998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642.41</v>
      </c>
      <c r="O64" s="55">
        <f>_xll.EQNXTDZ($A$1,$B64,O$1,$B$1)</f>
        <v>1157.5899999999999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2950.5406646000001</v>
      </c>
      <c r="D65" s="55">
        <f>_xll.EQNXTDZ($A$1,$B65,D$1,$B$1)</f>
        <v>3368.93</v>
      </c>
      <c r="E65" s="55">
        <f>_xll.EQNXTDZ($A$1,$B65,E$1,$B$1)</f>
        <v>3929.73</v>
      </c>
      <c r="F65" s="55">
        <f>_xll.EQNXTDZ($A$1,$B65,F$1,$B$1)</f>
        <v>3753.43</v>
      </c>
      <c r="G65" s="55">
        <f>_xll.EQNXTDZ($A$1,$B65,G$1,$B$1)</f>
        <v>3462.96</v>
      </c>
      <c r="H65" s="55">
        <f>_xll.EQNXTDZ($A$1,$B65,H$1,$B$1)</f>
        <v>3648.59</v>
      </c>
      <c r="I65" s="55">
        <f>_xll.EQNXTDZ($A$1,$B65,I$1,$B$1)</f>
        <v>5209.3500000000004</v>
      </c>
      <c r="J65" s="55">
        <f>_xll.EQNXTDZ($A$1,$B65,J$1,$B$1)</f>
        <v>10733.94</v>
      </c>
      <c r="K65" s="55">
        <f>_xll.EQNXTDZ($A$1,$B65,K$1,$B$1)</f>
        <v>14231.97</v>
      </c>
      <c r="L65" s="55">
        <f>_xll.EQNXTDZ($A$1,$B65,L$1,$B$1)</f>
        <v>15047.49</v>
      </c>
      <c r="M65" s="55">
        <f>_xll.EQNXTDZ($A$1,$B65,M$1,$B$1)</f>
        <v>16037.38</v>
      </c>
      <c r="N65" s="55">
        <f>_xll.EQNXTDZ($A$1,$B65,N$1,$B$1)</f>
        <v>27653.46</v>
      </c>
      <c r="O65" s="55">
        <f>_xll.EQNXTDZ($A$1,$B65,O$1,$B$1)</f>
        <v>41353.25</v>
      </c>
      <c r="P65" s="55">
        <f>_xll.EQNXTDZ($A$1,$B65,P$1,$B$1)</f>
        <v>43393.599999999999</v>
      </c>
      <c r="Q65" s="55">
        <f>_xll.EQNXTDZ($A$1,$B65,Q$1,$B$1)</f>
        <v>44725.7</v>
      </c>
      <c r="R65" s="55">
        <f>_xll.EQNXTDZ($A$1,$B65,R$1,$B$1)</f>
        <v>36413.72</v>
      </c>
      <c r="S65" s="55">
        <f>_xll.EQNXTDZ($A$1,$B65,S$1,$B$1)</f>
        <v>46592.3</v>
      </c>
      <c r="T65" s="55">
        <f>_xll.EQNXTDZ($A$1,$B65,T$1,$B$1)</f>
        <v>44656.26</v>
      </c>
      <c r="U65" s="55">
        <f>_xll.EQNXTDZ($A$1,$B65,U$1,$B$1)</f>
        <v>44304.89</v>
      </c>
      <c r="V65" s="55">
        <f>_xll.EQNXTDZ($A$1,$B65,V$1,$B$1)</f>
        <v>47666.36</v>
      </c>
      <c r="W65" s="55">
        <f>_xll.EQNXTDZ($A$1,$B65,W$1,$B$1)</f>
        <v>52179.15</v>
      </c>
      <c r="X65" s="55">
        <f>_xll.EQNXTDZ($A$1,$B65,X$1,$B$1)</f>
        <v>57389.440000000002</v>
      </c>
      <c r="Y65" s="55">
        <f>_xll.EQNXTDZ($A$1,$B65,Y$1,$B$1)</f>
        <v>61746.66</v>
      </c>
      <c r="Z65" s="55">
        <f>_xll.EQNXTDZ($A$1,$B65,Z$1,$B$1)</f>
        <v>67209.56</v>
      </c>
      <c r="AA65" s="55">
        <f>_xll.EQNXTDZ($A$1,$B65,AA$1,$B$1)</f>
        <v>78374.429999999993</v>
      </c>
      <c r="AB65" s="55">
        <f>_xll.EQNXTDZ($A$1,$B65,AB$1,$B$1)</f>
        <v>87292.69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649.46961799999997</v>
      </c>
      <c r="D67" s="55">
        <f>_xll.EQNXTDZ($A$1,$B67,D$1,$B$1)</f>
        <v>661.3</v>
      </c>
      <c r="E67" s="55">
        <f>_xll.EQNXTDZ($A$1,$B67,E$1,$B$1)</f>
        <v>411.56</v>
      </c>
      <c r="F67" s="55">
        <f>_xll.EQNXTDZ($A$1,$B67,F$1,$B$1)</f>
        <v>446.59</v>
      </c>
      <c r="G67" s="55">
        <f>_xll.EQNXTDZ($A$1,$B67,G$1,$B$1)</f>
        <v>1165.49</v>
      </c>
      <c r="H67" s="55">
        <f>_xll.EQNXTDZ($A$1,$B67,H$1,$B$1)</f>
        <v>1719.91</v>
      </c>
      <c r="I67" s="55">
        <f>_xll.EQNXTDZ($A$1,$B67,I$1,$B$1)</f>
        <v>1072.52</v>
      </c>
      <c r="J67" s="55">
        <f>_xll.EQNXTDZ($A$1,$B67,J$1,$B$1)</f>
        <v>3234.19</v>
      </c>
      <c r="K67" s="55">
        <f>_xll.EQNXTDZ($A$1,$B67,K$1,$B$1)</f>
        <v>5875.58</v>
      </c>
      <c r="L67" s="55">
        <f>_xll.EQNXTDZ($A$1,$B67,L$1,$B$1)</f>
        <v>11692.67</v>
      </c>
      <c r="M67" s="55">
        <f>_xll.EQNXTDZ($A$1,$B67,M$1,$B$1)</f>
        <v>18670.25</v>
      </c>
      <c r="N67" s="55">
        <f>_xll.EQNXTDZ($A$1,$B67,N$1,$B$1)</f>
        <v>12634.31</v>
      </c>
      <c r="O67" s="55">
        <f>_xll.EQNXTDZ($A$1,$B67,O$1,$B$1)</f>
        <v>2284.27</v>
      </c>
      <c r="P67" s="55">
        <f>_xll.EQNXTDZ($A$1,$B67,P$1,$B$1)</f>
        <v>3298.07</v>
      </c>
      <c r="Q67" s="55">
        <f>_xll.EQNXTDZ($A$1,$B67,Q$1,$B$1)</f>
        <v>3244.44</v>
      </c>
      <c r="R67" s="55">
        <f>_xll.EQNXTDZ($A$1,$B67,R$1,$B$1)</f>
        <v>1134.1600000000001</v>
      </c>
      <c r="S67" s="55">
        <f>_xll.EQNXTDZ($A$1,$B67,S$1,$B$1)</f>
        <v>1923.24</v>
      </c>
      <c r="T67" s="55">
        <f>_xll.EQNXTDZ($A$1,$B67,T$1,$B$1)</f>
        <v>1652.6</v>
      </c>
      <c r="U67" s="55">
        <f>_xll.EQNXTDZ($A$1,$B67,U$1,$B$1)</f>
        <v>2575.6999999999998</v>
      </c>
      <c r="V67" s="55">
        <f>_xll.EQNXTDZ($A$1,$B67,V$1,$B$1)</f>
        <v>1611.52</v>
      </c>
      <c r="W67" s="55">
        <f>_xll.EQNXTDZ($A$1,$B67,W$1,$B$1)</f>
        <v>3270.26</v>
      </c>
      <c r="X67" s="55">
        <f>_xll.EQNXTDZ($A$1,$B67,X$1,$B$1)</f>
        <v>4635.1000000000004</v>
      </c>
      <c r="Y67" s="55">
        <f>_xll.EQNXTDZ($A$1,$B67,Y$1,$B$1)</f>
        <v>5376.36</v>
      </c>
      <c r="Z67" s="55">
        <f>_xll.EQNXTDZ($A$1,$B67,Z$1,$B$1)</f>
        <v>11561.31</v>
      </c>
      <c r="AA67" s="55">
        <f>_xll.EQNXTDZ($A$1,$B67,AA$1,$B$1)</f>
        <v>12678.87</v>
      </c>
      <c r="AB67" s="55">
        <f>_xll.EQNXTDZ($A$1,$B67,AB$1,$B$1)</f>
        <v>14595.13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11.96</v>
      </c>
      <c r="N68" s="55">
        <f>_xll.EQNXTDZ($A$1,$B68,N$1,$B$1)</f>
        <v>24.9</v>
      </c>
      <c r="O68" s="55">
        <f>_xll.EQNXTDZ($A$1,$B68,O$1,$B$1)</f>
        <v>73.34</v>
      </c>
      <c r="P68" s="55">
        <f>_xll.EQNXTDZ($A$1,$B68,P$1,$B$1)</f>
        <v>90.6</v>
      </c>
      <c r="Q68" s="55">
        <f>_xll.EQNXTDZ($A$1,$B68,Q$1,$B$1)</f>
        <v>78.75</v>
      </c>
      <c r="R68" s="55">
        <f>_xll.EQNXTDZ($A$1,$B68,R$1,$B$1)</f>
        <v>210.75</v>
      </c>
      <c r="S68" s="55">
        <f>_xll.EQNXTDZ($A$1,$B68,S$1,$B$1)</f>
        <v>254.68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59.15</v>
      </c>
      <c r="G69" s="55">
        <f>_xll.EQNXTDZ($A$1,$B69,G$1,$B$1)</f>
        <v>46.06</v>
      </c>
      <c r="H69" s="55">
        <f>_xll.EQNXTDZ($A$1,$B69,H$1,$B$1)</f>
        <v>110.29</v>
      </c>
      <c r="I69" s="55">
        <f>_xll.EQNXTDZ($A$1,$B69,I$1,$B$1)</f>
        <v>18.23</v>
      </c>
      <c r="J69" s="55">
        <f>_xll.EQNXTDZ($A$1,$B69,J$1,$B$1)</f>
        <v>122</v>
      </c>
      <c r="K69" s="55">
        <f>_xll.EQNXTDZ($A$1,$B69,K$1,$B$1)</f>
        <v>470.47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2.57</v>
      </c>
      <c r="S70" s="55">
        <f>_xll.EQNXTDZ($A$1,$B70,S$1,$B$1)</f>
        <v>2.4900000000000002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1481.5302544000001</v>
      </c>
      <c r="D71" s="55">
        <f>_xll.EQNXTDZ($A$1,$B71,D$1,$B$1)</f>
        <v>1683.69</v>
      </c>
      <c r="E71" s="55">
        <f>_xll.EQNXTDZ($A$1,$B71,E$1,$B$1)</f>
        <v>1934.5</v>
      </c>
      <c r="F71" s="55">
        <f>_xll.EQNXTDZ($A$1,$B71,F$1,$B$1)</f>
        <v>2033.25</v>
      </c>
      <c r="G71" s="55">
        <f>_xll.EQNXTDZ($A$1,$B71,G$1,$B$1)</f>
        <v>1906.65</v>
      </c>
      <c r="H71" s="55">
        <f>_xll.EQNXTDZ($A$1,$B71,H$1,$B$1)</f>
        <v>2287.21</v>
      </c>
      <c r="I71" s="55">
        <f>_xll.EQNXTDZ($A$1,$B71,I$1,$B$1)</f>
        <v>2647.63</v>
      </c>
      <c r="J71" s="55">
        <f>_xll.EQNXTDZ($A$1,$B71,J$1,$B$1)</f>
        <v>2946.88</v>
      </c>
      <c r="K71" s="55">
        <f>_xll.EQNXTDZ($A$1,$B71,K$1,$B$1)</f>
        <v>2698.1</v>
      </c>
      <c r="L71" s="55">
        <f>_xll.EQNXTDZ($A$1,$B71,L$1,$B$1)</f>
        <v>2713.23</v>
      </c>
      <c r="M71" s="55">
        <f>_xll.EQNXTDZ($A$1,$B71,M$1,$B$1)</f>
        <v>2609.2199999999998</v>
      </c>
      <c r="N71" s="55">
        <f>_xll.EQNXTDZ($A$1,$B71,N$1,$B$1)</f>
        <v>2645.42</v>
      </c>
      <c r="O71" s="55">
        <f>_xll.EQNXTDZ($A$1,$B71,O$1,$B$1)</f>
        <v>2642.71</v>
      </c>
      <c r="P71" s="55">
        <f>_xll.EQNXTDZ($A$1,$B71,P$1,$B$1)</f>
        <v>2678.72</v>
      </c>
      <c r="Q71" s="55">
        <f>_xll.EQNXTDZ($A$1,$B71,Q$1,$B$1)</f>
        <v>2839</v>
      </c>
      <c r="R71" s="55">
        <f>_xll.EQNXTDZ($A$1,$B71,R$1,$B$1)</f>
        <v>11446.83</v>
      </c>
      <c r="S71" s="55">
        <f>_xll.EQNXTDZ($A$1,$B71,S$1,$B$1)</f>
        <v>10775.23</v>
      </c>
      <c r="T71" s="55">
        <f>_xll.EQNXTDZ($A$1,$B71,T$1,$B$1)</f>
        <v>11992.77</v>
      </c>
      <c r="U71" s="55">
        <f>_xll.EQNXTDZ($A$1,$B71,U$1,$B$1)</f>
        <v>13374.89</v>
      </c>
      <c r="V71" s="55">
        <f>_xll.EQNXTDZ($A$1,$B71,V$1,$B$1)</f>
        <v>13835.33</v>
      </c>
      <c r="W71" s="55">
        <f>_xll.EQNXTDZ($A$1,$B71,W$1,$B$1)</f>
        <v>12649.51</v>
      </c>
      <c r="X71" s="55">
        <f>_xll.EQNXTDZ($A$1,$B71,X$1,$B$1)</f>
        <v>13749.81</v>
      </c>
      <c r="Y71" s="55">
        <f>_xll.EQNXTDZ($A$1,$B71,Y$1,$B$1)</f>
        <v>15520.09</v>
      </c>
      <c r="Z71" s="55">
        <f>_xll.EQNXTDZ($A$1,$B71,Z$1,$B$1)</f>
        <v>14838.1</v>
      </c>
      <c r="AA71" s="55">
        <f>_xll.EQNXTDZ($A$1,$B71,AA$1,$B$1)</f>
        <v>15013.97</v>
      </c>
      <c r="AB71" s="55">
        <f>_xll.EQNXTDZ($A$1,$B71,AB$1,$B$1)</f>
        <v>15218.42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4861.58</v>
      </c>
      <c r="N72" s="55">
        <f>_xll.EQNXTDZ($A$1,$B72,N$1,$B$1)</f>
        <v>7039.6</v>
      </c>
      <c r="O72" s="55">
        <f>_xll.EQNXTDZ($A$1,$B72,O$1,$B$1)</f>
        <v>8618.4</v>
      </c>
      <c r="P72" s="55">
        <f>_xll.EQNXTDZ($A$1,$B72,P$1,$B$1)</f>
        <v>8392.86</v>
      </c>
      <c r="Q72" s="55">
        <f>_xll.EQNXTDZ($A$1,$B72,Q$1,$B$1)</f>
        <v>9230.24</v>
      </c>
      <c r="R72" s="55">
        <f>_xll.EQNXTDZ($A$1,$B72,R$1,$B$1)</f>
        <v>2397.2399999999998</v>
      </c>
      <c r="S72" s="55">
        <f>_xll.EQNXTDZ($A$1,$B72,S$1,$B$1)</f>
        <v>2388.63</v>
      </c>
      <c r="T72" s="55">
        <f>_xll.EQNXTDZ($A$1,$B72,T$1,$B$1)</f>
        <v>1337.93</v>
      </c>
      <c r="U72" s="55">
        <f>_xll.EQNXTDZ($A$1,$B72,U$1,$B$1)</f>
        <v>1394.81</v>
      </c>
      <c r="V72" s="55">
        <f>_xll.EQNXTDZ($A$1,$B72,V$1,$B$1)</f>
        <v>948</v>
      </c>
      <c r="W72" s="55">
        <f>_xll.EQNXTDZ($A$1,$B72,W$1,$B$1)</f>
        <v>1571.46</v>
      </c>
      <c r="X72" s="55">
        <f>_xll.EQNXTDZ($A$1,$B72,X$1,$B$1)</f>
        <v>1760.89</v>
      </c>
      <c r="Y72" s="55">
        <f>_xll.EQNXTDZ($A$1,$B72,Y$1,$B$1)</f>
        <v>2112.88</v>
      </c>
      <c r="Z72" s="55">
        <f>_xll.EQNXTDZ($A$1,$B72,Z$1,$B$1)</f>
        <v>3902.84</v>
      </c>
      <c r="AA72" s="55">
        <f>_xll.EQNXTDZ($A$1,$B72,AA$1,$B$1)</f>
        <v>5777.07</v>
      </c>
      <c r="AB72" s="55">
        <f>_xll.EQNXTDZ($A$1,$B72,AB$1,$B$1)</f>
        <v>6097.62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912.07</v>
      </c>
      <c r="N73" s="55">
        <f>_xll.EQNXTDZ($A$1,$B73,N$1,$B$1)</f>
        <v>136</v>
      </c>
      <c r="O73" s="55">
        <f>_xll.EQNXTDZ($A$1,$B73,O$1,$B$1)</f>
        <v>134.44</v>
      </c>
      <c r="P73" s="55">
        <f>_xll.EQNXTDZ($A$1,$B73,P$1,$B$1)</f>
        <v>168.57</v>
      </c>
      <c r="Q73" s="55">
        <f>_xll.EQNXTDZ($A$1,$B73,Q$1,$B$1)</f>
        <v>168.25</v>
      </c>
      <c r="R73" s="55">
        <f>_xll.EQNXTDZ($A$1,$B73,R$1,$B$1)</f>
        <v>8667.0300000000007</v>
      </c>
      <c r="S73" s="55">
        <f>_xll.EQNXTDZ($A$1,$B73,S$1,$B$1)</f>
        <v>1067.19</v>
      </c>
      <c r="T73" s="55">
        <f>_xll.EQNXTDZ($A$1,$B73,T$1,$B$1)</f>
        <v>1577.19</v>
      </c>
      <c r="U73" s="55">
        <f>_xll.EQNXTDZ($A$1,$B73,U$1,$B$1)</f>
        <v>1367.19</v>
      </c>
      <c r="V73" s="55">
        <f>_xll.EQNXTDZ($A$1,$B73,V$1,$B$1)</f>
        <v>1857.99</v>
      </c>
      <c r="W73" s="55">
        <f>_xll.EQNXTDZ($A$1,$B73,W$1,$B$1)</f>
        <v>3374.78</v>
      </c>
      <c r="X73" s="55">
        <f>_xll.EQNXTDZ($A$1,$B73,X$1,$B$1)</f>
        <v>3571.92</v>
      </c>
      <c r="Y73" s="55">
        <f>_xll.EQNXTDZ($A$1,$B73,Y$1,$B$1)</f>
        <v>3815.15</v>
      </c>
      <c r="Z73" s="55">
        <f>_xll.EQNXTDZ($A$1,$B73,Z$1,$B$1)</f>
        <v>4778.55</v>
      </c>
      <c r="AA73" s="55">
        <f>_xll.EQNXTDZ($A$1,$B73,AA$1,$B$1)</f>
        <v>7283.49</v>
      </c>
      <c r="AB73" s="55">
        <f>_xll.EQNXTDZ($A$1,$B73,AB$1,$B$1)</f>
        <v>11496.13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5081.5405369999999</v>
      </c>
      <c r="D74" s="55">
        <f>_xll.EQNXTDZ($A$1,$B74,D$1,$B$1)</f>
        <v>5713.92</v>
      </c>
      <c r="E74" s="55">
        <f>_xll.EQNXTDZ($A$1,$B74,E$1,$B$1)</f>
        <v>6275.79</v>
      </c>
      <c r="F74" s="55">
        <f>_xll.EQNXTDZ($A$1,$B74,F$1,$B$1)</f>
        <v>6292.42</v>
      </c>
      <c r="G74" s="55">
        <f>_xll.EQNXTDZ($A$1,$B74,G$1,$B$1)</f>
        <v>6581.16</v>
      </c>
      <c r="H74" s="55">
        <f>_xll.EQNXTDZ($A$1,$B74,H$1,$B$1)</f>
        <v>7766</v>
      </c>
      <c r="I74" s="55">
        <f>_xll.EQNXTDZ($A$1,$B74,I$1,$B$1)</f>
        <v>8947.73</v>
      </c>
      <c r="J74" s="55">
        <f>_xll.EQNXTDZ($A$1,$B74,J$1,$B$1)</f>
        <v>17037.009999999998</v>
      </c>
      <c r="K74" s="55">
        <f>_xll.EQNXTDZ($A$1,$B74,K$1,$B$1)</f>
        <v>23276.12</v>
      </c>
      <c r="L74" s="55">
        <f>_xll.EQNXTDZ($A$1,$B74,L$1,$B$1)</f>
        <v>29453.39</v>
      </c>
      <c r="M74" s="55">
        <f>_xll.EQNXTDZ($A$1,$B74,M$1,$B$1)</f>
        <v>43102.46</v>
      </c>
      <c r="N74" s="55">
        <f>_xll.EQNXTDZ($A$1,$B74,N$1,$B$1)</f>
        <v>50133.69</v>
      </c>
      <c r="O74" s="55">
        <f>_xll.EQNXTDZ($A$1,$B74,O$1,$B$1)</f>
        <v>55106.41</v>
      </c>
      <c r="P74" s="55">
        <f>_xll.EQNXTDZ($A$1,$B74,P$1,$B$1)</f>
        <v>58022.42</v>
      </c>
      <c r="Q74" s="55">
        <f>_xll.EQNXTDZ($A$1,$B74,Q$1,$B$1)</f>
        <v>60286.38</v>
      </c>
      <c r="R74" s="55">
        <f>_xll.EQNXTDZ($A$1,$B74,R$1,$B$1)</f>
        <v>60272.3</v>
      </c>
      <c r="S74" s="55">
        <f>_xll.EQNXTDZ($A$1,$B74,S$1,$B$1)</f>
        <v>63003.76</v>
      </c>
      <c r="T74" s="55">
        <f>_xll.EQNXTDZ($A$1,$B74,T$1,$B$1)</f>
        <v>61216.75</v>
      </c>
      <c r="U74" s="55">
        <f>_xll.EQNXTDZ($A$1,$B74,U$1,$B$1)</f>
        <v>63017.48</v>
      </c>
      <c r="V74" s="55">
        <f>_xll.EQNXTDZ($A$1,$B74,V$1,$B$1)</f>
        <v>65919.199999999997</v>
      </c>
      <c r="W74" s="55">
        <f>_xll.EQNXTDZ($A$1,$B74,W$1,$B$1)</f>
        <v>73045.16</v>
      </c>
      <c r="X74" s="55">
        <f>_xll.EQNXTDZ($A$1,$B74,X$1,$B$1)</f>
        <v>81107.16</v>
      </c>
      <c r="Y74" s="55">
        <f>_xll.EQNXTDZ($A$1,$B74,Y$1,$B$1)</f>
        <v>88571.14</v>
      </c>
      <c r="Z74" s="55">
        <f>_xll.EQNXTDZ($A$1,$B74,Z$1,$B$1)</f>
        <v>102290.36</v>
      </c>
      <c r="AA74" s="55">
        <f>_xll.EQNXTDZ($A$1,$B74,AA$1,$B$1)</f>
        <v>119127.83</v>
      </c>
      <c r="AB74" s="55">
        <f>_xll.EQNXTDZ($A$1,$B74,AB$1,$B$1)</f>
        <v>134699.99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23.661938500000002</v>
      </c>
      <c r="D75" s="55">
        <f>_xll.EQNXTDZ($A$1,$B75,D$1,$B$1)</f>
        <v>203.61</v>
      </c>
      <c r="E75" s="55">
        <f>_xll.EQNXTDZ($A$1,$B75,E$1,$B$1)</f>
        <v>90.06</v>
      </c>
      <c r="F75" s="55">
        <f>_xll.EQNXTDZ($A$1,$B75,F$1,$B$1)</f>
        <v>139.38999999999999</v>
      </c>
      <c r="G75" s="55">
        <f>_xll.EQNXTDZ($A$1,$B75,G$1,$B$1)</f>
        <v>975.69</v>
      </c>
      <c r="H75" s="55">
        <f>_xll.EQNXTDZ($A$1,$B75,H$1,$B$1)</f>
        <v>575.94000000000005</v>
      </c>
      <c r="I75" s="55">
        <f>_xll.EQNXTDZ($A$1,$B75,I$1,$B$1)</f>
        <v>435.67</v>
      </c>
      <c r="J75" s="55">
        <f>_xll.EQNXTDZ($A$1,$B75,J$1,$B$1)</f>
        <v>178.39</v>
      </c>
      <c r="K75" s="55">
        <f>_xll.EQNXTDZ($A$1,$B75,K$1,$B$1)</f>
        <v>553.13</v>
      </c>
      <c r="L75" s="55">
        <f>_xll.EQNXTDZ($A$1,$B75,L$1,$B$1)</f>
        <v>369.08</v>
      </c>
      <c r="M75" s="55">
        <f>_xll.EQNXTDZ($A$1,$B75,M$1,$B$1)</f>
        <v>231.78</v>
      </c>
      <c r="N75" s="55">
        <f>_xll.EQNXTDZ($A$1,$B75,N$1,$B$1)</f>
        <v>777.48</v>
      </c>
      <c r="O75" s="55">
        <f>_xll.EQNXTDZ($A$1,$B75,O$1,$B$1)</f>
        <v>477.4</v>
      </c>
      <c r="P75" s="55">
        <f>_xll.EQNXTDZ($A$1,$B75,P$1,$B$1)</f>
        <v>340.54</v>
      </c>
      <c r="Q75" s="55">
        <f>_xll.EQNXTDZ($A$1,$B75,Q$1,$B$1)</f>
        <v>605.57000000000005</v>
      </c>
      <c r="R75" s="55">
        <f>_xll.EQNXTDZ($A$1,$B75,R$1,$B$1)</f>
        <v>335.95</v>
      </c>
      <c r="S75" s="55">
        <f>_xll.EQNXTDZ($A$1,$B75,S$1,$B$1)</f>
        <v>1097.78</v>
      </c>
      <c r="T75" s="55">
        <f>_xll.EQNXTDZ($A$1,$B75,T$1,$B$1)</f>
        <v>436.16</v>
      </c>
      <c r="U75" s="55">
        <f>_xll.EQNXTDZ($A$1,$B75,U$1,$B$1)</f>
        <v>166.98</v>
      </c>
      <c r="V75" s="55">
        <f>_xll.EQNXTDZ($A$1,$B75,V$1,$B$1)</f>
        <v>699.51</v>
      </c>
      <c r="W75" s="55">
        <f>_xll.EQNXTDZ($A$1,$B75,W$1,$B$1)</f>
        <v>499.54</v>
      </c>
      <c r="X75" s="55">
        <f>_xll.EQNXTDZ($A$1,$B75,X$1,$B$1)</f>
        <v>410.52</v>
      </c>
      <c r="Y75" s="55">
        <f>_xll.EQNXTDZ($A$1,$B75,Y$1,$B$1)</f>
        <v>1149.5999999999999</v>
      </c>
      <c r="Z75" s="55">
        <f>_xll.EQNXTDZ($A$1,$B75,Z$1,$B$1)</f>
        <v>1477.89</v>
      </c>
      <c r="AA75" s="55">
        <f>_xll.EQNXTDZ($A$1,$B75,AA$1,$B$1)</f>
        <v>1302.42</v>
      </c>
      <c r="AB75" s="55">
        <f>_xll.EQNXTDZ($A$1,$B75,AB$1,$B$1)</f>
        <v>1356.12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311.48144819999999</v>
      </c>
      <c r="D76" s="55">
        <f>_xll.EQNXTDZ($A$1,$B76,D$1,$B$1)</f>
        <v>344.5</v>
      </c>
      <c r="E76" s="55">
        <f>_xll.EQNXTDZ($A$1,$B76,E$1,$B$1)</f>
        <v>353.5</v>
      </c>
      <c r="F76" s="55">
        <f>_xll.EQNXTDZ($A$1,$B76,F$1,$B$1)</f>
        <v>339.37</v>
      </c>
      <c r="G76" s="55">
        <f>_xll.EQNXTDZ($A$1,$B76,G$1,$B$1)</f>
        <v>323.76</v>
      </c>
      <c r="H76" s="55">
        <f>_xll.EQNXTDZ($A$1,$B76,H$1,$B$1)</f>
        <v>496.55</v>
      </c>
      <c r="I76" s="55">
        <f>_xll.EQNXTDZ($A$1,$B76,I$1,$B$1)</f>
        <v>466.19</v>
      </c>
      <c r="J76" s="55">
        <f>_xll.EQNXTDZ($A$1,$B76,J$1,$B$1)</f>
        <v>652.92999999999995</v>
      </c>
      <c r="K76" s="55">
        <f>_xll.EQNXTDZ($A$1,$B76,K$1,$B$1)</f>
        <v>1014.64</v>
      </c>
      <c r="L76" s="55">
        <f>_xll.EQNXTDZ($A$1,$B76,L$1,$B$1)</f>
        <v>953.91</v>
      </c>
      <c r="M76" s="55">
        <f>_xll.EQNXTDZ($A$1,$B76,M$1,$B$1)</f>
        <v>1128.74</v>
      </c>
      <c r="N76" s="55">
        <f>_xll.EQNXTDZ($A$1,$B76,N$1,$B$1)</f>
        <v>1684.69</v>
      </c>
      <c r="O76" s="55">
        <f>_xll.EQNXTDZ($A$1,$B76,O$1,$B$1)</f>
        <v>2026.51</v>
      </c>
      <c r="P76" s="55">
        <f>_xll.EQNXTDZ($A$1,$B76,P$1,$B$1)</f>
        <v>2073.27</v>
      </c>
      <c r="Q76" s="55">
        <f>_xll.EQNXTDZ($A$1,$B76,Q$1,$B$1)</f>
        <v>1844.17</v>
      </c>
      <c r="R76" s="55">
        <f>_xll.EQNXTDZ($A$1,$B76,R$1,$B$1)</f>
        <v>1373.4</v>
      </c>
      <c r="S76" s="55">
        <f>_xll.EQNXTDZ($A$1,$B76,S$1,$B$1)</f>
        <v>1599.56</v>
      </c>
      <c r="T76" s="55">
        <f>_xll.EQNXTDZ($A$1,$B76,T$1,$B$1)</f>
        <v>1623.08</v>
      </c>
      <c r="U76" s="55">
        <f>_xll.EQNXTDZ($A$1,$B76,U$1,$B$1)</f>
        <v>1706.42</v>
      </c>
      <c r="V76" s="55">
        <f>_xll.EQNXTDZ($A$1,$B76,V$1,$B$1)</f>
        <v>1752.35</v>
      </c>
      <c r="W76" s="55">
        <f>_xll.EQNXTDZ($A$1,$B76,W$1,$B$1)</f>
        <v>1885.62</v>
      </c>
      <c r="X76" s="55">
        <f>_xll.EQNXTDZ($A$1,$B76,X$1,$B$1)</f>
        <v>4231.5200000000004</v>
      </c>
      <c r="Y76" s="55">
        <f>_xll.EQNXTDZ($A$1,$B76,Y$1,$B$1)</f>
        <v>3942.88</v>
      </c>
      <c r="Z76" s="55">
        <f>_xll.EQNXTDZ($A$1,$B76,Z$1,$B$1)</f>
        <v>4419.63</v>
      </c>
      <c r="AA76" s="55">
        <f>_xll.EQNXTDZ($A$1,$B76,AA$1,$B$1)</f>
        <v>4571.82</v>
      </c>
      <c r="AB76" s="55">
        <f>_xll.EQNXTDZ($A$1,$B76,AB$1,$B$1)</f>
        <v>5107.6400000000003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573.33001809999996</v>
      </c>
      <c r="D77" s="55">
        <f>_xll.EQNXTDZ($A$1,$B77,D$1,$B$1)</f>
        <v>766.77</v>
      </c>
      <c r="E77" s="55">
        <f>_xll.EQNXTDZ($A$1,$B77,E$1,$B$1)</f>
        <v>977.47</v>
      </c>
      <c r="F77" s="55">
        <f>_xll.EQNXTDZ($A$1,$B77,F$1,$B$1)</f>
        <v>839.52</v>
      </c>
      <c r="G77" s="55">
        <f>_xll.EQNXTDZ($A$1,$B77,G$1,$B$1)</f>
        <v>838.87</v>
      </c>
      <c r="H77" s="55">
        <f>_xll.EQNXTDZ($A$1,$B77,H$1,$B$1)</f>
        <v>1245.71</v>
      </c>
      <c r="I77" s="55">
        <f>_xll.EQNXTDZ($A$1,$B77,I$1,$B$1)</f>
        <v>1738.24</v>
      </c>
      <c r="J77" s="55">
        <f>_xll.EQNXTDZ($A$1,$B77,J$1,$B$1)</f>
        <v>2531.84</v>
      </c>
      <c r="K77" s="55">
        <f>_xll.EQNXTDZ($A$1,$B77,K$1,$B$1)</f>
        <v>3023.54</v>
      </c>
      <c r="L77" s="55">
        <f>_xll.EQNXTDZ($A$1,$B77,L$1,$B$1)</f>
        <v>3903.46</v>
      </c>
      <c r="M77" s="55">
        <f>_xll.EQNXTDZ($A$1,$B77,M$1,$B$1)</f>
        <v>1668.94</v>
      </c>
      <c r="N77" s="55">
        <f>_xll.EQNXTDZ($A$1,$B77,N$1,$B$1)</f>
        <v>2271.35</v>
      </c>
      <c r="O77" s="55">
        <f>_xll.EQNXTDZ($A$1,$B77,O$1,$B$1)</f>
        <v>3305.01</v>
      </c>
      <c r="P77" s="55">
        <f>_xll.EQNXTDZ($A$1,$B77,P$1,$B$1)</f>
        <v>4542.6099999999997</v>
      </c>
      <c r="Q77" s="55">
        <f>_xll.EQNXTDZ($A$1,$B77,Q$1,$B$1)</f>
        <v>5563.95</v>
      </c>
      <c r="R77" s="55">
        <f>_xll.EQNXTDZ($A$1,$B77,R$1,$B$1)</f>
        <v>3540.24</v>
      </c>
      <c r="S77" s="55">
        <f>_xll.EQNXTDZ($A$1,$B77,S$1,$B$1)</f>
        <v>3832.12</v>
      </c>
      <c r="T77" s="55">
        <f>_xll.EQNXTDZ($A$1,$B77,T$1,$B$1)</f>
        <v>2788.93</v>
      </c>
      <c r="U77" s="55">
        <f>_xll.EQNXTDZ($A$1,$B77,U$1,$B$1)</f>
        <v>4445.26</v>
      </c>
      <c r="V77" s="55">
        <f>_xll.EQNXTDZ($A$1,$B77,V$1,$B$1)</f>
        <v>4425.8999999999996</v>
      </c>
      <c r="W77" s="55">
        <f>_xll.EQNXTDZ($A$1,$B77,W$1,$B$1)</f>
        <v>5200.08</v>
      </c>
      <c r="X77" s="55">
        <f>_xll.EQNXTDZ($A$1,$B77,X$1,$B$1)</f>
        <v>5979.74</v>
      </c>
      <c r="Y77" s="55">
        <f>_xll.EQNXTDZ($A$1,$B77,Y$1,$B$1)</f>
        <v>6952.15</v>
      </c>
      <c r="Z77" s="55">
        <f>_xll.EQNXTDZ($A$1,$B77,Z$1,$B$1)</f>
        <v>7401.69</v>
      </c>
      <c r="AA77" s="55">
        <f>_xll.EQNXTDZ($A$1,$B77,AA$1,$B$1)</f>
        <v>5709.78</v>
      </c>
      <c r="AB77" s="55">
        <f>_xll.EQNXTDZ($A$1,$B77,AB$1,$B$1)</f>
        <v>4423.96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1036.2748403000001</v>
      </c>
      <c r="D78" s="55">
        <f>_xll.EQNXTDZ($A$1,$B78,D$1,$B$1)</f>
        <v>328.02</v>
      </c>
      <c r="E78" s="55">
        <f>_xll.EQNXTDZ($A$1,$B78,E$1,$B$1)</f>
        <v>152.56</v>
      </c>
      <c r="F78" s="55">
        <f>_xll.EQNXTDZ($A$1,$B78,F$1,$B$1)</f>
        <v>109.43</v>
      </c>
      <c r="G78" s="55">
        <f>_xll.EQNXTDZ($A$1,$B78,G$1,$B$1)</f>
        <v>1074.3599999999999</v>
      </c>
      <c r="H78" s="55">
        <f>_xll.EQNXTDZ($A$1,$B78,H$1,$B$1)</f>
        <v>1079.32</v>
      </c>
      <c r="I78" s="55">
        <f>_xll.EQNXTDZ($A$1,$B78,I$1,$B$1)</f>
        <v>1402.42</v>
      </c>
      <c r="J78" s="55">
        <f>_xll.EQNXTDZ($A$1,$B78,J$1,$B$1)</f>
        <v>562.29</v>
      </c>
      <c r="K78" s="55">
        <f>_xll.EQNXTDZ($A$1,$B78,K$1,$B$1)</f>
        <v>1177.97</v>
      </c>
      <c r="L78" s="55">
        <f>_xll.EQNXTDZ($A$1,$B78,L$1,$B$1)</f>
        <v>2310.75</v>
      </c>
      <c r="M78" s="55">
        <f>_xll.EQNXTDZ($A$1,$B78,M$1,$B$1)</f>
        <v>2206.59</v>
      </c>
      <c r="N78" s="55">
        <f>_xll.EQNXTDZ($A$1,$B78,N$1,$B$1)</f>
        <v>3694.12</v>
      </c>
      <c r="O78" s="55">
        <f>_xll.EQNXTDZ($A$1,$B78,O$1,$B$1)</f>
        <v>1989.89</v>
      </c>
      <c r="P78" s="55">
        <f>_xll.EQNXTDZ($A$1,$B78,P$1,$B$1)</f>
        <v>1555.01</v>
      </c>
      <c r="Q78" s="55">
        <f>_xll.EQNXTDZ($A$1,$B78,Q$1,$B$1)</f>
        <v>1483.45</v>
      </c>
      <c r="R78" s="55">
        <f>_xll.EQNXTDZ($A$1,$B78,R$1,$B$1)</f>
        <v>663.16</v>
      </c>
      <c r="S78" s="55">
        <f>_xll.EQNXTDZ($A$1,$B78,S$1,$B$1)</f>
        <v>954.3</v>
      </c>
      <c r="T78" s="55">
        <f>_xll.EQNXTDZ($A$1,$B78,T$1,$B$1)</f>
        <v>1185.78</v>
      </c>
      <c r="U78" s="55">
        <f>_xll.EQNXTDZ($A$1,$B78,U$1,$B$1)</f>
        <v>787.45</v>
      </c>
      <c r="V78" s="55">
        <f>_xll.EQNXTDZ($A$1,$B78,V$1,$B$1)</f>
        <v>2094.1799999999998</v>
      </c>
      <c r="W78" s="55">
        <f>_xll.EQNXTDZ($A$1,$B78,W$1,$B$1)</f>
        <v>5870.67</v>
      </c>
      <c r="X78" s="55">
        <f>_xll.EQNXTDZ($A$1,$B78,X$1,$B$1)</f>
        <v>6640.7</v>
      </c>
      <c r="Y78" s="55">
        <f>_xll.EQNXTDZ($A$1,$B78,Y$1,$B$1)</f>
        <v>11206.53</v>
      </c>
      <c r="Z78" s="55">
        <f>_xll.EQNXTDZ($A$1,$B78,Z$1,$B$1)</f>
        <v>9151.91</v>
      </c>
      <c r="AA78" s="55">
        <f>_xll.EQNXTDZ($A$1,$B78,AA$1,$B$1)</f>
        <v>11750.98</v>
      </c>
      <c r="AB78" s="55">
        <f>_xll.EQNXTDZ($A$1,$B78,AB$1,$B$1)</f>
        <v>13644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0.26685730000000002</v>
      </c>
      <c r="D79" s="55">
        <f>_xll.EQNXTDZ($A$1,$B79,D$1,$B$1)</f>
        <v>0.14000000000000001</v>
      </c>
      <c r="E79" s="55">
        <f>_xll.EQNXTDZ($A$1,$B79,E$1,$B$1)</f>
        <v>4.26</v>
      </c>
      <c r="F79" s="55">
        <f>_xll.EQNXTDZ($A$1,$B79,F$1,$B$1)</f>
        <v>12.89</v>
      </c>
      <c r="G79" s="55">
        <f>_xll.EQNXTDZ($A$1,$B79,G$1,$B$1)</f>
        <v>12.87</v>
      </c>
      <c r="H79" s="55">
        <f>_xll.EQNXTDZ($A$1,$B79,H$1,$B$1)</f>
        <v>18.11</v>
      </c>
      <c r="I79" s="55">
        <f>_xll.EQNXTDZ($A$1,$B79,I$1,$B$1)</f>
        <v>29.09</v>
      </c>
      <c r="J79" s="55">
        <f>_xll.EQNXTDZ($A$1,$B79,J$1,$B$1)</f>
        <v>60.31</v>
      </c>
      <c r="K79" s="55">
        <f>_xll.EQNXTDZ($A$1,$B79,K$1,$B$1)</f>
        <v>49.93</v>
      </c>
      <c r="L79" s="55">
        <f>_xll.EQNXTDZ($A$1,$B79,L$1,$B$1)</f>
        <v>336.65</v>
      </c>
      <c r="M79" s="55">
        <f>_xll.EQNXTDZ($A$1,$B79,M$1,$B$1)</f>
        <v>184.5</v>
      </c>
      <c r="N79" s="55">
        <f>_xll.EQNXTDZ($A$1,$B79,N$1,$B$1)</f>
        <v>315.55</v>
      </c>
      <c r="O79" s="55">
        <f>_xll.EQNXTDZ($A$1,$B79,O$1,$B$1)</f>
        <v>822.32</v>
      </c>
      <c r="P79" s="55">
        <f>_xll.EQNXTDZ($A$1,$B79,P$1,$B$1)</f>
        <v>1334.26</v>
      </c>
      <c r="Q79" s="55">
        <f>_xll.EQNXTDZ($A$1,$B79,Q$1,$B$1)</f>
        <v>1281</v>
      </c>
      <c r="R79" s="55">
        <f>_xll.EQNXTDZ($A$1,$B79,R$1,$B$1)</f>
        <v>969.56</v>
      </c>
      <c r="S79" s="55">
        <f>_xll.EQNXTDZ($A$1,$B79,S$1,$B$1)</f>
        <v>8178.26</v>
      </c>
      <c r="T79" s="55">
        <f>_xll.EQNXTDZ($A$1,$B79,T$1,$B$1)</f>
        <v>7601.86</v>
      </c>
      <c r="U79" s="55">
        <f>_xll.EQNXTDZ($A$1,$B79,U$1,$B$1)</f>
        <v>7334.23</v>
      </c>
      <c r="V79" s="55">
        <f>_xll.EQNXTDZ($A$1,$B79,V$1,$B$1)</f>
        <v>6979.1</v>
      </c>
      <c r="W79" s="55">
        <f>_xll.EQNXTDZ($A$1,$B79,W$1,$B$1)</f>
        <v>6639.05</v>
      </c>
      <c r="X79" s="55">
        <f>_xll.EQNXTDZ($A$1,$B79,X$1,$B$1)</f>
        <v>7454.58</v>
      </c>
      <c r="Y79" s="55">
        <f>_xll.EQNXTDZ($A$1,$B79,Y$1,$B$1)</f>
        <v>8989.92</v>
      </c>
      <c r="Z79" s="55">
        <f>_xll.EQNXTDZ($A$1,$B79,Z$1,$B$1)</f>
        <v>8854.8700000000008</v>
      </c>
      <c r="AA79" s="55">
        <f>_xll.EQNXTDZ($A$1,$B79,AA$1,$B$1)</f>
        <v>8088.89</v>
      </c>
      <c r="AB79" s="55">
        <f>_xll.EQNXTDZ($A$1,$B79,AB$1,$B$1)</f>
        <v>9536.9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598.40832599999999</v>
      </c>
      <c r="D80" s="55">
        <f>_xll.EQNXTDZ($A$1,$B80,D$1,$B$1)</f>
        <v>1151.78</v>
      </c>
      <c r="E80" s="55">
        <f>_xll.EQNXTDZ($A$1,$B80,E$1,$B$1)</f>
        <v>928.36</v>
      </c>
      <c r="F80" s="55">
        <f>_xll.EQNXTDZ($A$1,$B80,F$1,$B$1)</f>
        <v>426.25</v>
      </c>
      <c r="G80" s="55">
        <f>_xll.EQNXTDZ($A$1,$B80,G$1,$B$1)</f>
        <v>552.82000000000005</v>
      </c>
      <c r="H80" s="55">
        <f>_xll.EQNXTDZ($A$1,$B80,H$1,$B$1)</f>
        <v>453.62</v>
      </c>
      <c r="I80" s="55">
        <f>_xll.EQNXTDZ($A$1,$B80,I$1,$B$1)</f>
        <v>695.77</v>
      </c>
      <c r="J80" s="55">
        <f>_xll.EQNXTDZ($A$1,$B80,J$1,$B$1)</f>
        <v>1613.27</v>
      </c>
      <c r="K80" s="55">
        <f>_xll.EQNXTDZ($A$1,$B80,K$1,$B$1)</f>
        <v>2748.91</v>
      </c>
      <c r="L80" s="55">
        <f>_xll.EQNXTDZ($A$1,$B80,L$1,$B$1)</f>
        <v>2185.35</v>
      </c>
      <c r="M80" s="55">
        <f>_xll.EQNXTDZ($A$1,$B80,M$1,$B$1)</f>
        <v>1813.93</v>
      </c>
      <c r="N80" s="55">
        <f>_xll.EQNXTDZ($A$1,$B80,N$1,$B$1)</f>
        <v>2726.9</v>
      </c>
      <c r="O80" s="55">
        <f>_xll.EQNXTDZ($A$1,$B80,O$1,$B$1)</f>
        <v>3528.99</v>
      </c>
      <c r="P80" s="55">
        <f>_xll.EQNXTDZ($A$1,$B80,P$1,$B$1)</f>
        <v>3515.19</v>
      </c>
      <c r="Q80" s="55">
        <f>_xll.EQNXTDZ($A$1,$B80,Q$1,$B$1)</f>
        <v>4120.82</v>
      </c>
      <c r="R80" s="55">
        <f>_xll.EQNXTDZ($A$1,$B80,R$1,$B$1)</f>
        <v>1779.66</v>
      </c>
      <c r="S80" s="55">
        <f>_xll.EQNXTDZ($A$1,$B80,S$1,$B$1)</f>
        <v>2244.0100000000002</v>
      </c>
      <c r="T80" s="55">
        <f>_xll.EQNXTDZ($A$1,$B80,T$1,$B$1)</f>
        <v>2260.54</v>
      </c>
      <c r="U80" s="55">
        <f>_xll.EQNXTDZ($A$1,$B80,U$1,$B$1)</f>
        <v>1512.94</v>
      </c>
      <c r="V80" s="55">
        <f>_xll.EQNXTDZ($A$1,$B80,V$1,$B$1)</f>
        <v>1550.61</v>
      </c>
      <c r="W80" s="55">
        <f>_xll.EQNXTDZ($A$1,$B80,W$1,$B$1)</f>
        <v>2467.2600000000002</v>
      </c>
      <c r="X80" s="55">
        <f>_xll.EQNXTDZ($A$1,$B80,X$1,$B$1)</f>
        <v>3678.94</v>
      </c>
      <c r="Y80" s="55">
        <f>_xll.EQNXTDZ($A$1,$B80,Y$1,$B$1)</f>
        <v>3983.98</v>
      </c>
      <c r="Z80" s="55">
        <f>_xll.EQNXTDZ($A$1,$B80,Z$1,$B$1)</f>
        <v>4257.0600000000004</v>
      </c>
      <c r="AA80" s="55">
        <f>_xll.EQNXTDZ($A$1,$B80,AA$1,$B$1)</f>
        <v>4496.37</v>
      </c>
      <c r="AB80" s="55">
        <f>_xll.EQNXTDZ($A$1,$B80,AB$1,$B$1)</f>
        <v>4641.88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1122.24</v>
      </c>
      <c r="S81" s="55">
        <f>_xll.EQNXTDZ($A$1,$B81,S$1,$B$1)</f>
        <v>1919.47</v>
      </c>
      <c r="T81" s="55">
        <f>_xll.EQNXTDZ($A$1,$B81,T$1,$B$1)</f>
        <v>4778.7</v>
      </c>
      <c r="U81" s="55">
        <f>_xll.EQNXTDZ($A$1,$B81,U$1,$B$1)</f>
        <v>5102.68</v>
      </c>
      <c r="V81" s="55">
        <f>_xll.EQNXTDZ($A$1,$B81,V$1,$B$1)</f>
        <v>6253.06</v>
      </c>
      <c r="W81" s="55">
        <f>_xll.EQNXTDZ($A$1,$B81,W$1,$B$1)</f>
        <v>3047.46</v>
      </c>
      <c r="X81" s="55">
        <f>_xll.EQNXTDZ($A$1,$B81,X$1,$B$1)</f>
        <v>3046.83</v>
      </c>
      <c r="Y81" s="55">
        <f>_xll.EQNXTDZ($A$1,$B81,Y$1,$B$1)</f>
        <v>3299.94</v>
      </c>
      <c r="Z81" s="55">
        <f>_xll.EQNXTDZ($A$1,$B81,Z$1,$B$1)</f>
        <v>1200.99</v>
      </c>
      <c r="AA81" s="55">
        <f>_xll.EQNXTDZ($A$1,$B81,AA$1,$B$1)</f>
        <v>1145.21</v>
      </c>
      <c r="AB81" s="55">
        <f>_xll.EQNXTDZ($A$1,$B81,AB$1,$B$1)</f>
        <v>1153.75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2543.4234283999999</v>
      </c>
      <c r="D82" s="55">
        <f>_xll.EQNXTDZ($A$1,$B82,D$1,$B$1)</f>
        <v>2794.82</v>
      </c>
      <c r="E82" s="55">
        <f>_xll.EQNXTDZ($A$1,$B82,E$1,$B$1)</f>
        <v>2506.21</v>
      </c>
      <c r="F82" s="55">
        <f>_xll.EQNXTDZ($A$1,$B82,F$1,$B$1)</f>
        <v>1866.85</v>
      </c>
      <c r="G82" s="55">
        <f>_xll.EQNXTDZ($A$1,$B82,G$1,$B$1)</f>
        <v>3778.37</v>
      </c>
      <c r="H82" s="55">
        <f>_xll.EQNXTDZ($A$1,$B82,H$1,$B$1)</f>
        <v>3869.25</v>
      </c>
      <c r="I82" s="55">
        <f>_xll.EQNXTDZ($A$1,$B82,I$1,$B$1)</f>
        <v>4767.38</v>
      </c>
      <c r="J82" s="55">
        <f>_xll.EQNXTDZ($A$1,$B82,J$1,$B$1)</f>
        <v>5599.03</v>
      </c>
      <c r="K82" s="55">
        <f>_xll.EQNXTDZ($A$1,$B82,K$1,$B$1)</f>
        <v>8568.1200000000008</v>
      </c>
      <c r="L82" s="55">
        <f>_xll.EQNXTDZ($A$1,$B82,L$1,$B$1)</f>
        <v>10059.200000000001</v>
      </c>
      <c r="M82" s="55">
        <f>_xll.EQNXTDZ($A$1,$B82,M$1,$B$1)</f>
        <v>7234.48</v>
      </c>
      <c r="N82" s="55">
        <f>_xll.EQNXTDZ($A$1,$B82,N$1,$B$1)</f>
        <v>11470.09</v>
      </c>
      <c r="O82" s="55">
        <f>_xll.EQNXTDZ($A$1,$B82,O$1,$B$1)</f>
        <v>12150.12</v>
      </c>
      <c r="P82" s="55">
        <f>_xll.EQNXTDZ($A$1,$B82,P$1,$B$1)</f>
        <v>13360.88</v>
      </c>
      <c r="Q82" s="55">
        <f>_xll.EQNXTDZ($A$1,$B82,Q$1,$B$1)</f>
        <v>14898.96</v>
      </c>
      <c r="R82" s="55">
        <f>_xll.EQNXTDZ($A$1,$B82,R$1,$B$1)</f>
        <v>8661.9699999999993</v>
      </c>
      <c r="S82" s="55">
        <f>_xll.EQNXTDZ($A$1,$B82,S$1,$B$1)</f>
        <v>17906.03</v>
      </c>
      <c r="T82" s="55">
        <f>_xll.EQNXTDZ($A$1,$B82,T$1,$B$1)</f>
        <v>15896.35</v>
      </c>
      <c r="U82" s="55">
        <f>_xll.EQNXTDZ($A$1,$B82,U$1,$B$1)</f>
        <v>15953.28</v>
      </c>
      <c r="V82" s="55">
        <f>_xll.EQNXTDZ($A$1,$B82,V$1,$B$1)</f>
        <v>17501.650000000001</v>
      </c>
      <c r="W82" s="55">
        <f>_xll.EQNXTDZ($A$1,$B82,W$1,$B$1)</f>
        <v>22562.22</v>
      </c>
      <c r="X82" s="55">
        <f>_xll.EQNXTDZ($A$1,$B82,X$1,$B$1)</f>
        <v>28396</v>
      </c>
      <c r="Y82" s="55">
        <f>_xll.EQNXTDZ($A$1,$B82,Y$1,$B$1)</f>
        <v>36225.06</v>
      </c>
      <c r="Z82" s="55">
        <f>_xll.EQNXTDZ($A$1,$B82,Z$1,$B$1)</f>
        <v>35563.050000000003</v>
      </c>
      <c r="AA82" s="55">
        <f>_xll.EQNXTDZ($A$1,$B82,AA$1,$B$1)</f>
        <v>35920.26</v>
      </c>
      <c r="AB82" s="55">
        <f>_xll.EQNXTDZ($A$1,$B82,AB$1,$B$1)</f>
        <v>38710.5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55.462655499999997</v>
      </c>
      <c r="D83" s="55">
        <f>_xll.EQNXTDZ($A$1,$B83,D$1,$B$1)</f>
        <v>42.38</v>
      </c>
      <c r="E83" s="55">
        <f>_xll.EQNXTDZ($A$1,$B83,E$1,$B$1)</f>
        <v>36.659999999999997</v>
      </c>
      <c r="F83" s="55">
        <f>_xll.EQNXTDZ($A$1,$B83,F$1,$B$1)</f>
        <v>58.39</v>
      </c>
      <c r="G83" s="55">
        <f>_xll.EQNXTDZ($A$1,$B83,G$1,$B$1)</f>
        <v>50.57</v>
      </c>
      <c r="H83" s="55">
        <f>_xll.EQNXTDZ($A$1,$B83,H$1,$B$1)</f>
        <v>28.92</v>
      </c>
      <c r="I83" s="55">
        <f>_xll.EQNXTDZ($A$1,$B83,I$1,$B$1)</f>
        <v>6.24</v>
      </c>
      <c r="J83" s="55">
        <f>_xll.EQNXTDZ($A$1,$B83,J$1,$B$1)</f>
        <v>2.4900000000000002</v>
      </c>
      <c r="K83" s="55">
        <f>_xll.EQNXTDZ($A$1,$B83,K$1,$B$1)</f>
        <v>0.79</v>
      </c>
      <c r="L83" s="55">
        <f>_xll.EQNXTDZ($A$1,$B83,L$1,$B$1)</f>
        <v>389.55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7680.4266208999998</v>
      </c>
      <c r="D84" s="55">
        <f>_xll.EQNXTDZ($A$1,$B84,D$1,$B$1)</f>
        <v>8551.1200000000008</v>
      </c>
      <c r="E84" s="55">
        <f>_xll.EQNXTDZ($A$1,$B84,E$1,$B$1)</f>
        <v>8818.66</v>
      </c>
      <c r="F84" s="55">
        <f>_xll.EQNXTDZ($A$1,$B84,F$1,$B$1)</f>
        <v>8217.66</v>
      </c>
      <c r="G84" s="55">
        <f>_xll.EQNXTDZ($A$1,$B84,G$1,$B$1)</f>
        <v>10410.1</v>
      </c>
      <c r="H84" s="55">
        <f>_xll.EQNXTDZ($A$1,$B84,H$1,$B$1)</f>
        <v>11664.17</v>
      </c>
      <c r="I84" s="55">
        <f>_xll.EQNXTDZ($A$1,$B84,I$1,$B$1)</f>
        <v>13721.35</v>
      </c>
      <c r="J84" s="55">
        <f>_xll.EQNXTDZ($A$1,$B84,J$1,$B$1)</f>
        <v>22638.53</v>
      </c>
      <c r="K84" s="55">
        <f>_xll.EQNXTDZ($A$1,$B84,K$1,$B$1)</f>
        <v>31845.03</v>
      </c>
      <c r="L84" s="55">
        <f>_xll.EQNXTDZ($A$1,$B84,L$1,$B$1)</f>
        <v>39902.14</v>
      </c>
      <c r="M84" s="55">
        <f>_xll.EQNXTDZ($A$1,$B84,M$1,$B$1)</f>
        <v>50336.94</v>
      </c>
      <c r="N84" s="55">
        <f>_xll.EQNXTDZ($A$1,$B84,N$1,$B$1)</f>
        <v>61603.78</v>
      </c>
      <c r="O84" s="55">
        <f>_xll.EQNXTDZ($A$1,$B84,O$1,$B$1)</f>
        <v>67256.53</v>
      </c>
      <c r="P84" s="55">
        <f>_xll.EQNXTDZ($A$1,$B84,P$1,$B$1)</f>
        <v>71383.3</v>
      </c>
      <c r="Q84" s="55">
        <f>_xll.EQNXTDZ($A$1,$B84,Q$1,$B$1)</f>
        <v>75185.34</v>
      </c>
      <c r="R84" s="55">
        <f>_xll.EQNXTDZ($A$1,$B84,R$1,$B$1)</f>
        <v>70056.509999999995</v>
      </c>
      <c r="S84" s="55">
        <f>_xll.EQNXTDZ($A$1,$B84,S$1,$B$1)</f>
        <v>82829.259999999995</v>
      </c>
      <c r="T84" s="55">
        <f>_xll.EQNXTDZ($A$1,$B84,T$1,$B$1)</f>
        <v>81891.8</v>
      </c>
      <c r="U84" s="55">
        <f>_xll.EQNXTDZ($A$1,$B84,U$1,$B$1)</f>
        <v>84073.44</v>
      </c>
      <c r="V84" s="55">
        <f>_xll.EQNXTDZ($A$1,$B84,V$1,$B$1)</f>
        <v>89673.91</v>
      </c>
      <c r="W84" s="55">
        <f>_xll.EQNXTDZ($A$1,$B84,W$1,$B$1)</f>
        <v>98654.84</v>
      </c>
      <c r="X84" s="55">
        <f>_xll.EQNXTDZ($A$1,$B84,X$1,$B$1)</f>
        <v>112549.99</v>
      </c>
      <c r="Y84" s="55">
        <f>_xll.EQNXTDZ($A$1,$B84,Y$1,$B$1)</f>
        <v>128096.14</v>
      </c>
      <c r="Z84" s="55">
        <f>_xll.EQNXTDZ($A$1,$B84,Z$1,$B$1)</f>
        <v>139054.39999999999</v>
      </c>
      <c r="AA84" s="55">
        <f>_xll.EQNXTDZ($A$1,$B84,AA$1,$B$1)</f>
        <v>156193.29999999999</v>
      </c>
      <c r="AB84" s="55">
        <f>_xll.EQNXTDZ($A$1,$B84,AB$1,$B$1)</f>
        <v>174564.24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1.792868E-3</v>
      </c>
      <c r="D85" s="55">
        <f>_xll.EQNXTDZ($A$1,$B85,D$1,$B$1)</f>
        <v>191.29</v>
      </c>
      <c r="E85" s="55">
        <f>_xll.EQNXTDZ($A$1,$B85,E$1,$B$1)</f>
        <v>191.71</v>
      </c>
      <c r="F85" s="55">
        <f>_xll.EQNXTDZ($A$1,$B85,F$1,$B$1)</f>
        <v>297.3</v>
      </c>
      <c r="G85" s="55">
        <f>_xll.EQNXTDZ($A$1,$B85,G$1,$B$1)</f>
        <v>295.14</v>
      </c>
      <c r="H85" s="55">
        <f>_xll.EQNXTDZ($A$1,$B85,H$1,$B$1)</f>
        <v>867.67</v>
      </c>
      <c r="I85" s="55">
        <f>_xll.EQNXTDZ($A$1,$B85,I$1,$B$1)</f>
        <v>859.67</v>
      </c>
      <c r="J85" s="55">
        <f>_xll.EQNXTDZ($A$1,$B85,J$1,$B$1)</f>
        <v>1101.28</v>
      </c>
      <c r="K85" s="55">
        <f>_xll.EQNXTDZ($A$1,$B85,K$1,$B$1)</f>
        <v>1787.75</v>
      </c>
      <c r="L85" s="55">
        <f>_xll.EQNXTDZ($A$1,$B85,L$1,$B$1)</f>
        <v>2245.6799999999998</v>
      </c>
      <c r="M85" s="55">
        <f>_xll.EQNXTDZ($A$1,$B85,M$1,$B$1)</f>
        <v>1955.17</v>
      </c>
      <c r="N85" s="55">
        <f>_xll.EQNXTDZ($A$1,$B85,N$1,$B$1)</f>
        <v>2277.79</v>
      </c>
      <c r="O85" s="55">
        <f>_xll.EQNXTDZ($A$1,$B85,O$1,$B$1)</f>
        <v>3397.43</v>
      </c>
      <c r="P85" s="55">
        <f>_xll.EQNXTDZ($A$1,$B85,P$1,$B$1)</f>
        <v>2676.02</v>
      </c>
      <c r="Q85" s="55">
        <f>_xll.EQNXTDZ($A$1,$B85,Q$1,$B$1)</f>
        <v>3554.29</v>
      </c>
      <c r="R85" s="55">
        <f>_xll.EQNXTDZ($A$1,$B85,R$1,$B$1)</f>
        <v>8801.66</v>
      </c>
      <c r="S85" s="55">
        <f>_xll.EQNXTDZ($A$1,$B85,S$1,$B$1)</f>
        <v>5260.24</v>
      </c>
      <c r="T85" s="55">
        <f>_xll.EQNXTDZ($A$1,$B85,T$1,$B$1)</f>
        <v>4717.04</v>
      </c>
      <c r="U85" s="55">
        <f>_xll.EQNXTDZ($A$1,$B85,U$1,$B$1)</f>
        <v>3255.36</v>
      </c>
      <c r="V85" s="55">
        <f>_xll.EQNXTDZ($A$1,$B85,V$1,$B$1)</f>
        <v>2336.89</v>
      </c>
      <c r="W85" s="55">
        <f>_xll.EQNXTDZ($A$1,$B85,W$1,$B$1)</f>
        <v>3550.08</v>
      </c>
      <c r="X85" s="55">
        <f>_xll.EQNXTDZ($A$1,$B85,X$1,$B$1)</f>
        <v>3645.72</v>
      </c>
      <c r="Y85" s="55">
        <f>_xll.EQNXTDZ($A$1,$B85,Y$1,$B$1)</f>
        <v>4979.43</v>
      </c>
      <c r="Z85" s="55">
        <f>_xll.EQNXTDZ($A$1,$B85,Z$1,$B$1)</f>
        <v>4910.2299999999996</v>
      </c>
      <c r="AA85" s="55">
        <f>_xll.EQNXTDZ($A$1,$B85,AA$1,$B$1)</f>
        <v>4850.5200000000004</v>
      </c>
      <c r="AB85" s="55">
        <f>_xll.EQNXTDZ($A$1,$B85,AB$1,$B$1)</f>
        <v>4295.13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91.99</v>
      </c>
      <c r="E86" s="55">
        <f>_xll.EQNXTDZ($A$1,$B86,E$1,$B$1)</f>
        <v>67.86</v>
      </c>
      <c r="F86" s="55">
        <f>_xll.EQNXTDZ($A$1,$B86,F$1,$B$1)</f>
        <v>43.73</v>
      </c>
      <c r="G86" s="55">
        <f>_xll.EQNXTDZ($A$1,$B86,G$1,$B$1)</f>
        <v>6.46</v>
      </c>
      <c r="H86" s="55">
        <f>_xll.EQNXTDZ($A$1,$B86,H$1,$B$1)</f>
        <v>5.75</v>
      </c>
      <c r="I86" s="55">
        <f>_xll.EQNXTDZ($A$1,$B86,I$1,$B$1)</f>
        <v>4.1500000000000004</v>
      </c>
      <c r="J86" s="55">
        <f>_xll.EQNXTDZ($A$1,$B86,J$1,$B$1)</f>
        <v>4214.49</v>
      </c>
      <c r="K86" s="55">
        <f>_xll.EQNXTDZ($A$1,$B86,K$1,$B$1)</f>
        <v>4831.6000000000004</v>
      </c>
      <c r="L86" s="55">
        <f>_xll.EQNXTDZ($A$1,$B86,L$1,$B$1)</f>
        <v>4274.41</v>
      </c>
      <c r="M86" s="55">
        <f>_xll.EQNXTDZ($A$1,$B86,M$1,$B$1)</f>
        <v>4228.08</v>
      </c>
      <c r="N86" s="55">
        <f>_xll.EQNXTDZ($A$1,$B86,N$1,$B$1)</f>
        <v>4844.3999999999996</v>
      </c>
      <c r="O86" s="55">
        <f>_xll.EQNXTDZ($A$1,$B86,O$1,$B$1)</f>
        <v>5724.14</v>
      </c>
      <c r="P86" s="55">
        <f>_xll.EQNXTDZ($A$1,$B86,P$1,$B$1)</f>
        <v>6332.04</v>
      </c>
      <c r="Q86" s="55">
        <f>_xll.EQNXTDZ($A$1,$B86,Q$1,$B$1)</f>
        <v>6625.76</v>
      </c>
      <c r="R86" s="55">
        <f>_xll.EQNXTDZ($A$1,$B86,R$1,$B$1)</f>
        <v>5.54</v>
      </c>
      <c r="S86" s="55">
        <f>_xll.EQNXTDZ($A$1,$B86,S$1,$B$1)</f>
        <v>1653.57</v>
      </c>
      <c r="T86" s="55">
        <f>_xll.EQNXTDZ($A$1,$B86,T$1,$B$1)</f>
        <v>1641.57</v>
      </c>
      <c r="U86" s="55">
        <f>_xll.EQNXTDZ($A$1,$B86,U$1,$B$1)</f>
        <v>1641.57</v>
      </c>
      <c r="V86" s="55">
        <f>_xll.EQNXTDZ($A$1,$B86,V$1,$B$1)</f>
        <v>1641.57</v>
      </c>
      <c r="W86" s="55">
        <f>_xll.EQNXTDZ($A$1,$B86,W$1,$B$1)</f>
        <v>1794.57</v>
      </c>
      <c r="X86" s="55">
        <f>_xll.EQNXTDZ($A$1,$B86,X$1,$B$1)</f>
        <v>1858.31</v>
      </c>
      <c r="Y86" s="55">
        <f>_xll.EQNXTDZ($A$1,$B86,Y$1,$B$1)</f>
        <v>1858.31</v>
      </c>
      <c r="Z86" s="55">
        <f>_xll.EQNXTDZ($A$1,$B86,Z$1,$B$1)</f>
        <v>1757.46</v>
      </c>
      <c r="AA86" s="55">
        <f>_xll.EQNXTDZ($A$1,$B86,AA$1,$B$1)</f>
        <v>1651.46</v>
      </c>
      <c r="AB86" s="55">
        <f>_xll.EQNXTDZ($A$1,$B86,AB$1,$B$1)</f>
        <v>1651.46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41</v>
      </c>
      <c r="N87" s="55">
        <f>_xll.EQNXTDZ($A$1,$B87,N$1,$B$1)</f>
        <v>41</v>
      </c>
      <c r="O87" s="55">
        <f>_xll.EQNXTDZ($A$1,$B87,O$1,$B$1)</f>
        <v>221</v>
      </c>
      <c r="P87" s="55">
        <f>_xll.EQNXTDZ($A$1,$B87,P$1,$B$1)</f>
        <v>281</v>
      </c>
      <c r="Q87" s="55">
        <f>_xll.EQNXTDZ($A$1,$B87,Q$1,$B$1)</f>
        <v>221</v>
      </c>
      <c r="R87" s="55">
        <f>_xll.EQNXTDZ($A$1,$B87,R$1,$B$1)</f>
        <v>41.02</v>
      </c>
      <c r="S87" s="55">
        <f>_xll.EQNXTDZ($A$1,$B87,S$1,$B$1)</f>
        <v>4926.99</v>
      </c>
      <c r="T87" s="55">
        <f>_xll.EQNXTDZ($A$1,$B87,T$1,$B$1)</f>
        <v>2916</v>
      </c>
      <c r="U87" s="55">
        <f>_xll.EQNXTDZ($A$1,$B87,U$1,$B$1)</f>
        <v>541</v>
      </c>
      <c r="V87" s="55">
        <f>_xll.EQNXTDZ($A$1,$B87,V$1,$B$1)</f>
        <v>457.25</v>
      </c>
      <c r="W87" s="55">
        <f>_xll.EQNXTDZ($A$1,$B87,W$1,$B$1)</f>
        <v>2186.06</v>
      </c>
      <c r="X87" s="55">
        <f>_xll.EQNXTDZ($A$1,$B87,X$1,$B$1)</f>
        <v>3014.61</v>
      </c>
      <c r="Y87" s="55">
        <f>_xll.EQNXTDZ($A$1,$B87,Y$1,$B$1)</f>
        <v>5512.1</v>
      </c>
      <c r="Z87" s="55">
        <f>_xll.EQNXTDZ($A$1,$B87,Z$1,$B$1)</f>
        <v>1450.24</v>
      </c>
      <c r="AA87" s="55">
        <f>_xll.EQNXTDZ($A$1,$B87,AA$1,$B$1)</f>
        <v>882.51</v>
      </c>
      <c r="AB87" s="55">
        <f>_xll.EQNXTDZ($A$1,$B87,AB$1,$B$1)</f>
        <v>359.76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964.64</v>
      </c>
      <c r="N88" s="55">
        <f>_xll.EQNXTDZ($A$1,$B88,N$1,$B$1)</f>
        <v>1745.34</v>
      </c>
      <c r="O88" s="55">
        <f>_xll.EQNXTDZ($A$1,$B88,O$1,$B$1)</f>
        <v>2353.5</v>
      </c>
      <c r="P88" s="55">
        <f>_xll.EQNXTDZ($A$1,$B88,P$1,$B$1)</f>
        <v>2769.81</v>
      </c>
      <c r="Q88" s="55">
        <f>_xll.EQNXTDZ($A$1,$B88,Q$1,$B$1)</f>
        <v>3253.53</v>
      </c>
      <c r="R88" s="55">
        <f>_xll.EQNXTDZ($A$1,$B88,R$1,$B$1)</f>
        <v>1804.78</v>
      </c>
      <c r="S88" s="55">
        <f>_xll.EQNXTDZ($A$1,$B88,S$1,$B$1)</f>
        <v>2465.67</v>
      </c>
      <c r="T88" s="55">
        <f>_xll.EQNXTDZ($A$1,$B88,T$1,$B$1)</f>
        <v>4489.6499999999996</v>
      </c>
      <c r="U88" s="55">
        <f>_xll.EQNXTDZ($A$1,$B88,U$1,$B$1)</f>
        <v>2950.43</v>
      </c>
      <c r="V88" s="55">
        <f>_xll.EQNXTDZ($A$1,$B88,V$1,$B$1)</f>
        <v>3379.18</v>
      </c>
      <c r="W88" s="55">
        <f>_xll.EQNXTDZ($A$1,$B88,W$1,$B$1)</f>
        <v>2503.61</v>
      </c>
      <c r="X88" s="55">
        <f>_xll.EQNXTDZ($A$1,$B88,X$1,$B$1)</f>
        <v>4870.67</v>
      </c>
      <c r="Y88" s="55">
        <f>_xll.EQNXTDZ($A$1,$B88,Y$1,$B$1)</f>
        <v>3552.69</v>
      </c>
      <c r="Z88" s="55">
        <f>_xll.EQNXTDZ($A$1,$B88,Z$1,$B$1)</f>
        <v>5638.11</v>
      </c>
      <c r="AA88" s="55">
        <f>_xll.EQNXTDZ($A$1,$B88,AA$1,$B$1)</f>
        <v>8637.09</v>
      </c>
      <c r="AB88" s="55">
        <f>_xll.EQNXTDZ($A$1,$B88,AB$1,$B$1)</f>
        <v>5645.7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1796.7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137.35</v>
      </c>
      <c r="N90" s="55">
        <f>_xll.EQNXTDZ($A$1,$B90,N$1,$B$1)</f>
        <v>153.63</v>
      </c>
      <c r="O90" s="55">
        <f>_xll.EQNXTDZ($A$1,$B90,O$1,$B$1)</f>
        <v>161.27000000000001</v>
      </c>
      <c r="P90" s="55">
        <f>_xll.EQNXTDZ($A$1,$B90,P$1,$B$1)</f>
        <v>148.31</v>
      </c>
      <c r="Q90" s="55">
        <f>_xll.EQNXTDZ($A$1,$B90,Q$1,$B$1)</f>
        <v>152.47999999999999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120.65</v>
      </c>
      <c r="E91" s="55">
        <f>_xll.EQNXTDZ($A$1,$B91,E$1,$B$1)</f>
        <v>120.65</v>
      </c>
      <c r="F91" s="55">
        <f>_xll.EQNXTDZ($A$1,$B91,F$1,$B$1)</f>
        <v>120.65</v>
      </c>
      <c r="G91" s="55">
        <f>_xll.EQNXTDZ($A$1,$B91,G$1,$B$1)</f>
        <v>18</v>
      </c>
      <c r="H91" s="55">
        <f>_xll.EQNXTDZ($A$1,$B91,H$1,$B$1)</f>
        <v>12.59</v>
      </c>
      <c r="I91" s="55">
        <f>_xll.EQNXTDZ($A$1,$B91,I$1,$B$1)</f>
        <v>12.59</v>
      </c>
      <c r="J91" s="55">
        <f>_xll.EQNXTDZ($A$1,$B91,J$1,$B$1)</f>
        <v>4214.49</v>
      </c>
      <c r="K91" s="55">
        <f>_xll.EQNXTDZ($A$1,$B91,K$1,$B$1)</f>
        <v>4831.6000000000004</v>
      </c>
      <c r="L91" s="55">
        <f>_xll.EQNXTDZ($A$1,$B91,L$1,$B$1)</f>
        <v>4274.41</v>
      </c>
      <c r="M91" s="55">
        <f>_xll.EQNXTDZ($A$1,$B91,M$1,$B$1)</f>
        <v>4228.08</v>
      </c>
      <c r="N91" s="55">
        <f>_xll.EQNXTDZ($A$1,$B91,N$1,$B$1)</f>
        <v>4844.3999999999996</v>
      </c>
      <c r="O91" s="55">
        <f>_xll.EQNXTDZ($A$1,$B91,O$1,$B$1)</f>
        <v>5724.14</v>
      </c>
      <c r="P91" s="55">
        <f>_xll.EQNXTDZ($A$1,$B91,P$1,$B$1)</f>
        <v>6332.04</v>
      </c>
      <c r="Q91" s="55">
        <f>_xll.EQNXTDZ($A$1,$B91,Q$1,$B$1)</f>
        <v>6625.76</v>
      </c>
      <c r="R91" s="55">
        <f>_xll.EQNXTDZ($A$1,$B91,R$1,$B$1)</f>
        <v>5.54</v>
      </c>
      <c r="S91" s="55">
        <f>_xll.EQNXTDZ($A$1,$B91,S$1,$B$1)</f>
        <v>1653.57</v>
      </c>
      <c r="T91" s="55">
        <f>_xll.EQNXTDZ($A$1,$B91,T$1,$B$1)</f>
        <v>1641.57</v>
      </c>
      <c r="U91" s="55">
        <f>_xll.EQNXTDZ($A$1,$B91,U$1,$B$1)</f>
        <v>1641.57</v>
      </c>
      <c r="V91" s="55">
        <f>_xll.EQNXTDZ($A$1,$B91,V$1,$B$1)</f>
        <v>1641.57</v>
      </c>
      <c r="W91" s="55">
        <f>_xll.EQNXTDZ($A$1,$B91,W$1,$B$1)</f>
        <v>1794.57</v>
      </c>
      <c r="X91" s="55">
        <f>_xll.EQNXTDZ($A$1,$B91,X$1,$B$1)</f>
        <v>1858.31</v>
      </c>
      <c r="Y91" s="55">
        <f>_xll.EQNXTDZ($A$1,$B91,Y$1,$B$1)</f>
        <v>1858.31</v>
      </c>
      <c r="Z91" s="55">
        <f>_xll.EQNXTDZ($A$1,$B91,Z$1,$B$1)</f>
        <v>1757.46</v>
      </c>
      <c r="AA91" s="55">
        <f>_xll.EQNXTDZ($A$1,$B91,AA$1,$B$1)</f>
        <v>1651.46</v>
      </c>
      <c r="AB91" s="55">
        <f>_xll.EQNXTDZ($A$1,$B91,AB$1,$B$1)</f>
        <v>1651.46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28.66</v>
      </c>
      <c r="E92" s="55">
        <f>_xll.EQNXTDZ($A$1,$B92,E$1,$B$1)</f>
        <v>52.79</v>
      </c>
      <c r="F92" s="55">
        <f>_xll.EQNXTDZ($A$1,$B92,F$1,$B$1)</f>
        <v>76.92</v>
      </c>
      <c r="G92" s="55">
        <f>_xll.EQNXTDZ($A$1,$B92,G$1,$B$1)</f>
        <v>11.54</v>
      </c>
      <c r="H92" s="55">
        <f>_xll.EQNXTDZ($A$1,$B92,H$1,$B$1)</f>
        <v>6.84</v>
      </c>
      <c r="I92" s="55">
        <f>_xll.EQNXTDZ($A$1,$B92,I$1,$B$1)</f>
        <v>8.44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1.792868E-3</v>
      </c>
      <c r="D93" s="55">
        <f>_xll.EQNXTDZ($A$1,$B93,D$1,$B$1)</f>
        <v>185.29</v>
      </c>
      <c r="E93" s="55">
        <f>_xll.EQNXTDZ($A$1,$B93,E$1,$B$1)</f>
        <v>191.71</v>
      </c>
      <c r="F93" s="55">
        <f>_xll.EQNXTDZ($A$1,$B93,F$1,$B$1)</f>
        <v>237.13</v>
      </c>
      <c r="G93" s="55">
        <f>_xll.EQNXTDZ($A$1,$B93,G$1,$B$1)</f>
        <v>284.25</v>
      </c>
      <c r="H93" s="55">
        <f>_xll.EQNXTDZ($A$1,$B93,H$1,$B$1)</f>
        <v>260.27999999999997</v>
      </c>
      <c r="I93" s="55">
        <f>_xll.EQNXTDZ($A$1,$B93,I$1,$B$1)</f>
        <v>309.67</v>
      </c>
      <c r="J93" s="55">
        <f>_xll.EQNXTDZ($A$1,$B93,J$1,$B$1)</f>
        <v>551.28</v>
      </c>
      <c r="K93" s="55">
        <f>_xll.EQNXTDZ($A$1,$B93,K$1,$B$1)</f>
        <v>1487.75</v>
      </c>
      <c r="L93" s="55">
        <f>_xll.EQNXTDZ($A$1,$B93,L$1,$B$1)</f>
        <v>1401.75</v>
      </c>
      <c r="M93" s="55">
        <f>_xll.EQNXTDZ($A$1,$B93,M$1,$B$1)</f>
        <v>1569.18</v>
      </c>
      <c r="N93" s="55">
        <f>_xll.EQNXTDZ($A$1,$B93,N$1,$B$1)</f>
        <v>2277.79</v>
      </c>
      <c r="O93" s="55">
        <f>_xll.EQNXTDZ($A$1,$B93,O$1,$B$1)</f>
        <v>3397.43</v>
      </c>
      <c r="P93" s="55">
        <f>_xll.EQNXTDZ($A$1,$B93,P$1,$B$1)</f>
        <v>2676.02</v>
      </c>
      <c r="Q93" s="55">
        <f>_xll.EQNXTDZ($A$1,$B93,Q$1,$B$1)</f>
        <v>3554.29</v>
      </c>
      <c r="R93" s="55">
        <f>_xll.EQNXTDZ($A$1,$B93,R$1,$B$1)</f>
        <v>8723.32</v>
      </c>
      <c r="S93" s="55">
        <f>_xll.EQNXTDZ($A$1,$B93,S$1,$B$1)</f>
        <v>5228.62</v>
      </c>
      <c r="T93" s="55">
        <f>_xll.EQNXTDZ($A$1,$B93,T$1,$B$1)</f>
        <v>4717.04</v>
      </c>
      <c r="U93" s="55">
        <f>_xll.EQNXTDZ($A$1,$B93,U$1,$B$1)</f>
        <v>3255.36</v>
      </c>
      <c r="V93" s="55">
        <f>_xll.EQNXTDZ($A$1,$B93,V$1,$B$1)</f>
        <v>2336.89</v>
      </c>
      <c r="W93" s="55">
        <f>_xll.EQNXTDZ($A$1,$B93,W$1,$B$1)</f>
        <v>3550.08</v>
      </c>
      <c r="X93" s="55">
        <f>_xll.EQNXTDZ($A$1,$B93,X$1,$B$1)</f>
        <v>3645.72</v>
      </c>
      <c r="Y93" s="55">
        <f>_xll.EQNXTDZ($A$1,$B93,Y$1,$B$1)</f>
        <v>4979.43</v>
      </c>
      <c r="Z93" s="55">
        <f>_xll.EQNXTDZ($A$1,$B93,Z$1,$B$1)</f>
        <v>4910.2299999999996</v>
      </c>
      <c r="AA93" s="55">
        <f>_xll.EQNXTDZ($A$1,$B93,AA$1,$B$1)</f>
        <v>4850.5200000000004</v>
      </c>
      <c r="AB93" s="55">
        <f>_xll.EQNXTDZ($A$1,$B93,AB$1,$B$1)</f>
        <v>4295.13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56.93</v>
      </c>
      <c r="M94" s="55">
        <f>_xll.EQNXTDZ($A$1,$B94,M$1,$B$1)</f>
        <v>31.99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0.02</v>
      </c>
      <c r="G95" s="55">
        <f>_xll.EQNXTDZ($A$1,$B95,G$1,$B$1)</f>
        <v>0.16</v>
      </c>
      <c r="H95" s="55">
        <f>_xll.EQNXTDZ($A$1,$B95,H$1,$B$1)</f>
        <v>607.39</v>
      </c>
      <c r="I95" s="55">
        <f>_xll.EQNXTDZ($A$1,$B95,I$1,$B$1)</f>
        <v>550</v>
      </c>
      <c r="J95" s="55">
        <f>_xll.EQNXTDZ($A$1,$B95,J$1,$B$1)</f>
        <v>550</v>
      </c>
      <c r="K95" s="55">
        <f>_xll.EQNXTDZ($A$1,$B95,K$1,$B$1)</f>
        <v>300</v>
      </c>
      <c r="L95" s="55">
        <f>_xll.EQNXTDZ($A$1,$B95,L$1,$B$1)</f>
        <v>250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78.34</v>
      </c>
      <c r="S95" s="55">
        <f>_xll.EQNXTDZ($A$1,$B95,S$1,$B$1)</f>
        <v>31.62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6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60.15</v>
      </c>
      <c r="G98" s="55">
        <f>_xll.EQNXTDZ($A$1,$B98,G$1,$B$1)</f>
        <v>10.73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537</v>
      </c>
      <c r="M98" s="55">
        <f>_xll.EQNXTDZ($A$1,$B98,M$1,$B$1)</f>
        <v>354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197.84457649999999</v>
      </c>
      <c r="D104" s="55">
        <f>_xll.EQNXTDZ($A$1,$B104,D$1,$B$1)</f>
        <v>197.81</v>
      </c>
      <c r="E104" s="55">
        <f>_xll.EQNXTDZ($A$1,$B104,E$1,$B$1)</f>
        <v>197.81</v>
      </c>
      <c r="F104" s="55">
        <f>_xll.EQNXTDZ($A$1,$B104,F$1,$B$1)</f>
        <v>197.82</v>
      </c>
      <c r="G104" s="55">
        <f>_xll.EQNXTDZ($A$1,$B104,G$1,$B$1)</f>
        <v>197.82</v>
      </c>
      <c r="H104" s="55">
        <f>_xll.EQNXTDZ($A$1,$B104,H$1,$B$1)</f>
        <v>197.82</v>
      </c>
      <c r="I104" s="55">
        <f>_xll.EQNXTDZ($A$1,$B104,I$1,$B$1)</f>
        <v>197.82</v>
      </c>
      <c r="J104" s="55">
        <f>_xll.EQNXTDZ($A$1,$B104,J$1,$B$1)</f>
        <v>220.62</v>
      </c>
      <c r="K104" s="55">
        <f>_xll.EQNXTDZ($A$1,$B104,K$1,$B$1)</f>
        <v>221.34</v>
      </c>
      <c r="L104" s="55">
        <f>_xll.EQNXTDZ($A$1,$B104,L$1,$B$1)</f>
        <v>237.23</v>
      </c>
      <c r="M104" s="55">
        <f>_xll.EQNXTDZ($A$1,$B104,M$1,$B$1)</f>
        <v>237.23</v>
      </c>
      <c r="N104" s="55">
        <f>_xll.EQNXTDZ($A$1,$B104,N$1,$B$1)</f>
        <v>237.23</v>
      </c>
      <c r="O104" s="55">
        <f>_xll.EQNXTDZ($A$1,$B104,O$1,$B$1)</f>
        <v>237.23</v>
      </c>
      <c r="P104" s="55">
        <f>_xll.EQNXTDZ($A$1,$B104,P$1,$B$1)</f>
        <v>237.23</v>
      </c>
      <c r="Q104" s="55">
        <f>_xll.EQNXTDZ($A$1,$B104,Q$1,$B$1)</f>
        <v>270.42</v>
      </c>
      <c r="R104" s="55">
        <f>_xll.EQNXTDZ($A$1,$B104,R$1,$B$1)</f>
        <v>270.42</v>
      </c>
      <c r="S104" s="55">
        <f>_xll.EQNXTDZ($A$1,$B104,S$1,$B$1)</f>
        <v>270.44</v>
      </c>
      <c r="T104" s="55">
        <f>_xll.EQNXTDZ($A$1,$B104,T$1,$B$1)</f>
        <v>270.44</v>
      </c>
      <c r="U104" s="55">
        <f>_xll.EQNXTDZ($A$1,$B104,U$1,$B$1)</f>
        <v>270.44</v>
      </c>
      <c r="V104" s="55">
        <f>_xll.EQNXTDZ($A$1,$B104,V$1,$B$1)</f>
        <v>270.44</v>
      </c>
      <c r="W104" s="55">
        <f>_xll.EQNXTDZ($A$1,$B104,W$1,$B$1)</f>
        <v>319.5</v>
      </c>
      <c r="X104" s="55">
        <f>_xll.EQNXTDZ($A$1,$B104,X$1,$B$1)</f>
        <v>319.5</v>
      </c>
      <c r="Y104" s="55">
        <f>_xll.EQNXTDZ($A$1,$B104,Y$1,$B$1)</f>
        <v>319.5</v>
      </c>
      <c r="Z104" s="55">
        <f>_xll.EQNXTDZ($A$1,$B104,Z$1,$B$1)</f>
        <v>319.5</v>
      </c>
      <c r="AA104" s="55">
        <f>_xll.EQNXTDZ($A$1,$B104,AA$1,$B$1)</f>
        <v>319.5</v>
      </c>
      <c r="AB104" s="55">
        <f>_xll.EQNXTDZ($A$1,$B104,AB$1,$B$1)</f>
        <v>319.5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</v>
      </c>
      <c r="O105" s="55">
        <f>_xll.EQNXTDZ($A$1,$B105,O$1,$B$1)</f>
        <v>1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9.5681418982498005</v>
      </c>
      <c r="D106" s="55">
        <f>_xll.EQNXTDZ($A$1,$B106,D$1,$B$1)</f>
        <v>10.952941053468001</v>
      </c>
      <c r="E106" s="55">
        <f>_xll.EQNXTDZ($A$1,$B106,E$1,$B$1)</f>
        <v>10.914340380151801</v>
      </c>
      <c r="F106" s="55">
        <f>_xll.EQNXTDZ($A$1,$B106,F$1,$B$1)</f>
        <v>36.3763095163415</v>
      </c>
      <c r="G106" s="55">
        <f>_xll.EQNXTDZ($A$1,$B106,G$1,$B$1)</f>
        <v>34.489701608012901</v>
      </c>
      <c r="H106" s="55">
        <f>_xll.EQNXTDZ($A$1,$B106,H$1,$B$1)</f>
        <v>55.917900382661102</v>
      </c>
      <c r="I106" s="55">
        <f>_xll.EQNXTDZ($A$1,$B106,I$1,$B$1)</f>
        <v>49.162782552328402</v>
      </c>
      <c r="J106" s="55">
        <f>_xll.EQNXTDZ($A$1,$B106,J$1,$B$1)</f>
        <v>113.090322648098</v>
      </c>
      <c r="K106" s="55">
        <f>_xll.EQNXTDZ($A$1,$B106,K$1,$B$1)</f>
        <v>73.852738222194304</v>
      </c>
      <c r="L106" s="55">
        <f>_xll.EQNXTDZ($A$1,$B106,L$1,$B$1)</f>
        <v>132.458210484495</v>
      </c>
      <c r="M106" s="55">
        <f>_xll.EQNXTDZ($A$1,$B106,M$1,$B$1)</f>
        <v>128.38101436547299</v>
      </c>
      <c r="N106" s="55">
        <f>_xll.EQNXTDZ($A$1,$B106,N$1,$B$1)</f>
        <v>97.321947598435898</v>
      </c>
      <c r="O106" s="55">
        <f>_xll.EQNXTDZ($A$1,$B106,O$1,$B$1)</f>
        <v>93.027622692010098</v>
      </c>
      <c r="P106" s="55">
        <f>_xll.EQNXTDZ($A$1,$B106,P$1,$B$1)</f>
        <v>84.8</v>
      </c>
      <c r="Q106" s="55">
        <f>_xll.EQNXTDZ($A$1,$B106,Q$1,$B$1)</f>
        <v>77.099999999999994</v>
      </c>
      <c r="R106" s="55">
        <f>_xll.EQNXTDZ($A$1,$B106,R$1,$B$1)</f>
        <v>64.650000000000006</v>
      </c>
      <c r="S106" s="55">
        <f>_xll.EQNXTDZ($A$1,$B106,S$1,$B$1)</f>
        <v>90.5</v>
      </c>
      <c r="T106" s="55">
        <f>_xll.EQNXTDZ($A$1,$B106,T$1,$B$1)</f>
        <v>79.349999999999994</v>
      </c>
      <c r="U106" s="55">
        <f>_xll.EQNXTDZ($A$1,$B106,U$1,$B$1)</f>
        <v>73.8</v>
      </c>
      <c r="V106" s="55">
        <f>_xll.EQNXTDZ($A$1,$B106,V$1,$B$1)</f>
        <v>32.85</v>
      </c>
      <c r="W106" s="55">
        <f>_xll.EQNXTDZ($A$1,$B106,W$1,$B$1)</f>
        <v>103.2</v>
      </c>
      <c r="X106" s="55">
        <f>_xll.EQNXTDZ($A$1,$B106,X$1,$B$1)</f>
        <v>238.85</v>
      </c>
      <c r="Y106" s="55">
        <f>_xll.EQNXTDZ($A$1,$B106,Y$1,$B$1)</f>
        <v>190.2</v>
      </c>
      <c r="Z106" s="55">
        <f>_xll.EQNXTDZ($A$1,$B106,Z$1,$B$1)</f>
        <v>394.15</v>
      </c>
      <c r="AA106" s="55">
        <f>_xll.EQNXTDZ($A$1,$B106,AA$1,$B$1)</f>
        <v>375.4</v>
      </c>
      <c r="AB106" s="55">
        <f>_xll.EQNXTDZ($A$1,$B106,AB$1,$B$1)</f>
        <v>378.7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17.4378541705874</v>
      </c>
      <c r="D107" s="55">
        <f>_xll.EQNXTDZ($A$1,$B107,D$1,$B$1)</f>
        <v>14.9288104050352</v>
      </c>
      <c r="E107" s="55">
        <f>_xll.EQNXTDZ($A$1,$B107,E$1,$B$1)</f>
        <v>13.341357714907099</v>
      </c>
      <c r="F107" s="55">
        <f>_xll.EQNXTDZ($A$1,$B107,F$1,$B$1)</f>
        <v>41.302720448319803</v>
      </c>
      <c r="G107" s="55">
        <f>_xll.EQNXTDZ($A$1,$B107,G$1,$B$1)</f>
        <v>41.013215398448402</v>
      </c>
      <c r="H107" s="55">
        <f>_xll.EQNXTDZ($A$1,$B107,H$1,$B$1)</f>
        <v>58.436594316542198</v>
      </c>
      <c r="I107" s="55">
        <f>_xll.EQNXTDZ($A$1,$B107,I$1,$B$1)</f>
        <v>61.761077305898802</v>
      </c>
      <c r="J107" s="55">
        <f>_xll.EQNXTDZ($A$1,$B107,J$1,$B$1)</f>
        <v>158.35926227965601</v>
      </c>
      <c r="K107" s="55">
        <f>_xll.EQNXTDZ($A$1,$B107,K$1,$B$1)</f>
        <v>145.717541768605</v>
      </c>
      <c r="L107" s="55">
        <f>_xll.EQNXTDZ($A$1,$B107,L$1,$B$1)</f>
        <v>146.54263116073901</v>
      </c>
      <c r="M107" s="55">
        <f>_xll.EQNXTDZ($A$1,$B107,M$1,$B$1)</f>
        <v>141.374966020534</v>
      </c>
      <c r="N107" s="55">
        <f>_xll.EQNXTDZ($A$1,$B107,N$1,$B$1)</f>
        <v>130.750130690254</v>
      </c>
      <c r="O107" s="55">
        <f>_xll.EQNXTDZ($A$1,$B107,O$1,$B$1)</f>
        <v>109.239905484809</v>
      </c>
      <c r="P107" s="55">
        <f>_xll.EQNXTDZ($A$1,$B107,P$1,$B$1)</f>
        <v>97.804456014888203</v>
      </c>
      <c r="Q107" s="55">
        <f>_xll.EQNXTDZ($A$1,$B107,Q$1,$B$1)</f>
        <v>115.25</v>
      </c>
      <c r="R107" s="55">
        <f>_xll.EQNXTDZ($A$1,$B107,R$1,$B$1)</f>
        <v>82.15</v>
      </c>
      <c r="S107" s="55">
        <f>_xll.EQNXTDZ($A$1,$B107,S$1,$B$1)</f>
        <v>91.1</v>
      </c>
      <c r="T107" s="55">
        <f>_xll.EQNXTDZ($A$1,$B107,T$1,$B$1)</f>
        <v>101.75</v>
      </c>
      <c r="U107" s="55">
        <f>_xll.EQNXTDZ($A$1,$B107,U$1,$B$1)</f>
        <v>89.5</v>
      </c>
      <c r="V107" s="55">
        <f>_xll.EQNXTDZ($A$1,$B107,V$1,$B$1)</f>
        <v>76.900000000000006</v>
      </c>
      <c r="W107" s="55">
        <f>_xll.EQNXTDZ($A$1,$B107,W$1,$B$1)</f>
        <v>114.95</v>
      </c>
      <c r="X107" s="55">
        <f>_xll.EQNXTDZ($A$1,$B107,X$1,$B$1)</f>
        <v>269.7</v>
      </c>
      <c r="Y107" s="55">
        <f>_xll.EQNXTDZ($A$1,$B107,Y$1,$B$1)</f>
        <v>298</v>
      </c>
      <c r="Z107" s="55">
        <f>_xll.EQNXTDZ($A$1,$B107,Z$1,$B$1)</f>
        <v>433.2</v>
      </c>
      <c r="AA107" s="55">
        <f>_xll.EQNXTDZ($A$1,$B107,AA$1,$B$1)</f>
        <v>494.85</v>
      </c>
      <c r="AB107" s="55">
        <f>_xll.EQNXTDZ($A$1,$B107,AB$1,$B$1)</f>
        <v>418.4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4.2701994856031602</v>
      </c>
      <c r="D108" s="55">
        <f>_xll.EQNXTDZ($A$1,$B108,D$1,$B$1)</f>
        <v>8.6851514961420193</v>
      </c>
      <c r="E108" s="55">
        <f>_xll.EQNXTDZ($A$1,$B108,E$1,$B$1)</f>
        <v>8.8781548627229601</v>
      </c>
      <c r="F108" s="55">
        <f>_xll.EQNXTDZ($A$1,$B108,F$1,$B$1)</f>
        <v>10.899865127658201</v>
      </c>
      <c r="G108" s="55">
        <f>_xll.EQNXTDZ($A$1,$B108,G$1,$B$1)</f>
        <v>20.5162578675533</v>
      </c>
      <c r="H108" s="55">
        <f>_xll.EQNXTDZ($A$1,$B108,H$1,$B$1)</f>
        <v>32.067509357422203</v>
      </c>
      <c r="I108" s="55">
        <f>_xll.EQNXTDZ($A$1,$B108,I$1,$B$1)</f>
        <v>37.635656483282098</v>
      </c>
      <c r="J108" s="55">
        <f>_xll.EQNXTDZ($A$1,$B108,J$1,$B$1)</f>
        <v>47.382326495619303</v>
      </c>
      <c r="K108" s="55">
        <f>_xll.EQNXTDZ($A$1,$B108,K$1,$B$1)</f>
        <v>51.290644668883203</v>
      </c>
      <c r="L108" s="55">
        <f>_xll.EQNXTDZ($A$1,$B108,L$1,$B$1)</f>
        <v>73.534282667335802</v>
      </c>
      <c r="M108" s="55">
        <f>_xll.EQNXTDZ($A$1,$B108,M$1,$B$1)</f>
        <v>110.224222654371</v>
      </c>
      <c r="N108" s="55">
        <f>_xll.EQNXTDZ($A$1,$B108,N$1,$B$1)</f>
        <v>77.828607573761602</v>
      </c>
      <c r="O108" s="55">
        <f>_xll.EQNXTDZ($A$1,$B108,O$1,$B$1)</f>
        <v>80.096397131087599</v>
      </c>
      <c r="P108" s="55">
        <f>_xll.EQNXTDZ($A$1,$B108,P$1,$B$1)</f>
        <v>65.862398845743698</v>
      </c>
      <c r="Q108" s="55">
        <f>_xll.EQNXTDZ($A$1,$B108,Q$1,$B$1)</f>
        <v>73.599999999999994</v>
      </c>
      <c r="R108" s="55">
        <f>_xll.EQNXTDZ($A$1,$B108,R$1,$B$1)</f>
        <v>55</v>
      </c>
      <c r="S108" s="55">
        <f>_xll.EQNXTDZ($A$1,$B108,S$1,$B$1)</f>
        <v>60.6</v>
      </c>
      <c r="T108" s="55">
        <f>_xll.EQNXTDZ($A$1,$B108,T$1,$B$1)</f>
        <v>75.900000000000006</v>
      </c>
      <c r="U108" s="55">
        <f>_xll.EQNXTDZ($A$1,$B108,U$1,$B$1)</f>
        <v>59.9</v>
      </c>
      <c r="V108" s="55">
        <f>_xll.EQNXTDZ($A$1,$B108,V$1,$B$1)</f>
        <v>31.3</v>
      </c>
      <c r="W108" s="55">
        <f>_xll.EQNXTDZ($A$1,$B108,W$1,$B$1)</f>
        <v>27</v>
      </c>
      <c r="X108" s="55">
        <f>_xll.EQNXTDZ($A$1,$B108,X$1,$B$1)</f>
        <v>89.95</v>
      </c>
      <c r="Y108" s="55">
        <f>_xll.EQNXTDZ($A$1,$B108,Y$1,$B$1)</f>
        <v>182.45</v>
      </c>
      <c r="Z108" s="55">
        <f>_xll.EQNXTDZ($A$1,$B108,Z$1,$B$1)</f>
        <v>192.05</v>
      </c>
      <c r="AA108" s="55">
        <f>_xll.EQNXTDZ($A$1,$B108,AA$1,$B$1)</f>
        <v>326.25</v>
      </c>
      <c r="AB108" s="55">
        <f>_xll.EQNXTDZ($A$1,$B108,AB$1,$B$1)</f>
        <v>332.1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1961.6289759975</v>
      </c>
      <c r="D109" s="55">
        <f>_xll.EQNXTDZ($A$1,$B109,D$1,$B$1)</f>
        <v>2245.1435000000001</v>
      </c>
      <c r="E109" s="55">
        <f>_xll.EQNXTDZ($A$1,$B109,E$1,$B$1)</f>
        <v>2237.2311</v>
      </c>
      <c r="F109" s="55">
        <f>_xll.EQNXTDZ($A$1,$B109,F$1,$B$1)</f>
        <v>7456.8248999999996</v>
      </c>
      <c r="G109" s="55">
        <f>_xll.EQNXTDZ($A$1,$B109,G$1,$B$1)</f>
        <v>7070.0868</v>
      </c>
      <c r="H109" s="55">
        <f>_xll.EQNXTDZ($A$1,$B109,H$1,$B$1)</f>
        <v>11462.679899999999</v>
      </c>
      <c r="I109" s="55">
        <f>_xll.EQNXTDZ($A$1,$B109,I$1,$B$1)</f>
        <v>10077.939899999999</v>
      </c>
      <c r="J109" s="55">
        <f>_xll.EQNXTDZ($A$1,$B109,J$1,$B$1)</f>
        <v>25854.4578</v>
      </c>
      <c r="K109" s="55">
        <f>_xll.EQNXTDZ($A$1,$B109,K$1,$B$1)</f>
        <v>16939.1502</v>
      </c>
      <c r="L109" s="55">
        <f>_xll.EQNXTDZ($A$1,$B109,L$1,$B$1)</f>
        <v>32562.1898</v>
      </c>
      <c r="M109" s="55">
        <f>_xll.EQNXTDZ($A$1,$B109,M$1,$B$1)</f>
        <v>31559.893049999999</v>
      </c>
      <c r="N109" s="55">
        <f>_xll.EQNXTDZ($A$1,$B109,N$1,$B$1)</f>
        <v>23924.645499999999</v>
      </c>
      <c r="O109" s="55">
        <f>_xll.EQNXTDZ($A$1,$B109,O$1,$B$1)</f>
        <v>22868.972000000002</v>
      </c>
      <c r="P109" s="55">
        <f>_xll.EQNXTDZ($A$1,$B109,P$1,$B$1)</f>
        <v>20117.103999999999</v>
      </c>
      <c r="Q109" s="55">
        <f>_xll.EQNXTDZ($A$1,$B109,Q$1,$B$1)</f>
        <v>20849.382000000001</v>
      </c>
      <c r="R109" s="55">
        <f>_xll.EQNXTDZ($A$1,$B109,R$1,$B$1)</f>
        <v>17482.652999999998</v>
      </c>
      <c r="S109" s="55">
        <f>_xll.EQNXTDZ($A$1,$B109,S$1,$B$1)</f>
        <v>24474.82</v>
      </c>
      <c r="T109" s="55">
        <f>_xll.EQNXTDZ($A$1,$B109,T$1,$B$1)</f>
        <v>21459.414000000001</v>
      </c>
      <c r="U109" s="55">
        <f>_xll.EQNXTDZ($A$1,$B109,U$1,$B$1)</f>
        <v>19958.472000000002</v>
      </c>
      <c r="V109" s="55">
        <f>_xll.EQNXTDZ($A$1,$B109,V$1,$B$1)</f>
        <v>8883.9539999999997</v>
      </c>
      <c r="W109" s="55">
        <f>_xll.EQNXTDZ($A$1,$B109,W$1,$B$1)</f>
        <v>32972.400000000001</v>
      </c>
      <c r="X109" s="55">
        <f>_xll.EQNXTDZ($A$1,$B109,X$1,$B$1)</f>
        <v>76312.574999999997</v>
      </c>
      <c r="Y109" s="55">
        <f>_xll.EQNXTDZ($A$1,$B109,Y$1,$B$1)</f>
        <v>60768.9</v>
      </c>
      <c r="Z109" s="55">
        <f>_xll.EQNXTDZ($A$1,$B109,Z$1,$B$1)</f>
        <v>125930.925</v>
      </c>
      <c r="AA109" s="55">
        <f>_xll.EQNXTDZ($A$1,$B109,AA$1,$B$1)</f>
        <v>119940.3</v>
      </c>
      <c r="AB109" s="55">
        <f>_xll.EQNXTDZ($A$1,$B109,AB$1,$B$1)</f>
        <v>120994.65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0.48262548262548299</v>
      </c>
      <c r="D110" s="55">
        <f>_xll.EQNXTDZ($A$1,$B110,D$1,$B$1)</f>
        <v>0.48262548262548299</v>
      </c>
      <c r="E110" s="55">
        <f>_xll.EQNXTDZ($A$1,$B110,E$1,$B$1)</f>
        <v>0.62741312741312705</v>
      </c>
      <c r="F110" s="55">
        <f>_xll.EQNXTDZ($A$1,$B110,F$1,$B$1)</f>
        <v>0.67567567567567599</v>
      </c>
      <c r="G110" s="55">
        <f>_xll.EQNXTDZ($A$1,$B110,G$1,$B$1)</f>
        <v>0.72393822393822405</v>
      </c>
      <c r="H110" s="55">
        <f>_xll.EQNXTDZ($A$1,$B110,H$1,$B$1)</f>
        <v>0.82046332046332004</v>
      </c>
      <c r="I110" s="55">
        <f>_xll.EQNXTDZ($A$1,$B110,I$1,$B$1)</f>
        <v>0.91698841698841704</v>
      </c>
      <c r="J110" s="55">
        <f>_xll.EQNXTDZ($A$1,$B110,J$1,$B$1)</f>
        <v>1.01351351351351</v>
      </c>
      <c r="K110" s="55">
        <f>_xll.EQNXTDZ($A$1,$B110,K$1,$B$1)</f>
        <v>1.1100386100386099</v>
      </c>
      <c r="L110" s="55">
        <f>_xll.EQNXTDZ($A$1,$B110,L$1,$B$1)</f>
        <v>1.15830115830116</v>
      </c>
      <c r="M110" s="55">
        <f>_xll.EQNXTDZ($A$1,$B110,M$1,$B$1)</f>
        <v>1.20656370656371</v>
      </c>
      <c r="N110" s="55">
        <f>_xll.EQNXTDZ($A$1,$B110,N$1,$B$1)</f>
        <v>1.20192307692308</v>
      </c>
      <c r="O110" s="55">
        <f>_xll.EQNXTDZ($A$1,$B110,O$1,$B$1)</f>
        <v>1.1057692307692299</v>
      </c>
      <c r="P110" s="55">
        <f>_xll.EQNXTDZ($A$1,$B110,P$1,$B$1)</f>
        <v>1.25</v>
      </c>
      <c r="Q110" s="55">
        <f>_xll.EQNXTDZ($A$1,$B110,Q$1,$B$1)</f>
        <v>1.3</v>
      </c>
      <c r="R110" s="55">
        <f>_xll.EQNXTDZ($A$1,$B110,R$1,$B$1)</f>
        <v>1.3</v>
      </c>
      <c r="S110" s="55">
        <f>_xll.EQNXTDZ($A$1,$B110,S$1,$B$1)</f>
        <v>1.3</v>
      </c>
      <c r="T110" s="55">
        <f>_xll.EQNXTDZ($A$1,$B110,T$1,$B$1)</f>
        <v>1.3</v>
      </c>
      <c r="U110" s="55">
        <f>_xll.EQNXTDZ($A$1,$B110,U$1,$B$1)</f>
        <v>1.3</v>
      </c>
      <c r="V110" s="55">
        <f>_xll.EQNXTDZ($A$1,$B110,V$1,$B$1)</f>
        <v>1.55</v>
      </c>
      <c r="W110" s="55">
        <f>_xll.EQNXTDZ($A$1,$B110,W$1,$B$1)</f>
        <v>1.55</v>
      </c>
      <c r="X110" s="55">
        <f>_xll.EQNXTDZ($A$1,$B110,X$1,$B$1)</f>
        <v>1.75</v>
      </c>
      <c r="Y110" s="55">
        <f>_xll.EQNXTDZ($A$1,$B110,Y$1,$B$1)</f>
        <v>2</v>
      </c>
      <c r="Z110" s="55">
        <f>_xll.EQNXTDZ($A$1,$B110,Z$1,$B$1)</f>
        <v>2</v>
      </c>
      <c r="AA110" s="55">
        <f>_xll.EQNXTDZ($A$1,$B110,AA$1,$B$1)</f>
        <v>2.25</v>
      </c>
      <c r="AB110" s="55">
        <f>_xll.EQNXTDZ($A$1,$B110,AB$1,$B$1)</f>
        <v>2.5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32.049999999999997</v>
      </c>
      <c r="D112" s="56">
        <f>_xll.EQNXTDZ($A$1,$B112,D$5)</f>
        <v>32.549999999999997</v>
      </c>
      <c r="E112" s="56">
        <f>_xll.EQNXTDZ($A$1,$B112,E$5)</f>
        <v>32.54</v>
      </c>
      <c r="F112" s="56">
        <f>_xll.EQNXTDZ($A$1,$B112,F$5)</f>
        <v>32.5</v>
      </c>
      <c r="G112" s="56">
        <f>_xll.EQNXTDZ($A$1,$B112,G$5)</f>
        <v>32.46</v>
      </c>
      <c r="H112" s="56">
        <f>_xll.EQNXTDZ($A$1,$B112,H$5)</f>
        <v>32.28</v>
      </c>
      <c r="I112" s="56">
        <f>_xll.EQNXTDZ($A$1,$B112,I$5)</f>
        <v>32.25</v>
      </c>
      <c r="J112" s="56">
        <f>_xll.EQNXTDZ($A$1,$B112,J$5)</f>
        <v>33.44</v>
      </c>
      <c r="K112" s="56">
        <f>_xll.EQNXTDZ($A$1,$B112,K$5)</f>
        <v>33.26</v>
      </c>
      <c r="L112" s="56">
        <f>_xll.EQNXTDZ($A$1,$B112,L$5)</f>
        <v>31.22</v>
      </c>
      <c r="M112" s="56">
        <f>_xll.EQNXTDZ($A$1,$B112,M$5)</f>
        <v>31.81</v>
      </c>
      <c r="N112" s="56">
        <f>_xll.EQNXTDZ($A$1,$B112,N$5)</f>
        <v>31.81</v>
      </c>
      <c r="O112" s="56">
        <f>_xll.EQNXTDZ($A$1,$B112,O$5)</f>
        <v>32.47</v>
      </c>
      <c r="P112" s="56">
        <f>_xll.EQNXTDZ($A$1,$B112,P$5)</f>
        <v>32.47</v>
      </c>
      <c r="Q112" s="56">
        <f>_xll.EQNXTDZ($A$1,$B112,Q$5)</f>
        <v>33.020000000000003</v>
      </c>
      <c r="R112" s="56">
        <f>_xll.EQNXTDZ($A$1,$B112,R$5)</f>
        <v>33.020000000000003</v>
      </c>
      <c r="S112" s="56">
        <f>_xll.EQNXTDZ($A$1,$B112,S$5)</f>
        <v>33.020000000000003</v>
      </c>
      <c r="T112" s="56">
        <f>_xll.EQNXTDZ($A$1,$B112,T$5)</f>
        <v>33.020000000000003</v>
      </c>
      <c r="U112" s="56">
        <f>_xll.EQNXTDZ($A$1,$B112,U$5)</f>
        <v>33</v>
      </c>
      <c r="V112" s="56">
        <f>_xll.EQNXTDZ($A$1,$B112,V$5)</f>
        <v>37.22</v>
      </c>
      <c r="W112" s="56">
        <f>_xll.EQNXTDZ($A$1,$B112,W$5)</f>
        <v>46.86</v>
      </c>
      <c r="X112" s="56">
        <f>_xll.EQNXTDZ($A$1,$B112,X$5)</f>
        <v>46.86</v>
      </c>
      <c r="Y112" s="56">
        <f>_xll.EQNXTDZ($A$1,$B112,Y$5)</f>
        <v>46.86</v>
      </c>
      <c r="Z112" s="56">
        <f>_xll.EQNXTDZ($A$1,$B112,Z$5)</f>
        <v>46.86</v>
      </c>
      <c r="AA112" s="56">
        <f>_xll.EQNXTDZ($A$1,$B112,AA$5)</f>
        <v>46.86</v>
      </c>
      <c r="AB112" s="56">
        <f>_xll.EQNXTDZ($A$1,$B112,AB$5)</f>
        <v>46.86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43.87</v>
      </c>
      <c r="L113" s="56">
        <f>_xll.EQNXTDZ($A$1,$B113,L$5)</f>
        <v>36.26</v>
      </c>
      <c r="M113" s="56">
        <f>_xll.EQNXTDZ($A$1,$B113,M$5)</f>
        <v>35.58</v>
      </c>
      <c r="N113" s="56">
        <f>_xll.EQNXTDZ($A$1,$B113,N$5)</f>
        <v>6.9</v>
      </c>
      <c r="O113" s="56">
        <f>_xll.EQNXTDZ($A$1,$B113,O$5)</f>
        <v>6.76</v>
      </c>
      <c r="P113" s="56">
        <f>_xll.EQNXTDZ($A$1,$B113,P$5)</f>
        <v>4.59</v>
      </c>
      <c r="Q113" s="56">
        <f>_xll.EQNXTDZ($A$1,$B113,Q$5)</f>
        <v>5.0999999999999996</v>
      </c>
      <c r="R113" s="56">
        <f>_xll.EQNXTDZ($A$1,$B113,R$5)</f>
        <v>5.0999999999999996</v>
      </c>
      <c r="S113" s="56">
        <f>_xll.EQNXTDZ($A$1,$B113,S$5)</f>
        <v>4.34</v>
      </c>
      <c r="T113" s="56">
        <f>_xll.EQNXTDZ($A$1,$B113,T$5)</f>
        <v>4.34</v>
      </c>
      <c r="U113" s="56">
        <f>_xll.EQNXTDZ($A$1,$B113,U$5)</f>
        <v>4.34</v>
      </c>
      <c r="V113" s="56">
        <f>_xll.EQNXTDZ($A$1,$B113,V$5)</f>
        <v>3.85</v>
      </c>
      <c r="W113" s="56">
        <f>_xll.EQNXTDZ($A$1,$B113,W$5)</f>
        <v>1.4</v>
      </c>
      <c r="X113" s="56">
        <f>_xll.EQNXTDZ($A$1,$B113,X$5)</f>
        <v>1.4</v>
      </c>
      <c r="Y113" s="56">
        <f>_xll.EQNXTDZ($A$1,$B113,Y$5)</f>
        <v>1.4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100400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90.132572193296099</v>
      </c>
      <c r="D6" cm="1">
        <f t="array" ref="D6">_xll.EQNXTDZ($A$1,$B6,D$1)</f>
        <v>102.291784287895</v>
      </c>
      <c r="E6" cm="1">
        <f t="array" ref="E6">_xll.EQNXTDZ($A$1,$B6,E$1)</f>
        <v>95.247161407690896</v>
      </c>
      <c r="F6" cm="1">
        <f t="array" ref="F6">_xll.EQNXTDZ($A$1,$B6,F$1)</f>
        <v>96.5016832904669</v>
      </c>
      <c r="G6" cm="1">
        <f t="array" ref="G6">_xll.EQNXTDZ($A$1,$B6,G$1)</f>
        <v>102.48478765447599</v>
      </c>
      <c r="H6" cm="1">
        <f t="array" ref="H6">_xll.EQNXTDZ($A$1,$B6,H$1)</f>
        <v>102.774292704347</v>
      </c>
      <c r="I6" cm="1">
        <f t="array" ref="I6">_xll.EQNXTDZ($A$1,$B6,I$1)</f>
        <v>104.221817953704</v>
      </c>
      <c r="J6" cm="1">
        <f t="array" ref="J6">_xll.EQNXTDZ($A$1,$B6,J$1)</f>
        <v>107.309871818999</v>
      </c>
      <c r="K6" cm="1">
        <f t="array" ref="K6">_xll.EQNXTDZ($A$1,$B6,K$1)</f>
        <v>97.563201806662093</v>
      </c>
      <c r="L6" cm="1">
        <f t="array" ref="L6">_xll.EQNXTDZ($A$1,$B6,L$1)</f>
        <v>90.904585659619897</v>
      </c>
      <c r="M6" cm="1">
        <f t="array" ref="M6">_xll.EQNXTDZ($A$1,$B6,M$1)</f>
        <v>93.075873533655397</v>
      </c>
      <c r="N6" cm="1">
        <f t="array" ref="N6">_xll.EQNXTDZ($A$1,$B6,N$1)</f>
        <v>91.290592392781704</v>
      </c>
      <c r="O6" cm="1">
        <f t="array" ref="O6">_xll.EQNXTDZ($A$1,$B6,O$1)</f>
        <v>85.886498128515598</v>
      </c>
      <c r="P6" cm="1">
        <f t="array" ref="P6">_xll.EQNXTDZ($A$1,$B6,P$1)</f>
        <v>85.548742236998905</v>
      </c>
      <c r="Q6" cm="1">
        <f t="array" ref="Q6">_xll.EQNXTDZ($A$1,$B6,Q$1)</f>
        <v>85.0662338205466</v>
      </c>
      <c r="R6" cm="1">
        <f t="array" ref="R6">_xll.EQNXTDZ($A$1,$B6,R$1)</f>
        <v>73.437780984045304</v>
      </c>
      <c r="S6" cm="1">
        <f t="array" ref="S6">_xll.EQNXTDZ($A$1,$B6,S$1)</f>
        <v>78.166363465278195</v>
      </c>
      <c r="T6" cm="1">
        <f t="array" ref="T6">_xll.EQNXTDZ($A$1,$B6,T$1)</f>
        <v>78.6488718817305</v>
      </c>
      <c r="U6" cm="1">
        <f t="array" ref="U6">_xll.EQNXTDZ($A$1,$B6,U$1)</f>
        <v>77.442600840599695</v>
      </c>
      <c r="V6" cm="1">
        <f t="array" ref="V6">_xll.EQNXTDZ($A$1,$B6,V$1)</f>
        <v>87.430525061162996</v>
      </c>
      <c r="W6" cm="1">
        <f t="array" ref="W6">_xll.EQNXTDZ($A$1,$B6,W$1)</f>
        <v>72.665767517721605</v>
      </c>
      <c r="X6" cm="1">
        <f t="array" ref="X6">_xll.EQNXTDZ($A$1,$B6,X$1)</f>
        <v>76.043326432887895</v>
      </c>
      <c r="Y6" cm="1">
        <f t="array" ref="Y6">_xll.EQNXTDZ($A$1,$B6,Y$1)</f>
        <v>85.45</v>
      </c>
      <c r="Z6" cm="1">
        <f t="array" ref="Z6">_xll.EQNXTDZ($A$1,$B6,Z$1)</f>
        <v>78.95</v>
      </c>
      <c r="AA6" cm="1">
        <f t="array" ref="AA6">_xll.EQNXTDZ($A$1,$B6,AA$1)</f>
        <v>105</v>
      </c>
      <c r="AB6" cm="1">
        <f t="array" ref="AB6">_xll.EQNXTDZ($A$1,$B6,AB$1)</f>
        <v>108</v>
      </c>
      <c r="AC6" cm="1">
        <f t="array" ref="AC6">_xll.EQNXTDZ($A$1,$B6,AC$1)</f>
        <v>97</v>
      </c>
      <c r="AD6" cm="1">
        <f t="array" ref="AD6">_xll.EQNXTDZ($A$1,$B6,AD$1)</f>
        <v>86.9</v>
      </c>
      <c r="AE6" cm="1">
        <f t="array" ref="AE6">_xll.EQNXTDZ($A$1,$B6,AE$1)</f>
        <v>83.05</v>
      </c>
      <c r="AF6" cm="1">
        <f t="array" ref="AF6">_xll.EQNXTDZ($A$1,$B6,AF$1)</f>
        <v>93.5</v>
      </c>
      <c r="AG6" cm="1">
        <f t="array" ref="AG6">_xll.EQNXTDZ($A$1,$B6,AG$1)</f>
        <v>92.5</v>
      </c>
      <c r="AH6" cm="1">
        <f t="array" ref="AH6">_xll.EQNXTDZ($A$1,$B6,AH$1)</f>
        <v>82.2</v>
      </c>
      <c r="AI6" cm="1">
        <f t="array" ref="AI6">_xll.EQNXTDZ($A$1,$B6,AI$1)</f>
        <v>91.2</v>
      </c>
      <c r="AJ6" cm="1">
        <f t="array" ref="AJ6">_xll.EQNXTDZ($A$1,$B6,AJ$1)</f>
        <v>86.5</v>
      </c>
      <c r="AK6" cm="1">
        <f t="array" ref="AK6">_xll.EQNXTDZ($A$1,$B6,AK$1)</f>
        <v>77.05</v>
      </c>
      <c r="AL6" cm="1">
        <f t="array" ref="AL6">_xll.EQNXTDZ($A$1,$B6,AL$1)</f>
        <v>76.3</v>
      </c>
      <c r="AM6" cm="1">
        <f t="array" ref="AM6">_xll.EQNXTDZ($A$1,$B6,AM$1)</f>
        <v>75.05</v>
      </c>
      <c r="AN6" cm="1">
        <f t="array" ref="AN6">_xll.EQNXTDZ($A$1,$B6,AN$1)</f>
        <v>74.150000000000006</v>
      </c>
      <c r="AO6" cm="1">
        <f t="array" ref="AO6">_xll.EQNXTDZ($A$1,$B6,AO$1)</f>
        <v>69.2</v>
      </c>
      <c r="AP6" cm="1">
        <f t="array" ref="AP6">_xll.EQNXTDZ($A$1,$B6,AP$1)</f>
        <v>60.3</v>
      </c>
      <c r="AQ6" cm="1">
        <f t="array" ref="AQ6">_xll.EQNXTDZ($A$1,$B6,AQ$1)</f>
        <v>65.3</v>
      </c>
      <c r="AR6" cm="1">
        <f t="array" ref="AR6">_xll.EQNXTDZ($A$1,$B6,AR$1)</f>
        <v>68.7</v>
      </c>
      <c r="AS6" cm="1">
        <f t="array" ref="AS6">_xll.EQNXTDZ($A$1,$B6,AS$1)</f>
        <v>68</v>
      </c>
      <c r="AT6" cm="1">
        <f t="array" ref="AT6">_xll.EQNXTDZ($A$1,$B6,AT$1)</f>
        <v>68.099999999999994</v>
      </c>
      <c r="AU6" cm="1">
        <f t="array" ref="AU6">_xll.EQNXTDZ($A$1,$B6,AU$1)</f>
        <v>61</v>
      </c>
      <c r="AV6" cm="1">
        <f t="array" ref="AV6">_xll.EQNXTDZ($A$1,$B6,AV$1)</f>
        <v>57.65</v>
      </c>
      <c r="AW6" cm="1">
        <f t="array" ref="AW6">_xll.EQNXTDZ($A$1,$B6,AW$1)</f>
        <v>64.95</v>
      </c>
      <c r="AX6" cm="1">
        <f t="array" ref="AX6">_xll.EQNXTDZ($A$1,$B6,AX$1)</f>
        <v>70.45</v>
      </c>
      <c r="AY6" cm="1">
        <f t="array" ref="AY6">_xll.EQNXTDZ($A$1,$B6,AY$1)</f>
        <v>74.95</v>
      </c>
      <c r="AZ6" cm="1">
        <f t="array" ref="AZ6">_xll.EQNXTDZ($A$1,$B6,AZ$1)</f>
        <v>74</v>
      </c>
      <c r="BA6" cm="1">
        <f t="array" ref="BA6">_xll.EQNXTDZ($A$1,$B6,BA$1)</f>
        <v>72.55</v>
      </c>
      <c r="BB6" cm="1">
        <f t="array" ref="BB6">_xll.EQNXTDZ($A$1,$B6,BB$1)</f>
        <v>79.8</v>
      </c>
      <c r="BC6" cm="1">
        <f t="array" ref="BC6">_xll.EQNXTDZ($A$1,$B6,BC$1)</f>
        <v>75.5</v>
      </c>
      <c r="BD6" cm="1">
        <f t="array" ref="BD6">_xll.EQNXTDZ($A$1,$B6,BD$1)</f>
        <v>78</v>
      </c>
      <c r="BE6" cm="1">
        <f t="array" ref="BE6">_xll.EQNXTDZ($A$1,$B6,BE$1)</f>
        <v>74.8</v>
      </c>
      <c r="BF6" cm="1">
        <f t="array" ref="BF6">_xll.EQNXTDZ($A$1,$B6,BF$1)</f>
        <v>75.900000000000006</v>
      </c>
      <c r="BG6" cm="1">
        <f t="array" ref="BG6">_xll.EQNXTDZ($A$1,$B6,BG$1)</f>
        <v>80.099999999999994</v>
      </c>
      <c r="BH6" cm="1">
        <f t="array" ref="BH6">_xll.EQNXTDZ($A$1,$B6,BH$1)</f>
        <v>82.75</v>
      </c>
      <c r="BI6" cm="1">
        <f t="array" ref="BI6">_xll.EQNXTDZ($A$1,$B6,BI$1)</f>
        <v>90.7</v>
      </c>
      <c r="BJ6" cm="1">
        <f t="array" ref="BJ6">_xll.EQNXTDZ($A$1,$B6,BJ$1)</f>
        <v>84.35</v>
      </c>
      <c r="BK6" cm="1">
        <f t="array" ref="BK6">_xll.EQNXTDZ($A$1,$B6,BK$1)</f>
        <v>81.3</v>
      </c>
      <c r="BL6" cm="1">
        <f t="array" ref="BL6">_xll.EQNXTDZ($A$1,$B6,BL$1)</f>
        <v>80.25</v>
      </c>
      <c r="BM6" cm="1">
        <f t="array" ref="BM6">_xll.EQNXTDZ($A$1,$B6,BM$1)</f>
        <v>81.2</v>
      </c>
      <c r="BN6" cm="1">
        <f t="array" ref="BN6">_xll.EQNXTDZ($A$1,$B6,BN$1)</f>
        <v>79.25</v>
      </c>
      <c r="BO6" cm="1">
        <f t="array" ref="BO6">_xll.EQNXTDZ($A$1,$B6,BO$1)</f>
        <v>79.2</v>
      </c>
      <c r="BP6" cm="1">
        <f t="array" ref="BP6">_xll.EQNXTDZ($A$1,$B6,BP$1)</f>
        <v>85.7</v>
      </c>
      <c r="BQ6" cm="1">
        <f t="array" ref="BQ6">_xll.EQNXTDZ($A$1,$B6,BQ$1)</f>
        <v>94.85</v>
      </c>
      <c r="BR6" cm="1">
        <f t="array" ref="BR6">_xll.EQNXTDZ($A$1,$B6,BR$1)</f>
        <v>93.8</v>
      </c>
      <c r="BS6" cm="1">
        <f t="array" ref="BS6">_xll.EQNXTDZ($A$1,$B6,BS$1)</f>
        <v>89</v>
      </c>
      <c r="BT6" cm="1">
        <f t="array" ref="BT6">_xll.EQNXTDZ($A$1,$B6,BT$1)</f>
        <v>85</v>
      </c>
      <c r="BU6" cm="1">
        <f t="array" ref="BU6">_xll.EQNXTDZ($A$1,$B6,BU$1)</f>
        <v>79</v>
      </c>
      <c r="BV6" cm="1">
        <f t="array" ref="BV6">_xll.EQNXTDZ($A$1,$B6,BV$1)</f>
        <v>88.75</v>
      </c>
      <c r="BW6" cm="1">
        <f t="array" ref="BW6">_xll.EQNXTDZ($A$1,$B6,BW$1)</f>
        <v>80.650000000000006</v>
      </c>
      <c r="BX6" cm="1">
        <f t="array" ref="BX6">_xll.EQNXTDZ($A$1,$B6,BX$1)</f>
        <v>73.599999999999994</v>
      </c>
      <c r="BY6" cm="1">
        <f t="array" ref="BY6">_xll.EQNXTDZ($A$1,$B6,BY$1)</f>
        <v>74.400000000000006</v>
      </c>
      <c r="BZ6" cm="1">
        <f t="array" ref="BZ6">_xll.EQNXTDZ($A$1,$B6,BZ$1)</f>
        <v>77</v>
      </c>
      <c r="CA6" cm="1">
        <f t="array" ref="CA6">_xll.EQNXTDZ($A$1,$B6,CA$1)</f>
        <v>66.45</v>
      </c>
      <c r="CB6" cm="1">
        <f t="array" ref="CB6">_xll.EQNXTDZ($A$1,$B6,CB$1)</f>
        <v>76.3</v>
      </c>
      <c r="CC6" cm="1">
        <f t="array" ref="CC6">_xll.EQNXTDZ($A$1,$B6,CC$1)</f>
        <v>76.900000000000006</v>
      </c>
      <c r="CD6" cm="1">
        <f t="array" ref="CD6">_xll.EQNXTDZ($A$1,$B6,CD$1)</f>
        <v>77</v>
      </c>
      <c r="CE6" cm="1">
        <f t="array" ref="CE6">_xll.EQNXTDZ($A$1,$B6,CE$1)</f>
        <v>71.5</v>
      </c>
      <c r="CF6" cm="1">
        <f t="array" ref="CF6">_xll.EQNXTDZ($A$1,$B6,CF$1)</f>
        <v>66</v>
      </c>
      <c r="CG6" cm="1">
        <f t="array" ref="CG6">_xll.EQNXTDZ($A$1,$B6,CG$1)</f>
        <v>74.2</v>
      </c>
      <c r="CH6" cm="1">
        <f t="array" ref="CH6">_xll.EQNXTDZ($A$1,$B6,CH$1)</f>
        <v>67.55</v>
      </c>
      <c r="CI6" cm="1">
        <f t="array" ref="CI6">_xll.EQNXTDZ($A$1,$B6,CI$1)</f>
        <v>69</v>
      </c>
      <c r="CJ6" cm="1">
        <f t="array" ref="CJ6">_xll.EQNXTDZ($A$1,$B6,CJ$1)</f>
        <v>69.349999999999994</v>
      </c>
      <c r="CK6" cm="1">
        <f t="array" ref="CK6">_xll.EQNXTDZ($A$1,$B6,CK$1)</f>
        <v>60.3</v>
      </c>
      <c r="CL6" cm="1">
        <f t="array" ref="CL6">_xll.EQNXTDZ($A$1,$B6,CL$1)</f>
        <v>55.1</v>
      </c>
      <c r="CM6" cm="1">
        <f t="array" ref="CM6">_xll.EQNXTDZ($A$1,$B6,CM$1)</f>
        <v>62.5</v>
      </c>
      <c r="CN6" cm="1">
        <f t="array" ref="CN6">_xll.EQNXTDZ($A$1,$B6,CN$1)</f>
        <v>59.6</v>
      </c>
      <c r="CO6" cm="1">
        <f t="array" ref="CO6">_xll.EQNXTDZ($A$1,$B6,CO$1)</f>
        <v>57.35</v>
      </c>
      <c r="CP6" cm="1">
        <f t="array" ref="CP6">_xll.EQNXTDZ($A$1,$B6,CP$1)</f>
        <v>56.8</v>
      </c>
      <c r="CQ6" cm="1">
        <f t="array" ref="CQ6">_xll.EQNXTDZ($A$1,$B6,CQ$1)</f>
        <v>57.8</v>
      </c>
      <c r="CR6" cm="1">
        <f t="array" ref="CR6">_xll.EQNXTDZ($A$1,$B6,CR$1)</f>
        <v>47.1</v>
      </c>
      <c r="CS6" cm="1">
        <f t="array" ref="CS6">_xll.EQNXTDZ($A$1,$B6,CS$1)</f>
        <v>32.299999999999997</v>
      </c>
      <c r="CT6" cm="1">
        <f t="array" ref="CT6">_xll.EQNXTDZ($A$1,$B6,CT$1)</f>
        <v>31.5</v>
      </c>
      <c r="CU6" cm="1">
        <f t="array" ref="CU6">_xll.EQNXTDZ($A$1,$B6,CU$1)</f>
        <v>37.6</v>
      </c>
      <c r="CV6" cm="1">
        <f t="array" ref="CV6">_xll.EQNXTDZ($A$1,$B6,CV$1)</f>
        <v>45</v>
      </c>
      <c r="CW6" cm="1">
        <f t="array" ref="CW6">_xll.EQNXTDZ($A$1,$B6,CW$1)</f>
        <v>48.8</v>
      </c>
      <c r="CX6" cm="1">
        <f t="array" ref="CX6">_xll.EQNXTDZ($A$1,$B6,CX$1)</f>
        <v>59.6</v>
      </c>
      <c r="CY6" cm="1">
        <f t="array" ref="CY6">_xll.EQNXTDZ($A$1,$B6,CY$1)</f>
        <v>53.5</v>
      </c>
      <c r="CZ6" cm="1">
        <f t="array" ref="CZ6">_xll.EQNXTDZ($A$1,$B6,CZ$1)</f>
        <v>52.4</v>
      </c>
      <c r="DA6" cm="1">
        <f t="array" ref="DA6">_xll.EQNXTDZ($A$1,$B6,DA$1)</f>
        <v>65.599999999999994</v>
      </c>
      <c r="DB6" cm="1">
        <f t="array" ref="DB6">_xll.EQNXTDZ($A$1,$B6,DB$1)</f>
        <v>76</v>
      </c>
      <c r="DC6" cm="1">
        <f t="array" ref="DC6">_xll.EQNXTDZ($A$1,$B6,DC$1)</f>
        <v>76.400000000000006</v>
      </c>
      <c r="DD6" cm="1">
        <f t="array" ref="DD6">_xll.EQNXTDZ($A$1,$B6,DD$1)</f>
        <v>96.6</v>
      </c>
      <c r="DE6" cm="1">
        <f t="array" ref="DE6">_xll.EQNXTDZ($A$1,$B6,DE$1)</f>
        <v>103.9</v>
      </c>
      <c r="DF6" cm="1">
        <f t="array" ref="DF6">_xll.EQNXTDZ($A$1,$B6,DF$1)</f>
        <v>97.95</v>
      </c>
      <c r="DG6" cm="1">
        <f t="array" ref="DG6">_xll.EQNXTDZ($A$1,$B6,DG$1)</f>
        <v>106.4</v>
      </c>
      <c r="DH6" cm="1">
        <f t="array" ref="DH6">_xll.EQNXTDZ($A$1,$B6,DH$1)</f>
        <v>122.8</v>
      </c>
      <c r="DI6" cm="1">
        <f t="array" ref="DI6">_xll.EQNXTDZ($A$1,$B6,DI$1)</f>
        <v>126.55</v>
      </c>
      <c r="DJ6" cm="1">
        <f t="array" ref="DJ6">_xll.EQNXTDZ($A$1,$B6,DJ$1)</f>
        <v>129.69999999999999</v>
      </c>
      <c r="DK6" cm="1">
        <f t="array" ref="DK6">_xll.EQNXTDZ($A$1,$B6,DK$1)</f>
        <v>158.75</v>
      </c>
      <c r="DL6" cm="1">
        <f t="array" ref="DL6">_xll.EQNXTDZ($A$1,$B6,DL$1)</f>
        <v>219.95</v>
      </c>
      <c r="DM6" cm="1">
        <f t="array" ref="DM6">_xll.EQNXTDZ($A$1,$B6,DM$1)</f>
        <v>220</v>
      </c>
      <c r="DN6" cm="1">
        <f t="array" ref="DN6">_xll.EQNXTDZ($A$1,$B6,DN$1)</f>
        <v>221.2</v>
      </c>
      <c r="DO6" cm="1">
        <f t="array" ref="DO6">_xll.EQNXTDZ($A$1,$B6,DO$1)</f>
        <v>249.5</v>
      </c>
      <c r="DP6" cm="1">
        <f t="array" ref="DP6">_xll.EQNXTDZ($A$1,$B6,DP$1)</f>
        <v>220</v>
      </c>
      <c r="DQ6" cm="1">
        <f t="array" ref="DQ6">_xll.EQNXTDZ($A$1,$B6,DQ$1)</f>
        <v>237.65</v>
      </c>
      <c r="DR6" cm="1">
        <f t="array" ref="DR6">_xll.EQNXTDZ($A$1,$B6,DR$1)</f>
        <v>240</v>
      </c>
      <c r="DS6" cm="1">
        <f t="array" ref="DS6">_xll.EQNXTDZ($A$1,$B6,DS$1)</f>
        <v>233.6</v>
      </c>
      <c r="DT6" cm="1">
        <f t="array" ref="DT6">_xll.EQNXTDZ($A$1,$B6,DT$1)</f>
        <v>202.7</v>
      </c>
      <c r="DU6" cm="1">
        <f t="array" ref="DU6">_xll.EQNXTDZ($A$1,$B6,DU$1)</f>
        <v>222.3</v>
      </c>
      <c r="DV6" cm="1">
        <f t="array" ref="DV6">_xll.EQNXTDZ($A$1,$B6,DV$1)</f>
        <v>235.05</v>
      </c>
      <c r="DW6" cm="1">
        <f t="array" ref="DW6">_xll.EQNXTDZ($A$1,$B6,DW$1)</f>
        <v>216.5</v>
      </c>
      <c r="DX6" cm="1">
        <f t="array" ref="DX6">_xll.EQNXTDZ($A$1,$B6,DX$1)</f>
        <v>226.5</v>
      </c>
      <c r="DY6" cm="1">
        <f t="array" ref="DY6">_xll.EQNXTDZ($A$1,$B6,DY$1)</f>
        <v>225.25</v>
      </c>
      <c r="DZ6" cm="1">
        <f t="array" ref="DZ6">_xll.EQNXTDZ($A$1,$B6,DZ$1)</f>
        <v>208.75</v>
      </c>
      <c r="EA6" cm="1">
        <f t="array" ref="EA6">_xll.EQNXTDZ($A$1,$B6,EA$1)</f>
        <v>214.9</v>
      </c>
      <c r="EB6" cm="1">
        <f t="array" ref="EB6">_xll.EQNXTDZ($A$1,$B6,EB$1)</f>
        <v>203.3</v>
      </c>
      <c r="EC6" cm="1">
        <f t="array" ref="EC6">_xll.EQNXTDZ($A$1,$B6,EC$1)</f>
        <v>193.35</v>
      </c>
      <c r="ED6" cm="1">
        <f t="array" ref="ED6">_xll.EQNXTDZ($A$1,$B6,ED$1)</f>
        <v>201.95</v>
      </c>
      <c r="EE6" cm="1">
        <f t="array" ref="EE6">_xll.EQNXTDZ($A$1,$B6,EE$1)</f>
        <v>213.95</v>
      </c>
      <c r="EF6" cm="1">
        <f t="array" ref="EF6">_xll.EQNXTDZ($A$1,$B6,EF$1)</f>
        <v>222.9</v>
      </c>
      <c r="EG6" cm="1">
        <f t="array" ref="EG6">_xll.EQNXTDZ($A$1,$B6,EG$1)</f>
        <v>237.4</v>
      </c>
      <c r="EH6" cm="1">
        <f t="array" ref="EH6">_xll.EQNXTDZ($A$1,$B6,EH$1)</f>
        <v>246.75</v>
      </c>
      <c r="EI6" cm="1">
        <f t="array" ref="EI6">_xll.EQNXTDZ($A$1,$B6,EI$1)</f>
        <v>262.55</v>
      </c>
      <c r="EJ6" cm="1">
        <f t="array" ref="EJ6">_xll.EQNXTDZ($A$1,$B6,EJ$1)</f>
        <v>239.95</v>
      </c>
      <c r="EK6" cm="1">
        <f t="array" ref="EK6">_xll.EQNXTDZ($A$1,$B6,EK$1)</f>
        <v>270</v>
      </c>
      <c r="EL6" cm="1">
        <f t="array" ref="EL6">_xll.EQNXTDZ($A$1,$B6,EL$1)</f>
        <v>333.9</v>
      </c>
      <c r="EM6" cm="1">
        <f t="array" ref="EM6">_xll.EQNXTDZ($A$1,$B6,EM$1)</f>
        <v>392.1</v>
      </c>
      <c r="EN6" cm="1">
        <f t="array" ref="EN6">_xll.EQNXTDZ($A$1,$B6,EN$1)</f>
        <v>375.55</v>
      </c>
      <c r="EO6" cm="1">
        <f t="array" ref="EO6">_xll.EQNXTDZ($A$1,$B6,EO$1)</f>
        <v>398.95</v>
      </c>
      <c r="EP6" cm="1">
        <f t="array" ref="EP6">_xll.EQNXTDZ($A$1,$B6,EP$1)</f>
        <v>450.05</v>
      </c>
      <c r="EQ6" cm="1">
        <f t="array" ref="EQ6">_xll.EQNXTDZ($A$1,$B6,EQ$1)</f>
        <v>460</v>
      </c>
      <c r="ER6" cm="1">
        <f t="array" ref="ER6">_xll.EQNXTDZ($A$1,$B6,ER$1)</f>
        <v>441</v>
      </c>
      <c r="ES6" cm="1">
        <f t="array" ref="ES6">_xll.EQNXTDZ($A$1,$B6,ES$1)</f>
        <v>454.95</v>
      </c>
      <c r="ET6" cm="1">
        <f t="array" ref="ET6">_xll.EQNXTDZ($A$1,$B6,ET$1)</f>
        <v>435.85</v>
      </c>
      <c r="EU6" cm="1">
        <f t="array" ref="EU6">_xll.EQNXTDZ($A$1,$B6,EU$1)</f>
        <v>486.8</v>
      </c>
      <c r="EV6" cm="1">
        <f t="array" ref="EV6">_xll.EQNXTDZ($A$1,$B6,EV$1)</f>
        <v>444</v>
      </c>
      <c r="EW6" cm="1">
        <f t="array" ref="EW6">_xll.EQNXTDZ($A$1,$B6,EW$1)</f>
        <v>413</v>
      </c>
      <c r="EX6" cm="1">
        <f t="array" ref="EX6">_xll.EQNXTDZ($A$1,$B6,EX$1)</f>
        <v>392.5</v>
      </c>
      <c r="EY6" cm="1">
        <f t="array" ref="EY6">_xll.EQNXTDZ($A$1,$B6,EY$1)</f>
        <v>367.9</v>
      </c>
      <c r="EZ6" cm="1">
        <f t="array" ref="EZ6">_xll.EQNXTDZ($A$1,$B6,EZ$1)</f>
        <v>338.75</v>
      </c>
      <c r="FA6" cm="1">
        <f t="array" ref="FA6">_xll.EQNXTDZ($A$1,$B6,FA$1)</f>
        <v>372.45</v>
      </c>
      <c r="FB6" cm="1">
        <f t="array" ref="FB6">_xll.EQNXTDZ($A$1,$B6,FB$1)</f>
        <v>384</v>
      </c>
      <c r="FC6" cm="1">
        <f t="array" ref="FC6">_xll.EQNXTDZ($A$1,$B6,FC$1)</f>
        <v>392.8</v>
      </c>
      <c r="FD6" cm="1">
        <f t="array" ref="FD6">_xll.EQNXTDZ($A$1,$B6,FD$1)</f>
        <v>406</v>
      </c>
      <c r="FE6" cm="1">
        <f t="array" ref="FE6">_xll.EQNXTDZ($A$1,$B6,FE$1)</f>
        <v>395.1</v>
      </c>
      <c r="FF6" cm="1">
        <f t="array" ref="FF6">_xll.EQNXTDZ($A$1,$B6,FF$1)</f>
        <v>374.15</v>
      </c>
      <c r="FG6" cm="1">
        <f t="array" ref="FG6">_xll.EQNXTDZ($A$1,$B6,FG$1)</f>
        <v>388.65</v>
      </c>
      <c r="FH6" cm="1">
        <f t="array" ref="FH6">_xll.EQNXTDZ($A$1,$B6,FH$1)</f>
        <v>403.85</v>
      </c>
      <c r="FI6" cm="1">
        <f t="array" ref="FI6">_xll.EQNXTDZ($A$1,$B6,FI$1)</f>
        <v>390.65</v>
      </c>
      <c r="FJ6" cm="1">
        <f t="array" ref="FJ6">_xll.EQNXTDZ($A$1,$B6,FJ$1)</f>
        <v>380</v>
      </c>
      <c r="FK6" cm="1">
        <f t="array" ref="FK6">_xll.EQNXTDZ($A$1,$B6,FK$1)</f>
        <v>367.7</v>
      </c>
      <c r="FL6" cm="1">
        <f t="array" ref="FL6">_xll.EQNXTDZ($A$1,$B6,FL$1)</f>
        <v>356</v>
      </c>
      <c r="FM6" cm="1">
        <f t="array" ref="FM6">_xll.EQNXTDZ($A$1,$B6,FM$1)</f>
        <v>390.7</v>
      </c>
      <c r="FN6" cm="1">
        <f t="array" ref="FN6">_xll.EQNXTDZ($A$1,$B6,FN$1)</f>
        <v>445.5</v>
      </c>
      <c r="FO6" cm="1">
        <f t="array" ref="FO6">_xll.EQNXTDZ($A$1,$B6,FO$1)</f>
        <v>421.7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101.80927587144301</v>
      </c>
      <c r="D7" s="116" cm="1">
        <f t="array" ref="D7">_xll.EQNXTDZ($A$1,$B7,D$1)</f>
        <v>102.48478765447599</v>
      </c>
      <c r="E7" s="116" cm="1">
        <f t="array" ref="E7">_xll.EQNXTDZ($A$1,$B7,E$1)</f>
        <v>99.3967337891809</v>
      </c>
      <c r="F7" s="116" cm="1">
        <f t="array" ref="F7">_xll.EQNXTDZ($A$1,$B7,F$1)</f>
        <v>106.730861719256</v>
      </c>
      <c r="G7" s="116" cm="1">
        <f t="array" ref="G7">_xll.EQNXTDZ($A$1,$B7,G$1)</f>
        <v>103.93231290383299</v>
      </c>
      <c r="H7" s="116" cm="1">
        <f t="array" ref="H7">_xll.EQNXTDZ($A$1,$B7,H$1)</f>
        <v>104.70432637015701</v>
      </c>
      <c r="I7" s="116" cm="1">
        <f t="array" ref="I7">_xll.EQNXTDZ($A$1,$B7,I$1)</f>
        <v>109.19165464316301</v>
      </c>
      <c r="J7" s="116" cm="1">
        <f t="array" ref="J7">_xll.EQNXTDZ($A$1,$B7,J$1)</f>
        <v>108.612644543421</v>
      </c>
      <c r="K7" s="116" cm="1">
        <f t="array" ref="K7">_xll.EQNXTDZ($A$1,$B7,K$1)</f>
        <v>99.927493047278503</v>
      </c>
      <c r="L7" s="116" cm="1">
        <f t="array" ref="L7">_xll.EQNXTDZ($A$1,$B7,L$1)</f>
        <v>99.010727056019107</v>
      </c>
      <c r="M7" s="116" cm="1">
        <f t="array" ref="M7">_xll.EQNXTDZ($A$1,$B7,M$1)</f>
        <v>97.852706856533501</v>
      </c>
      <c r="N7" s="116" cm="1">
        <f t="array" ref="N7">_xll.EQNXTDZ($A$1,$B7,N$1)</f>
        <v>92.303860067331598</v>
      </c>
      <c r="O7" s="116" cm="1">
        <f t="array" ref="O7">_xll.EQNXTDZ($A$1,$B7,O$1)</f>
        <v>86.610260753194098</v>
      </c>
      <c r="P7" s="116" cm="1">
        <f t="array" ref="P7">_xll.EQNXTDZ($A$1,$B7,P$1)</f>
        <v>91.869602492524507</v>
      </c>
      <c r="Q7" s="116" cm="1">
        <f t="array" ref="Q7">_xll.EQNXTDZ($A$1,$B7,Q$1)</f>
        <v>86.127752336741693</v>
      </c>
      <c r="R7" s="116" cm="1">
        <f t="array" ref="R7">_xll.EQNXTDZ($A$1,$B7,R$1)</f>
        <v>82.026430796896904</v>
      </c>
      <c r="S7" s="116" cm="1">
        <f t="array" ref="S7">_xll.EQNXTDZ($A$1,$B7,S$1)</f>
        <v>82.991447629801598</v>
      </c>
      <c r="T7" s="116" cm="1">
        <f t="array" ref="T7">_xll.EQNXTDZ($A$1,$B7,T$1)</f>
        <v>82.798444263220603</v>
      </c>
      <c r="U7" s="116" cm="1">
        <f t="array" ref="U7">_xll.EQNXTDZ($A$1,$B7,U$1)</f>
        <v>89.3605587269724</v>
      </c>
      <c r="V7" s="116" cm="1">
        <f t="array" ref="V7">_xll.EQNXTDZ($A$1,$B7,V$1)</f>
        <v>88.733297785584298</v>
      </c>
      <c r="W7" s="116" cm="1">
        <f t="array" ref="W7">_xll.EQNXTDZ($A$1,$B7,W$1)</f>
        <v>81.399169855508802</v>
      </c>
      <c r="X7" s="116" cm="1">
        <f t="array" ref="X7">_xll.EQNXTDZ($A$1,$B7,X$1)</f>
        <v>87.9</v>
      </c>
      <c r="Y7" s="116" cm="1">
        <f t="array" ref="Y7">_xll.EQNXTDZ($A$1,$B7,Y$1)</f>
        <v>87.9</v>
      </c>
      <c r="Z7" s="116" cm="1">
        <f t="array" ref="Z7">_xll.EQNXTDZ($A$1,$B7,Z$1)</f>
        <v>109.3</v>
      </c>
      <c r="AA7" s="116" cm="1">
        <f t="array" ref="AA7">_xll.EQNXTDZ($A$1,$B7,AA$1)</f>
        <v>115.6</v>
      </c>
      <c r="AB7" s="116" cm="1">
        <f t="array" ref="AB7">_xll.EQNXTDZ($A$1,$B7,AB$1)</f>
        <v>112.2</v>
      </c>
      <c r="AC7" s="116" cm="1">
        <f t="array" ref="AC7">_xll.EQNXTDZ($A$1,$B7,AC$1)</f>
        <v>97.95</v>
      </c>
      <c r="AD7" s="116" cm="1">
        <f t="array" ref="AD7">_xll.EQNXTDZ($A$1,$B7,AD$1)</f>
        <v>91.35</v>
      </c>
      <c r="AE7" s="116" cm="1">
        <f t="array" ref="AE7">_xll.EQNXTDZ($A$1,$B7,AE$1)</f>
        <v>94.5</v>
      </c>
      <c r="AF7" s="116" cm="1">
        <f t="array" ref="AF7">_xll.EQNXTDZ($A$1,$B7,AF$1)</f>
        <v>94.9</v>
      </c>
      <c r="AG7" s="116" cm="1">
        <f t="array" ref="AG7">_xll.EQNXTDZ($A$1,$B7,AG$1)</f>
        <v>93.25</v>
      </c>
      <c r="AH7" s="116" cm="1">
        <f t="array" ref="AH7">_xll.EQNXTDZ($A$1,$B7,AH$1)</f>
        <v>91.55</v>
      </c>
      <c r="AI7" s="116" cm="1">
        <f t="array" ref="AI7">_xll.EQNXTDZ($A$1,$B7,AI$1)</f>
        <v>92.45</v>
      </c>
      <c r="AJ7" s="116" cm="1">
        <f t="array" ref="AJ7">_xll.EQNXTDZ($A$1,$B7,AJ$1)</f>
        <v>88.3</v>
      </c>
      <c r="AK7" s="116" cm="1">
        <f t="array" ref="AK7">_xll.EQNXTDZ($A$1,$B7,AK$1)</f>
        <v>82.35</v>
      </c>
      <c r="AL7" s="116" cm="1">
        <f t="array" ref="AL7">_xll.EQNXTDZ($A$1,$B7,AL$1)</f>
        <v>79.599999999999994</v>
      </c>
      <c r="AM7" s="116" cm="1">
        <f t="array" ref="AM7">_xll.EQNXTDZ($A$1,$B7,AM$1)</f>
        <v>76.349999999999994</v>
      </c>
      <c r="AN7" s="116" cm="1">
        <f t="array" ref="AN7">_xll.EQNXTDZ($A$1,$B7,AN$1)</f>
        <v>76.849999999999994</v>
      </c>
      <c r="AO7" s="116" cm="1">
        <f t="array" ref="AO7">_xll.EQNXTDZ($A$1,$B7,AO$1)</f>
        <v>70.95</v>
      </c>
      <c r="AP7" s="116" cm="1">
        <f t="array" ref="AP7">_xll.EQNXTDZ($A$1,$B7,AP$1)</f>
        <v>67</v>
      </c>
      <c r="AQ7" s="116" cm="1">
        <f t="array" ref="AQ7">_xll.EQNXTDZ($A$1,$B7,AQ$1)</f>
        <v>72.5</v>
      </c>
      <c r="AR7" s="116" cm="1">
        <f t="array" ref="AR7">_xll.EQNXTDZ($A$1,$B7,AR$1)</f>
        <v>69.8</v>
      </c>
      <c r="AS7" s="116" cm="1">
        <f t="array" ref="AS7">_xll.EQNXTDZ($A$1,$B7,AS$1)</f>
        <v>69</v>
      </c>
      <c r="AT7" s="116" cm="1">
        <f t="array" ref="AT7">_xll.EQNXTDZ($A$1,$B7,AT$1)</f>
        <v>70.7</v>
      </c>
      <c r="AU7" s="116" cm="1">
        <f t="array" ref="AU7">_xll.EQNXTDZ($A$1,$B7,AU$1)</f>
        <v>61.9</v>
      </c>
      <c r="AV7" s="116" cm="1">
        <f t="array" ref="AV7">_xll.EQNXTDZ($A$1,$B7,AV$1)</f>
        <v>65.099999999999994</v>
      </c>
      <c r="AW7" s="116" cm="1">
        <f t="array" ref="AW7">_xll.EQNXTDZ($A$1,$B7,AW$1)</f>
        <v>72.3</v>
      </c>
      <c r="AX7" s="116" cm="1">
        <f t="array" ref="AX7">_xll.EQNXTDZ($A$1,$B7,AX$1)</f>
        <v>76</v>
      </c>
      <c r="AY7" s="116" cm="1">
        <f t="array" ref="AY7">_xll.EQNXTDZ($A$1,$B7,AY$1)</f>
        <v>77.400000000000006</v>
      </c>
      <c r="AZ7" s="116" cm="1">
        <f t="array" ref="AZ7">_xll.EQNXTDZ($A$1,$B7,AZ$1)</f>
        <v>75.55</v>
      </c>
      <c r="BA7" s="116" cm="1">
        <f t="array" ref="BA7">_xll.EQNXTDZ($A$1,$B7,BA$1)</f>
        <v>79.150000000000006</v>
      </c>
      <c r="BB7" s="116" cm="1">
        <f t="array" ref="BB7">_xll.EQNXTDZ($A$1,$B7,BB$1)</f>
        <v>80.349999999999994</v>
      </c>
      <c r="BC7" s="116" cm="1">
        <f t="array" ref="BC7">_xll.EQNXTDZ($A$1,$B7,BC$1)</f>
        <v>84.4</v>
      </c>
      <c r="BD7" s="116" cm="1">
        <f t="array" ref="BD7">_xll.EQNXTDZ($A$1,$B7,BD$1)</f>
        <v>79.5</v>
      </c>
      <c r="BE7" s="116" cm="1">
        <f t="array" ref="BE7">_xll.EQNXTDZ($A$1,$B7,BE$1)</f>
        <v>80.25</v>
      </c>
      <c r="BF7" s="116" cm="1">
        <f t="array" ref="BF7">_xll.EQNXTDZ($A$1,$B7,BF$1)</f>
        <v>82.75</v>
      </c>
      <c r="BG7" s="116" cm="1">
        <f t="array" ref="BG7">_xll.EQNXTDZ($A$1,$B7,BG$1)</f>
        <v>86</v>
      </c>
      <c r="BH7" s="116" cm="1">
        <f t="array" ref="BH7">_xll.EQNXTDZ($A$1,$B7,BH$1)</f>
        <v>91.15</v>
      </c>
      <c r="BI7" s="116" cm="1">
        <f t="array" ref="BI7">_xll.EQNXTDZ($A$1,$B7,BI$1)</f>
        <v>90.7</v>
      </c>
      <c r="BJ7" s="116" cm="1">
        <f t="array" ref="BJ7">_xll.EQNXTDZ($A$1,$B7,BJ$1)</f>
        <v>86</v>
      </c>
      <c r="BK7" s="116" cm="1">
        <f t="array" ref="BK7">_xll.EQNXTDZ($A$1,$B7,BK$1)</f>
        <v>83.8</v>
      </c>
      <c r="BL7" s="116" cm="1">
        <f t="array" ref="BL7">_xll.EQNXTDZ($A$1,$B7,BL$1)</f>
        <v>89.05</v>
      </c>
      <c r="BM7" s="116" cm="1">
        <f t="array" ref="BM7">_xll.EQNXTDZ($A$1,$B7,BM$1)</f>
        <v>83.45</v>
      </c>
      <c r="BN7" s="116" cm="1">
        <f t="array" ref="BN7">_xll.EQNXTDZ($A$1,$B7,BN$1)</f>
        <v>87.3</v>
      </c>
      <c r="BO7" s="116" cm="1">
        <f t="array" ref="BO7">_xll.EQNXTDZ($A$1,$B7,BO$1)</f>
        <v>87.45</v>
      </c>
      <c r="BP7" s="116" cm="1">
        <f t="array" ref="BP7">_xll.EQNXTDZ($A$1,$B7,BP$1)</f>
        <v>97.1</v>
      </c>
      <c r="BQ7" s="116" cm="1">
        <f t="array" ref="BQ7">_xll.EQNXTDZ($A$1,$B7,BQ$1)</f>
        <v>95.9</v>
      </c>
      <c r="BR7" s="116" cm="1">
        <f t="array" ref="BR7">_xll.EQNXTDZ($A$1,$B7,BR$1)</f>
        <v>101.8</v>
      </c>
      <c r="BS7" s="116" cm="1">
        <f t="array" ref="BS7">_xll.EQNXTDZ($A$1,$B7,BS$1)</f>
        <v>90.85</v>
      </c>
      <c r="BT7" s="116" cm="1">
        <f t="array" ref="BT7">_xll.EQNXTDZ($A$1,$B7,BT$1)</f>
        <v>85.95</v>
      </c>
      <c r="BU7" s="116" cm="1">
        <f t="array" ref="BU7">_xll.EQNXTDZ($A$1,$B7,BU$1)</f>
        <v>89.15</v>
      </c>
      <c r="BV7" s="116" cm="1">
        <f t="array" ref="BV7">_xll.EQNXTDZ($A$1,$B7,BV$1)</f>
        <v>89.55</v>
      </c>
      <c r="BW7" s="116" cm="1">
        <f t="array" ref="BW7">_xll.EQNXTDZ($A$1,$B7,BW$1)</f>
        <v>81.25</v>
      </c>
      <c r="BX7" s="116" cm="1">
        <f t="array" ref="BX7">_xll.EQNXTDZ($A$1,$B7,BX$1)</f>
        <v>75</v>
      </c>
      <c r="BY7" s="116" cm="1">
        <f t="array" ref="BY7">_xll.EQNXTDZ($A$1,$B7,BY$1)</f>
        <v>77.650000000000006</v>
      </c>
      <c r="BZ7" s="116" cm="1">
        <f t="array" ref="BZ7">_xll.EQNXTDZ($A$1,$B7,BZ$1)</f>
        <v>79</v>
      </c>
      <c r="CA7" s="116" cm="1">
        <f t="array" ref="CA7">_xll.EQNXTDZ($A$1,$B7,CA$1)</f>
        <v>86.1</v>
      </c>
      <c r="CB7" s="116" cm="1">
        <f t="array" ref="CB7">_xll.EQNXTDZ($A$1,$B7,CB$1)</f>
        <v>79.099999999999994</v>
      </c>
      <c r="CC7" s="116" cm="1">
        <f t="array" ref="CC7">_xll.EQNXTDZ($A$1,$B7,CC$1)</f>
        <v>83.85</v>
      </c>
      <c r="CD7" s="116" cm="1">
        <f t="array" ref="CD7">_xll.EQNXTDZ($A$1,$B7,CD$1)</f>
        <v>77.95</v>
      </c>
      <c r="CE7" s="116" cm="1">
        <f t="array" ref="CE7">_xll.EQNXTDZ($A$1,$B7,CE$1)</f>
        <v>72.3</v>
      </c>
      <c r="CF7" s="116" cm="1">
        <f t="array" ref="CF7">_xll.EQNXTDZ($A$1,$B7,CF$1)</f>
        <v>74.75</v>
      </c>
      <c r="CG7" s="116" cm="1">
        <f t="array" ref="CG7">_xll.EQNXTDZ($A$1,$B7,CG$1)</f>
        <v>77</v>
      </c>
      <c r="CH7" s="116" cm="1">
        <f t="array" ref="CH7">_xll.EQNXTDZ($A$1,$B7,CH$1)</f>
        <v>71.45</v>
      </c>
      <c r="CI7" s="116" cm="1">
        <f t="array" ref="CI7">_xll.EQNXTDZ($A$1,$B7,CI$1)</f>
        <v>70.2</v>
      </c>
      <c r="CJ7" s="116" cm="1">
        <f t="array" ref="CJ7">_xll.EQNXTDZ($A$1,$B7,CJ$1)</f>
        <v>74.150000000000006</v>
      </c>
      <c r="CK7" s="116" cm="1">
        <f t="array" ref="CK7">_xll.EQNXTDZ($A$1,$B7,CK$1)</f>
        <v>60.85</v>
      </c>
      <c r="CL7" s="116" cm="1">
        <f t="array" ref="CL7">_xll.EQNXTDZ($A$1,$B7,CL$1)</f>
        <v>68.849999999999994</v>
      </c>
      <c r="CM7" s="116" cm="1">
        <f t="array" ref="CM7">_xll.EQNXTDZ($A$1,$B7,CM$1)</f>
        <v>62.85</v>
      </c>
      <c r="CN7" s="116" cm="1">
        <f t="array" ref="CN7">_xll.EQNXTDZ($A$1,$B7,CN$1)</f>
        <v>60.8</v>
      </c>
      <c r="CO7" s="116" cm="1">
        <f t="array" ref="CO7">_xll.EQNXTDZ($A$1,$B7,CO$1)</f>
        <v>57.4</v>
      </c>
      <c r="CP7" s="116" cm="1">
        <f t="array" ref="CP7">_xll.EQNXTDZ($A$1,$B7,CP$1)</f>
        <v>62.1</v>
      </c>
      <c r="CQ7" s="116" cm="1">
        <f t="array" ref="CQ7">_xll.EQNXTDZ($A$1,$B7,CQ$1)</f>
        <v>58.4</v>
      </c>
      <c r="CR7" s="116" cm="1">
        <f t="array" ref="CR7">_xll.EQNXTDZ($A$1,$B7,CR$1)</f>
        <v>47.8</v>
      </c>
      <c r="CS7" s="116" cm="1">
        <f t="array" ref="CS7">_xll.EQNXTDZ($A$1,$B7,CS$1)</f>
        <v>37.5</v>
      </c>
      <c r="CT7" s="116" cm="1">
        <f t="array" ref="CT7">_xll.EQNXTDZ($A$1,$B7,CT$1)</f>
        <v>37.5</v>
      </c>
      <c r="CU7" s="116" cm="1">
        <f t="array" ref="CU7">_xll.EQNXTDZ($A$1,$B7,CU$1)</f>
        <v>47.4</v>
      </c>
      <c r="CV7" s="116" cm="1">
        <f t="array" ref="CV7">_xll.EQNXTDZ($A$1,$B7,CV$1)</f>
        <v>53.2</v>
      </c>
      <c r="CW7" s="116" cm="1">
        <f t="array" ref="CW7">_xll.EQNXTDZ($A$1,$B7,CW$1)</f>
        <v>63.4</v>
      </c>
      <c r="CX7" s="116" cm="1">
        <f t="array" ref="CX7">_xll.EQNXTDZ($A$1,$B7,CX$1)</f>
        <v>61.6</v>
      </c>
      <c r="CY7" s="116" cm="1">
        <f t="array" ref="CY7">_xll.EQNXTDZ($A$1,$B7,CY$1)</f>
        <v>56.9</v>
      </c>
      <c r="CZ7" s="116" cm="1">
        <f t="array" ref="CZ7">_xll.EQNXTDZ($A$1,$B7,CZ$1)</f>
        <v>65.25</v>
      </c>
      <c r="DA7" s="116" cm="1">
        <f t="array" ref="DA7">_xll.EQNXTDZ($A$1,$B7,DA$1)</f>
        <v>78.8</v>
      </c>
      <c r="DB7" s="116" cm="1">
        <f t="array" ref="DB7">_xll.EQNXTDZ($A$1,$B7,DB$1)</f>
        <v>88</v>
      </c>
      <c r="DC7" s="116" cm="1">
        <f t="array" ref="DC7">_xll.EQNXTDZ($A$1,$B7,DC$1)</f>
        <v>97.65</v>
      </c>
      <c r="DD7" s="116" cm="1">
        <f t="array" ref="DD7">_xll.EQNXTDZ($A$1,$B7,DD$1)</f>
        <v>114.5</v>
      </c>
      <c r="DE7" s="116" cm="1">
        <f t="array" ref="DE7">_xll.EQNXTDZ($A$1,$B7,DE$1)</f>
        <v>107.35</v>
      </c>
      <c r="DF7" s="116" cm="1">
        <f t="array" ref="DF7">_xll.EQNXTDZ($A$1,$B7,DF$1)</f>
        <v>111.15</v>
      </c>
      <c r="DG7" s="116" cm="1">
        <f t="array" ref="DG7">_xll.EQNXTDZ($A$1,$B7,DG$1)</f>
        <v>132.69999999999999</v>
      </c>
      <c r="DH7" s="116" cm="1">
        <f t="array" ref="DH7">_xll.EQNXTDZ($A$1,$B7,DH$1)</f>
        <v>128.44999999999999</v>
      </c>
      <c r="DI7" s="116" cm="1">
        <f t="array" ref="DI7">_xll.EQNXTDZ($A$1,$B7,DI$1)</f>
        <v>137</v>
      </c>
      <c r="DJ7" s="116" cm="1">
        <f t="array" ref="DJ7">_xll.EQNXTDZ($A$1,$B7,DJ$1)</f>
        <v>161.19999999999999</v>
      </c>
      <c r="DK7" s="116" cm="1">
        <f t="array" ref="DK7">_xll.EQNXTDZ($A$1,$B7,DK$1)</f>
        <v>267.85000000000002</v>
      </c>
      <c r="DL7" s="116" cm="1">
        <f t="array" ref="DL7">_xll.EQNXTDZ($A$1,$B7,DL$1)</f>
        <v>252.5</v>
      </c>
      <c r="DM7" s="116" cm="1">
        <f t="array" ref="DM7">_xll.EQNXTDZ($A$1,$B7,DM$1)</f>
        <v>236.5</v>
      </c>
      <c r="DN7" s="116" cm="1">
        <f t="array" ref="DN7">_xll.EQNXTDZ($A$1,$B7,DN$1)</f>
        <v>252.15</v>
      </c>
      <c r="DO7" s="116" cm="1">
        <f t="array" ref="DO7">_xll.EQNXTDZ($A$1,$B7,DO$1)</f>
        <v>257.89999999999998</v>
      </c>
      <c r="DP7" s="116" cm="1">
        <f t="array" ref="DP7">_xll.EQNXTDZ($A$1,$B7,DP$1)</f>
        <v>244.9</v>
      </c>
      <c r="DQ7" s="116" cm="1">
        <f t="array" ref="DQ7">_xll.EQNXTDZ($A$1,$B7,DQ$1)</f>
        <v>298.05</v>
      </c>
      <c r="DR7" s="116" cm="1">
        <f t="array" ref="DR7">_xll.EQNXTDZ($A$1,$B7,DR$1)</f>
        <v>254.2</v>
      </c>
      <c r="DS7" s="116" cm="1">
        <f t="array" ref="DS7">_xll.EQNXTDZ($A$1,$B7,DS$1)</f>
        <v>236.85</v>
      </c>
      <c r="DT7" s="116" cm="1">
        <f t="array" ref="DT7">_xll.EQNXTDZ($A$1,$B7,DT$1)</f>
        <v>234</v>
      </c>
      <c r="DU7" s="116" cm="1">
        <f t="array" ref="DU7">_xll.EQNXTDZ($A$1,$B7,DU$1)</f>
        <v>241.9</v>
      </c>
      <c r="DV7" s="116" cm="1">
        <f t="array" ref="DV7">_xll.EQNXTDZ($A$1,$B7,DV$1)</f>
        <v>251.15</v>
      </c>
      <c r="DW7" s="116" cm="1">
        <f t="array" ref="DW7">_xll.EQNXTDZ($A$1,$B7,DW$1)</f>
        <v>229</v>
      </c>
      <c r="DX7" s="116" cm="1">
        <f t="array" ref="DX7">_xll.EQNXTDZ($A$1,$B7,DX$1)</f>
        <v>234.5</v>
      </c>
      <c r="DY7" s="116" cm="1">
        <f t="array" ref="DY7">_xll.EQNXTDZ($A$1,$B7,DY$1)</f>
        <v>230.3</v>
      </c>
      <c r="DZ7" s="116" cm="1">
        <f t="array" ref="DZ7">_xll.EQNXTDZ($A$1,$B7,DZ$1)</f>
        <v>214.65</v>
      </c>
      <c r="EA7" s="116" cm="1">
        <f t="array" ref="EA7">_xll.EQNXTDZ($A$1,$B7,EA$1)</f>
        <v>215.4</v>
      </c>
      <c r="EB7" s="116" cm="1">
        <f t="array" ref="EB7">_xll.EQNXTDZ($A$1,$B7,EB$1)</f>
        <v>212.9</v>
      </c>
      <c r="EC7" s="116" cm="1">
        <f t="array" ref="EC7">_xll.EQNXTDZ($A$1,$B7,EC$1)</f>
        <v>201.55</v>
      </c>
      <c r="ED7" s="116" cm="1">
        <f t="array" ref="ED7">_xll.EQNXTDZ($A$1,$B7,ED$1)</f>
        <v>219</v>
      </c>
      <c r="EE7" s="116" cm="1">
        <f t="array" ref="EE7">_xll.EQNXTDZ($A$1,$B7,EE$1)</f>
        <v>226.35</v>
      </c>
      <c r="EF7" s="116" cm="1">
        <f t="array" ref="EF7">_xll.EQNXTDZ($A$1,$B7,EF$1)</f>
        <v>238.9</v>
      </c>
      <c r="EG7" s="116" cm="1">
        <f t="array" ref="EG7">_xll.EQNXTDZ($A$1,$B7,EG$1)</f>
        <v>252.8</v>
      </c>
      <c r="EH7" s="116" cm="1">
        <f t="array" ref="EH7">_xll.EQNXTDZ($A$1,$B7,EH$1)</f>
        <v>276.5</v>
      </c>
      <c r="EI7" s="116" cm="1">
        <f t="array" ref="EI7">_xll.EQNXTDZ($A$1,$B7,EI$1)</f>
        <v>266.5</v>
      </c>
      <c r="EJ7" s="116" cm="1">
        <f t="array" ref="EJ7">_xll.EQNXTDZ($A$1,$B7,EJ$1)</f>
        <v>275.7</v>
      </c>
      <c r="EK7" s="116" cm="1">
        <f t="array" ref="EK7">_xll.EQNXTDZ($A$1,$B7,EK$1)</f>
        <v>346.9</v>
      </c>
      <c r="EL7" s="116" cm="1">
        <f t="array" ref="EL7">_xll.EQNXTDZ($A$1,$B7,EL$1)</f>
        <v>392.8</v>
      </c>
      <c r="EM7" s="116" cm="1">
        <f t="array" ref="EM7">_xll.EQNXTDZ($A$1,$B7,EM$1)</f>
        <v>412.9</v>
      </c>
      <c r="EN7" s="116" cm="1">
        <f t="array" ref="EN7">_xll.EQNXTDZ($A$1,$B7,EN$1)</f>
        <v>433.3</v>
      </c>
      <c r="EO7" s="116" cm="1">
        <f t="array" ref="EO7">_xll.EQNXTDZ($A$1,$B7,EO$1)</f>
        <v>455.3</v>
      </c>
      <c r="EP7" s="116" cm="1">
        <f t="array" ref="EP7">_xll.EQNXTDZ($A$1,$B7,EP$1)</f>
        <v>464.2</v>
      </c>
      <c r="EQ7" s="116" cm="1">
        <f t="array" ref="EQ7">_xll.EQNXTDZ($A$1,$B7,EQ$1)</f>
        <v>460</v>
      </c>
      <c r="ER7" s="116" cm="1">
        <f t="array" ref="ER7">_xll.EQNXTDZ($A$1,$B7,ER$1)</f>
        <v>455</v>
      </c>
      <c r="ES7" s="116" cm="1">
        <f t="array" ref="ES7">_xll.EQNXTDZ($A$1,$B7,ES$1)</f>
        <v>471</v>
      </c>
      <c r="ET7" s="116" cm="1">
        <f t="array" ref="ET7">_xll.EQNXTDZ($A$1,$B7,ET$1)</f>
        <v>494.85</v>
      </c>
      <c r="EU7" s="116" cm="1">
        <f t="array" ref="EU7">_xll.EQNXTDZ($A$1,$B7,EU$1)</f>
        <v>491.2</v>
      </c>
      <c r="EV7" s="116" cm="1">
        <f t="array" ref="EV7">_xll.EQNXTDZ($A$1,$B7,EV$1)</f>
        <v>454.75</v>
      </c>
      <c r="EW7" s="116" cm="1">
        <f t="array" ref="EW7">_xll.EQNXTDZ($A$1,$B7,EW$1)</f>
        <v>447.7</v>
      </c>
      <c r="EX7" s="116" cm="1">
        <f t="array" ref="EX7">_xll.EQNXTDZ($A$1,$B7,EX$1)</f>
        <v>402.95</v>
      </c>
      <c r="EY7" s="116" cm="1">
        <f t="array" ref="EY7">_xll.EQNXTDZ($A$1,$B7,EY$1)</f>
        <v>379</v>
      </c>
      <c r="EZ7" s="116" cm="1">
        <f t="array" ref="EZ7">_xll.EQNXTDZ($A$1,$B7,EZ$1)</f>
        <v>386.05</v>
      </c>
      <c r="FA7" s="116" cm="1">
        <f t="array" ref="FA7">_xll.EQNXTDZ($A$1,$B7,FA$1)</f>
        <v>403.3</v>
      </c>
      <c r="FB7" s="116" cm="1">
        <f t="array" ref="FB7">_xll.EQNXTDZ($A$1,$B7,FB$1)</f>
        <v>411.95</v>
      </c>
      <c r="FC7" s="116" cm="1">
        <f t="array" ref="FC7">_xll.EQNXTDZ($A$1,$B7,FC$1)</f>
        <v>416.8</v>
      </c>
      <c r="FD7" s="116" cm="1">
        <f t="array" ref="FD7">_xll.EQNXTDZ($A$1,$B7,FD$1)</f>
        <v>416.75</v>
      </c>
      <c r="FE7" s="116" cm="1">
        <f t="array" ref="FE7">_xll.EQNXTDZ($A$1,$B7,FE$1)</f>
        <v>398.15</v>
      </c>
      <c r="FF7" s="116" cm="1">
        <f t="array" ref="FF7">_xll.EQNXTDZ($A$1,$B7,FF$1)</f>
        <v>399.9</v>
      </c>
      <c r="FG7" s="116" cm="1">
        <f t="array" ref="FG7">_xll.EQNXTDZ($A$1,$B7,FG$1)</f>
        <v>413.25</v>
      </c>
      <c r="FH7" s="116" cm="1">
        <f t="array" ref="FH7">_xll.EQNXTDZ($A$1,$B7,FH$1)</f>
        <v>409.5</v>
      </c>
      <c r="FI7" s="116" cm="1">
        <f t="array" ref="FI7">_xll.EQNXTDZ($A$1,$B7,FI$1)</f>
        <v>393</v>
      </c>
      <c r="FJ7" s="116" cm="1">
        <f t="array" ref="FJ7">_xll.EQNXTDZ($A$1,$B7,FJ$1)</f>
        <v>393.65</v>
      </c>
      <c r="FK7" s="116" cm="1">
        <f t="array" ref="FK7">_xll.EQNXTDZ($A$1,$B7,FK$1)</f>
        <v>385.4</v>
      </c>
      <c r="FL7" s="116" cm="1">
        <f t="array" ref="FL7">_xll.EQNXTDZ($A$1,$B7,FL$1)</f>
        <v>418.45</v>
      </c>
      <c r="FM7" s="116" cm="1">
        <f t="array" ref="FM7">_xll.EQNXTDZ($A$1,$B7,FM$1)</f>
        <v>464.9</v>
      </c>
      <c r="FN7" s="116" cm="1">
        <f t="array" ref="FN7">_xll.EQNXTDZ($A$1,$B7,FN$1)</f>
        <v>448</v>
      </c>
      <c r="FO7" s="116" cm="1">
        <f t="array" ref="FO7">_xll.EQNXTDZ($A$1,$B7,FO$1)</f>
        <v>423.75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106.730861719256</v>
      </c>
      <c r="HQ7" s="116">
        <f>+MAX(G7:I7)</f>
        <v>109.19165464316301</v>
      </c>
      <c r="HR7" s="116">
        <f>+MAX(J7:L7)</f>
        <v>108.612644543421</v>
      </c>
      <c r="HS7" s="116">
        <f>+MAX(M7:O7)</f>
        <v>97.852706856533501</v>
      </c>
      <c r="HT7" s="116">
        <f>+MAX(P7:R7)</f>
        <v>91.869602492524507</v>
      </c>
      <c r="HU7" s="116">
        <f>+MAX(S7:U7)</f>
        <v>89.3605587269724</v>
      </c>
      <c r="HV7" s="116">
        <f>+MAX(V7:X7)</f>
        <v>88.733297785584298</v>
      </c>
      <c r="HW7" s="116">
        <f>+MAX(Y7:AA7)</f>
        <v>115.6</v>
      </c>
      <c r="HX7" s="116">
        <f>+MAX(AB7:AD7)</f>
        <v>112.2</v>
      </c>
      <c r="HY7" s="116">
        <f>+MAX(AE7:AG7)</f>
        <v>94.9</v>
      </c>
      <c r="HZ7" s="116">
        <f>+MAX(AH7:AJ7)</f>
        <v>92.45</v>
      </c>
      <c r="IA7" s="116">
        <f>+MAX(AK7:AM7)</f>
        <v>82.35</v>
      </c>
      <c r="IB7" s="116">
        <f>+MAX(AN7:AP7)</f>
        <v>76.849999999999994</v>
      </c>
      <c r="IC7" s="116">
        <f>+MAX(AQ7:AS7)</f>
        <v>72.5</v>
      </c>
      <c r="ID7" s="116">
        <f>+MAX(AT7:AV7)</f>
        <v>70.7</v>
      </c>
      <c r="IE7" s="116">
        <f>+MAX(AW7:AY7)</f>
        <v>77.400000000000006</v>
      </c>
      <c r="IF7" s="116">
        <f>+MAX(AZ7:BB7)</f>
        <v>80.349999999999994</v>
      </c>
      <c r="IG7" s="116">
        <f>+MAX(BC7:BE7)</f>
        <v>84.4</v>
      </c>
      <c r="IH7" s="116">
        <f>+MAX(BF7:BH7)</f>
        <v>91.15</v>
      </c>
      <c r="II7" s="116">
        <f>+MAX(BI7:BK7)</f>
        <v>90.7</v>
      </c>
      <c r="IJ7" s="116">
        <f>+MAX(BL7:BN7)</f>
        <v>89.05</v>
      </c>
      <c r="IK7" s="116">
        <f>+MAX(BO7:BQ7)</f>
        <v>97.1</v>
      </c>
      <c r="IL7" s="116">
        <f>+MAX(BR7:BT7)</f>
        <v>101.8</v>
      </c>
      <c r="IM7" s="116">
        <f>+MAX(BU7:BW7)</f>
        <v>89.55</v>
      </c>
      <c r="IN7" s="116">
        <f>+MAX(BX7:BZ7)</f>
        <v>79</v>
      </c>
      <c r="IO7" s="116">
        <f>+MAX(CA7:CC7)</f>
        <v>86.1</v>
      </c>
      <c r="IP7" s="116">
        <f>+MAX(CD7:CF7)</f>
        <v>77.95</v>
      </c>
      <c r="IQ7" s="116">
        <f>+MAX(CG7:CI7)</f>
        <v>77</v>
      </c>
      <c r="IR7" s="116">
        <f>+MAX(CJ7:CL7)</f>
        <v>74.150000000000006</v>
      </c>
      <c r="IS7" s="116">
        <f>+MAX(CM7:CO7)</f>
        <v>62.85</v>
      </c>
      <c r="IT7" s="116">
        <f>+MAX(CP7:CR7)</f>
        <v>62.1</v>
      </c>
      <c r="IU7" s="116">
        <f>+MAX(CS7:CU7)</f>
        <v>47.4</v>
      </c>
      <c r="IV7" s="116">
        <f>+MAX(CV7:CX7)</f>
        <v>63.4</v>
      </c>
      <c r="IW7" s="116">
        <f>+MAX(CY7:DA7)</f>
        <v>78.8</v>
      </c>
      <c r="IX7" s="116">
        <f>+MAX(DB7:DD7)</f>
        <v>114.5</v>
      </c>
      <c r="IY7" s="116">
        <f>+MAX(DE7:DG7)</f>
        <v>132.69999999999999</v>
      </c>
      <c r="IZ7" s="116">
        <f>+MAX(DH7:DJ7)</f>
        <v>161.19999999999999</v>
      </c>
      <c r="JA7" s="116">
        <f>+MAX(DK7:DM7)</f>
        <v>267.85000000000002</v>
      </c>
      <c r="JB7" s="116">
        <f>+MAX(DN7:DP7)</f>
        <v>257.89999999999998</v>
      </c>
      <c r="JC7" s="116">
        <f>+MAX(DQ7:DS7)</f>
        <v>298.05</v>
      </c>
      <c r="JD7" s="116">
        <f>+MAX(DT7:DV7)</f>
        <v>251.15</v>
      </c>
      <c r="JE7" s="116">
        <f>+MAX(DW7:DY7)</f>
        <v>234.5</v>
      </c>
      <c r="JF7" s="116">
        <f>+MAX(DZ7:EB7)</f>
        <v>215.4</v>
      </c>
      <c r="JG7" s="116">
        <f>+MAX(EC7:EE7)</f>
        <v>226.35</v>
      </c>
      <c r="JH7" s="116">
        <f>+MAX(EF7:EH7)</f>
        <v>276.5</v>
      </c>
      <c r="JI7" s="116">
        <f>+MAX(EI7:EK7)</f>
        <v>346.9</v>
      </c>
      <c r="JJ7" s="116">
        <f>+MAX(EL7:EN7)</f>
        <v>433.3</v>
      </c>
      <c r="JK7" s="116">
        <f>MAX(EO7:EQ7)</f>
        <v>464.2</v>
      </c>
      <c r="JL7" s="116">
        <f>MAX(ER7:ET7)</f>
        <v>494.85</v>
      </c>
      <c r="JM7" s="116">
        <f>MAX(EU7:EW7)</f>
        <v>491.2</v>
      </c>
      <c r="JN7" s="116">
        <f>MAX(EX7:EZ7)</f>
        <v>402.95</v>
      </c>
      <c r="JO7" s="116">
        <f>MAX(FA7:FC7)</f>
        <v>416.8</v>
      </c>
      <c r="JP7" s="116">
        <f>MAX(FD7:FF7)</f>
        <v>416.75</v>
      </c>
      <c r="JQ7" s="116">
        <f>MAX(FG7:FI7)</f>
        <v>413.25</v>
      </c>
      <c r="JR7" s="116">
        <f>MAX(FJ7:FL7)</f>
        <v>418.45</v>
      </c>
      <c r="JS7" s="116">
        <f>MAX(FM7:FO7)</f>
        <v>464.9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85.645243920289403</v>
      </c>
      <c r="D8" s="116" cm="1">
        <f t="array" ref="D8">_xll.EQNXTDZ($A$1,$B8,D$1)</f>
        <v>88.829799468874796</v>
      </c>
      <c r="E8" s="116" cm="1">
        <f t="array" ref="E8">_xll.EQNXTDZ($A$1,$B8,E$1)</f>
        <v>91.580097442653098</v>
      </c>
      <c r="F8" s="116" cm="1">
        <f t="array" ref="F8">_xll.EQNXTDZ($A$1,$B8,F$1)</f>
        <v>87.237521694582099</v>
      </c>
      <c r="G8" s="116" cm="1">
        <f t="array" ref="G8">_xll.EQNXTDZ($A$1,$B8,G$1)</f>
        <v>81.640424063734997</v>
      </c>
      <c r="H8" s="116" cm="1">
        <f t="array" ref="H8">_xll.EQNXTDZ($A$1,$B8,H$1)</f>
        <v>92.882870167074401</v>
      </c>
      <c r="I8" s="116" cm="1">
        <f t="array" ref="I8">_xll.EQNXTDZ($A$1,$B8,I$1)</f>
        <v>100.554753988667</v>
      </c>
      <c r="J8" s="116" cm="1">
        <f t="array" ref="J8">_xll.EQNXTDZ($A$1,$B8,J$1)</f>
        <v>96.887690023628807</v>
      </c>
      <c r="K8" s="116" cm="1">
        <f t="array" ref="K8">_xll.EQNXTDZ($A$1,$B8,K$1)</f>
        <v>89.601812935198495</v>
      </c>
      <c r="L8" s="116" cm="1">
        <f t="array" ref="L8">_xll.EQNXTDZ($A$1,$B8,L$1)</f>
        <v>89.698314618488993</v>
      </c>
      <c r="M8" s="116" cm="1">
        <f t="array" ref="M8">_xll.EQNXTDZ($A$1,$B8,M$1)</f>
        <v>90.229073876586597</v>
      </c>
      <c r="N8" s="116" cm="1">
        <f t="array" ref="N8">_xll.EQNXTDZ($A$1,$B8,N$1)</f>
        <v>83.956464462706194</v>
      </c>
      <c r="O8" s="116" cm="1">
        <f t="array" ref="O8">_xll.EQNXTDZ($A$1,$B8,O$1)</f>
        <v>74.499299500240497</v>
      </c>
      <c r="P8" s="116" cm="1">
        <f t="array" ref="P8">_xll.EQNXTDZ($A$1,$B8,P$1)</f>
        <v>79.131380298182904</v>
      </c>
      <c r="Q8" s="116" cm="1">
        <f t="array" ref="Q8">_xll.EQNXTDZ($A$1,$B8,Q$1)</f>
        <v>65.717646320808001</v>
      </c>
      <c r="R8" s="116" cm="1">
        <f t="array" ref="R8">_xll.EQNXTDZ($A$1,$B8,R$1)</f>
        <v>67.261673253455498</v>
      </c>
      <c r="S8" s="116" cm="1">
        <f t="array" ref="S8">_xll.EQNXTDZ($A$1,$B8,S$1)</f>
        <v>74.788804550111905</v>
      </c>
      <c r="T8" s="116" cm="1">
        <f t="array" ref="T8">_xll.EQNXTDZ($A$1,$B8,T$1)</f>
        <v>73.872038558852395</v>
      </c>
      <c r="U8" s="116" cm="1">
        <f t="array" ref="U8">_xll.EQNXTDZ($A$1,$B8,U$1)</f>
        <v>76.332831482759303</v>
      </c>
      <c r="V8" s="116" cm="1">
        <f t="array" ref="V8">_xll.EQNXTDZ($A$1,$B8,V$1)</f>
        <v>68.902201869393394</v>
      </c>
      <c r="W8" s="116" cm="1">
        <f t="array" ref="W8">_xll.EQNXTDZ($A$1,$B8,W$1)</f>
        <v>68.902201869393394</v>
      </c>
      <c r="X8" s="116" cm="1">
        <f t="array" ref="X8">_xll.EQNXTDZ($A$1,$B8,X$1)</f>
        <v>74.402797816949999</v>
      </c>
      <c r="Y8" s="116" cm="1">
        <f t="array" ref="Y8">_xll.EQNXTDZ($A$1,$B8,Y$1)</f>
        <v>77.349999999999994</v>
      </c>
      <c r="Z8" s="116" cm="1">
        <f t="array" ref="Z8">_xll.EQNXTDZ($A$1,$B8,Z$1)</f>
        <v>75.650000000000006</v>
      </c>
      <c r="AA8" s="116" cm="1">
        <f t="array" ref="AA8">_xll.EQNXTDZ($A$1,$B8,AA$1)</f>
        <v>98.6</v>
      </c>
      <c r="AB8" s="116" cm="1">
        <f t="array" ref="AB8">_xll.EQNXTDZ($A$1,$B8,AB$1)</f>
        <v>97.3</v>
      </c>
      <c r="AC8" s="116" cm="1">
        <f t="array" ref="AC8">_xll.EQNXTDZ($A$1,$B8,AC$1)</f>
        <v>86.2</v>
      </c>
      <c r="AD8" s="116" cm="1">
        <f t="array" ref="AD8">_xll.EQNXTDZ($A$1,$B8,AD$1)</f>
        <v>81.95</v>
      </c>
      <c r="AE8" s="116" cm="1">
        <f t="array" ref="AE8">_xll.EQNXTDZ($A$1,$B8,AE$1)</f>
        <v>80.05</v>
      </c>
      <c r="AF8" s="116" cm="1">
        <f t="array" ref="AF8">_xll.EQNXTDZ($A$1,$B8,AF$1)</f>
        <v>85.35</v>
      </c>
      <c r="AG8" s="116" cm="1">
        <f t="array" ref="AG8">_xll.EQNXTDZ($A$1,$B8,AG$1)</f>
        <v>76.55</v>
      </c>
      <c r="AH8" s="116" cm="1">
        <f t="array" ref="AH8">_xll.EQNXTDZ($A$1,$B8,AH$1)</f>
        <v>78</v>
      </c>
      <c r="AI8" s="116" cm="1">
        <f t="array" ref="AI8">_xll.EQNXTDZ($A$1,$B8,AI$1)</f>
        <v>77.95</v>
      </c>
      <c r="AJ8" s="116" cm="1">
        <f t="array" ref="AJ8">_xll.EQNXTDZ($A$1,$B8,AJ$1)</f>
        <v>73.55</v>
      </c>
      <c r="AK8" s="116" cm="1">
        <f t="array" ref="AK8">_xll.EQNXTDZ($A$1,$B8,AK$1)</f>
        <v>74.400000000000006</v>
      </c>
      <c r="AL8" s="116" cm="1">
        <f t="array" ref="AL8">_xll.EQNXTDZ($A$1,$B8,AL$1)</f>
        <v>70.55</v>
      </c>
      <c r="AM8" s="116" cm="1">
        <f t="array" ref="AM8">_xll.EQNXTDZ($A$1,$B8,AM$1)</f>
        <v>68.349999999999994</v>
      </c>
      <c r="AN8" s="116" cm="1">
        <f t="array" ref="AN8">_xll.EQNXTDZ($A$1,$B8,AN$1)</f>
        <v>66</v>
      </c>
      <c r="AO8" s="116" cm="1">
        <f t="array" ref="AO8">_xll.EQNXTDZ($A$1,$B8,AO$1)</f>
        <v>55.2</v>
      </c>
      <c r="AP8" s="116" cm="1">
        <f t="array" ref="AP8">_xll.EQNXTDZ($A$1,$B8,AP$1)</f>
        <v>55.3</v>
      </c>
      <c r="AQ8" s="116" cm="1">
        <f t="array" ref="AQ8">_xll.EQNXTDZ($A$1,$B8,AQ$1)</f>
        <v>64</v>
      </c>
      <c r="AR8" s="116" cm="1">
        <f t="array" ref="AR8">_xll.EQNXTDZ($A$1,$B8,AR$1)</f>
        <v>65.650000000000006</v>
      </c>
      <c r="AS8" s="116" cm="1">
        <f t="array" ref="AS8">_xll.EQNXTDZ($A$1,$B8,AS$1)</f>
        <v>61</v>
      </c>
      <c r="AT8" s="116" cm="1">
        <f t="array" ref="AT8">_xll.EQNXTDZ($A$1,$B8,AT$1)</f>
        <v>59.75</v>
      </c>
      <c r="AU8" s="116" cm="1">
        <f t="array" ref="AU8">_xll.EQNXTDZ($A$1,$B8,AU$1)</f>
        <v>55</v>
      </c>
      <c r="AV8" s="116" cm="1">
        <f t="array" ref="AV8">_xll.EQNXTDZ($A$1,$B8,AV$1)</f>
        <v>57.15</v>
      </c>
      <c r="AW8" s="116" cm="1">
        <f t="array" ref="AW8">_xll.EQNXTDZ($A$1,$B8,AW$1)</f>
        <v>60.55</v>
      </c>
      <c r="AX8" s="116" cm="1">
        <f t="array" ref="AX8">_xll.EQNXTDZ($A$1,$B8,AX$1)</f>
        <v>68</v>
      </c>
      <c r="AY8" s="116" cm="1">
        <f t="array" ref="AY8">_xll.EQNXTDZ($A$1,$B8,AY$1)</f>
        <v>69.3</v>
      </c>
      <c r="AZ8" s="116" cm="1">
        <f t="array" ref="AZ8">_xll.EQNXTDZ($A$1,$B8,AZ$1)</f>
        <v>69.8</v>
      </c>
      <c r="BA8" s="116" cm="1">
        <f t="array" ref="BA8">_xll.EQNXTDZ($A$1,$B8,BA$1)</f>
        <v>70.5</v>
      </c>
      <c r="BB8" s="116" cm="1">
        <f t="array" ref="BB8">_xll.EQNXTDZ($A$1,$B8,BB$1)</f>
        <v>71.75</v>
      </c>
      <c r="BC8" s="116" cm="1">
        <f t="array" ref="BC8">_xll.EQNXTDZ($A$1,$B8,BC$1)</f>
        <v>75.400000000000006</v>
      </c>
      <c r="BD8" s="116" cm="1">
        <f t="array" ref="BD8">_xll.EQNXTDZ($A$1,$B8,BD$1)</f>
        <v>67</v>
      </c>
      <c r="BE8" s="116" cm="1">
        <f t="array" ref="BE8">_xll.EQNXTDZ($A$1,$B8,BE$1)</f>
        <v>72.3</v>
      </c>
      <c r="BF8" s="116" cm="1">
        <f t="array" ref="BF8">_xll.EQNXTDZ($A$1,$B8,BF$1)</f>
        <v>75.05</v>
      </c>
      <c r="BG8" s="116" cm="1">
        <f t="array" ref="BG8">_xll.EQNXTDZ($A$1,$B8,BG$1)</f>
        <v>79</v>
      </c>
      <c r="BH8" s="116" cm="1">
        <f t="array" ref="BH8">_xll.EQNXTDZ($A$1,$B8,BH$1)</f>
        <v>80.75</v>
      </c>
      <c r="BI8" s="116" cm="1">
        <f t="array" ref="BI8">_xll.EQNXTDZ($A$1,$B8,BI$1)</f>
        <v>81.150000000000006</v>
      </c>
      <c r="BJ8" s="116" cm="1">
        <f t="array" ref="BJ8">_xll.EQNXTDZ($A$1,$B8,BJ$1)</f>
        <v>79.55</v>
      </c>
      <c r="BK8" s="116" cm="1">
        <f t="array" ref="BK8">_xll.EQNXTDZ($A$1,$B8,BK$1)</f>
        <v>76.650000000000006</v>
      </c>
      <c r="BL8" s="116" cm="1">
        <f t="array" ref="BL8">_xll.EQNXTDZ($A$1,$B8,BL$1)</f>
        <v>79.95</v>
      </c>
      <c r="BM8" s="116" cm="1">
        <f t="array" ref="BM8">_xll.EQNXTDZ($A$1,$B8,BM$1)</f>
        <v>75.8</v>
      </c>
      <c r="BN8" s="116" cm="1">
        <f t="array" ref="BN8">_xll.EQNXTDZ($A$1,$B8,BN$1)</f>
        <v>76.75</v>
      </c>
      <c r="BO8" s="116" cm="1">
        <f t="array" ref="BO8">_xll.EQNXTDZ($A$1,$B8,BO$1)</f>
        <v>77.099999999999994</v>
      </c>
      <c r="BP8" s="116" cm="1">
        <f t="array" ref="BP8">_xll.EQNXTDZ($A$1,$B8,BP$1)</f>
        <v>81.650000000000006</v>
      </c>
      <c r="BQ8" s="116" cm="1">
        <f t="array" ref="BQ8">_xll.EQNXTDZ($A$1,$B8,BQ$1)</f>
        <v>87</v>
      </c>
      <c r="BR8" s="116" cm="1">
        <f t="array" ref="BR8">_xll.EQNXTDZ($A$1,$B8,BR$1)</f>
        <v>88.15</v>
      </c>
      <c r="BS8" s="116" cm="1">
        <f t="array" ref="BS8">_xll.EQNXTDZ($A$1,$B8,BS$1)</f>
        <v>79.55</v>
      </c>
      <c r="BT8" s="116" cm="1">
        <f t="array" ref="BT8">_xll.EQNXTDZ($A$1,$B8,BT$1)</f>
        <v>77</v>
      </c>
      <c r="BU8" s="116" cm="1">
        <f t="array" ref="BU8">_xll.EQNXTDZ($A$1,$B8,BU$1)</f>
        <v>78.75</v>
      </c>
      <c r="BV8" s="116" cm="1">
        <f t="array" ref="BV8">_xll.EQNXTDZ($A$1,$B8,BV$1)</f>
        <v>75.3</v>
      </c>
      <c r="BW8" s="116" cm="1">
        <f t="array" ref="BW8">_xll.EQNXTDZ($A$1,$B8,BW$1)</f>
        <v>71</v>
      </c>
      <c r="BX8" s="116" cm="1">
        <f t="array" ref="BX8">_xll.EQNXTDZ($A$1,$B8,BX$1)</f>
        <v>66.55</v>
      </c>
      <c r="BY8" s="116" cm="1">
        <f t="array" ref="BY8">_xll.EQNXTDZ($A$1,$B8,BY$1)</f>
        <v>67</v>
      </c>
      <c r="BZ8" s="116" cm="1">
        <f t="array" ref="BZ8">_xll.EQNXTDZ($A$1,$B8,BZ$1)</f>
        <v>65.5</v>
      </c>
      <c r="CA8" s="116" cm="1">
        <f t="array" ref="CA8">_xll.EQNXTDZ($A$1,$B8,CA$1)</f>
        <v>59.8</v>
      </c>
      <c r="CB8" s="116" cm="1">
        <f t="array" ref="CB8">_xll.EQNXTDZ($A$1,$B8,CB$1)</f>
        <v>73.099999999999994</v>
      </c>
      <c r="CC8" s="116" cm="1">
        <f t="array" ref="CC8">_xll.EQNXTDZ($A$1,$B8,CC$1)</f>
        <v>74.849999999999994</v>
      </c>
      <c r="CD8" s="116" cm="1">
        <f t="array" ref="CD8">_xll.EQNXTDZ($A$1,$B8,CD$1)</f>
        <v>67.900000000000006</v>
      </c>
      <c r="CE8" s="116" cm="1">
        <f t="array" ref="CE8">_xll.EQNXTDZ($A$1,$B8,CE$1)</f>
        <v>64.05</v>
      </c>
      <c r="CF8" s="116" cm="1">
        <f t="array" ref="CF8">_xll.EQNXTDZ($A$1,$B8,CF$1)</f>
        <v>65.599999999999994</v>
      </c>
      <c r="CG8" s="116" cm="1">
        <f t="array" ref="CG8">_xll.EQNXTDZ($A$1,$B8,CG$1)</f>
        <v>66.55</v>
      </c>
      <c r="CH8" s="116" cm="1">
        <f t="array" ref="CH8">_xll.EQNXTDZ($A$1,$B8,CH$1)</f>
        <v>60.85</v>
      </c>
      <c r="CI8" s="116" cm="1">
        <f t="array" ref="CI8">_xll.EQNXTDZ($A$1,$B8,CI$1)</f>
        <v>63</v>
      </c>
      <c r="CJ8" s="116" cm="1">
        <f t="array" ref="CJ8">_xll.EQNXTDZ($A$1,$B8,CJ$1)</f>
        <v>57.85</v>
      </c>
      <c r="CK8" s="116" cm="1">
        <f t="array" ref="CK8">_xll.EQNXTDZ($A$1,$B8,CK$1)</f>
        <v>50.35</v>
      </c>
      <c r="CL8" s="116" cm="1">
        <f t="array" ref="CL8">_xll.EQNXTDZ($A$1,$B8,CL$1)</f>
        <v>53</v>
      </c>
      <c r="CM8" s="116" cm="1">
        <f t="array" ref="CM8">_xll.EQNXTDZ($A$1,$B8,CM$1)</f>
        <v>56.75</v>
      </c>
      <c r="CN8" s="116" cm="1">
        <f t="array" ref="CN8">_xll.EQNXTDZ($A$1,$B8,CN$1)</f>
        <v>54.2</v>
      </c>
      <c r="CO8" s="116" cm="1">
        <f t="array" ref="CO8">_xll.EQNXTDZ($A$1,$B8,CO$1)</f>
        <v>51.05</v>
      </c>
      <c r="CP8" s="116" cm="1">
        <f t="array" ref="CP8">_xll.EQNXTDZ($A$1,$B8,CP$1)</f>
        <v>55.7</v>
      </c>
      <c r="CQ8" s="116" cm="1">
        <f t="array" ref="CQ8">_xll.EQNXTDZ($A$1,$B8,CQ$1)</f>
        <v>46.05</v>
      </c>
      <c r="CR8" s="116" cm="1">
        <f t="array" ref="CR8">_xll.EQNXTDZ($A$1,$B8,CR$1)</f>
        <v>31.2</v>
      </c>
      <c r="CS8" s="116" cm="1">
        <f t="array" ref="CS8">_xll.EQNXTDZ($A$1,$B8,CS$1)</f>
        <v>29.95</v>
      </c>
      <c r="CT8" s="116" cm="1">
        <f t="array" ref="CT8">_xll.EQNXTDZ($A$1,$B8,CT$1)</f>
        <v>27</v>
      </c>
      <c r="CU8" s="116" cm="1">
        <f t="array" ref="CU8">_xll.EQNXTDZ($A$1,$B8,CU$1)</f>
        <v>37.200000000000003</v>
      </c>
      <c r="CV8" s="116" cm="1">
        <f t="array" ref="CV8">_xll.EQNXTDZ($A$1,$B8,CV$1)</f>
        <v>44.05</v>
      </c>
      <c r="CW8" s="116" cm="1">
        <f t="array" ref="CW8">_xll.EQNXTDZ($A$1,$B8,CW$1)</f>
        <v>48.35</v>
      </c>
      <c r="CX8" s="116" cm="1">
        <f t="array" ref="CX8">_xll.EQNXTDZ($A$1,$B8,CX$1)</f>
        <v>50.1</v>
      </c>
      <c r="CY8" s="116" cm="1">
        <f t="array" ref="CY8">_xll.EQNXTDZ($A$1,$B8,CY$1)</f>
        <v>51.65</v>
      </c>
      <c r="CZ8" s="116" cm="1">
        <f t="array" ref="CZ8">_xll.EQNXTDZ($A$1,$B8,CZ$1)</f>
        <v>52</v>
      </c>
      <c r="DA8" s="116" cm="1">
        <f t="array" ref="DA8">_xll.EQNXTDZ($A$1,$B8,DA$1)</f>
        <v>65</v>
      </c>
      <c r="DB8" s="116" cm="1">
        <f t="array" ref="DB8">_xll.EQNXTDZ($A$1,$B8,DB$1)</f>
        <v>74.45</v>
      </c>
      <c r="DC8" s="116" cm="1">
        <f t="array" ref="DC8">_xll.EQNXTDZ($A$1,$B8,DC$1)</f>
        <v>74.5</v>
      </c>
      <c r="DD8" s="116" cm="1">
        <f t="array" ref="DD8">_xll.EQNXTDZ($A$1,$B8,DD$1)</f>
        <v>95.55</v>
      </c>
      <c r="DE8" s="116" cm="1">
        <f t="array" ref="DE8">_xll.EQNXTDZ($A$1,$B8,DE$1)</f>
        <v>89.9</v>
      </c>
      <c r="DF8" s="116" cm="1">
        <f t="array" ref="DF8">_xll.EQNXTDZ($A$1,$B8,DF$1)</f>
        <v>96.35</v>
      </c>
      <c r="DG8" s="116" cm="1">
        <f t="array" ref="DG8">_xll.EQNXTDZ($A$1,$B8,DG$1)</f>
        <v>103.7</v>
      </c>
      <c r="DH8" s="116" cm="1">
        <f t="array" ref="DH8">_xll.EQNXTDZ($A$1,$B8,DH$1)</f>
        <v>118.4</v>
      </c>
      <c r="DI8" s="116" cm="1">
        <f t="array" ref="DI8">_xll.EQNXTDZ($A$1,$B8,DI$1)</f>
        <v>121.7</v>
      </c>
      <c r="DJ8" s="116" cm="1">
        <f t="array" ref="DJ8">_xll.EQNXTDZ($A$1,$B8,DJ$1)</f>
        <v>128.69999999999999</v>
      </c>
      <c r="DK8" s="116" cm="1">
        <f t="array" ref="DK8">_xll.EQNXTDZ($A$1,$B8,DK$1)</f>
        <v>156.6</v>
      </c>
      <c r="DL8" s="116" cm="1">
        <f t="array" ref="DL8">_xll.EQNXTDZ($A$1,$B8,DL$1)</f>
        <v>213.1</v>
      </c>
      <c r="DM8" s="116" cm="1">
        <f t="array" ref="DM8">_xll.EQNXTDZ($A$1,$B8,DM$1)</f>
        <v>202.8</v>
      </c>
      <c r="DN8" s="116" cm="1">
        <f t="array" ref="DN8">_xll.EQNXTDZ($A$1,$B8,DN$1)</f>
        <v>216</v>
      </c>
      <c r="DO8" s="116" cm="1">
        <f t="array" ref="DO8">_xll.EQNXTDZ($A$1,$B8,DO$1)</f>
        <v>203.25</v>
      </c>
      <c r="DP8" s="116" cm="1">
        <f t="array" ref="DP8">_xll.EQNXTDZ($A$1,$B8,DP$1)</f>
        <v>212.25</v>
      </c>
      <c r="DQ8" s="116" cm="1">
        <f t="array" ref="DQ8">_xll.EQNXTDZ($A$1,$B8,DQ$1)</f>
        <v>237.1</v>
      </c>
      <c r="DR8" s="116" cm="1">
        <f t="array" ref="DR8">_xll.EQNXTDZ($A$1,$B8,DR$1)</f>
        <v>210.2</v>
      </c>
      <c r="DS8" s="116" cm="1">
        <f t="array" ref="DS8">_xll.EQNXTDZ($A$1,$B8,DS$1)</f>
        <v>190</v>
      </c>
      <c r="DT8" s="116" cm="1">
        <f t="array" ref="DT8">_xll.EQNXTDZ($A$1,$B8,DT$1)</f>
        <v>200.6</v>
      </c>
      <c r="DU8" s="116" cm="1">
        <f t="array" ref="DU8">_xll.EQNXTDZ($A$1,$B8,DU$1)</f>
        <v>221.6</v>
      </c>
      <c r="DV8" s="116" cm="1">
        <f t="array" ref="DV8">_xll.EQNXTDZ($A$1,$B8,DV$1)</f>
        <v>210.25</v>
      </c>
      <c r="DW8" s="116" cm="1">
        <f t="array" ref="DW8">_xll.EQNXTDZ($A$1,$B8,DW$1)</f>
        <v>211.8</v>
      </c>
      <c r="DX8" s="116" cm="1">
        <f t="array" ref="DX8">_xll.EQNXTDZ($A$1,$B8,DX$1)</f>
        <v>218.4</v>
      </c>
      <c r="DY8" s="116" cm="1">
        <f t="array" ref="DY8">_xll.EQNXTDZ($A$1,$B8,DY$1)</f>
        <v>194.6</v>
      </c>
      <c r="DZ8" s="116" cm="1">
        <f t="array" ref="DZ8">_xll.EQNXTDZ($A$1,$B8,DZ$1)</f>
        <v>196.65</v>
      </c>
      <c r="EA8" s="116" cm="1">
        <f t="array" ref="EA8">_xll.EQNXTDZ($A$1,$B8,EA$1)</f>
        <v>196.65</v>
      </c>
      <c r="EB8" s="116" cm="1">
        <f t="array" ref="EB8">_xll.EQNXTDZ($A$1,$B8,EB$1)</f>
        <v>182.35</v>
      </c>
      <c r="EC8" s="116" cm="1">
        <f t="array" ref="EC8">_xll.EQNXTDZ($A$1,$B8,EC$1)</f>
        <v>192.05</v>
      </c>
      <c r="ED8" s="116" cm="1">
        <f t="array" ref="ED8">_xll.EQNXTDZ($A$1,$B8,ED$1)</f>
        <v>199.4</v>
      </c>
      <c r="EE8" s="116" cm="1">
        <f t="array" ref="EE8">_xll.EQNXTDZ($A$1,$B8,EE$1)</f>
        <v>213</v>
      </c>
      <c r="EF8" s="116" cm="1">
        <f t="array" ref="EF8">_xll.EQNXTDZ($A$1,$B8,EF$1)</f>
        <v>216.75</v>
      </c>
      <c r="EG8" s="116" cm="1">
        <f t="array" ref="EG8">_xll.EQNXTDZ($A$1,$B8,EG$1)</f>
        <v>228.05</v>
      </c>
      <c r="EH8" s="116" cm="1">
        <f t="array" ref="EH8">_xll.EQNXTDZ($A$1,$B8,EH$1)</f>
        <v>246.1</v>
      </c>
      <c r="EI8" s="116" cm="1">
        <f t="array" ref="EI8">_xll.EQNXTDZ($A$1,$B8,EI$1)</f>
        <v>230.8</v>
      </c>
      <c r="EJ8" s="116" cm="1">
        <f t="array" ref="EJ8">_xll.EQNXTDZ($A$1,$B8,EJ$1)</f>
        <v>236.3</v>
      </c>
      <c r="EK8" s="116" cm="1">
        <f t="array" ref="EK8">_xll.EQNXTDZ($A$1,$B8,EK$1)</f>
        <v>268.55</v>
      </c>
      <c r="EL8" s="116" cm="1">
        <f t="array" ref="EL8">_xll.EQNXTDZ($A$1,$B8,EL$1)</f>
        <v>319.60000000000002</v>
      </c>
      <c r="EM8" s="116" cm="1">
        <f t="array" ref="EM8">_xll.EQNXTDZ($A$1,$B8,EM$1)</f>
        <v>354.6</v>
      </c>
      <c r="EN8" s="116" cm="1">
        <f t="array" ref="EN8">_xll.EQNXTDZ($A$1,$B8,EN$1)</f>
        <v>365.55</v>
      </c>
      <c r="EO8" s="116" cm="1">
        <f t="array" ref="EO8">_xll.EQNXTDZ($A$1,$B8,EO$1)</f>
        <v>397.55</v>
      </c>
      <c r="EP8" s="116" cm="1">
        <f t="array" ref="EP8">_xll.EQNXTDZ($A$1,$B8,EP$1)</f>
        <v>396.55</v>
      </c>
      <c r="EQ8" s="116" cm="1">
        <f t="array" ref="EQ8">_xll.EQNXTDZ($A$1,$B8,EQ$1)</f>
        <v>371.65</v>
      </c>
      <c r="ER8" s="116" cm="1">
        <f t="array" ref="ER8">_xll.EQNXTDZ($A$1,$B8,ER$1)</f>
        <v>400</v>
      </c>
      <c r="ES8" s="116" cm="1">
        <f t="array" ref="ES8">_xll.EQNXTDZ($A$1,$B8,ES$1)</f>
        <v>403.1</v>
      </c>
      <c r="ET8" s="116" cm="1">
        <f t="array" ref="ET8">_xll.EQNXTDZ($A$1,$B8,ET$1)</f>
        <v>411.3</v>
      </c>
      <c r="EU8" s="116" cm="1">
        <f t="array" ref="EU8">_xll.EQNXTDZ($A$1,$B8,EU$1)</f>
        <v>414.5</v>
      </c>
      <c r="EV8" s="116" cm="1">
        <f t="array" ref="EV8">_xll.EQNXTDZ($A$1,$B8,EV$1)</f>
        <v>396.95</v>
      </c>
      <c r="EW8" s="116" cm="1">
        <f t="array" ref="EW8">_xll.EQNXTDZ($A$1,$B8,EW$1)</f>
        <v>385.5</v>
      </c>
      <c r="EX8" s="116" cm="1">
        <f t="array" ref="EX8">_xll.EQNXTDZ($A$1,$B8,EX$1)</f>
        <v>338.4</v>
      </c>
      <c r="EY8" s="116" cm="1">
        <f t="array" ref="EY8">_xll.EQNXTDZ($A$1,$B8,EY$1)</f>
        <v>326.35000000000002</v>
      </c>
      <c r="EZ8" s="116" cm="1">
        <f t="array" ref="EZ8">_xll.EQNXTDZ($A$1,$B8,EZ$1)</f>
        <v>331.85</v>
      </c>
      <c r="FA8" s="116" cm="1">
        <f t="array" ref="FA8">_xll.EQNXTDZ($A$1,$B8,FA$1)</f>
        <v>335</v>
      </c>
      <c r="FB8" s="116" cm="1">
        <f t="array" ref="FB8">_xll.EQNXTDZ($A$1,$B8,FB$1)</f>
        <v>357.25</v>
      </c>
      <c r="FC8" s="116" cm="1">
        <f t="array" ref="FC8">_xll.EQNXTDZ($A$1,$B8,FC$1)</f>
        <v>381.6</v>
      </c>
      <c r="FD8" s="116" cm="1">
        <f t="array" ref="FD8">_xll.EQNXTDZ($A$1,$B8,FD$1)</f>
        <v>393.5</v>
      </c>
      <c r="FE8" s="116" cm="1">
        <f t="array" ref="FE8">_xll.EQNXTDZ($A$1,$B8,FE$1)</f>
        <v>368.5</v>
      </c>
      <c r="FF8" s="116" cm="1">
        <f t="array" ref="FF8">_xll.EQNXTDZ($A$1,$B8,FF$1)</f>
        <v>374.15</v>
      </c>
      <c r="FG8" s="116" cm="1">
        <f t="array" ref="FG8">_xll.EQNXTDZ($A$1,$B8,FG$1)</f>
        <v>381.5</v>
      </c>
      <c r="FH8" s="116" cm="1">
        <f t="array" ref="FH8">_xll.EQNXTDZ($A$1,$B8,FH$1)</f>
        <v>379</v>
      </c>
      <c r="FI8" s="116" cm="1">
        <f t="array" ref="FI8">_xll.EQNXTDZ($A$1,$B8,FI$1)</f>
        <v>369.8</v>
      </c>
      <c r="FJ8" s="116" cm="1">
        <f t="array" ref="FJ8">_xll.EQNXTDZ($A$1,$B8,FJ$1)</f>
        <v>342.5</v>
      </c>
      <c r="FK8" s="116" cm="1">
        <f t="array" ref="FK8">_xll.EQNXTDZ($A$1,$B8,FK$1)</f>
        <v>348.4</v>
      </c>
      <c r="FL8" s="116" cm="1">
        <f t="array" ref="FL8">_xll.EQNXTDZ($A$1,$B8,FL$1)</f>
        <v>356</v>
      </c>
      <c r="FM8" s="116" cm="1">
        <f t="array" ref="FM8">_xll.EQNXTDZ($A$1,$B8,FM$1)</f>
        <v>368</v>
      </c>
      <c r="FN8" s="116" cm="1">
        <f t="array" ref="FN8">_xll.EQNXTDZ($A$1,$B8,FN$1)</f>
        <v>390.8</v>
      </c>
      <c r="FO8" s="116" cm="1">
        <f t="array" ref="FO8">_xll.EQNXTDZ($A$1,$B8,FO$1)</f>
        <v>388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87.237521694582099</v>
      </c>
      <c r="HQ8" s="116">
        <f>+MIN(G8:I8)</f>
        <v>81.640424063734997</v>
      </c>
      <c r="HR8" s="116">
        <f>+MIN(J8:L8)</f>
        <v>89.601812935198495</v>
      </c>
      <c r="HS8" s="116">
        <f>+MIN(M8:O8)</f>
        <v>74.499299500240497</v>
      </c>
      <c r="HT8" s="116">
        <f>+MIN(P8:R8)</f>
        <v>65.717646320808001</v>
      </c>
      <c r="HU8" s="116">
        <f>+MIN(S8:U8)</f>
        <v>73.872038558852395</v>
      </c>
      <c r="HV8" s="116">
        <f>+MIN(V8:X8)</f>
        <v>68.902201869393394</v>
      </c>
      <c r="HW8" s="116">
        <f>+MIN(Y8:AA8)</f>
        <v>75.650000000000006</v>
      </c>
      <c r="HX8" s="116">
        <f>+MIN(AB8:AD8)</f>
        <v>81.95</v>
      </c>
      <c r="HY8" s="116">
        <f>+MIN(AE8:AG8)</f>
        <v>76.55</v>
      </c>
      <c r="HZ8" s="116">
        <f>+MIN(AH8:AJ8)</f>
        <v>73.55</v>
      </c>
      <c r="IA8" s="116">
        <f>+MIN(AK8:AM8)</f>
        <v>68.349999999999994</v>
      </c>
      <c r="IB8" s="116">
        <f>+MIN(AN8:AP8)</f>
        <v>55.2</v>
      </c>
      <c r="IC8" s="116">
        <f>+MIN(AQ8:AS8)</f>
        <v>61</v>
      </c>
      <c r="ID8" s="116">
        <f>+MIN(AT8:AV8)</f>
        <v>55</v>
      </c>
      <c r="IE8" s="116">
        <f>+MIN(AW8:AY8)</f>
        <v>60.55</v>
      </c>
      <c r="IF8" s="116">
        <f>+MIN(AZ8:BB8)</f>
        <v>69.8</v>
      </c>
      <c r="IG8" s="116">
        <f>+MIN(BC8:BE8)</f>
        <v>67</v>
      </c>
      <c r="IH8" s="116">
        <f>+MIN(BF8:BH8)</f>
        <v>75.05</v>
      </c>
      <c r="II8" s="116">
        <f>+MIN(BI8:BK8)</f>
        <v>76.650000000000006</v>
      </c>
      <c r="IJ8" s="116">
        <f>+MIN(BL8:BN8)</f>
        <v>75.8</v>
      </c>
      <c r="IK8" s="116">
        <f>+MIN(BO8:BQ8)</f>
        <v>77.099999999999994</v>
      </c>
      <c r="IL8" s="116">
        <f>+MIN(BR8:BT8)</f>
        <v>77</v>
      </c>
      <c r="IM8" s="116">
        <f>+MIN(BU8:BW8)</f>
        <v>71</v>
      </c>
      <c r="IN8" s="116">
        <f>+MIN(BX8:BZ8)</f>
        <v>65.5</v>
      </c>
      <c r="IO8" s="116">
        <f>+MIN(CA8:CC8)</f>
        <v>59.8</v>
      </c>
      <c r="IP8" s="116">
        <f>+MIN(CD8:CF8)</f>
        <v>64.05</v>
      </c>
      <c r="IQ8" s="116">
        <f>+MIN(CG8:CI8)</f>
        <v>60.85</v>
      </c>
      <c r="IR8" s="116">
        <f>+MIN(CJ8:CL8)</f>
        <v>50.35</v>
      </c>
      <c r="IS8" s="116">
        <f>+MIN(CM8:CO8)</f>
        <v>51.05</v>
      </c>
      <c r="IT8" s="116">
        <f>+MIN(CP8:CR8)</f>
        <v>31.2</v>
      </c>
      <c r="IU8" s="116">
        <f>+MIN(CS8:CU8)</f>
        <v>27</v>
      </c>
      <c r="IV8" s="116">
        <f>+MIN(CV8:CX8)</f>
        <v>44.05</v>
      </c>
      <c r="IW8" s="116">
        <f>+MIN(CY8:DA8)</f>
        <v>51.65</v>
      </c>
      <c r="IX8" s="116">
        <f>+MIN(DB8:DD8)</f>
        <v>74.45</v>
      </c>
      <c r="IY8" s="116">
        <f>+MIN(DE8:DG8)</f>
        <v>89.9</v>
      </c>
      <c r="IZ8" s="116">
        <f>+MIN(DH8:DJ8)</f>
        <v>118.4</v>
      </c>
      <c r="JA8" s="116">
        <f>+MIN(DK8:DM8)</f>
        <v>156.6</v>
      </c>
      <c r="JB8" s="116">
        <f>+MIN(DN8:DP8)</f>
        <v>203.25</v>
      </c>
      <c r="JC8" s="116">
        <f>+MIN(DQ8:DS8)</f>
        <v>190</v>
      </c>
      <c r="JD8" s="116">
        <f>+MIN(DT8:DV8)</f>
        <v>200.6</v>
      </c>
      <c r="JE8" s="116">
        <f>+MIN(DW8:DY8)</f>
        <v>194.6</v>
      </c>
      <c r="JF8" s="116">
        <f>+MIN(DZ8:EB8)</f>
        <v>182.35</v>
      </c>
      <c r="JG8" s="116">
        <f>+MIN(EC8:EE8)</f>
        <v>192.05</v>
      </c>
      <c r="JH8" s="116">
        <f>+MIN(EF8:EH8)</f>
        <v>216.75</v>
      </c>
      <c r="JI8" s="116">
        <f>+MIN(EI8:EK8)</f>
        <v>230.8</v>
      </c>
      <c r="JJ8" s="116">
        <f>+MIN(EL8:EN8)</f>
        <v>319.60000000000002</v>
      </c>
      <c r="JK8" s="116">
        <f>MIN(EO8:EQ8)</f>
        <v>371.65</v>
      </c>
      <c r="JL8" s="116">
        <f>MIN(ER8:ET8)</f>
        <v>400</v>
      </c>
      <c r="JM8" s="116">
        <f>MIN(EU8:EW8)</f>
        <v>385.5</v>
      </c>
      <c r="JN8" s="116">
        <f>MIN(EX8:EZ8)</f>
        <v>326.35000000000002</v>
      </c>
      <c r="JO8" s="116">
        <f>MIN(FA8:FC8)</f>
        <v>335</v>
      </c>
      <c r="JP8" s="116">
        <f>MIN(FD8:FF8)</f>
        <v>368.5</v>
      </c>
      <c r="JQ8" s="116">
        <f>MIN(FG8:FI8)</f>
        <v>369.8</v>
      </c>
      <c r="JR8" s="116">
        <f>MIN(FJ8:FL8)</f>
        <v>342.5</v>
      </c>
      <c r="JS8" s="116">
        <f>MIN(FM8:FO8)</f>
        <v>368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101.03726240511899</v>
      </c>
      <c r="D9" s="116" cm="1">
        <f t="array" ref="D9">_xll.EQNXTDZ($A$1,$B9,D$1)</f>
        <v>94.812903832883805</v>
      </c>
      <c r="E9" s="116" cm="1">
        <f t="array" ref="E9">_xll.EQNXTDZ($A$1,$B9,E$1)</f>
        <v>96.019174874014595</v>
      </c>
      <c r="F9" s="116" cm="1">
        <f t="array" ref="F9">_xll.EQNXTDZ($A$1,$B9,F$1)</f>
        <v>103.208550279154</v>
      </c>
      <c r="G9" s="116" cm="1">
        <f t="array" ref="G9">_xll.EQNXTDZ($A$1,$B9,G$1)</f>
        <v>102.34003512954</v>
      </c>
      <c r="H9" s="116" cm="1">
        <f t="array" ref="H9">_xll.EQNXTDZ($A$1,$B9,H$1)</f>
        <v>104.02881458712299</v>
      </c>
      <c r="I9" s="116" cm="1">
        <f t="array" ref="I9">_xll.EQNXTDZ($A$1,$B9,I$1)</f>
        <v>106.48960751103</v>
      </c>
      <c r="J9" s="116" cm="1">
        <f t="array" ref="J9">_xll.EQNXTDZ($A$1,$B9,J$1)</f>
        <v>97.563201806662093</v>
      </c>
      <c r="K9" s="116" cm="1">
        <f t="array" ref="K9">_xll.EQNXTDZ($A$1,$B9,K$1)</f>
        <v>91.097589026200794</v>
      </c>
      <c r="L9" s="116" cm="1">
        <f t="array" ref="L9">_xll.EQNXTDZ($A$1,$B9,L$1)</f>
        <v>93.124124375300596</v>
      </c>
      <c r="M9" s="116" cm="1">
        <f t="array" ref="M9">_xll.EQNXTDZ($A$1,$B9,M$1)</f>
        <v>91.387094076072202</v>
      </c>
      <c r="N9" s="116" cm="1">
        <f t="array" ref="N9">_xll.EQNXTDZ($A$1,$B9,N$1)</f>
        <v>86.272504861677405</v>
      </c>
      <c r="O9" s="116" cm="1">
        <f t="array" ref="O9">_xll.EQNXTDZ($A$1,$B9,O$1)</f>
        <v>83.280952679673007</v>
      </c>
      <c r="P9" s="116" cm="1">
        <f t="array" ref="P9">_xll.EQNXTDZ($A$1,$B9,P$1)</f>
        <v>84.969732137256102</v>
      </c>
      <c r="Q9" s="116" cm="1">
        <f t="array" ref="Q9">_xll.EQNXTDZ($A$1,$B9,Q$1)</f>
        <v>73.196526775819194</v>
      </c>
      <c r="R9" s="116" cm="1">
        <f t="array" ref="R9">_xll.EQNXTDZ($A$1,$B9,R$1)</f>
        <v>78.311115990213906</v>
      </c>
      <c r="S9" s="116" cm="1">
        <f t="array" ref="S9">_xll.EQNXTDZ($A$1,$B9,S$1)</f>
        <v>79.276132823118601</v>
      </c>
      <c r="T9" s="116" cm="1">
        <f t="array" ref="T9">_xll.EQNXTDZ($A$1,$B9,T$1)</f>
        <v>76.718838215921195</v>
      </c>
      <c r="U9" s="116" cm="1">
        <f t="array" ref="U9">_xll.EQNXTDZ($A$1,$B9,U$1)</f>
        <v>88.154287685841496</v>
      </c>
      <c r="V9" s="116" cm="1">
        <f t="array" ref="V9">_xll.EQNXTDZ($A$1,$B9,V$1)</f>
        <v>71.362994793300302</v>
      </c>
      <c r="W9" s="116" cm="1">
        <f t="array" ref="W9">_xll.EQNXTDZ($A$1,$B9,W$1)</f>
        <v>76.043326432887895</v>
      </c>
      <c r="X9" s="116" cm="1">
        <f t="array" ref="X9">_xll.EQNXTDZ($A$1,$B9,X$1)</f>
        <v>85.15</v>
      </c>
      <c r="Y9" s="116" cm="1">
        <f t="array" ref="Y9">_xll.EQNXTDZ($A$1,$B9,Y$1)</f>
        <v>78.099999999999994</v>
      </c>
      <c r="Z9" s="116" cm="1">
        <f t="array" ref="Z9">_xll.EQNXTDZ($A$1,$B9,Z$1)</f>
        <v>103.8</v>
      </c>
      <c r="AA9" s="116" cm="1">
        <f t="array" ref="AA9">_xll.EQNXTDZ($A$1,$B9,AA$1)</f>
        <v>107.8</v>
      </c>
      <c r="AB9" s="116" cm="1">
        <f t="array" ref="AB9">_xll.EQNXTDZ($A$1,$B9,AB$1)</f>
        <v>97.75</v>
      </c>
      <c r="AC9" s="116" cm="1">
        <f t="array" ref="AC9">_xll.EQNXTDZ($A$1,$B9,AC$1)</f>
        <v>86.6</v>
      </c>
      <c r="AD9" s="116" cm="1">
        <f t="array" ref="AD9">_xll.EQNXTDZ($A$1,$B9,AD$1)</f>
        <v>83.05</v>
      </c>
      <c r="AE9" s="116" cm="1">
        <f t="array" ref="AE9">_xll.EQNXTDZ($A$1,$B9,AE$1)</f>
        <v>93.85</v>
      </c>
      <c r="AF9" s="116" cm="1">
        <f t="array" ref="AF9">_xll.EQNXTDZ($A$1,$B9,AF$1)</f>
        <v>93</v>
      </c>
      <c r="AG9" s="116" cm="1">
        <f t="array" ref="AG9">_xll.EQNXTDZ($A$1,$B9,AG$1)</f>
        <v>82.15</v>
      </c>
      <c r="AH9" s="116" cm="1">
        <f t="array" ref="AH9">_xll.EQNXTDZ($A$1,$B9,AH$1)</f>
        <v>90.5</v>
      </c>
      <c r="AI9" s="116" cm="1">
        <f t="array" ref="AI9">_xll.EQNXTDZ($A$1,$B9,AI$1)</f>
        <v>86.85</v>
      </c>
      <c r="AJ9" s="116" cm="1">
        <f t="array" ref="AJ9">_xll.EQNXTDZ($A$1,$B9,AJ$1)</f>
        <v>77.099999999999994</v>
      </c>
      <c r="AK9" s="116" cm="1">
        <f t="array" ref="AK9">_xll.EQNXTDZ($A$1,$B9,AK$1)</f>
        <v>75.8</v>
      </c>
      <c r="AL9" s="116" cm="1">
        <f t="array" ref="AL9">_xll.EQNXTDZ($A$1,$B9,AL$1)</f>
        <v>74.55</v>
      </c>
      <c r="AM9" s="116" cm="1">
        <f t="array" ref="AM9">_xll.EQNXTDZ($A$1,$B9,AM$1)</f>
        <v>74.150000000000006</v>
      </c>
      <c r="AN9" s="116" cm="1">
        <f t="array" ref="AN9">_xll.EQNXTDZ($A$1,$B9,AN$1)</f>
        <v>68.45</v>
      </c>
      <c r="AO9" s="116" cm="1">
        <f t="array" ref="AO9">_xll.EQNXTDZ($A$1,$B9,AO$1)</f>
        <v>60.55</v>
      </c>
      <c r="AP9" s="116" cm="1">
        <f t="array" ref="AP9">_xll.EQNXTDZ($A$1,$B9,AP$1)</f>
        <v>64.95</v>
      </c>
      <c r="AQ9" s="116" cm="1">
        <f t="array" ref="AQ9">_xll.EQNXTDZ($A$1,$B9,AQ$1)</f>
        <v>68.849999999999994</v>
      </c>
      <c r="AR9" s="116" cm="1">
        <f t="array" ref="AR9">_xll.EQNXTDZ($A$1,$B9,AR$1)</f>
        <v>66.8</v>
      </c>
      <c r="AS9" s="116" cm="1">
        <f t="array" ref="AS9">_xll.EQNXTDZ($A$1,$B9,AS$1)</f>
        <v>67.900000000000006</v>
      </c>
      <c r="AT9" s="116" cm="1">
        <f t="array" ref="AT9">_xll.EQNXTDZ($A$1,$B9,AT$1)</f>
        <v>60.1</v>
      </c>
      <c r="AU9" s="116" cm="1">
        <f t="array" ref="AU9">_xll.EQNXTDZ($A$1,$B9,AU$1)</f>
        <v>57.3</v>
      </c>
      <c r="AV9" s="116" cm="1">
        <f t="array" ref="AV9">_xll.EQNXTDZ($A$1,$B9,AV$1)</f>
        <v>64.650000000000006</v>
      </c>
      <c r="AW9" s="116" cm="1">
        <f t="array" ref="AW9">_xll.EQNXTDZ($A$1,$B9,AW$1)</f>
        <v>70.5</v>
      </c>
      <c r="AX9" s="116" cm="1">
        <f t="array" ref="AX9">_xll.EQNXTDZ($A$1,$B9,AX$1)</f>
        <v>73.75</v>
      </c>
      <c r="AY9" s="116" cm="1">
        <f t="array" ref="AY9">_xll.EQNXTDZ($A$1,$B9,AY$1)</f>
        <v>73.349999999999994</v>
      </c>
      <c r="AZ9" s="116" cm="1">
        <f t="array" ref="AZ9">_xll.EQNXTDZ($A$1,$B9,AZ$1)</f>
        <v>72</v>
      </c>
      <c r="BA9" s="116" cm="1">
        <f t="array" ref="BA9">_xll.EQNXTDZ($A$1,$B9,BA$1)</f>
        <v>78.5</v>
      </c>
      <c r="BB9" s="116" cm="1">
        <f t="array" ref="BB9">_xll.EQNXTDZ($A$1,$B9,BB$1)</f>
        <v>75.400000000000006</v>
      </c>
      <c r="BC9" s="116" cm="1">
        <f t="array" ref="BC9">_xll.EQNXTDZ($A$1,$B9,BC$1)</f>
        <v>78.099999999999994</v>
      </c>
      <c r="BD9" s="116" cm="1">
        <f t="array" ref="BD9">_xll.EQNXTDZ($A$1,$B9,BD$1)</f>
        <v>74.05</v>
      </c>
      <c r="BE9" s="116" cm="1">
        <f t="array" ref="BE9">_xll.EQNXTDZ($A$1,$B9,BE$1)</f>
        <v>75.900000000000006</v>
      </c>
      <c r="BF9" s="116" cm="1">
        <f t="array" ref="BF9">_xll.EQNXTDZ($A$1,$B9,BF$1)</f>
        <v>79.8</v>
      </c>
      <c r="BG9" s="116" cm="1">
        <f t="array" ref="BG9">_xll.EQNXTDZ($A$1,$B9,BG$1)</f>
        <v>82.6</v>
      </c>
      <c r="BH9" s="116" cm="1">
        <f t="array" ref="BH9">_xll.EQNXTDZ($A$1,$B9,BH$1)</f>
        <v>90.35</v>
      </c>
      <c r="BI9" s="116" cm="1">
        <f t="array" ref="BI9">_xll.EQNXTDZ($A$1,$B9,BI$1)</f>
        <v>84.3</v>
      </c>
      <c r="BJ9" s="116" cm="1">
        <f t="array" ref="BJ9">_xll.EQNXTDZ($A$1,$B9,BJ$1)</f>
        <v>81</v>
      </c>
      <c r="BK9" s="116" cm="1">
        <f t="array" ref="BK9">_xll.EQNXTDZ($A$1,$B9,BK$1)</f>
        <v>80.55</v>
      </c>
      <c r="BL9" s="116" cm="1">
        <f t="array" ref="BL9">_xll.EQNXTDZ($A$1,$B9,BL$1)</f>
        <v>82</v>
      </c>
      <c r="BM9" s="116" cm="1">
        <f t="array" ref="BM9">_xll.EQNXTDZ($A$1,$B9,BM$1)</f>
        <v>79.25</v>
      </c>
      <c r="BN9" s="116" cm="1">
        <f t="array" ref="BN9">_xll.EQNXTDZ($A$1,$B9,BN$1)</f>
        <v>77.8</v>
      </c>
      <c r="BO9" s="116" cm="1">
        <f t="array" ref="BO9">_xll.EQNXTDZ($A$1,$B9,BO$1)</f>
        <v>84.9</v>
      </c>
      <c r="BP9" s="116" cm="1">
        <f t="array" ref="BP9">_xll.EQNXTDZ($A$1,$B9,BP$1)</f>
        <v>94.7</v>
      </c>
      <c r="BQ9" s="116" cm="1">
        <f t="array" ref="BQ9">_xll.EQNXTDZ($A$1,$B9,BQ$1)</f>
        <v>93.5</v>
      </c>
      <c r="BR9" s="116" cm="1">
        <f t="array" ref="BR9">_xll.EQNXTDZ($A$1,$B9,BR$1)</f>
        <v>89</v>
      </c>
      <c r="BS9" s="116" cm="1">
        <f t="array" ref="BS9">_xll.EQNXTDZ($A$1,$B9,BS$1)</f>
        <v>84.5</v>
      </c>
      <c r="BT9" s="116" cm="1">
        <f t="array" ref="BT9">_xll.EQNXTDZ($A$1,$B9,BT$1)</f>
        <v>79</v>
      </c>
      <c r="BU9" s="116" cm="1">
        <f t="array" ref="BU9">_xll.EQNXTDZ($A$1,$B9,BU$1)</f>
        <v>88.3</v>
      </c>
      <c r="BV9" s="116" cm="1">
        <f t="array" ref="BV9">_xll.EQNXTDZ($A$1,$B9,BV$1)</f>
        <v>81.3</v>
      </c>
      <c r="BW9" s="116" cm="1">
        <f t="array" ref="BW9">_xll.EQNXTDZ($A$1,$B9,BW$1)</f>
        <v>73.25</v>
      </c>
      <c r="BX9" s="116" cm="1">
        <f t="array" ref="BX9">_xll.EQNXTDZ($A$1,$B9,BX$1)</f>
        <v>74.55</v>
      </c>
      <c r="BY9" s="116" cm="1">
        <f t="array" ref="BY9">_xll.EQNXTDZ($A$1,$B9,BY$1)</f>
        <v>76.7</v>
      </c>
      <c r="BZ9" s="116" cm="1">
        <f t="array" ref="BZ9">_xll.EQNXTDZ($A$1,$B9,BZ$1)</f>
        <v>65.849999999999994</v>
      </c>
      <c r="CA9" s="116" cm="1">
        <f t="array" ref="CA9">_xll.EQNXTDZ($A$1,$B9,CA$1)</f>
        <v>76.55</v>
      </c>
      <c r="CB9" s="116" cm="1">
        <f t="array" ref="CB9">_xll.EQNXTDZ($A$1,$B9,CB$1)</f>
        <v>76.099999999999994</v>
      </c>
      <c r="CC9" s="116" cm="1">
        <f t="array" ref="CC9">_xll.EQNXTDZ($A$1,$B9,CC$1)</f>
        <v>76.8</v>
      </c>
      <c r="CD9" s="116" cm="1">
        <f t="array" ref="CD9">_xll.EQNXTDZ($A$1,$B9,CD$1)</f>
        <v>71.3</v>
      </c>
      <c r="CE9" s="116" cm="1">
        <f t="array" ref="CE9">_xll.EQNXTDZ($A$1,$B9,CE$1)</f>
        <v>65.45</v>
      </c>
      <c r="CF9" s="116" cm="1">
        <f t="array" ref="CF9">_xll.EQNXTDZ($A$1,$B9,CF$1)</f>
        <v>73.8</v>
      </c>
      <c r="CG9" s="116" cm="1">
        <f t="array" ref="CG9">_xll.EQNXTDZ($A$1,$B9,CG$1)</f>
        <v>67.8</v>
      </c>
      <c r="CH9" s="116" cm="1">
        <f t="array" ref="CH9">_xll.EQNXTDZ($A$1,$B9,CH$1)</f>
        <v>68.8</v>
      </c>
      <c r="CI9" s="116" cm="1">
        <f t="array" ref="CI9">_xll.EQNXTDZ($A$1,$B9,CI$1)</f>
        <v>69</v>
      </c>
      <c r="CJ9" s="116" cm="1">
        <f t="array" ref="CJ9">_xll.EQNXTDZ($A$1,$B9,CJ$1)</f>
        <v>60.55</v>
      </c>
      <c r="CK9" s="116" cm="1">
        <f t="array" ref="CK9">_xll.EQNXTDZ($A$1,$B9,CK$1)</f>
        <v>56.75</v>
      </c>
      <c r="CL9" s="116" cm="1">
        <f t="array" ref="CL9">_xll.EQNXTDZ($A$1,$B9,CL$1)</f>
        <v>62.5</v>
      </c>
      <c r="CM9" s="116" cm="1">
        <f t="array" ref="CM9">_xll.EQNXTDZ($A$1,$B9,CM$1)</f>
        <v>59.3</v>
      </c>
      <c r="CN9" s="116" cm="1">
        <f t="array" ref="CN9">_xll.EQNXTDZ($A$1,$B9,CN$1)</f>
        <v>57.35</v>
      </c>
      <c r="CO9" s="116" cm="1">
        <f t="array" ref="CO9">_xll.EQNXTDZ($A$1,$B9,CO$1)</f>
        <v>56.5</v>
      </c>
      <c r="CP9" s="116" cm="1">
        <f t="array" ref="CP9">_xll.EQNXTDZ($A$1,$B9,CP$1)</f>
        <v>58.1</v>
      </c>
      <c r="CQ9" s="116" cm="1">
        <f t="array" ref="CQ9">_xll.EQNXTDZ($A$1,$B9,CQ$1)</f>
        <v>46.7</v>
      </c>
      <c r="CR9" s="116" cm="1">
        <f t="array" ref="CR9">_xll.EQNXTDZ($A$1,$B9,CR$1)</f>
        <v>32.85</v>
      </c>
      <c r="CS9" s="116" cm="1">
        <f t="array" ref="CS9">_xll.EQNXTDZ($A$1,$B9,CS$1)</f>
        <v>31.7</v>
      </c>
      <c r="CT9" s="116" cm="1">
        <f t="array" ref="CT9">_xll.EQNXTDZ($A$1,$B9,CT$1)</f>
        <v>36.549999999999997</v>
      </c>
      <c r="CU9" s="116" cm="1">
        <f t="array" ref="CU9">_xll.EQNXTDZ($A$1,$B9,CU$1)</f>
        <v>44.85</v>
      </c>
      <c r="CV9" s="116" cm="1">
        <f t="array" ref="CV9">_xll.EQNXTDZ($A$1,$B9,CV$1)</f>
        <v>48.7</v>
      </c>
      <c r="CW9" s="116" cm="1">
        <f t="array" ref="CW9">_xll.EQNXTDZ($A$1,$B9,CW$1)</f>
        <v>58.75</v>
      </c>
      <c r="CX9" s="116" cm="1">
        <f t="array" ref="CX9">_xll.EQNXTDZ($A$1,$B9,CX$1)</f>
        <v>53.3</v>
      </c>
      <c r="CY9" s="116" cm="1">
        <f t="array" ref="CY9">_xll.EQNXTDZ($A$1,$B9,CY$1)</f>
        <v>52.15</v>
      </c>
      <c r="CZ9" s="116" cm="1">
        <f t="array" ref="CZ9">_xll.EQNXTDZ($A$1,$B9,CZ$1)</f>
        <v>64.900000000000006</v>
      </c>
      <c r="DA9" s="116" cm="1">
        <f t="array" ref="DA9">_xll.EQNXTDZ($A$1,$B9,DA$1)</f>
        <v>75.650000000000006</v>
      </c>
      <c r="DB9" s="116" cm="1">
        <f t="array" ref="DB9">_xll.EQNXTDZ($A$1,$B9,DB$1)</f>
        <v>75.400000000000006</v>
      </c>
      <c r="DC9" s="116" cm="1">
        <f t="array" ref="DC9">_xll.EQNXTDZ($A$1,$B9,DC$1)</f>
        <v>95.15</v>
      </c>
      <c r="DD9" s="116" cm="1">
        <f t="array" ref="DD9">_xll.EQNXTDZ($A$1,$B9,DD$1)</f>
        <v>103.25</v>
      </c>
      <c r="DE9" s="116" cm="1">
        <f t="array" ref="DE9">_xll.EQNXTDZ($A$1,$B9,DE$1)</f>
        <v>98.85</v>
      </c>
      <c r="DF9" s="116" cm="1">
        <f t="array" ref="DF9">_xll.EQNXTDZ($A$1,$B9,DF$1)</f>
        <v>106.45</v>
      </c>
      <c r="DG9" s="116" cm="1">
        <f t="array" ref="DG9">_xll.EQNXTDZ($A$1,$B9,DG$1)</f>
        <v>122.1</v>
      </c>
      <c r="DH9" s="116" cm="1">
        <f t="array" ref="DH9">_xll.EQNXTDZ($A$1,$B9,DH$1)</f>
        <v>125</v>
      </c>
      <c r="DI9" s="116" cm="1">
        <f t="array" ref="DI9">_xll.EQNXTDZ($A$1,$B9,DI$1)</f>
        <v>129.05000000000001</v>
      </c>
      <c r="DJ9" s="116" cm="1">
        <f t="array" ref="DJ9">_xll.EQNXTDZ($A$1,$B9,DJ$1)</f>
        <v>158.75</v>
      </c>
      <c r="DK9" s="116" cm="1">
        <f t="array" ref="DK9">_xll.EQNXTDZ($A$1,$B9,DK$1)</f>
        <v>214.3</v>
      </c>
      <c r="DL9" s="116" cm="1">
        <f t="array" ref="DL9">_xll.EQNXTDZ($A$1,$B9,DL$1)</f>
        <v>216.8</v>
      </c>
      <c r="DM9" s="116" cm="1">
        <f t="array" ref="DM9">_xll.EQNXTDZ($A$1,$B9,DM$1)</f>
        <v>220.95</v>
      </c>
      <c r="DN9" s="116" cm="1">
        <f t="array" ref="DN9">_xll.EQNXTDZ($A$1,$B9,DN$1)</f>
        <v>246.05</v>
      </c>
      <c r="DO9" s="116" cm="1">
        <f t="array" ref="DO9">_xll.EQNXTDZ($A$1,$B9,DO$1)</f>
        <v>223.05</v>
      </c>
      <c r="DP9" s="116" cm="1">
        <f t="array" ref="DP9">_xll.EQNXTDZ($A$1,$B9,DP$1)</f>
        <v>238.65</v>
      </c>
      <c r="DQ9" s="116" cm="1">
        <f t="array" ref="DQ9">_xll.EQNXTDZ($A$1,$B9,DQ$1)</f>
        <v>242.35</v>
      </c>
      <c r="DR9" s="116" cm="1">
        <f t="array" ref="DR9">_xll.EQNXTDZ($A$1,$B9,DR$1)</f>
        <v>235.15</v>
      </c>
      <c r="DS9" s="116" cm="1">
        <f t="array" ref="DS9">_xll.EQNXTDZ($A$1,$B9,DS$1)</f>
        <v>202.2</v>
      </c>
      <c r="DT9" s="116" cm="1">
        <f t="array" ref="DT9">_xll.EQNXTDZ($A$1,$B9,DT$1)</f>
        <v>221.9</v>
      </c>
      <c r="DU9" s="116" cm="1">
        <f t="array" ref="DU9">_xll.EQNXTDZ($A$1,$B9,DU$1)</f>
        <v>236.95</v>
      </c>
      <c r="DV9" s="116" cm="1">
        <f t="array" ref="DV9">_xll.EQNXTDZ($A$1,$B9,DV$1)</f>
        <v>216.5</v>
      </c>
      <c r="DW9" s="116" cm="1">
        <f t="array" ref="DW9">_xll.EQNXTDZ($A$1,$B9,DW$1)</f>
        <v>226</v>
      </c>
      <c r="DX9" s="116" cm="1">
        <f t="array" ref="DX9">_xll.EQNXTDZ($A$1,$B9,DX$1)</f>
        <v>224.8</v>
      </c>
      <c r="DY9" s="116" cm="1">
        <f t="array" ref="DY9">_xll.EQNXTDZ($A$1,$B9,DY$1)</f>
        <v>207.7</v>
      </c>
      <c r="DZ9" s="116" cm="1">
        <f t="array" ref="DZ9">_xll.EQNXTDZ($A$1,$B9,DZ$1)</f>
        <v>212.9</v>
      </c>
      <c r="EA9" s="116" cm="1">
        <f t="array" ref="EA9">_xll.EQNXTDZ($A$1,$B9,EA$1)</f>
        <v>202.55</v>
      </c>
      <c r="EB9" s="116" cm="1">
        <f t="array" ref="EB9">_xll.EQNXTDZ($A$1,$B9,EB$1)</f>
        <v>190.25</v>
      </c>
      <c r="EC9" s="116" cm="1">
        <f t="array" ref="EC9">_xll.EQNXTDZ($A$1,$B9,EC$1)</f>
        <v>201.1</v>
      </c>
      <c r="ED9" s="116" cm="1">
        <f t="array" ref="ED9">_xll.EQNXTDZ($A$1,$B9,ED$1)</f>
        <v>213.55</v>
      </c>
      <c r="EE9" s="116" cm="1">
        <f t="array" ref="EE9">_xll.EQNXTDZ($A$1,$B9,EE$1)</f>
        <v>221.85</v>
      </c>
      <c r="EF9" s="116" cm="1">
        <f t="array" ref="EF9">_xll.EQNXTDZ($A$1,$B9,EF$1)</f>
        <v>236.7</v>
      </c>
      <c r="EG9" s="116" cm="1">
        <f t="array" ref="EG9">_xll.EQNXTDZ($A$1,$B9,EG$1)</f>
        <v>245.1</v>
      </c>
      <c r="EH9" s="116" cm="1">
        <f t="array" ref="EH9">_xll.EQNXTDZ($A$1,$B9,EH$1)</f>
        <v>262.3</v>
      </c>
      <c r="EI9" s="116" cm="1">
        <f t="array" ref="EI9">_xll.EQNXTDZ($A$1,$B9,EI$1)</f>
        <v>239.35</v>
      </c>
      <c r="EJ9" s="116" cm="1">
        <f t="array" ref="EJ9">_xll.EQNXTDZ($A$1,$B9,EJ$1)</f>
        <v>267.89999999999998</v>
      </c>
      <c r="EK9" s="116" cm="1">
        <f t="array" ref="EK9">_xll.EQNXTDZ($A$1,$B9,EK$1)</f>
        <v>332.15</v>
      </c>
      <c r="EL9" s="116" cm="1">
        <f t="array" ref="EL9">_xll.EQNXTDZ($A$1,$B9,EL$1)</f>
        <v>389.75</v>
      </c>
      <c r="EM9" s="116" cm="1">
        <f t="array" ref="EM9">_xll.EQNXTDZ($A$1,$B9,EM$1)</f>
        <v>371.75</v>
      </c>
      <c r="EN9" s="116" cm="1">
        <f t="array" ref="EN9">_xll.EQNXTDZ($A$1,$B9,EN$1)</f>
        <v>394.2</v>
      </c>
      <c r="EO9" s="116" cm="1">
        <f t="array" ref="EO9">_xll.EQNXTDZ($A$1,$B9,EO$1)</f>
        <v>449.25</v>
      </c>
      <c r="EP9" s="116" cm="1">
        <f t="array" ref="EP9">_xll.EQNXTDZ($A$1,$B9,EP$1)</f>
        <v>436.75</v>
      </c>
      <c r="EQ9" s="116" cm="1">
        <f t="array" ref="EQ9">_xll.EQNXTDZ($A$1,$B9,EQ$1)</f>
        <v>440.6</v>
      </c>
      <c r="ER9" s="116" cm="1">
        <f t="array" ref="ER9">_xll.EQNXTDZ($A$1,$B9,ER$1)</f>
        <v>453.6</v>
      </c>
      <c r="ES9" s="116" cm="1">
        <f t="array" ref="ES9">_xll.EQNXTDZ($A$1,$B9,ES$1)</f>
        <v>434.65</v>
      </c>
      <c r="ET9" s="116" cm="1">
        <f t="array" ref="ET9">_xll.EQNXTDZ($A$1,$B9,ET$1)</f>
        <v>482.6</v>
      </c>
      <c r="EU9" s="116" cm="1">
        <f t="array" ref="EU9">_xll.EQNXTDZ($A$1,$B9,EU$1)</f>
        <v>440.05</v>
      </c>
      <c r="EV9" s="116" cm="1">
        <f t="array" ref="EV9">_xll.EQNXTDZ($A$1,$B9,EV$1)</f>
        <v>414.15</v>
      </c>
      <c r="EW9" s="116" cm="1">
        <f t="array" ref="EW9">_xll.EQNXTDZ($A$1,$B9,EW$1)</f>
        <v>392.4</v>
      </c>
      <c r="EX9" s="116" cm="1">
        <f t="array" ref="EX9">_xll.EQNXTDZ($A$1,$B9,EX$1)</f>
        <v>364.5</v>
      </c>
      <c r="EY9" s="116" cm="1">
        <f t="array" ref="EY9">_xll.EQNXTDZ($A$1,$B9,EY$1)</f>
        <v>339.2</v>
      </c>
      <c r="EZ9" s="116" cm="1">
        <f t="array" ref="EZ9">_xll.EQNXTDZ($A$1,$B9,EZ$1)</f>
        <v>375.4</v>
      </c>
      <c r="FA9" s="116" cm="1">
        <f t="array" ref="FA9">_xll.EQNXTDZ($A$1,$B9,FA$1)</f>
        <v>384.4</v>
      </c>
      <c r="FB9" s="116" cm="1">
        <f t="array" ref="FB9">_xll.EQNXTDZ($A$1,$B9,FB$1)</f>
        <v>392.8</v>
      </c>
      <c r="FC9" s="116" cm="1">
        <f t="array" ref="FC9">_xll.EQNXTDZ($A$1,$B9,FC$1)</f>
        <v>405.45</v>
      </c>
      <c r="FD9" s="116" cm="1">
        <f t="array" ref="FD9">_xll.EQNXTDZ($A$1,$B9,FD$1)</f>
        <v>397.75</v>
      </c>
      <c r="FE9" s="116" cm="1">
        <f t="array" ref="FE9">_xll.EQNXTDZ($A$1,$B9,FE$1)</f>
        <v>374.15</v>
      </c>
      <c r="FF9" s="116" cm="1">
        <f t="array" ref="FF9">_xll.EQNXTDZ($A$1,$B9,FF$1)</f>
        <v>388.65</v>
      </c>
      <c r="FG9" s="116" cm="1">
        <f t="array" ref="FG9">_xll.EQNXTDZ($A$1,$B9,FG$1)</f>
        <v>404.9</v>
      </c>
      <c r="FH9" s="116" cm="1">
        <f t="array" ref="FH9">_xll.EQNXTDZ($A$1,$B9,FH$1)</f>
        <v>390.1</v>
      </c>
      <c r="FI9" s="116" cm="1">
        <f t="array" ref="FI9">_xll.EQNXTDZ($A$1,$B9,FI$1)</f>
        <v>379.6</v>
      </c>
      <c r="FJ9" s="116" cm="1">
        <f t="array" ref="FJ9">_xll.EQNXTDZ($A$1,$B9,FJ$1)</f>
        <v>366.3</v>
      </c>
      <c r="FK9" s="116" cm="1">
        <f t="array" ref="FK9">_xll.EQNXTDZ($A$1,$B9,FK$1)</f>
        <v>377.55</v>
      </c>
      <c r="FL9" s="116" cm="1">
        <f t="array" ref="FL9">_xll.EQNXTDZ($A$1,$B9,FL$1)</f>
        <v>378.75</v>
      </c>
      <c r="FM9" s="116" cm="1">
        <f t="array" ref="FM9">_xll.EQNXTDZ($A$1,$B9,FM$1)</f>
        <v>444.55</v>
      </c>
      <c r="FN9" s="116" cm="1">
        <f t="array" ref="FN9">_xll.EQNXTDZ($A$1,$B9,FN$1)</f>
        <v>420.75</v>
      </c>
      <c r="FO9" s="116" cm="1">
        <f t="array" ref="FO9">_xll.EQNXTDZ($A$1,$B9,FO$1)</f>
        <v>402.25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103.208550279154</v>
      </c>
      <c r="HQ9" s="116">
        <f>+I9</f>
        <v>106.48960751103</v>
      </c>
      <c r="HR9" s="116">
        <f>+L9</f>
        <v>93.124124375300596</v>
      </c>
      <c r="HS9" s="116">
        <f>+O9</f>
        <v>83.280952679673007</v>
      </c>
      <c r="HT9" s="116">
        <f>+R9</f>
        <v>78.311115990213906</v>
      </c>
      <c r="HU9" s="116">
        <f>+U9</f>
        <v>88.154287685841496</v>
      </c>
      <c r="HV9" s="116">
        <f>+X9</f>
        <v>85.15</v>
      </c>
      <c r="HW9" s="116">
        <f>+AA9</f>
        <v>107.8</v>
      </c>
      <c r="HX9" s="116">
        <f>+AD9</f>
        <v>83.05</v>
      </c>
      <c r="HY9" s="116">
        <f>+AG9</f>
        <v>82.15</v>
      </c>
      <c r="HZ9" s="116">
        <f>+AJ9</f>
        <v>77.099999999999994</v>
      </c>
      <c r="IA9" s="116">
        <f>+AM9</f>
        <v>74.150000000000006</v>
      </c>
      <c r="IB9" s="116">
        <f>+AP9</f>
        <v>64.95</v>
      </c>
      <c r="IC9" s="116">
        <f>+AS9</f>
        <v>67.900000000000006</v>
      </c>
      <c r="ID9" s="116">
        <f>+AV9</f>
        <v>64.650000000000006</v>
      </c>
      <c r="IE9" s="116">
        <f>+AY9</f>
        <v>73.349999999999994</v>
      </c>
      <c r="IF9" s="116">
        <f>+BB9</f>
        <v>75.400000000000006</v>
      </c>
      <c r="IG9" s="116">
        <f>+BE9</f>
        <v>75.900000000000006</v>
      </c>
      <c r="IH9" s="116">
        <f>+BH9</f>
        <v>90.35</v>
      </c>
      <c r="II9" s="116">
        <f>+BK9</f>
        <v>80.55</v>
      </c>
      <c r="IJ9" s="116">
        <f>+BN9</f>
        <v>77.8</v>
      </c>
      <c r="IK9" s="116">
        <f>+BQ9</f>
        <v>93.5</v>
      </c>
      <c r="IL9" s="116">
        <f>+BT9</f>
        <v>79</v>
      </c>
      <c r="IM9" s="116">
        <f>+BW9</f>
        <v>73.25</v>
      </c>
      <c r="IN9" s="116">
        <f>+BZ9</f>
        <v>65.849999999999994</v>
      </c>
      <c r="IO9" s="116">
        <f>+CC9</f>
        <v>76.8</v>
      </c>
      <c r="IP9" s="116">
        <f>+CF9</f>
        <v>73.8</v>
      </c>
      <c r="IQ9" s="116">
        <f>+CI9</f>
        <v>69</v>
      </c>
      <c r="IR9" s="116">
        <f>+CL9</f>
        <v>62.5</v>
      </c>
      <c r="IS9" s="116">
        <f>+CO9</f>
        <v>56.5</v>
      </c>
      <c r="IT9" s="116">
        <f>+CR9</f>
        <v>32.85</v>
      </c>
      <c r="IU9" s="116">
        <f>+CU9</f>
        <v>44.85</v>
      </c>
      <c r="IV9" s="116">
        <f>+CX9</f>
        <v>53.3</v>
      </c>
      <c r="IW9" s="116">
        <f>+DA9</f>
        <v>75.650000000000006</v>
      </c>
      <c r="IX9" s="116">
        <f>+DD9</f>
        <v>103.25</v>
      </c>
      <c r="IY9" s="116">
        <f>+DG9</f>
        <v>122.1</v>
      </c>
      <c r="IZ9" s="116">
        <f>+DJ9</f>
        <v>158.75</v>
      </c>
      <c r="JA9" s="116">
        <f>+DM9</f>
        <v>220.95</v>
      </c>
      <c r="JB9" s="116">
        <f>+DP9</f>
        <v>238.65</v>
      </c>
      <c r="JC9" s="116">
        <f>+DS9</f>
        <v>202.2</v>
      </c>
      <c r="JD9" s="116">
        <f>+DV9</f>
        <v>216.5</v>
      </c>
      <c r="JE9" s="116">
        <f>+DY9</f>
        <v>207.7</v>
      </c>
      <c r="JF9" s="116">
        <f>+EB9</f>
        <v>190.25</v>
      </c>
      <c r="JG9" s="116">
        <f>+EE9</f>
        <v>221.85</v>
      </c>
      <c r="JH9" s="116">
        <f>+EH9</f>
        <v>262.3</v>
      </c>
      <c r="JI9" s="116">
        <f>+EK9</f>
        <v>332.15</v>
      </c>
      <c r="JJ9" s="116">
        <f>+EN9</f>
        <v>394.2</v>
      </c>
      <c r="JK9" s="116">
        <f>EQ9</f>
        <v>440.6</v>
      </c>
      <c r="JL9" s="116">
        <f>ET9</f>
        <v>482.6</v>
      </c>
      <c r="JM9" s="116">
        <f>EW9</f>
        <v>392.4</v>
      </c>
      <c r="JN9" s="116">
        <f>EZ9</f>
        <v>375.4</v>
      </c>
      <c r="JO9" s="116">
        <f>FC9</f>
        <v>405.45</v>
      </c>
      <c r="JP9" s="116">
        <f>FF9</f>
        <v>388.65</v>
      </c>
      <c r="JQ9" s="116">
        <f>FI9</f>
        <v>379.6</v>
      </c>
      <c r="JR9" s="116">
        <f>FL9</f>
        <v>378.75</v>
      </c>
      <c r="JS9" s="116">
        <f>FO9</f>
        <v>402.25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89.746565460134207</v>
      </c>
      <c r="D13" cm="1">
        <f t="array" ref="D13">_xll.EQNXTDZ($A$1,$B13,D$1)</f>
        <v>102.48478765447599</v>
      </c>
      <c r="E13" cm="1">
        <f t="array" ref="E13">_xll.EQNXTDZ($A$1,$B13,E$1)</f>
        <v>94.571649624657596</v>
      </c>
      <c r="F13" cm="1">
        <f t="array" ref="F13">_xll.EQNXTDZ($A$1,$B13,F$1)</f>
        <v>96.5016832904669</v>
      </c>
      <c r="G13" cm="1">
        <f t="array" ref="G13">_xll.EQNXTDZ($A$1,$B13,G$1)</f>
        <v>102.291784287895</v>
      </c>
      <c r="H13" cm="1">
        <f t="array" ref="H13">_xll.EQNXTDZ($A$1,$B13,H$1)</f>
        <v>102.050530079669</v>
      </c>
      <c r="I13" cm="1">
        <f t="array" ref="I13">_xll.EQNXTDZ($A$1,$B13,I$1)</f>
        <v>104.221817953704</v>
      </c>
      <c r="J13" cm="1">
        <f t="array" ref="J13">_xll.EQNXTDZ($A$1,$B13,J$1)</f>
        <v>106.92386508583699</v>
      </c>
      <c r="K13" cm="1">
        <f t="array" ref="K13">_xll.EQNXTDZ($A$1,$B13,K$1)</f>
        <v>98.238713589695294</v>
      </c>
      <c r="L13" cm="1">
        <f t="array" ref="L13">_xll.EQNXTDZ($A$1,$B13,L$1)</f>
        <v>90.711582293038902</v>
      </c>
      <c r="M13" cm="1">
        <f t="array" ref="M13">_xll.EQNXTDZ($A$1,$B13,M$1)</f>
        <v>91.821351650879294</v>
      </c>
      <c r="N13" cm="1">
        <f t="array" ref="N13">_xll.EQNXTDZ($A$1,$B13,N$1)</f>
        <v>91.290592392781704</v>
      </c>
      <c r="O13" cm="1">
        <f t="array" ref="O13">_xll.EQNXTDZ($A$1,$B13,O$1)</f>
        <v>86.369006544967903</v>
      </c>
      <c r="P13" cm="1">
        <f t="array" ref="P13">_xll.EQNXTDZ($A$1,$B13,P$1)</f>
        <v>86.079501495096494</v>
      </c>
      <c r="Q13" cm="1">
        <f t="array" ref="Q13">_xll.EQNXTDZ($A$1,$B13,Q$1)</f>
        <v>85.7899964452251</v>
      </c>
      <c r="R13" cm="1">
        <f t="array" ref="R13">_xll.EQNXTDZ($A$1,$B13,R$1)</f>
        <v>74.306296133659501</v>
      </c>
      <c r="S13" cm="1">
        <f t="array" ref="S13">_xll.EQNXTDZ($A$1,$B13,S$1)</f>
        <v>78.745373565020998</v>
      </c>
      <c r="T13" cm="1">
        <f t="array" ref="T13">_xll.EQNXTDZ($A$1,$B13,T$1)</f>
        <v>78.552370198440101</v>
      </c>
      <c r="U13" cm="1">
        <f t="array" ref="U13">_xll.EQNXTDZ($A$1,$B13,U$1)</f>
        <v>77.2013466323735</v>
      </c>
      <c r="V13" cm="1">
        <f t="array" ref="V13">_xll.EQNXTDZ($A$1,$B13,V$1)</f>
        <v>87.816531794324902</v>
      </c>
      <c r="W13" cm="1">
        <f t="array" ref="W13">_xll.EQNXTDZ($A$1,$B13,W$1)</f>
        <v>72.810520042657302</v>
      </c>
      <c r="X13" cm="1">
        <f t="array" ref="X13">_xll.EQNXTDZ($A$1,$B13,X$1)</f>
        <v>76.139828116178407</v>
      </c>
      <c r="Y13" cm="1">
        <f t="array" ref="Y13">_xll.EQNXTDZ($A$1,$B13,Y$1)</f>
        <v>85</v>
      </c>
      <c r="Z13" cm="1">
        <f t="array" ref="Z13">_xll.EQNXTDZ($A$1,$B13,Z$1)</f>
        <v>78.900000000000006</v>
      </c>
      <c r="AA13" cm="1">
        <f t="array" ref="AA13">_xll.EQNXTDZ($A$1,$B13,AA$1)</f>
        <v>105</v>
      </c>
      <c r="AB13" cm="1">
        <f t="array" ref="AB13">_xll.EQNXTDZ($A$1,$B13,AB$1)</f>
        <v>107.25</v>
      </c>
      <c r="AC13" cm="1">
        <f t="array" ref="AC13">_xll.EQNXTDZ($A$1,$B13,AC$1)</f>
        <v>97.35</v>
      </c>
      <c r="AD13" cm="1">
        <f t="array" ref="AD13">_xll.EQNXTDZ($A$1,$B13,AD$1)</f>
        <v>87.95</v>
      </c>
      <c r="AE13" cm="1">
        <f t="array" ref="AE13">_xll.EQNXTDZ($A$1,$B13,AE$1)</f>
        <v>83.25</v>
      </c>
      <c r="AF13" cm="1">
        <f t="array" ref="AF13">_xll.EQNXTDZ($A$1,$B13,AF$1)</f>
        <v>94</v>
      </c>
      <c r="AG13" cm="1">
        <f t="array" ref="AG13">_xll.EQNXTDZ($A$1,$B13,AG$1)</f>
        <v>92.9</v>
      </c>
      <c r="AH13" cm="1">
        <f t="array" ref="AH13">_xll.EQNXTDZ($A$1,$B13,AH$1)</f>
        <v>81.849999999999994</v>
      </c>
      <c r="AI13" cm="1">
        <f t="array" ref="AI13">_xll.EQNXTDZ($A$1,$B13,AI$1)</f>
        <v>91.1</v>
      </c>
      <c r="AJ13" cm="1">
        <f t="array" ref="AJ13">_xll.EQNXTDZ($A$1,$B13,AJ$1)</f>
        <v>85.5</v>
      </c>
      <c r="AK13" cm="1">
        <f t="array" ref="AK13">_xll.EQNXTDZ($A$1,$B13,AK$1)</f>
        <v>78</v>
      </c>
      <c r="AL13" cm="1">
        <f t="array" ref="AL13">_xll.EQNXTDZ($A$1,$B13,AL$1)</f>
        <v>77.5</v>
      </c>
      <c r="AM13" cm="1">
        <f t="array" ref="AM13">_xll.EQNXTDZ($A$1,$B13,AM$1)</f>
        <v>75.25</v>
      </c>
      <c r="AN13" cm="1">
        <f t="array" ref="AN13">_xll.EQNXTDZ($A$1,$B13,AN$1)</f>
        <v>74.150000000000006</v>
      </c>
      <c r="AO13" cm="1">
        <f t="array" ref="AO13">_xll.EQNXTDZ($A$1,$B13,AO$1)</f>
        <v>68.7</v>
      </c>
      <c r="AP13" cm="1">
        <f t="array" ref="AP13">_xll.EQNXTDZ($A$1,$B13,AP$1)</f>
        <v>60.55</v>
      </c>
      <c r="AQ13" cm="1">
        <f t="array" ref="AQ13">_xll.EQNXTDZ($A$1,$B13,AQ$1)</f>
        <v>64.95</v>
      </c>
      <c r="AR13" cm="1">
        <f t="array" ref="AR13">_xll.EQNXTDZ($A$1,$B13,AR$1)</f>
        <v>68.8</v>
      </c>
      <c r="AS13" cm="1">
        <f t="array" ref="AS13">_xll.EQNXTDZ($A$1,$B13,AS$1)</f>
        <v>68</v>
      </c>
      <c r="AT13" cm="1">
        <f t="array" ref="AT13">_xll.EQNXTDZ($A$1,$B13,AT$1)</f>
        <v>68</v>
      </c>
      <c r="AU13" cm="1">
        <f t="array" ref="AU13">_xll.EQNXTDZ($A$1,$B13,AU$1)</f>
        <v>61</v>
      </c>
      <c r="AV13" cm="1">
        <f t="array" ref="AV13">_xll.EQNXTDZ($A$1,$B13,AV$1)</f>
        <v>56.7</v>
      </c>
      <c r="AW13" cm="1">
        <f t="array" ref="AW13">_xll.EQNXTDZ($A$1,$B13,AW$1)</f>
        <v>64.8</v>
      </c>
      <c r="AX13" cm="1">
        <f t="array" ref="AX13">_xll.EQNXTDZ($A$1,$B13,AX$1)</f>
        <v>70.599999999999994</v>
      </c>
      <c r="AY13" cm="1">
        <f t="array" ref="AY13">_xll.EQNXTDZ($A$1,$B13,AY$1)</f>
        <v>74.5</v>
      </c>
      <c r="AZ13" cm="1">
        <f t="array" ref="AZ13">_xll.EQNXTDZ($A$1,$B13,AZ$1)</f>
        <v>74</v>
      </c>
      <c r="BA13" cm="1">
        <f t="array" ref="BA13">_xll.EQNXTDZ($A$1,$B13,BA$1)</f>
        <v>72.150000000000006</v>
      </c>
      <c r="BB13" cm="1">
        <f t="array" ref="BB13">_xll.EQNXTDZ($A$1,$B13,BB$1)</f>
        <v>79.900000000000006</v>
      </c>
      <c r="BC13" cm="1">
        <f t="array" ref="BC13">_xll.EQNXTDZ($A$1,$B13,BC$1)</f>
        <v>75.45</v>
      </c>
      <c r="BD13" cm="1">
        <f t="array" ref="BD13">_xll.EQNXTDZ($A$1,$B13,BD$1)</f>
        <v>78.25</v>
      </c>
      <c r="BE13" cm="1">
        <f t="array" ref="BE13">_xll.EQNXTDZ($A$1,$B13,BE$1)</f>
        <v>75</v>
      </c>
      <c r="BF13" cm="1">
        <f t="array" ref="BF13">_xll.EQNXTDZ($A$1,$B13,BF$1)</f>
        <v>76.5</v>
      </c>
      <c r="BG13" cm="1">
        <f t="array" ref="BG13">_xll.EQNXTDZ($A$1,$B13,BG$1)</f>
        <v>80.099999999999994</v>
      </c>
      <c r="BH13" cm="1">
        <f t="array" ref="BH13">_xll.EQNXTDZ($A$1,$B13,BH$1)</f>
        <v>82.65</v>
      </c>
      <c r="BI13" cm="1">
        <f t="array" ref="BI13">_xll.EQNXTDZ($A$1,$B13,BI$1)</f>
        <v>91.25</v>
      </c>
      <c r="BJ13" cm="1">
        <f t="array" ref="BJ13">_xll.EQNXTDZ($A$1,$B13,BJ$1)</f>
        <v>84</v>
      </c>
      <c r="BK13" cm="1">
        <f t="array" ref="BK13">_xll.EQNXTDZ($A$1,$B13,BK$1)</f>
        <v>81.349999999999994</v>
      </c>
      <c r="BL13" cm="1">
        <f t="array" ref="BL13">_xll.EQNXTDZ($A$1,$B13,BL$1)</f>
        <v>80.5</v>
      </c>
      <c r="BM13" cm="1">
        <f t="array" ref="BM13">_xll.EQNXTDZ($A$1,$B13,BM$1)</f>
        <v>81.849999999999994</v>
      </c>
      <c r="BN13" cm="1">
        <f t="array" ref="BN13">_xll.EQNXTDZ($A$1,$B13,BN$1)</f>
        <v>79</v>
      </c>
      <c r="BO13" cm="1">
        <f t="array" ref="BO13">_xll.EQNXTDZ($A$1,$B13,BO$1)</f>
        <v>78.400000000000006</v>
      </c>
      <c r="BP13" cm="1">
        <f t="array" ref="BP13">_xll.EQNXTDZ($A$1,$B13,BP$1)</f>
        <v>85.2</v>
      </c>
      <c r="BQ13" cm="1">
        <f t="array" ref="BQ13">_xll.EQNXTDZ($A$1,$B13,BQ$1)</f>
        <v>95</v>
      </c>
      <c r="BR13" cm="1">
        <f t="array" ref="BR13">_xll.EQNXTDZ($A$1,$B13,BR$1)</f>
        <v>94.05</v>
      </c>
      <c r="BS13" cm="1">
        <f t="array" ref="BS13">_xll.EQNXTDZ($A$1,$B13,BS$1)</f>
        <v>89.2</v>
      </c>
      <c r="BT13" cm="1">
        <f t="array" ref="BT13">_xll.EQNXTDZ($A$1,$B13,BT$1)</f>
        <v>85</v>
      </c>
      <c r="BU13" cm="1">
        <f t="array" ref="BU13">_xll.EQNXTDZ($A$1,$B13,BU$1)</f>
        <v>78.099999999999994</v>
      </c>
      <c r="BV13" cm="1">
        <f t="array" ref="BV13">_xll.EQNXTDZ($A$1,$B13,BV$1)</f>
        <v>88.55</v>
      </c>
      <c r="BW13" cm="1">
        <f t="array" ref="BW13">_xll.EQNXTDZ($A$1,$B13,BW$1)</f>
        <v>80.95</v>
      </c>
      <c r="BX13" cm="1">
        <f t="array" ref="BX13">_xll.EQNXTDZ($A$1,$B13,BX$1)</f>
        <v>73.150000000000006</v>
      </c>
      <c r="BY13" cm="1">
        <f t="array" ref="BY13">_xll.EQNXTDZ($A$1,$B13,BY$1)</f>
        <v>74.5</v>
      </c>
      <c r="BZ13" cm="1">
        <f t="array" ref="BZ13">_xll.EQNXTDZ($A$1,$B13,BZ$1)</f>
        <v>77</v>
      </c>
      <c r="CA13" cm="1">
        <f t="array" ref="CA13">_xll.EQNXTDZ($A$1,$B13,CA$1)</f>
        <v>66</v>
      </c>
      <c r="CB13" cm="1">
        <f t="array" ref="CB13">_xll.EQNXTDZ($A$1,$B13,CB$1)</f>
        <v>76.8</v>
      </c>
      <c r="CC13" cm="1">
        <f t="array" ref="CC13">_xll.EQNXTDZ($A$1,$B13,CC$1)</f>
        <v>76.900000000000006</v>
      </c>
      <c r="CD13" cm="1">
        <f t="array" ref="CD13">_xll.EQNXTDZ($A$1,$B13,CD$1)</f>
        <v>76.2</v>
      </c>
      <c r="CE13" cm="1">
        <f t="array" ref="CE13">_xll.EQNXTDZ($A$1,$B13,CE$1)</f>
        <v>71</v>
      </c>
      <c r="CF13" cm="1">
        <f t="array" ref="CF13">_xll.EQNXTDZ($A$1,$B13,CF$1)</f>
        <v>66</v>
      </c>
      <c r="CG13" cm="1">
        <f t="array" ref="CG13">_xll.EQNXTDZ($A$1,$B13,CG$1)</f>
        <v>74.400000000000006</v>
      </c>
      <c r="CH13" cm="1">
        <f t="array" ref="CH13">_xll.EQNXTDZ($A$1,$B13,CH$1)</f>
        <v>68.150000000000006</v>
      </c>
      <c r="CI13" cm="1">
        <f t="array" ref="CI13">_xll.EQNXTDZ($A$1,$B13,CI$1)</f>
        <v>68.95</v>
      </c>
      <c r="CJ13" cm="1">
        <f t="array" ref="CJ13">_xll.EQNXTDZ($A$1,$B13,CJ$1)</f>
        <v>69.3</v>
      </c>
      <c r="CK13" cm="1">
        <f t="array" ref="CK13">_xll.EQNXTDZ($A$1,$B13,CK$1)</f>
        <v>60.5</v>
      </c>
      <c r="CL13" cm="1">
        <f t="array" ref="CL13">_xll.EQNXTDZ($A$1,$B13,CL$1)</f>
        <v>55.35</v>
      </c>
      <c r="CM13" cm="1">
        <f t="array" ref="CM13">_xll.EQNXTDZ($A$1,$B13,CM$1)</f>
        <v>62.95</v>
      </c>
      <c r="CN13" cm="1">
        <f t="array" ref="CN13">_xll.EQNXTDZ($A$1,$B13,CN$1)</f>
        <v>59.45</v>
      </c>
      <c r="CO13" cm="1">
        <f t="array" ref="CO13">_xll.EQNXTDZ($A$1,$B13,CO$1)</f>
        <v>56.6</v>
      </c>
      <c r="CP13" cm="1">
        <f t="array" ref="CP13">_xll.EQNXTDZ($A$1,$B13,CP$1)</f>
        <v>56.7</v>
      </c>
      <c r="CQ13" cm="1">
        <f t="array" ref="CQ13">_xll.EQNXTDZ($A$1,$B13,CQ$1)</f>
        <v>57.95</v>
      </c>
      <c r="CR13" cm="1">
        <f t="array" ref="CR13">_xll.EQNXTDZ($A$1,$B13,CR$1)</f>
        <v>47</v>
      </c>
      <c r="CS13" cm="1">
        <f t="array" ref="CS13">_xll.EQNXTDZ($A$1,$B13,CS$1)</f>
        <v>32.75</v>
      </c>
      <c r="CT13" cm="1">
        <f t="array" ref="CT13">_xll.EQNXTDZ($A$1,$B13,CT$1)</f>
        <v>31.9</v>
      </c>
      <c r="CU13" cm="1">
        <f t="array" ref="CU13">_xll.EQNXTDZ($A$1,$B13,CU$1)</f>
        <v>37.4</v>
      </c>
      <c r="CV13" cm="1">
        <f t="array" ref="CV13">_xll.EQNXTDZ($A$1,$B13,CV$1)</f>
        <v>44.9</v>
      </c>
      <c r="CW13" cm="1">
        <f t="array" ref="CW13">_xll.EQNXTDZ($A$1,$B13,CW$1)</f>
        <v>48.7</v>
      </c>
      <c r="CX13" cm="1">
        <f t="array" ref="CX13">_xll.EQNXTDZ($A$1,$B13,CX$1)</f>
        <v>60</v>
      </c>
      <c r="CY13" cm="1">
        <f t="array" ref="CY13">_xll.EQNXTDZ($A$1,$B13,CY$1)</f>
        <v>53.5</v>
      </c>
      <c r="CZ13" cm="1">
        <f t="array" ref="CZ13">_xll.EQNXTDZ($A$1,$B13,CZ$1)</f>
        <v>52.9</v>
      </c>
      <c r="DA13" cm="1">
        <f t="array" ref="DA13">_xll.EQNXTDZ($A$1,$B13,DA$1)</f>
        <v>65.45</v>
      </c>
      <c r="DB13" cm="1">
        <f t="array" ref="DB13">_xll.EQNXTDZ($A$1,$B13,DB$1)</f>
        <v>75.900000000000006</v>
      </c>
      <c r="DC13" cm="1">
        <f t="array" ref="DC13">_xll.EQNXTDZ($A$1,$B13,DC$1)</f>
        <v>76.900000000000006</v>
      </c>
      <c r="DD13" cm="1">
        <f t="array" ref="DD13">_xll.EQNXTDZ($A$1,$B13,DD$1)</f>
        <v>97</v>
      </c>
      <c r="DE13" cm="1">
        <f t="array" ref="DE13">_xll.EQNXTDZ($A$1,$B13,DE$1)</f>
        <v>104.2</v>
      </c>
      <c r="DF13" cm="1">
        <f t="array" ref="DF13">_xll.EQNXTDZ($A$1,$B13,DF$1)</f>
        <v>98.75</v>
      </c>
      <c r="DG13" cm="1">
        <f t="array" ref="DG13">_xll.EQNXTDZ($A$1,$B13,DG$1)</f>
        <v>106.7</v>
      </c>
      <c r="DH13" cm="1">
        <f t="array" ref="DH13">_xll.EQNXTDZ($A$1,$B13,DH$1)</f>
        <v>123.15</v>
      </c>
      <c r="DI13" cm="1">
        <f t="array" ref="DI13">_xll.EQNXTDZ($A$1,$B13,DI$1)</f>
        <v>126.7</v>
      </c>
      <c r="DJ13" cm="1">
        <f t="array" ref="DJ13">_xll.EQNXTDZ($A$1,$B13,DJ$1)</f>
        <v>129.69999999999999</v>
      </c>
      <c r="DK13" cm="1">
        <f t="array" ref="DK13">_xll.EQNXTDZ($A$1,$B13,DK$1)</f>
        <v>158.94999999999999</v>
      </c>
      <c r="DL13" cm="1">
        <f t="array" ref="DL13">_xll.EQNXTDZ($A$1,$B13,DL$1)</f>
        <v>219.8</v>
      </c>
      <c r="DM13" cm="1">
        <f t="array" ref="DM13">_xll.EQNXTDZ($A$1,$B13,DM$1)</f>
        <v>220</v>
      </c>
      <c r="DN13" cm="1">
        <f t="array" ref="DN13">_xll.EQNXTDZ($A$1,$B13,DN$1)</f>
        <v>221.4</v>
      </c>
      <c r="DO13" cm="1">
        <f t="array" ref="DO13">_xll.EQNXTDZ($A$1,$B13,DO$1)</f>
        <v>249.9</v>
      </c>
      <c r="DP13" cm="1">
        <f t="array" ref="DP13">_xll.EQNXTDZ($A$1,$B13,DP$1)</f>
        <v>221.3</v>
      </c>
      <c r="DQ13" cm="1">
        <f t="array" ref="DQ13">_xll.EQNXTDZ($A$1,$B13,DQ$1)</f>
        <v>237.4</v>
      </c>
      <c r="DR13" cm="1">
        <f t="array" ref="DR13">_xll.EQNXTDZ($A$1,$B13,DR$1)</f>
        <v>240.1</v>
      </c>
      <c r="DS13" cm="1">
        <f t="array" ref="DS13">_xll.EQNXTDZ($A$1,$B13,DS$1)</f>
        <v>233.8</v>
      </c>
      <c r="DT13" cm="1">
        <f t="array" ref="DT13">_xll.EQNXTDZ($A$1,$B13,DT$1)</f>
        <v>204.25</v>
      </c>
      <c r="DU13" cm="1">
        <f t="array" ref="DU13">_xll.EQNXTDZ($A$1,$B13,DU$1)</f>
        <v>221.5</v>
      </c>
      <c r="DV13" cm="1">
        <f t="array" ref="DV13">_xll.EQNXTDZ($A$1,$B13,DV$1)</f>
        <v>235.8</v>
      </c>
      <c r="DW13" cm="1">
        <f t="array" ref="DW13">_xll.EQNXTDZ($A$1,$B13,DW$1)</f>
        <v>216.5</v>
      </c>
      <c r="DX13" cm="1">
        <f t="array" ref="DX13">_xll.EQNXTDZ($A$1,$B13,DX$1)</f>
        <v>226.05</v>
      </c>
      <c r="DY13" cm="1">
        <f t="array" ref="DY13">_xll.EQNXTDZ($A$1,$B13,DY$1)</f>
        <v>224.75</v>
      </c>
      <c r="DZ13" cm="1">
        <f t="array" ref="DZ13">_xll.EQNXTDZ($A$1,$B13,DZ$1)</f>
        <v>208.7</v>
      </c>
      <c r="EA13" cm="1">
        <f t="array" ref="EA13">_xll.EQNXTDZ($A$1,$B13,EA$1)</f>
        <v>215</v>
      </c>
      <c r="EB13" cm="1">
        <f t="array" ref="EB13">_xll.EQNXTDZ($A$1,$B13,EB$1)</f>
        <v>203.05</v>
      </c>
      <c r="EC13" cm="1">
        <f t="array" ref="EC13">_xll.EQNXTDZ($A$1,$B13,EC$1)</f>
        <v>193.85</v>
      </c>
      <c r="ED13" cm="1">
        <f t="array" ref="ED13">_xll.EQNXTDZ($A$1,$B13,ED$1)</f>
        <v>201.15</v>
      </c>
      <c r="EE13" cm="1">
        <f t="array" ref="EE13">_xll.EQNXTDZ($A$1,$B13,EE$1)</f>
        <v>213.05</v>
      </c>
      <c r="EF13" cm="1">
        <f t="array" ref="EF13">_xll.EQNXTDZ($A$1,$B13,EF$1)</f>
        <v>222.5</v>
      </c>
      <c r="EG13" cm="1">
        <f t="array" ref="EG13">_xll.EQNXTDZ($A$1,$B13,EG$1)</f>
        <v>237.05</v>
      </c>
      <c r="EH13" cm="1">
        <f t="array" ref="EH13">_xll.EQNXTDZ($A$1,$B13,EH$1)</f>
        <v>246.95</v>
      </c>
      <c r="EI13" cm="1">
        <f t="array" ref="EI13">_xll.EQNXTDZ($A$1,$B13,EI$1)</f>
        <v>262.8</v>
      </c>
      <c r="EJ13" cm="1">
        <f t="array" ref="EJ13">_xll.EQNXTDZ($A$1,$B13,EJ$1)</f>
        <v>239.65</v>
      </c>
      <c r="EK13" cm="1">
        <f t="array" ref="EK13">_xll.EQNXTDZ($A$1,$B13,EK$1)</f>
        <v>270.3</v>
      </c>
      <c r="EL13" cm="1">
        <f t="array" ref="EL13">_xll.EQNXTDZ($A$1,$B13,EL$1)</f>
        <v>334.65</v>
      </c>
      <c r="EM13" cm="1">
        <f t="array" ref="EM13">_xll.EQNXTDZ($A$1,$B13,EM$1)</f>
        <v>393.85</v>
      </c>
      <c r="EN13" cm="1">
        <f t="array" ref="EN13">_xll.EQNXTDZ($A$1,$B13,EN$1)</f>
        <v>377.65</v>
      </c>
      <c r="EO13" cm="1">
        <f t="array" ref="EO13">_xll.EQNXTDZ($A$1,$B13,EO$1)</f>
        <v>399.65</v>
      </c>
      <c r="EP13" cm="1">
        <f t="array" ref="EP13">_xll.EQNXTDZ($A$1,$B13,EP$1)</f>
        <v>450.4</v>
      </c>
      <c r="EQ13" cm="1">
        <f t="array" ref="EQ13">_xll.EQNXTDZ($A$1,$B13,EQ$1)</f>
        <v>456.55</v>
      </c>
      <c r="ER13" cm="1">
        <f t="array" ref="ER13">_xll.EQNXTDZ($A$1,$B13,ER$1)</f>
        <v>440.6</v>
      </c>
      <c r="ES13" cm="1">
        <f t="array" ref="ES13">_xll.EQNXTDZ($A$1,$B13,ES$1)</f>
        <v>454.55</v>
      </c>
      <c r="ET13" cm="1">
        <f t="array" ref="ET13">_xll.EQNXTDZ($A$1,$B13,ET$1)</f>
        <v>435.35</v>
      </c>
      <c r="EU13" cm="1">
        <f t="array" ref="EU13">_xll.EQNXTDZ($A$1,$B13,EU$1)</f>
        <v>487.75</v>
      </c>
      <c r="EV13" cm="1">
        <f t="array" ref="EV13">_xll.EQNXTDZ($A$1,$B13,EV$1)</f>
        <v>446.35</v>
      </c>
      <c r="EW13" cm="1">
        <f t="array" ref="EW13">_xll.EQNXTDZ($A$1,$B13,EW$1)</f>
        <v>413.85</v>
      </c>
      <c r="EX13" cm="1">
        <f t="array" ref="EX13">_xll.EQNXTDZ($A$1,$B13,EX$1)</f>
        <v>393</v>
      </c>
      <c r="EY13" cm="1">
        <f t="array" ref="EY13">_xll.EQNXTDZ($A$1,$B13,EY$1)</f>
        <v>368.85</v>
      </c>
      <c r="EZ13" cm="1">
        <f t="array" ref="EZ13">_xll.EQNXTDZ($A$1,$B13,EZ$1)</f>
        <v>338.55</v>
      </c>
      <c r="FA13" cm="1">
        <f t="array" ref="FA13">_xll.EQNXTDZ($A$1,$B13,FA$1)</f>
        <v>372.95</v>
      </c>
      <c r="FB13" cm="1">
        <f t="array" ref="FB13">_xll.EQNXTDZ($A$1,$B13,FB$1)</f>
        <v>383.1</v>
      </c>
      <c r="FC13" cm="1">
        <f t="array" ref="FC13">_xll.EQNXTDZ($A$1,$B13,FC$1)</f>
        <v>392.7</v>
      </c>
      <c r="FD13" cm="1">
        <f t="array" ref="FD13">_xll.EQNXTDZ($A$1,$B13,FD$1)</f>
        <v>406.2</v>
      </c>
      <c r="FE13" cm="1">
        <f t="array" ref="FE13">_xll.EQNXTDZ($A$1,$B13,FE$1)</f>
        <v>397.4</v>
      </c>
      <c r="FF13" cm="1">
        <f t="array" ref="FF13">_xll.EQNXTDZ($A$1,$B13,FF$1)</f>
        <v>373.75</v>
      </c>
      <c r="FG13" cm="1">
        <f t="array" ref="FG13">_xll.EQNXTDZ($A$1,$B13,FG$1)</f>
        <v>386.7</v>
      </c>
      <c r="FH13" cm="1">
        <f t="array" ref="FH13">_xll.EQNXTDZ($A$1,$B13,FH$1)</f>
        <v>402.8</v>
      </c>
      <c r="FI13" cm="1">
        <f t="array" ref="FI13">_xll.EQNXTDZ($A$1,$B13,FI$1)</f>
        <v>390.2</v>
      </c>
      <c r="FJ13" cm="1">
        <f t="array" ref="FJ13">_xll.EQNXTDZ($A$1,$B13,FJ$1)</f>
        <v>379.6</v>
      </c>
      <c r="FK13" cm="1">
        <f t="array" ref="FK13">_xll.EQNXTDZ($A$1,$B13,FK$1)</f>
        <v>367.25</v>
      </c>
      <c r="FL13" cm="1">
        <f t="array" ref="FL13">_xll.EQNXTDZ($A$1,$B13,FL$1)</f>
        <v>345.25</v>
      </c>
      <c r="FM13" cm="1">
        <f t="array" ref="FM13">_xll.EQNXTDZ($A$1,$B13,FM$1)</f>
        <v>386.25</v>
      </c>
      <c r="FN13" cm="1">
        <f t="array" ref="FN13">_xll.EQNXTDZ($A$1,$B13,FN$1)</f>
        <v>444.6</v>
      </c>
      <c r="FO13" cm="1">
        <f t="array" ref="FO13">_xll.EQNXTDZ($A$1,$B13,FO$1)</f>
        <v>421.85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102.195282604604</v>
      </c>
      <c r="D14" s="116" cm="1">
        <f t="array" ref="D14">_xll.EQNXTDZ($A$1,$B14,D$1)</f>
        <v>102.677791021057</v>
      </c>
      <c r="E14" s="116" cm="1">
        <f t="array" ref="E14">_xll.EQNXTDZ($A$1,$B14,E$1)</f>
        <v>99.3967337891809</v>
      </c>
      <c r="F14" s="116" cm="1">
        <f t="array" ref="F14">_xll.EQNXTDZ($A$1,$B14,F$1)</f>
        <v>106.682610877611</v>
      </c>
      <c r="G14" s="116" cm="1">
        <f t="array" ref="G14">_xll.EQNXTDZ($A$1,$B14,G$1)</f>
        <v>103.739309537252</v>
      </c>
      <c r="H14" s="116" cm="1">
        <f t="array" ref="H14">_xll.EQNXTDZ($A$1,$B14,H$1)</f>
        <v>104.46307216193</v>
      </c>
      <c r="I14" s="116" cm="1">
        <f t="array" ref="I14">_xll.EQNXTDZ($A$1,$B14,I$1)</f>
        <v>109.239905484809</v>
      </c>
      <c r="J14" s="116" cm="1">
        <f t="array" ref="J14">_xll.EQNXTDZ($A$1,$B14,J$1)</f>
        <v>108.564393701775</v>
      </c>
      <c r="K14" s="116" cm="1">
        <f t="array" ref="K14">_xll.EQNXTDZ($A$1,$B14,K$1)</f>
        <v>99.782740522342806</v>
      </c>
      <c r="L14" s="116" cm="1">
        <f t="array" ref="L14">_xll.EQNXTDZ($A$1,$B14,L$1)</f>
        <v>98.865974531083396</v>
      </c>
      <c r="M14" s="116" cm="1">
        <f t="array" ref="M14">_xll.EQNXTDZ($A$1,$B14,M$1)</f>
        <v>97.804456014888203</v>
      </c>
      <c r="N14" s="116" cm="1">
        <f t="array" ref="N14">_xll.EQNXTDZ($A$1,$B14,N$1)</f>
        <v>92.062605859105503</v>
      </c>
      <c r="O14" s="116" cm="1">
        <f t="array" ref="O14">_xll.EQNXTDZ($A$1,$B14,O$1)</f>
        <v>86.706762436484496</v>
      </c>
      <c r="P14" s="116" cm="1">
        <f t="array" ref="P14">_xll.EQNXTDZ($A$1,$B14,P$1)</f>
        <v>91.821351650879294</v>
      </c>
      <c r="Q14" s="116" cm="1">
        <f t="array" ref="Q14">_xll.EQNXTDZ($A$1,$B14,Q$1)</f>
        <v>85.982999811805996</v>
      </c>
      <c r="R14" s="116" cm="1">
        <f t="array" ref="R14">_xll.EQNXTDZ($A$1,$B14,R$1)</f>
        <v>82.026430796896904</v>
      </c>
      <c r="S14" s="116" cm="1">
        <f t="array" ref="S14">_xll.EQNXTDZ($A$1,$B14,S$1)</f>
        <v>82.991447629801598</v>
      </c>
      <c r="T14" s="116" cm="1">
        <f t="array" ref="T14">_xll.EQNXTDZ($A$1,$B14,T$1)</f>
        <v>82.798444263220603</v>
      </c>
      <c r="U14" s="116" cm="1">
        <f t="array" ref="U14">_xll.EQNXTDZ($A$1,$B14,U$1)</f>
        <v>89.215806202036703</v>
      </c>
      <c r="V14" s="116" cm="1">
        <f t="array" ref="V14">_xll.EQNXTDZ($A$1,$B14,V$1)</f>
        <v>88.588545260648601</v>
      </c>
      <c r="W14" s="116" cm="1">
        <f t="array" ref="W14">_xll.EQNXTDZ($A$1,$B14,W$1)</f>
        <v>81.543922380444599</v>
      </c>
      <c r="X14" s="116" cm="1">
        <f t="array" ref="X14">_xll.EQNXTDZ($A$1,$B14,X$1)</f>
        <v>87.85</v>
      </c>
      <c r="Y14" s="116" cm="1">
        <f t="array" ref="Y14">_xll.EQNXTDZ($A$1,$B14,Y$1)</f>
        <v>87.85</v>
      </c>
      <c r="Z14" s="116" cm="1">
        <f t="array" ref="Z14">_xll.EQNXTDZ($A$1,$B14,Z$1)</f>
        <v>109.45</v>
      </c>
      <c r="AA14" s="116" cm="1">
        <f t="array" ref="AA14">_xll.EQNXTDZ($A$1,$B14,AA$1)</f>
        <v>115.25</v>
      </c>
      <c r="AB14" s="116" cm="1">
        <f t="array" ref="AB14">_xll.EQNXTDZ($A$1,$B14,AB$1)</f>
        <v>112.1</v>
      </c>
      <c r="AC14" s="116" cm="1">
        <f t="array" ref="AC14">_xll.EQNXTDZ($A$1,$B14,AC$1)</f>
        <v>97.95</v>
      </c>
      <c r="AD14" s="116" cm="1">
        <f t="array" ref="AD14">_xll.EQNXTDZ($A$1,$B14,AD$1)</f>
        <v>91.35</v>
      </c>
      <c r="AE14" s="116" cm="1">
        <f t="array" ref="AE14">_xll.EQNXTDZ($A$1,$B14,AE$1)</f>
        <v>94.3</v>
      </c>
      <c r="AF14" s="116" cm="1">
        <f t="array" ref="AF14">_xll.EQNXTDZ($A$1,$B14,AF$1)</f>
        <v>94.9</v>
      </c>
      <c r="AG14" s="116" cm="1">
        <f t="array" ref="AG14">_xll.EQNXTDZ($A$1,$B14,AG$1)</f>
        <v>93.15</v>
      </c>
      <c r="AH14" s="116" cm="1">
        <f t="array" ref="AH14">_xll.EQNXTDZ($A$1,$B14,AH$1)</f>
        <v>91.5</v>
      </c>
      <c r="AI14" s="116" cm="1">
        <f t="array" ref="AI14">_xll.EQNXTDZ($A$1,$B14,AI$1)</f>
        <v>92.4</v>
      </c>
      <c r="AJ14" s="116" cm="1">
        <f t="array" ref="AJ14">_xll.EQNXTDZ($A$1,$B14,AJ$1)</f>
        <v>88.35</v>
      </c>
      <c r="AK14" s="116" cm="1">
        <f t="array" ref="AK14">_xll.EQNXTDZ($A$1,$B14,AK$1)</f>
        <v>82.15</v>
      </c>
      <c r="AL14" s="116" cm="1">
        <f t="array" ref="AL14">_xll.EQNXTDZ($A$1,$B14,AL$1)</f>
        <v>79.8</v>
      </c>
      <c r="AM14" s="116" cm="1">
        <f t="array" ref="AM14">_xll.EQNXTDZ($A$1,$B14,AM$1)</f>
        <v>76.95</v>
      </c>
      <c r="AN14" s="116" cm="1">
        <f t="array" ref="AN14">_xll.EQNXTDZ($A$1,$B14,AN$1)</f>
        <v>76.75</v>
      </c>
      <c r="AO14" s="116" cm="1">
        <f t="array" ref="AO14">_xll.EQNXTDZ($A$1,$B14,AO$1)</f>
        <v>70.900000000000006</v>
      </c>
      <c r="AP14" s="116" cm="1">
        <f t="array" ref="AP14">_xll.EQNXTDZ($A$1,$B14,AP$1)</f>
        <v>67.45</v>
      </c>
      <c r="AQ14" s="116" cm="1">
        <f t="array" ref="AQ14">_xll.EQNXTDZ($A$1,$B14,AQ$1)</f>
        <v>72.45</v>
      </c>
      <c r="AR14" s="116" cm="1">
        <f t="array" ref="AR14">_xll.EQNXTDZ($A$1,$B14,AR$1)</f>
        <v>69.900000000000006</v>
      </c>
      <c r="AS14" s="116" cm="1">
        <f t="array" ref="AS14">_xll.EQNXTDZ($A$1,$B14,AS$1)</f>
        <v>68.95</v>
      </c>
      <c r="AT14" s="116" cm="1">
        <f t="array" ref="AT14">_xll.EQNXTDZ($A$1,$B14,AT$1)</f>
        <v>70.75</v>
      </c>
      <c r="AU14" s="116" cm="1">
        <f t="array" ref="AU14">_xll.EQNXTDZ($A$1,$B14,AU$1)</f>
        <v>61.9</v>
      </c>
      <c r="AV14" s="116" cm="1">
        <f t="array" ref="AV14">_xll.EQNXTDZ($A$1,$B14,AV$1)</f>
        <v>65.05</v>
      </c>
      <c r="AW14" s="116" cm="1">
        <f t="array" ref="AW14">_xll.EQNXTDZ($A$1,$B14,AW$1)</f>
        <v>72.45</v>
      </c>
      <c r="AX14" s="116" cm="1">
        <f t="array" ref="AX14">_xll.EQNXTDZ($A$1,$B14,AX$1)</f>
        <v>75.900000000000006</v>
      </c>
      <c r="AY14" s="116" cm="1">
        <f t="array" ref="AY14">_xll.EQNXTDZ($A$1,$B14,AY$1)</f>
        <v>77.95</v>
      </c>
      <c r="AZ14" s="116" cm="1">
        <f t="array" ref="AZ14">_xll.EQNXTDZ($A$1,$B14,AZ$1)</f>
        <v>75.5</v>
      </c>
      <c r="BA14" s="116" cm="1">
        <f t="array" ref="BA14">_xll.EQNXTDZ($A$1,$B14,BA$1)</f>
        <v>79.2</v>
      </c>
      <c r="BB14" s="116" cm="1">
        <f t="array" ref="BB14">_xll.EQNXTDZ($A$1,$B14,BB$1)</f>
        <v>80.349999999999994</v>
      </c>
      <c r="BC14" s="116" cm="1">
        <f t="array" ref="BC14">_xll.EQNXTDZ($A$1,$B14,BC$1)</f>
        <v>84.45</v>
      </c>
      <c r="BD14" s="116" cm="1">
        <f t="array" ref="BD14">_xll.EQNXTDZ($A$1,$B14,BD$1)</f>
        <v>79.5</v>
      </c>
      <c r="BE14" s="116" cm="1">
        <f t="array" ref="BE14">_xll.EQNXTDZ($A$1,$B14,BE$1)</f>
        <v>80.2</v>
      </c>
      <c r="BF14" s="116" cm="1">
        <f t="array" ref="BF14">_xll.EQNXTDZ($A$1,$B14,BF$1)</f>
        <v>82.7</v>
      </c>
      <c r="BG14" s="116" cm="1">
        <f t="array" ref="BG14">_xll.EQNXTDZ($A$1,$B14,BG$1)</f>
        <v>86</v>
      </c>
      <c r="BH14" s="116" cm="1">
        <f t="array" ref="BH14">_xll.EQNXTDZ($A$1,$B14,BH$1)</f>
        <v>91.1</v>
      </c>
      <c r="BI14" s="116" cm="1">
        <f t="array" ref="BI14">_xll.EQNXTDZ($A$1,$B14,BI$1)</f>
        <v>91.25</v>
      </c>
      <c r="BJ14" s="116" cm="1">
        <f t="array" ref="BJ14">_xll.EQNXTDZ($A$1,$B14,BJ$1)</f>
        <v>86.4</v>
      </c>
      <c r="BK14" s="116" cm="1">
        <f t="array" ref="BK14">_xll.EQNXTDZ($A$1,$B14,BK$1)</f>
        <v>83.9</v>
      </c>
      <c r="BL14" s="116" cm="1">
        <f t="array" ref="BL14">_xll.EQNXTDZ($A$1,$B14,BL$1)</f>
        <v>84.1</v>
      </c>
      <c r="BM14" s="116" cm="1">
        <f t="array" ref="BM14">_xll.EQNXTDZ($A$1,$B14,BM$1)</f>
        <v>83.55</v>
      </c>
      <c r="BN14" s="116" cm="1">
        <f t="array" ref="BN14">_xll.EQNXTDZ($A$1,$B14,BN$1)</f>
        <v>87.3</v>
      </c>
      <c r="BO14" s="116" cm="1">
        <f t="array" ref="BO14">_xll.EQNXTDZ($A$1,$B14,BO$1)</f>
        <v>87.4</v>
      </c>
      <c r="BP14" s="116" cm="1">
        <f t="array" ref="BP14">_xll.EQNXTDZ($A$1,$B14,BP$1)</f>
        <v>97.05</v>
      </c>
      <c r="BQ14" s="116" cm="1">
        <f t="array" ref="BQ14">_xll.EQNXTDZ($A$1,$B14,BQ$1)</f>
        <v>96.2</v>
      </c>
      <c r="BR14" s="116" cm="1">
        <f t="array" ref="BR14">_xll.EQNXTDZ($A$1,$B14,BR$1)</f>
        <v>101.75</v>
      </c>
      <c r="BS14" s="116" cm="1">
        <f t="array" ref="BS14">_xll.EQNXTDZ($A$1,$B14,BS$1)</f>
        <v>90.85</v>
      </c>
      <c r="BT14" s="116" cm="1">
        <f t="array" ref="BT14">_xll.EQNXTDZ($A$1,$B14,BT$1)</f>
        <v>85.8</v>
      </c>
      <c r="BU14" s="116" cm="1">
        <f t="array" ref="BU14">_xll.EQNXTDZ($A$1,$B14,BU$1)</f>
        <v>88.95</v>
      </c>
      <c r="BV14" s="116" cm="1">
        <f t="array" ref="BV14">_xll.EQNXTDZ($A$1,$B14,BV$1)</f>
        <v>89.5</v>
      </c>
      <c r="BW14" s="116" cm="1">
        <f t="array" ref="BW14">_xll.EQNXTDZ($A$1,$B14,BW$1)</f>
        <v>81.099999999999994</v>
      </c>
      <c r="BX14" s="116" cm="1">
        <f t="array" ref="BX14">_xll.EQNXTDZ($A$1,$B14,BX$1)</f>
        <v>74.900000000000006</v>
      </c>
      <c r="BY14" s="116" cm="1">
        <f t="array" ref="BY14">_xll.EQNXTDZ($A$1,$B14,BY$1)</f>
        <v>77.400000000000006</v>
      </c>
      <c r="BZ14" s="116" cm="1">
        <f t="array" ref="BZ14">_xll.EQNXTDZ($A$1,$B14,BZ$1)</f>
        <v>78.95</v>
      </c>
      <c r="CA14" s="116" cm="1">
        <f t="array" ref="CA14">_xll.EQNXTDZ($A$1,$B14,CA$1)</f>
        <v>86.15</v>
      </c>
      <c r="CB14" s="116" cm="1">
        <f t="array" ref="CB14">_xll.EQNXTDZ($A$1,$B14,CB$1)</f>
        <v>79.95</v>
      </c>
      <c r="CC14" s="116" cm="1">
        <f t="array" ref="CC14">_xll.EQNXTDZ($A$1,$B14,CC$1)</f>
        <v>83.75</v>
      </c>
      <c r="CD14" s="116" cm="1">
        <f t="array" ref="CD14">_xll.EQNXTDZ($A$1,$B14,CD$1)</f>
        <v>77.900000000000006</v>
      </c>
      <c r="CE14" s="116" cm="1">
        <f t="array" ref="CE14">_xll.EQNXTDZ($A$1,$B14,CE$1)</f>
        <v>72.2</v>
      </c>
      <c r="CF14" s="116" cm="1">
        <f t="array" ref="CF14">_xll.EQNXTDZ($A$1,$B14,CF$1)</f>
        <v>74.75</v>
      </c>
      <c r="CG14" s="116" cm="1">
        <f t="array" ref="CG14">_xll.EQNXTDZ($A$1,$B14,CG$1)</f>
        <v>76.900000000000006</v>
      </c>
      <c r="CH14" s="116" cm="1">
        <f t="array" ref="CH14">_xll.EQNXTDZ($A$1,$B14,CH$1)</f>
        <v>71.150000000000006</v>
      </c>
      <c r="CI14" s="116" cm="1">
        <f t="array" ref="CI14">_xll.EQNXTDZ($A$1,$B14,CI$1)</f>
        <v>70.150000000000006</v>
      </c>
      <c r="CJ14" s="116" cm="1">
        <f t="array" ref="CJ14">_xll.EQNXTDZ($A$1,$B14,CJ$1)</f>
        <v>74.05</v>
      </c>
      <c r="CK14" s="116" cm="1">
        <f t="array" ref="CK14">_xll.EQNXTDZ($A$1,$B14,CK$1)</f>
        <v>60.85</v>
      </c>
      <c r="CL14" s="116" cm="1">
        <f t="array" ref="CL14">_xll.EQNXTDZ($A$1,$B14,CL$1)</f>
        <v>68.8</v>
      </c>
      <c r="CM14" s="116" cm="1">
        <f t="array" ref="CM14">_xll.EQNXTDZ($A$1,$B14,CM$1)</f>
        <v>62.95</v>
      </c>
      <c r="CN14" s="116" cm="1">
        <f t="array" ref="CN14">_xll.EQNXTDZ($A$1,$B14,CN$1)</f>
        <v>61</v>
      </c>
      <c r="CO14" s="116" cm="1">
        <f t="array" ref="CO14">_xll.EQNXTDZ($A$1,$B14,CO$1)</f>
        <v>57.2</v>
      </c>
      <c r="CP14" s="116" cm="1">
        <f t="array" ref="CP14">_xll.EQNXTDZ($A$1,$B14,CP$1)</f>
        <v>62.1</v>
      </c>
      <c r="CQ14" s="116" cm="1">
        <f t="array" ref="CQ14">_xll.EQNXTDZ($A$1,$B14,CQ$1)</f>
        <v>58.35</v>
      </c>
      <c r="CR14" s="116" cm="1">
        <f t="array" ref="CR14">_xll.EQNXTDZ($A$1,$B14,CR$1)</f>
        <v>47.8</v>
      </c>
      <c r="CS14" s="116" cm="1">
        <f t="array" ref="CS14">_xll.EQNXTDZ($A$1,$B14,CS$1)</f>
        <v>37.5</v>
      </c>
      <c r="CT14" s="116" cm="1">
        <f t="array" ref="CT14">_xll.EQNXTDZ($A$1,$B14,CT$1)</f>
        <v>37.549999999999997</v>
      </c>
      <c r="CU14" s="116" cm="1">
        <f t="array" ref="CU14">_xll.EQNXTDZ($A$1,$B14,CU$1)</f>
        <v>47.35</v>
      </c>
      <c r="CV14" s="116" cm="1">
        <f t="array" ref="CV14">_xll.EQNXTDZ($A$1,$B14,CV$1)</f>
        <v>53.2</v>
      </c>
      <c r="CW14" s="116" cm="1">
        <f t="array" ref="CW14">_xll.EQNXTDZ($A$1,$B14,CW$1)</f>
        <v>63.45</v>
      </c>
      <c r="CX14" s="116" cm="1">
        <f t="array" ref="CX14">_xll.EQNXTDZ($A$1,$B14,CX$1)</f>
        <v>61.6</v>
      </c>
      <c r="CY14" s="116" cm="1">
        <f t="array" ref="CY14">_xll.EQNXTDZ($A$1,$B14,CY$1)</f>
        <v>56.9</v>
      </c>
      <c r="CZ14" s="116" cm="1">
        <f t="array" ref="CZ14">_xll.EQNXTDZ($A$1,$B14,CZ$1)</f>
        <v>65.25</v>
      </c>
      <c r="DA14" s="116" cm="1">
        <f t="array" ref="DA14">_xll.EQNXTDZ($A$1,$B14,DA$1)</f>
        <v>79</v>
      </c>
      <c r="DB14" s="116" cm="1">
        <f t="array" ref="DB14">_xll.EQNXTDZ($A$1,$B14,DB$1)</f>
        <v>87.95</v>
      </c>
      <c r="DC14" s="116" cm="1">
        <f t="array" ref="DC14">_xll.EQNXTDZ($A$1,$B14,DC$1)</f>
        <v>97.6</v>
      </c>
      <c r="DD14" s="116" cm="1">
        <f t="array" ref="DD14">_xll.EQNXTDZ($A$1,$B14,DD$1)</f>
        <v>114.95</v>
      </c>
      <c r="DE14" s="116" cm="1">
        <f t="array" ref="DE14">_xll.EQNXTDZ($A$1,$B14,DE$1)</f>
        <v>107.25</v>
      </c>
      <c r="DF14" s="116" cm="1">
        <f t="array" ref="DF14">_xll.EQNXTDZ($A$1,$B14,DF$1)</f>
        <v>111.15</v>
      </c>
      <c r="DG14" s="116" cm="1">
        <f t="array" ref="DG14">_xll.EQNXTDZ($A$1,$B14,DG$1)</f>
        <v>132.5</v>
      </c>
      <c r="DH14" s="116" cm="1">
        <f t="array" ref="DH14">_xll.EQNXTDZ($A$1,$B14,DH$1)</f>
        <v>128.4</v>
      </c>
      <c r="DI14" s="116" cm="1">
        <f t="array" ref="DI14">_xll.EQNXTDZ($A$1,$B14,DI$1)</f>
        <v>137.9</v>
      </c>
      <c r="DJ14" s="116" cm="1">
        <f t="array" ref="DJ14">_xll.EQNXTDZ($A$1,$B14,DJ$1)</f>
        <v>161.15</v>
      </c>
      <c r="DK14" s="116" cm="1">
        <f t="array" ref="DK14">_xll.EQNXTDZ($A$1,$B14,DK$1)</f>
        <v>269.7</v>
      </c>
      <c r="DL14" s="116" cm="1">
        <f t="array" ref="DL14">_xll.EQNXTDZ($A$1,$B14,DL$1)</f>
        <v>252.5</v>
      </c>
      <c r="DM14" s="116" cm="1">
        <f t="array" ref="DM14">_xll.EQNXTDZ($A$1,$B14,DM$1)</f>
        <v>236.55</v>
      </c>
      <c r="DN14" s="116" cm="1">
        <f t="array" ref="DN14">_xll.EQNXTDZ($A$1,$B14,DN$1)</f>
        <v>252.05</v>
      </c>
      <c r="DO14" s="116" cm="1">
        <f t="array" ref="DO14">_xll.EQNXTDZ($A$1,$B14,DO$1)</f>
        <v>257.85000000000002</v>
      </c>
      <c r="DP14" s="116" cm="1">
        <f t="array" ref="DP14">_xll.EQNXTDZ($A$1,$B14,DP$1)</f>
        <v>244.85</v>
      </c>
      <c r="DQ14" s="116" cm="1">
        <f t="array" ref="DQ14">_xll.EQNXTDZ($A$1,$B14,DQ$1)</f>
        <v>298</v>
      </c>
      <c r="DR14" s="116" cm="1">
        <f t="array" ref="DR14">_xll.EQNXTDZ($A$1,$B14,DR$1)</f>
        <v>254</v>
      </c>
      <c r="DS14" s="116" cm="1">
        <f t="array" ref="DS14">_xll.EQNXTDZ($A$1,$B14,DS$1)</f>
        <v>236.9</v>
      </c>
      <c r="DT14" s="116" cm="1">
        <f t="array" ref="DT14">_xll.EQNXTDZ($A$1,$B14,DT$1)</f>
        <v>234</v>
      </c>
      <c r="DU14" s="116" cm="1">
        <f t="array" ref="DU14">_xll.EQNXTDZ($A$1,$B14,DU$1)</f>
        <v>241.85</v>
      </c>
      <c r="DV14" s="116" cm="1">
        <f t="array" ref="DV14">_xll.EQNXTDZ($A$1,$B14,DV$1)</f>
        <v>251</v>
      </c>
      <c r="DW14" s="116" cm="1">
        <f t="array" ref="DW14">_xll.EQNXTDZ($A$1,$B14,DW$1)</f>
        <v>229.65</v>
      </c>
      <c r="DX14" s="116" cm="1">
        <f t="array" ref="DX14">_xll.EQNXTDZ($A$1,$B14,DX$1)</f>
        <v>234.5</v>
      </c>
      <c r="DY14" s="116" cm="1">
        <f t="array" ref="DY14">_xll.EQNXTDZ($A$1,$B14,DY$1)</f>
        <v>230.25</v>
      </c>
      <c r="DZ14" s="116" cm="1">
        <f t="array" ref="DZ14">_xll.EQNXTDZ($A$1,$B14,DZ$1)</f>
        <v>214.65</v>
      </c>
      <c r="EA14" s="116" cm="1">
        <f t="array" ref="EA14">_xll.EQNXTDZ($A$1,$B14,EA$1)</f>
        <v>215.45</v>
      </c>
      <c r="EB14" s="116" cm="1">
        <f t="array" ref="EB14">_xll.EQNXTDZ($A$1,$B14,EB$1)</f>
        <v>212.95</v>
      </c>
      <c r="EC14" s="116" cm="1">
        <f t="array" ref="EC14">_xll.EQNXTDZ($A$1,$B14,EC$1)</f>
        <v>201.5</v>
      </c>
      <c r="ED14" s="116" cm="1">
        <f t="array" ref="ED14">_xll.EQNXTDZ($A$1,$B14,ED$1)</f>
        <v>218.95</v>
      </c>
      <c r="EE14" s="116" cm="1">
        <f t="array" ref="EE14">_xll.EQNXTDZ($A$1,$B14,EE$1)</f>
        <v>226.25</v>
      </c>
      <c r="EF14" s="116" cm="1">
        <f t="array" ref="EF14">_xll.EQNXTDZ($A$1,$B14,EF$1)</f>
        <v>238.95</v>
      </c>
      <c r="EG14" s="116" cm="1">
        <f t="array" ref="EG14">_xll.EQNXTDZ($A$1,$B14,EG$1)</f>
        <v>252.75</v>
      </c>
      <c r="EH14" s="116" cm="1">
        <f t="array" ref="EH14">_xll.EQNXTDZ($A$1,$B14,EH$1)</f>
        <v>276.5</v>
      </c>
      <c r="EI14" s="116" cm="1">
        <f t="array" ref="EI14">_xll.EQNXTDZ($A$1,$B14,EI$1)</f>
        <v>266.5</v>
      </c>
      <c r="EJ14" s="116" cm="1">
        <f t="array" ref="EJ14">_xll.EQNXTDZ($A$1,$B14,EJ$1)</f>
        <v>275.7</v>
      </c>
      <c r="EK14" s="116" cm="1">
        <f t="array" ref="EK14">_xll.EQNXTDZ($A$1,$B14,EK$1)</f>
        <v>346.9</v>
      </c>
      <c r="EL14" s="116" cm="1">
        <f t="array" ref="EL14">_xll.EQNXTDZ($A$1,$B14,EL$1)</f>
        <v>392.7</v>
      </c>
      <c r="EM14" s="116" cm="1">
        <f t="array" ref="EM14">_xll.EQNXTDZ($A$1,$B14,EM$1)</f>
        <v>412.75</v>
      </c>
      <c r="EN14" s="116" cm="1">
        <f t="array" ref="EN14">_xll.EQNXTDZ($A$1,$B14,EN$1)</f>
        <v>433.2</v>
      </c>
      <c r="EO14" s="116" cm="1">
        <f t="array" ref="EO14">_xll.EQNXTDZ($A$1,$B14,EO$1)</f>
        <v>455.2</v>
      </c>
      <c r="EP14" s="116" cm="1">
        <f t="array" ref="EP14">_xll.EQNXTDZ($A$1,$B14,EP$1)</f>
        <v>464.3</v>
      </c>
      <c r="EQ14" s="116" cm="1">
        <f t="array" ref="EQ14">_xll.EQNXTDZ($A$1,$B14,EQ$1)</f>
        <v>460</v>
      </c>
      <c r="ER14" s="116" cm="1">
        <f t="array" ref="ER14">_xll.EQNXTDZ($A$1,$B14,ER$1)</f>
        <v>454.95</v>
      </c>
      <c r="ES14" s="116" cm="1">
        <f t="array" ref="ES14">_xll.EQNXTDZ($A$1,$B14,ES$1)</f>
        <v>470.85</v>
      </c>
      <c r="ET14" s="116" cm="1">
        <f t="array" ref="ET14">_xll.EQNXTDZ($A$1,$B14,ET$1)</f>
        <v>494.85</v>
      </c>
      <c r="EU14" s="116" cm="1">
        <f t="array" ref="EU14">_xll.EQNXTDZ($A$1,$B14,EU$1)</f>
        <v>491.25</v>
      </c>
      <c r="EV14" s="116" cm="1">
        <f t="array" ref="EV14">_xll.EQNXTDZ($A$1,$B14,EV$1)</f>
        <v>454.8</v>
      </c>
      <c r="EW14" s="116" cm="1">
        <f t="array" ref="EW14">_xll.EQNXTDZ($A$1,$B14,EW$1)</f>
        <v>447.7</v>
      </c>
      <c r="EX14" s="116" cm="1">
        <f t="array" ref="EX14">_xll.EQNXTDZ($A$1,$B14,EX$1)</f>
        <v>402.9</v>
      </c>
      <c r="EY14" s="116" cm="1">
        <f t="array" ref="EY14">_xll.EQNXTDZ($A$1,$B14,EY$1)</f>
        <v>378.95</v>
      </c>
      <c r="EZ14" s="116" cm="1">
        <f t="array" ref="EZ14">_xll.EQNXTDZ($A$1,$B14,EZ$1)</f>
        <v>386</v>
      </c>
      <c r="FA14" s="116" cm="1">
        <f t="array" ref="FA14">_xll.EQNXTDZ($A$1,$B14,FA$1)</f>
        <v>403.35</v>
      </c>
      <c r="FB14" s="116" cm="1">
        <f t="array" ref="FB14">_xll.EQNXTDZ($A$1,$B14,FB$1)</f>
        <v>412</v>
      </c>
      <c r="FC14" s="116" cm="1">
        <f t="array" ref="FC14">_xll.EQNXTDZ($A$1,$B14,FC$1)</f>
        <v>416.7</v>
      </c>
      <c r="FD14" s="116" cm="1">
        <f t="array" ref="FD14">_xll.EQNXTDZ($A$1,$B14,FD$1)</f>
        <v>416.7</v>
      </c>
      <c r="FE14" s="116" cm="1">
        <f t="array" ref="FE14">_xll.EQNXTDZ($A$1,$B14,FE$1)</f>
        <v>397.75</v>
      </c>
      <c r="FF14" s="116" cm="1">
        <f t="array" ref="FF14">_xll.EQNXTDZ($A$1,$B14,FF$1)</f>
        <v>399.95</v>
      </c>
      <c r="FG14" s="116" cm="1">
        <f t="array" ref="FG14">_xll.EQNXTDZ($A$1,$B14,FG$1)</f>
        <v>413.2</v>
      </c>
      <c r="FH14" s="116" cm="1">
        <f t="array" ref="FH14">_xll.EQNXTDZ($A$1,$B14,FH$1)</f>
        <v>409.3</v>
      </c>
      <c r="FI14" s="116" cm="1">
        <f t="array" ref="FI14">_xll.EQNXTDZ($A$1,$B14,FI$1)</f>
        <v>391.8</v>
      </c>
      <c r="FJ14" s="116" cm="1">
        <f t="array" ref="FJ14">_xll.EQNXTDZ($A$1,$B14,FJ$1)</f>
        <v>393.45</v>
      </c>
      <c r="FK14" s="116" cm="1">
        <f t="array" ref="FK14">_xll.EQNXTDZ($A$1,$B14,FK$1)</f>
        <v>385.25</v>
      </c>
      <c r="FL14" s="116" cm="1">
        <f t="array" ref="FL14">_xll.EQNXTDZ($A$1,$B14,FL$1)</f>
        <v>418.4</v>
      </c>
      <c r="FM14" s="116" cm="1">
        <f t="array" ref="FM14">_xll.EQNXTDZ($A$1,$B14,FM$1)</f>
        <v>464.8</v>
      </c>
      <c r="FN14" s="116" cm="1">
        <f t="array" ref="FN14">_xll.EQNXTDZ($A$1,$B14,FN$1)</f>
        <v>448</v>
      </c>
      <c r="FO14" s="116" cm="1">
        <f t="array" ref="FO14">_xll.EQNXTDZ($A$1,$B14,FO$1)</f>
        <v>424.05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106.682610877611</v>
      </c>
      <c r="HQ14" s="116">
        <f>+MAX(G14:I14)</f>
        <v>109.239905484809</v>
      </c>
      <c r="HR14" s="116">
        <f>+MAX(J14:L14)</f>
        <v>108.564393701775</v>
      </c>
      <c r="HS14" s="116">
        <f>+MAX(M14:O14)</f>
        <v>97.804456014888203</v>
      </c>
      <c r="HT14" s="116">
        <f>+MAX(P14:R14)</f>
        <v>91.821351650879294</v>
      </c>
      <c r="HU14" s="116">
        <f>+MAX(S14:U14)</f>
        <v>89.215806202036703</v>
      </c>
      <c r="HV14" s="116">
        <f>+MAX(V14:X14)</f>
        <v>88.588545260648601</v>
      </c>
      <c r="HW14" s="116">
        <f>+MAX(Y14:AA14)</f>
        <v>115.25</v>
      </c>
      <c r="HX14" s="116">
        <f>+MAX(AB14:AD14)</f>
        <v>112.1</v>
      </c>
      <c r="HY14" s="116">
        <f>+MAX(AE14:AG14)</f>
        <v>94.9</v>
      </c>
      <c r="HZ14" s="116">
        <f>+MAX(AH14:AJ14)</f>
        <v>92.4</v>
      </c>
      <c r="IA14" s="116">
        <f>+MAX(AK14:AM14)</f>
        <v>82.15</v>
      </c>
      <c r="IB14" s="116">
        <f>+MAX(AN14:AP14)</f>
        <v>76.75</v>
      </c>
      <c r="IC14" s="116">
        <f>+MAX(AQ14:AS14)</f>
        <v>72.45</v>
      </c>
      <c r="ID14" s="116">
        <f>+MAX(AT14:AV14)</f>
        <v>70.75</v>
      </c>
      <c r="IE14" s="116">
        <f>+MAX(AW14:AY14)</f>
        <v>77.95</v>
      </c>
      <c r="IF14" s="116">
        <f>+MAX(AZ14:BB14)</f>
        <v>80.349999999999994</v>
      </c>
      <c r="IG14" s="116">
        <f>+MAX(BC14:BE14)</f>
        <v>84.45</v>
      </c>
      <c r="IH14" s="116">
        <f>+MAX(BF14:BH14)</f>
        <v>91.1</v>
      </c>
      <c r="II14" s="116">
        <f>+MAX(BI14:BK14)</f>
        <v>91.25</v>
      </c>
      <c r="IJ14" s="116">
        <f>+MAX(BL14:BN14)</f>
        <v>87.3</v>
      </c>
      <c r="IK14" s="116">
        <f>+MAX(BO14:BQ14)</f>
        <v>97.05</v>
      </c>
      <c r="IL14" s="116">
        <f>+MAX(BR14:BT14)</f>
        <v>101.75</v>
      </c>
      <c r="IM14" s="116">
        <f>+MAX(BU14:BW14)</f>
        <v>89.5</v>
      </c>
      <c r="IN14" s="116">
        <f>+MAX(BX14:BZ14)</f>
        <v>78.95</v>
      </c>
      <c r="IO14" s="116">
        <f>+MAX(CA14:CC14)</f>
        <v>86.15</v>
      </c>
      <c r="IP14" s="116">
        <f>+MAX(CD14:CF14)</f>
        <v>77.900000000000006</v>
      </c>
      <c r="IQ14" s="116">
        <f>+MAX(CG14:CI14)</f>
        <v>76.900000000000006</v>
      </c>
      <c r="IR14" s="116">
        <f>+MAX(CJ14:CL14)</f>
        <v>74.05</v>
      </c>
      <c r="IS14" s="116">
        <f>+MAX(CM14:CO14)</f>
        <v>62.95</v>
      </c>
      <c r="IT14" s="116">
        <f>+MAX(CP14:CR14)</f>
        <v>62.1</v>
      </c>
      <c r="IU14" s="116">
        <f>+MAX(CS14:CU14)</f>
        <v>47.35</v>
      </c>
      <c r="IV14" s="116">
        <f>+MAX(CV14:CX14)</f>
        <v>63.45</v>
      </c>
      <c r="IW14" s="116">
        <f>+MAX(CY14:DA14)</f>
        <v>79</v>
      </c>
      <c r="IX14" s="116">
        <f>+MAX(DB14:DD14)</f>
        <v>114.95</v>
      </c>
      <c r="IY14" s="116">
        <f>+MAX(DE14:DG14)</f>
        <v>132.5</v>
      </c>
      <c r="IZ14" s="116">
        <f>+MAX(DH14:DJ14)</f>
        <v>161.15</v>
      </c>
      <c r="JA14" s="116">
        <f>+MAX(DK14:DM14)</f>
        <v>269.7</v>
      </c>
      <c r="JB14" s="116">
        <f>+MAX(DN14:DP14)</f>
        <v>257.85000000000002</v>
      </c>
      <c r="JC14" s="116">
        <f>+MAX(DQ14:DS14)</f>
        <v>298</v>
      </c>
      <c r="JD14" s="116">
        <f>+MAX(DT14:DV14)</f>
        <v>251</v>
      </c>
      <c r="JE14" s="116">
        <f>+MAX(DW14:DY14)</f>
        <v>234.5</v>
      </c>
      <c r="JF14" s="116">
        <f>+MAX(DZ14:EB14)</f>
        <v>215.45</v>
      </c>
      <c r="JG14" s="116">
        <f>+MAX(EC14:EE14)</f>
        <v>226.25</v>
      </c>
      <c r="JH14" s="116">
        <f>+MAX(EF14:EH14)</f>
        <v>276.5</v>
      </c>
      <c r="JI14" s="116">
        <f>+MAX(EI14:EK14)</f>
        <v>346.9</v>
      </c>
      <c r="JJ14" s="116">
        <f>+MAX(EL14:EN14)</f>
        <v>433.2</v>
      </c>
      <c r="JK14" s="116">
        <f>MAX(EO14:EQ14)</f>
        <v>464.3</v>
      </c>
      <c r="JL14" s="116">
        <f>MAX(ER14:ET14)</f>
        <v>494.85</v>
      </c>
      <c r="JM14" s="116">
        <f>MAX(EU14:EW14)</f>
        <v>491.25</v>
      </c>
      <c r="JN14" s="116">
        <f>MAX(EX14:EZ14)</f>
        <v>402.9</v>
      </c>
      <c r="JO14" s="116">
        <f>MAX(FA14:FC14)</f>
        <v>416.7</v>
      </c>
      <c r="JP14" s="116">
        <f>MAX(FD14:FF14)</f>
        <v>416.7</v>
      </c>
      <c r="JQ14" s="116">
        <f>MAX(FG14:FI14)</f>
        <v>413.2</v>
      </c>
      <c r="JR14" s="116">
        <f>MAX(FJ14:FL14)</f>
        <v>418.4</v>
      </c>
      <c r="JS14" s="116">
        <f>MAX(FM14:FO14)</f>
        <v>464.8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85.500491395353706</v>
      </c>
      <c r="D15" s="116" cm="1">
        <f t="array" ref="D15">_xll.EQNXTDZ($A$1,$B15,D$1)</f>
        <v>89.312307885327101</v>
      </c>
      <c r="E15" s="116" cm="1">
        <f t="array" ref="E15">_xll.EQNXTDZ($A$1,$B15,E$1)</f>
        <v>91.676599125943596</v>
      </c>
      <c r="F15" s="116" cm="1">
        <f t="array" ref="F15">_xll.EQNXTDZ($A$1,$B15,F$1)</f>
        <v>90.759833134684101</v>
      </c>
      <c r="G15" s="116" cm="1">
        <f t="array" ref="G15">_xll.EQNXTDZ($A$1,$B15,G$1)</f>
        <v>96.308679923886004</v>
      </c>
      <c r="H15" s="116" cm="1">
        <f t="array" ref="H15">_xll.EQNXTDZ($A$1,$B15,H$1)</f>
        <v>92.979371850364899</v>
      </c>
      <c r="I15" s="116" cm="1">
        <f t="array" ref="I15">_xll.EQNXTDZ($A$1,$B15,I$1)</f>
        <v>100.554753988667</v>
      </c>
      <c r="J15" s="116" cm="1">
        <f t="array" ref="J15">_xll.EQNXTDZ($A$1,$B15,J$1)</f>
        <v>97.032442548564504</v>
      </c>
      <c r="K15" s="116" cm="1">
        <f t="array" ref="K15">_xll.EQNXTDZ($A$1,$B15,K$1)</f>
        <v>89.650063776843794</v>
      </c>
      <c r="L15" s="116" cm="1">
        <f t="array" ref="L15">_xll.EQNXTDZ($A$1,$B15,L$1)</f>
        <v>89.794816301779505</v>
      </c>
      <c r="M15" s="116" cm="1">
        <f t="array" ref="M15">_xll.EQNXTDZ($A$1,$B15,M$1)</f>
        <v>90.180823034941398</v>
      </c>
      <c r="N15" s="116" cm="1">
        <f t="array" ref="N15">_xll.EQNXTDZ($A$1,$B15,N$1)</f>
        <v>84.004715304351507</v>
      </c>
      <c r="O15" s="116" cm="1">
        <f t="array" ref="O15">_xll.EQNXTDZ($A$1,$B15,O$1)</f>
        <v>74.547550341885696</v>
      </c>
      <c r="P15" s="116" cm="1">
        <f t="array" ref="P15">_xll.EQNXTDZ($A$1,$B15,P$1)</f>
        <v>79.131380298182904</v>
      </c>
      <c r="Q15" s="116" cm="1">
        <f t="array" ref="Q15">_xll.EQNXTDZ($A$1,$B15,Q$1)</f>
        <v>65.862398845743698</v>
      </c>
      <c r="R15" s="116" cm="1">
        <f t="array" ref="R15">_xll.EQNXTDZ($A$1,$B15,R$1)</f>
        <v>67.358174936745897</v>
      </c>
      <c r="S15" s="116" cm="1">
        <f t="array" ref="S15">_xll.EQNXTDZ($A$1,$B15,S$1)</f>
        <v>74.885306233402304</v>
      </c>
      <c r="T15" s="116" cm="1">
        <f t="array" ref="T15">_xll.EQNXTDZ($A$1,$B15,T$1)</f>
        <v>73.920289400497694</v>
      </c>
      <c r="U15" s="116" cm="1">
        <f t="array" ref="U15">_xll.EQNXTDZ($A$1,$B15,U$1)</f>
        <v>76.332831482759303</v>
      </c>
      <c r="V15" s="116" cm="1">
        <f t="array" ref="V15">_xll.EQNXTDZ($A$1,$B15,V$1)</f>
        <v>68.950452711038594</v>
      </c>
      <c r="W15" s="116" cm="1">
        <f t="array" ref="W15">_xll.EQNXTDZ($A$1,$B15,W$1)</f>
        <v>68.998703552683907</v>
      </c>
      <c r="X15" s="116" cm="1">
        <f t="array" ref="X15">_xll.EQNXTDZ($A$1,$B15,X$1)</f>
        <v>74.451048658595198</v>
      </c>
      <c r="Y15" s="116" cm="1">
        <f t="array" ref="Y15">_xll.EQNXTDZ($A$1,$B15,Y$1)</f>
        <v>77.400000000000006</v>
      </c>
      <c r="Z15" s="116" cm="1">
        <f t="array" ref="Z15">_xll.EQNXTDZ($A$1,$B15,Z$1)</f>
        <v>75.849999999999994</v>
      </c>
      <c r="AA15" s="116" cm="1">
        <f t="array" ref="AA15">_xll.EQNXTDZ($A$1,$B15,AA$1)</f>
        <v>98.65</v>
      </c>
      <c r="AB15" s="116" cm="1">
        <f t="array" ref="AB15">_xll.EQNXTDZ($A$1,$B15,AB$1)</f>
        <v>97.2</v>
      </c>
      <c r="AC15" s="116" cm="1">
        <f t="array" ref="AC15">_xll.EQNXTDZ($A$1,$B15,AC$1)</f>
        <v>86.25</v>
      </c>
      <c r="AD15" s="116" cm="1">
        <f t="array" ref="AD15">_xll.EQNXTDZ($A$1,$B15,AD$1)</f>
        <v>82</v>
      </c>
      <c r="AE15" s="116" cm="1">
        <f t="array" ref="AE15">_xll.EQNXTDZ($A$1,$B15,AE$1)</f>
        <v>79.8</v>
      </c>
      <c r="AF15" s="116" cm="1">
        <f t="array" ref="AF15">_xll.EQNXTDZ($A$1,$B15,AF$1)</f>
        <v>85.5</v>
      </c>
      <c r="AG15" s="116" cm="1">
        <f t="array" ref="AG15">_xll.EQNXTDZ($A$1,$B15,AG$1)</f>
        <v>76.8</v>
      </c>
      <c r="AH15" s="116" cm="1">
        <f t="array" ref="AH15">_xll.EQNXTDZ($A$1,$B15,AH$1)</f>
        <v>78.2</v>
      </c>
      <c r="AI15" s="116" cm="1">
        <f t="array" ref="AI15">_xll.EQNXTDZ($A$1,$B15,AI$1)</f>
        <v>78</v>
      </c>
      <c r="AJ15" s="116" cm="1">
        <f t="array" ref="AJ15">_xll.EQNXTDZ($A$1,$B15,AJ$1)</f>
        <v>73.599999999999994</v>
      </c>
      <c r="AK15" s="116" cm="1">
        <f t="array" ref="AK15">_xll.EQNXTDZ($A$1,$B15,AK$1)</f>
        <v>74.650000000000006</v>
      </c>
      <c r="AL15" s="116" cm="1">
        <f t="array" ref="AL15">_xll.EQNXTDZ($A$1,$B15,AL$1)</f>
        <v>70.55</v>
      </c>
      <c r="AM15" s="116" cm="1">
        <f t="array" ref="AM15">_xll.EQNXTDZ($A$1,$B15,AM$1)</f>
        <v>68.400000000000006</v>
      </c>
      <c r="AN15" s="116" cm="1">
        <f t="array" ref="AN15">_xll.EQNXTDZ($A$1,$B15,AN$1)</f>
        <v>67</v>
      </c>
      <c r="AO15" s="116" cm="1">
        <f t="array" ref="AO15">_xll.EQNXTDZ($A$1,$B15,AO$1)</f>
        <v>55.7</v>
      </c>
      <c r="AP15" s="116" cm="1">
        <f t="array" ref="AP15">_xll.EQNXTDZ($A$1,$B15,AP$1)</f>
        <v>55.55</v>
      </c>
      <c r="AQ15" s="116" cm="1">
        <f t="array" ref="AQ15">_xll.EQNXTDZ($A$1,$B15,AQ$1)</f>
        <v>64.95</v>
      </c>
      <c r="AR15" s="116" cm="1">
        <f t="array" ref="AR15">_xll.EQNXTDZ($A$1,$B15,AR$1)</f>
        <v>65.650000000000006</v>
      </c>
      <c r="AS15" s="116" cm="1">
        <f t="array" ref="AS15">_xll.EQNXTDZ($A$1,$B15,AS$1)</f>
        <v>61</v>
      </c>
      <c r="AT15" s="116" cm="1">
        <f t="array" ref="AT15">_xll.EQNXTDZ($A$1,$B15,AT$1)</f>
        <v>59.95</v>
      </c>
      <c r="AU15" s="116" cm="1">
        <f t="array" ref="AU15">_xll.EQNXTDZ($A$1,$B15,AU$1)</f>
        <v>55</v>
      </c>
      <c r="AV15" s="116" cm="1">
        <f t="array" ref="AV15">_xll.EQNXTDZ($A$1,$B15,AV$1)</f>
        <v>56.7</v>
      </c>
      <c r="AW15" s="116" cm="1">
        <f t="array" ref="AW15">_xll.EQNXTDZ($A$1,$B15,AW$1)</f>
        <v>60.6</v>
      </c>
      <c r="AX15" s="116" cm="1">
        <f t="array" ref="AX15">_xll.EQNXTDZ($A$1,$B15,AX$1)</f>
        <v>68.099999999999994</v>
      </c>
      <c r="AY15" s="116" cm="1">
        <f t="array" ref="AY15">_xll.EQNXTDZ($A$1,$B15,AY$1)</f>
        <v>69.400000000000006</v>
      </c>
      <c r="AZ15" s="116" cm="1">
        <f t="array" ref="AZ15">_xll.EQNXTDZ($A$1,$B15,AZ$1)</f>
        <v>69.7</v>
      </c>
      <c r="BA15" s="116" cm="1">
        <f t="array" ref="BA15">_xll.EQNXTDZ($A$1,$B15,BA$1)</f>
        <v>70.650000000000006</v>
      </c>
      <c r="BB15" s="116" cm="1">
        <f t="array" ref="BB15">_xll.EQNXTDZ($A$1,$B15,BB$1)</f>
        <v>71.8</v>
      </c>
      <c r="BC15" s="116" cm="1">
        <f t="array" ref="BC15">_xll.EQNXTDZ($A$1,$B15,BC$1)</f>
        <v>75.45</v>
      </c>
      <c r="BD15" s="116" cm="1">
        <f t="array" ref="BD15">_xll.EQNXTDZ($A$1,$B15,BD$1)</f>
        <v>67.099999999999994</v>
      </c>
      <c r="BE15" s="116" cm="1">
        <f t="array" ref="BE15">_xll.EQNXTDZ($A$1,$B15,BE$1)</f>
        <v>72.5</v>
      </c>
      <c r="BF15" s="116" cm="1">
        <f t="array" ref="BF15">_xll.EQNXTDZ($A$1,$B15,BF$1)</f>
        <v>75.099999999999994</v>
      </c>
      <c r="BG15" s="116" cm="1">
        <f t="array" ref="BG15">_xll.EQNXTDZ($A$1,$B15,BG$1)</f>
        <v>79</v>
      </c>
      <c r="BH15" s="116" cm="1">
        <f t="array" ref="BH15">_xll.EQNXTDZ($A$1,$B15,BH$1)</f>
        <v>80.75</v>
      </c>
      <c r="BI15" s="116" cm="1">
        <f t="array" ref="BI15">_xll.EQNXTDZ($A$1,$B15,BI$1)</f>
        <v>81.3</v>
      </c>
      <c r="BJ15" s="116" cm="1">
        <f t="array" ref="BJ15">_xll.EQNXTDZ($A$1,$B15,BJ$1)</f>
        <v>79.5</v>
      </c>
      <c r="BK15" s="116" cm="1">
        <f t="array" ref="BK15">_xll.EQNXTDZ($A$1,$B15,BK$1)</f>
        <v>76.7</v>
      </c>
      <c r="BL15" s="116" cm="1">
        <f t="array" ref="BL15">_xll.EQNXTDZ($A$1,$B15,BL$1)</f>
        <v>79.900000000000006</v>
      </c>
      <c r="BM15" s="116" cm="1">
        <f t="array" ref="BM15">_xll.EQNXTDZ($A$1,$B15,BM$1)</f>
        <v>75.900000000000006</v>
      </c>
      <c r="BN15" s="116" cm="1">
        <f t="array" ref="BN15">_xll.EQNXTDZ($A$1,$B15,BN$1)</f>
        <v>76.8</v>
      </c>
      <c r="BO15" s="116" cm="1">
        <f t="array" ref="BO15">_xll.EQNXTDZ($A$1,$B15,BO$1)</f>
        <v>77.099999999999994</v>
      </c>
      <c r="BP15" s="116" cm="1">
        <f t="array" ref="BP15">_xll.EQNXTDZ($A$1,$B15,BP$1)</f>
        <v>81.599999999999994</v>
      </c>
      <c r="BQ15" s="116" cm="1">
        <f t="array" ref="BQ15">_xll.EQNXTDZ($A$1,$B15,BQ$1)</f>
        <v>87.15</v>
      </c>
      <c r="BR15" s="116" cm="1">
        <f t="array" ref="BR15">_xll.EQNXTDZ($A$1,$B15,BR$1)</f>
        <v>88.2</v>
      </c>
      <c r="BS15" s="116" cm="1">
        <f t="array" ref="BS15">_xll.EQNXTDZ($A$1,$B15,BS$1)</f>
        <v>80</v>
      </c>
      <c r="BT15" s="116" cm="1">
        <f t="array" ref="BT15">_xll.EQNXTDZ($A$1,$B15,BT$1)</f>
        <v>77</v>
      </c>
      <c r="BU15" s="116" cm="1">
        <f t="array" ref="BU15">_xll.EQNXTDZ($A$1,$B15,BU$1)</f>
        <v>78.099999999999994</v>
      </c>
      <c r="BV15" s="116" cm="1">
        <f t="array" ref="BV15">_xll.EQNXTDZ($A$1,$B15,BV$1)</f>
        <v>75.150000000000006</v>
      </c>
      <c r="BW15" s="116" cm="1">
        <f t="array" ref="BW15">_xll.EQNXTDZ($A$1,$B15,BW$1)</f>
        <v>71</v>
      </c>
      <c r="BX15" s="116" cm="1">
        <f t="array" ref="BX15">_xll.EQNXTDZ($A$1,$B15,BX$1)</f>
        <v>66.650000000000006</v>
      </c>
      <c r="BY15" s="116" cm="1">
        <f t="array" ref="BY15">_xll.EQNXTDZ($A$1,$B15,BY$1)</f>
        <v>67</v>
      </c>
      <c r="BZ15" s="116" cm="1">
        <f t="array" ref="BZ15">_xll.EQNXTDZ($A$1,$B15,BZ$1)</f>
        <v>65.55</v>
      </c>
      <c r="CA15" s="116" cm="1">
        <f t="array" ref="CA15">_xll.EQNXTDZ($A$1,$B15,CA$1)</f>
        <v>59.9</v>
      </c>
      <c r="CB15" s="116" cm="1">
        <f t="array" ref="CB15">_xll.EQNXTDZ($A$1,$B15,CB$1)</f>
        <v>73.05</v>
      </c>
      <c r="CC15" s="116" cm="1">
        <f t="array" ref="CC15">_xll.EQNXTDZ($A$1,$B15,CC$1)</f>
        <v>74.95</v>
      </c>
      <c r="CD15" s="116" cm="1">
        <f t="array" ref="CD15">_xll.EQNXTDZ($A$1,$B15,CD$1)</f>
        <v>67.75</v>
      </c>
      <c r="CE15" s="116" cm="1">
        <f t="array" ref="CE15">_xll.EQNXTDZ($A$1,$B15,CE$1)</f>
        <v>64.099999999999994</v>
      </c>
      <c r="CF15" s="116" cm="1">
        <f t="array" ref="CF15">_xll.EQNXTDZ($A$1,$B15,CF$1)</f>
        <v>65.55</v>
      </c>
      <c r="CG15" s="116" cm="1">
        <f t="array" ref="CG15">_xll.EQNXTDZ($A$1,$B15,CG$1)</f>
        <v>66.599999999999994</v>
      </c>
      <c r="CH15" s="116" cm="1">
        <f t="array" ref="CH15">_xll.EQNXTDZ($A$1,$B15,CH$1)</f>
        <v>60.9</v>
      </c>
      <c r="CI15" s="116" cm="1">
        <f t="array" ref="CI15">_xll.EQNXTDZ($A$1,$B15,CI$1)</f>
        <v>63</v>
      </c>
      <c r="CJ15" s="116" cm="1">
        <f t="array" ref="CJ15">_xll.EQNXTDZ($A$1,$B15,CJ$1)</f>
        <v>57.9</v>
      </c>
      <c r="CK15" s="116" cm="1">
        <f t="array" ref="CK15">_xll.EQNXTDZ($A$1,$B15,CK$1)</f>
        <v>50.4</v>
      </c>
      <c r="CL15" s="116" cm="1">
        <f t="array" ref="CL15">_xll.EQNXTDZ($A$1,$B15,CL$1)</f>
        <v>53</v>
      </c>
      <c r="CM15" s="116" cm="1">
        <f t="array" ref="CM15">_xll.EQNXTDZ($A$1,$B15,CM$1)</f>
        <v>56.75</v>
      </c>
      <c r="CN15" s="116" cm="1">
        <f t="array" ref="CN15">_xll.EQNXTDZ($A$1,$B15,CN$1)</f>
        <v>54.25</v>
      </c>
      <c r="CO15" s="116" cm="1">
        <f t="array" ref="CO15">_xll.EQNXTDZ($A$1,$B15,CO$1)</f>
        <v>51.05</v>
      </c>
      <c r="CP15" s="116" cm="1">
        <f t="array" ref="CP15">_xll.EQNXTDZ($A$1,$B15,CP$1)</f>
        <v>55.75</v>
      </c>
      <c r="CQ15" s="116" cm="1">
        <f t="array" ref="CQ15">_xll.EQNXTDZ($A$1,$B15,CQ$1)</f>
        <v>46.1</v>
      </c>
      <c r="CR15" s="116" cm="1">
        <f t="array" ref="CR15">_xll.EQNXTDZ($A$1,$B15,CR$1)</f>
        <v>31.3</v>
      </c>
      <c r="CS15" s="116" cm="1">
        <f t="array" ref="CS15">_xll.EQNXTDZ($A$1,$B15,CS$1)</f>
        <v>30</v>
      </c>
      <c r="CT15" s="116" cm="1">
        <f t="array" ref="CT15">_xll.EQNXTDZ($A$1,$B15,CT$1)</f>
        <v>27</v>
      </c>
      <c r="CU15" s="116" cm="1">
        <f t="array" ref="CU15">_xll.EQNXTDZ($A$1,$B15,CU$1)</f>
        <v>37.299999999999997</v>
      </c>
      <c r="CV15" s="116" cm="1">
        <f t="array" ref="CV15">_xll.EQNXTDZ($A$1,$B15,CV$1)</f>
        <v>44.05</v>
      </c>
      <c r="CW15" s="116" cm="1">
        <f t="array" ref="CW15">_xll.EQNXTDZ($A$1,$B15,CW$1)</f>
        <v>48.4</v>
      </c>
      <c r="CX15" s="116" cm="1">
        <f t="array" ref="CX15">_xll.EQNXTDZ($A$1,$B15,CX$1)</f>
        <v>50</v>
      </c>
      <c r="CY15" s="116" cm="1">
        <f t="array" ref="CY15">_xll.EQNXTDZ($A$1,$B15,CY$1)</f>
        <v>51.65</v>
      </c>
      <c r="CZ15" s="116" cm="1">
        <f t="array" ref="CZ15">_xll.EQNXTDZ($A$1,$B15,CZ$1)</f>
        <v>52.05</v>
      </c>
      <c r="DA15" s="116" cm="1">
        <f t="array" ref="DA15">_xll.EQNXTDZ($A$1,$B15,DA$1)</f>
        <v>65</v>
      </c>
      <c r="DB15" s="116" cm="1">
        <f t="array" ref="DB15">_xll.EQNXTDZ($A$1,$B15,DB$1)</f>
        <v>74.5</v>
      </c>
      <c r="DC15" s="116" cm="1">
        <f t="array" ref="DC15">_xll.EQNXTDZ($A$1,$B15,DC$1)</f>
        <v>74.5</v>
      </c>
      <c r="DD15" s="116" cm="1">
        <f t="array" ref="DD15">_xll.EQNXTDZ($A$1,$B15,DD$1)</f>
        <v>95.65</v>
      </c>
      <c r="DE15" s="116" cm="1">
        <f t="array" ref="DE15">_xll.EQNXTDZ($A$1,$B15,DE$1)</f>
        <v>89.95</v>
      </c>
      <c r="DF15" s="116" cm="1">
        <f t="array" ref="DF15">_xll.EQNXTDZ($A$1,$B15,DF$1)</f>
        <v>96.3</v>
      </c>
      <c r="DG15" s="116" cm="1">
        <f t="array" ref="DG15">_xll.EQNXTDZ($A$1,$B15,DG$1)</f>
        <v>103.7</v>
      </c>
      <c r="DH15" s="116" cm="1">
        <f t="array" ref="DH15">_xll.EQNXTDZ($A$1,$B15,DH$1)</f>
        <v>118.4</v>
      </c>
      <c r="DI15" s="116" cm="1">
        <f t="array" ref="DI15">_xll.EQNXTDZ($A$1,$B15,DI$1)</f>
        <v>121.75</v>
      </c>
      <c r="DJ15" s="116" cm="1">
        <f t="array" ref="DJ15">_xll.EQNXTDZ($A$1,$B15,DJ$1)</f>
        <v>128.69999999999999</v>
      </c>
      <c r="DK15" s="116" cm="1">
        <f t="array" ref="DK15">_xll.EQNXTDZ($A$1,$B15,DK$1)</f>
        <v>156.6</v>
      </c>
      <c r="DL15" s="116" cm="1">
        <f t="array" ref="DL15">_xll.EQNXTDZ($A$1,$B15,DL$1)</f>
        <v>213.2</v>
      </c>
      <c r="DM15" s="116" cm="1">
        <f t="array" ref="DM15">_xll.EQNXTDZ($A$1,$B15,DM$1)</f>
        <v>202.8</v>
      </c>
      <c r="DN15" s="116" cm="1">
        <f t="array" ref="DN15">_xll.EQNXTDZ($A$1,$B15,DN$1)</f>
        <v>216.1</v>
      </c>
      <c r="DO15" s="116" cm="1">
        <f t="array" ref="DO15">_xll.EQNXTDZ($A$1,$B15,DO$1)</f>
        <v>203.3</v>
      </c>
      <c r="DP15" s="116" cm="1">
        <f t="array" ref="DP15">_xll.EQNXTDZ($A$1,$B15,DP$1)</f>
        <v>212.25</v>
      </c>
      <c r="DQ15" s="116" cm="1">
        <f t="array" ref="DQ15">_xll.EQNXTDZ($A$1,$B15,DQ$1)</f>
        <v>237.2</v>
      </c>
      <c r="DR15" s="116" cm="1">
        <f t="array" ref="DR15">_xll.EQNXTDZ($A$1,$B15,DR$1)</f>
        <v>210.25</v>
      </c>
      <c r="DS15" s="116" cm="1">
        <f t="array" ref="DS15">_xll.EQNXTDZ($A$1,$B15,DS$1)</f>
        <v>190</v>
      </c>
      <c r="DT15" s="116" cm="1">
        <f t="array" ref="DT15">_xll.EQNXTDZ($A$1,$B15,DT$1)</f>
        <v>200.55</v>
      </c>
      <c r="DU15" s="116" cm="1">
        <f t="array" ref="DU15">_xll.EQNXTDZ($A$1,$B15,DU$1)</f>
        <v>221.5</v>
      </c>
      <c r="DV15" s="116" cm="1">
        <f t="array" ref="DV15">_xll.EQNXTDZ($A$1,$B15,DV$1)</f>
        <v>210.2</v>
      </c>
      <c r="DW15" s="116" cm="1">
        <f t="array" ref="DW15">_xll.EQNXTDZ($A$1,$B15,DW$1)</f>
        <v>211.75</v>
      </c>
      <c r="DX15" s="116" cm="1">
        <f t="array" ref="DX15">_xll.EQNXTDZ($A$1,$B15,DX$1)</f>
        <v>218.4</v>
      </c>
      <c r="DY15" s="116" cm="1">
        <f t="array" ref="DY15">_xll.EQNXTDZ($A$1,$B15,DY$1)</f>
        <v>194.45</v>
      </c>
      <c r="DZ15" s="116" cm="1">
        <f t="array" ref="DZ15">_xll.EQNXTDZ($A$1,$B15,DZ$1)</f>
        <v>196.75</v>
      </c>
      <c r="EA15" s="116" cm="1">
        <f t="array" ref="EA15">_xll.EQNXTDZ($A$1,$B15,EA$1)</f>
        <v>196.95</v>
      </c>
      <c r="EB15" s="116" cm="1">
        <f t="array" ref="EB15">_xll.EQNXTDZ($A$1,$B15,EB$1)</f>
        <v>182.45</v>
      </c>
      <c r="EC15" s="116" cm="1">
        <f t="array" ref="EC15">_xll.EQNXTDZ($A$1,$B15,EC$1)</f>
        <v>192.05</v>
      </c>
      <c r="ED15" s="116" cm="1">
        <f t="array" ref="ED15">_xll.EQNXTDZ($A$1,$B15,ED$1)</f>
        <v>199.35</v>
      </c>
      <c r="EE15" s="116" cm="1">
        <f t="array" ref="EE15">_xll.EQNXTDZ($A$1,$B15,EE$1)</f>
        <v>213</v>
      </c>
      <c r="EF15" s="116" cm="1">
        <f t="array" ref="EF15">_xll.EQNXTDZ($A$1,$B15,EF$1)</f>
        <v>216.95</v>
      </c>
      <c r="EG15" s="116" cm="1">
        <f t="array" ref="EG15">_xll.EQNXTDZ($A$1,$B15,EG$1)</f>
        <v>228.1</v>
      </c>
      <c r="EH15" s="116" cm="1">
        <f t="array" ref="EH15">_xll.EQNXTDZ($A$1,$B15,EH$1)</f>
        <v>246</v>
      </c>
      <c r="EI15" s="116" cm="1">
        <f t="array" ref="EI15">_xll.EQNXTDZ($A$1,$B15,EI$1)</f>
        <v>230.75</v>
      </c>
      <c r="EJ15" s="116" cm="1">
        <f t="array" ref="EJ15">_xll.EQNXTDZ($A$1,$B15,EJ$1)</f>
        <v>236.4</v>
      </c>
      <c r="EK15" s="116" cm="1">
        <f t="array" ref="EK15">_xll.EQNXTDZ($A$1,$B15,EK$1)</f>
        <v>268.5</v>
      </c>
      <c r="EL15" s="116" cm="1">
        <f t="array" ref="EL15">_xll.EQNXTDZ($A$1,$B15,EL$1)</f>
        <v>319.8</v>
      </c>
      <c r="EM15" s="116" cm="1">
        <f t="array" ref="EM15">_xll.EQNXTDZ($A$1,$B15,EM$1)</f>
        <v>354.65</v>
      </c>
      <c r="EN15" s="116" cm="1">
        <f t="array" ref="EN15">_xll.EQNXTDZ($A$1,$B15,EN$1)</f>
        <v>365.6</v>
      </c>
      <c r="EO15" s="116" cm="1">
        <f t="array" ref="EO15">_xll.EQNXTDZ($A$1,$B15,EO$1)</f>
        <v>398</v>
      </c>
      <c r="EP15" s="116" cm="1">
        <f t="array" ref="EP15">_xll.EQNXTDZ($A$1,$B15,EP$1)</f>
        <v>396.5</v>
      </c>
      <c r="EQ15" s="116" cm="1">
        <f t="array" ref="EQ15">_xll.EQNXTDZ($A$1,$B15,EQ$1)</f>
        <v>377.2</v>
      </c>
      <c r="ER15" s="116" cm="1">
        <f t="array" ref="ER15">_xll.EQNXTDZ($A$1,$B15,ER$1)</f>
        <v>400</v>
      </c>
      <c r="ES15" s="116" cm="1">
        <f t="array" ref="ES15">_xll.EQNXTDZ($A$1,$B15,ES$1)</f>
        <v>403.1</v>
      </c>
      <c r="ET15" s="116" cm="1">
        <f t="array" ref="ET15">_xll.EQNXTDZ($A$1,$B15,ET$1)</f>
        <v>411.15</v>
      </c>
      <c r="EU15" s="116" cm="1">
        <f t="array" ref="EU15">_xll.EQNXTDZ($A$1,$B15,EU$1)</f>
        <v>414.85</v>
      </c>
      <c r="EV15" s="116" cm="1">
        <f t="array" ref="EV15">_xll.EQNXTDZ($A$1,$B15,EV$1)</f>
        <v>397</v>
      </c>
      <c r="EW15" s="116" cm="1">
        <f t="array" ref="EW15">_xll.EQNXTDZ($A$1,$B15,EW$1)</f>
        <v>385.45</v>
      </c>
      <c r="EX15" s="116" cm="1">
        <f t="array" ref="EX15">_xll.EQNXTDZ($A$1,$B15,EX$1)</f>
        <v>338.5</v>
      </c>
      <c r="EY15" s="116" cm="1">
        <f t="array" ref="EY15">_xll.EQNXTDZ($A$1,$B15,EY$1)</f>
        <v>326.25</v>
      </c>
      <c r="EZ15" s="116" cm="1">
        <f t="array" ref="EZ15">_xll.EQNXTDZ($A$1,$B15,EZ$1)</f>
        <v>332</v>
      </c>
      <c r="FA15" s="116" cm="1">
        <f t="array" ref="FA15">_xll.EQNXTDZ($A$1,$B15,FA$1)</f>
        <v>332.1</v>
      </c>
      <c r="FB15" s="116" cm="1">
        <f t="array" ref="FB15">_xll.EQNXTDZ($A$1,$B15,FB$1)</f>
        <v>357.55</v>
      </c>
      <c r="FC15" s="116" cm="1">
        <f t="array" ref="FC15">_xll.EQNXTDZ($A$1,$B15,FC$1)</f>
        <v>381.75</v>
      </c>
      <c r="FD15" s="116" cm="1">
        <f t="array" ref="FD15">_xll.EQNXTDZ($A$1,$B15,FD$1)</f>
        <v>393.4</v>
      </c>
      <c r="FE15" s="116" cm="1">
        <f t="array" ref="FE15">_xll.EQNXTDZ($A$1,$B15,FE$1)</f>
        <v>368.65</v>
      </c>
      <c r="FF15" s="116" cm="1">
        <f t="array" ref="FF15">_xll.EQNXTDZ($A$1,$B15,FF$1)</f>
        <v>373.75</v>
      </c>
      <c r="FG15" s="116" cm="1">
        <f t="array" ref="FG15">_xll.EQNXTDZ($A$1,$B15,FG$1)</f>
        <v>381.6</v>
      </c>
      <c r="FH15" s="116" cm="1">
        <f t="array" ref="FH15">_xll.EQNXTDZ($A$1,$B15,FH$1)</f>
        <v>379</v>
      </c>
      <c r="FI15" s="116" cm="1">
        <f t="array" ref="FI15">_xll.EQNXTDZ($A$1,$B15,FI$1)</f>
        <v>369.75</v>
      </c>
      <c r="FJ15" s="116" cm="1">
        <f t="array" ref="FJ15">_xll.EQNXTDZ($A$1,$B15,FJ$1)</f>
        <v>342.35</v>
      </c>
      <c r="FK15" s="116" cm="1">
        <f t="array" ref="FK15">_xll.EQNXTDZ($A$1,$B15,FK$1)</f>
        <v>348.45</v>
      </c>
      <c r="FL15" s="116" cm="1">
        <f t="array" ref="FL15">_xll.EQNXTDZ($A$1,$B15,FL$1)</f>
        <v>345.25</v>
      </c>
      <c r="FM15" s="116" cm="1">
        <f t="array" ref="FM15">_xll.EQNXTDZ($A$1,$B15,FM$1)</f>
        <v>367.85</v>
      </c>
      <c r="FN15" s="116" cm="1">
        <f t="array" ref="FN15">_xll.EQNXTDZ($A$1,$B15,FN$1)</f>
        <v>390.95</v>
      </c>
      <c r="FO15" s="116" cm="1">
        <f t="array" ref="FO15">_xll.EQNXTDZ($A$1,$B15,FO$1)</f>
        <v>388.05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89.312307885327101</v>
      </c>
      <c r="HQ15" s="116">
        <f>+MIN(G15:I15)</f>
        <v>92.979371850364899</v>
      </c>
      <c r="HR15" s="116">
        <f>+MIN(J15:L15)</f>
        <v>89.650063776843794</v>
      </c>
      <c r="HS15" s="116">
        <f>+MIN(M15:O15)</f>
        <v>74.547550341885696</v>
      </c>
      <c r="HT15" s="116">
        <f>+MIN(P15:R15)</f>
        <v>65.862398845743698</v>
      </c>
      <c r="HU15" s="116">
        <f>+MIN(S15:U15)</f>
        <v>73.920289400497694</v>
      </c>
      <c r="HV15" s="116">
        <f>+MIN(V15:X15)</f>
        <v>68.950452711038594</v>
      </c>
      <c r="HW15" s="116">
        <f>+MIN(Y15:AA15)</f>
        <v>75.849999999999994</v>
      </c>
      <c r="HX15" s="116">
        <f>+MIN(AB15:AD15)</f>
        <v>82</v>
      </c>
      <c r="HY15" s="116">
        <f>+MIN(AE15:AG15)</f>
        <v>76.8</v>
      </c>
      <c r="HZ15" s="116">
        <f>+MIN(AH15:AJ15)</f>
        <v>73.599999999999994</v>
      </c>
      <c r="IA15" s="116">
        <f>+MIN(AK15:AM15)</f>
        <v>68.400000000000006</v>
      </c>
      <c r="IB15" s="116">
        <f>+MIN(AN15:AP15)</f>
        <v>55.55</v>
      </c>
      <c r="IC15" s="116">
        <f>+MIN(AQ15:AS15)</f>
        <v>61</v>
      </c>
      <c r="ID15" s="116">
        <f>+MIN(AT15:AV15)</f>
        <v>55</v>
      </c>
      <c r="IE15" s="116">
        <f>+MIN(AW15:AY15)</f>
        <v>60.6</v>
      </c>
      <c r="IF15" s="116">
        <f>+MIN(AZ15:BB15)</f>
        <v>69.7</v>
      </c>
      <c r="IG15" s="116">
        <f>+MIN(BC15:BE15)</f>
        <v>67.099999999999994</v>
      </c>
      <c r="IH15" s="116">
        <f>+MIN(BF15:BH15)</f>
        <v>75.099999999999994</v>
      </c>
      <c r="II15" s="116">
        <f>+MIN(BI15:BK15)</f>
        <v>76.7</v>
      </c>
      <c r="IJ15" s="116">
        <f>+MIN(BL15:BN15)</f>
        <v>75.900000000000006</v>
      </c>
      <c r="IK15" s="116">
        <f>+MIN(BO15:BQ15)</f>
        <v>77.099999999999994</v>
      </c>
      <c r="IL15" s="116">
        <f>+MIN(BR15:BT15)</f>
        <v>77</v>
      </c>
      <c r="IM15" s="116">
        <f>+MIN(BU15:BW15)</f>
        <v>71</v>
      </c>
      <c r="IN15" s="116">
        <f>+MIN(BX15:BZ15)</f>
        <v>65.55</v>
      </c>
      <c r="IO15" s="116">
        <f>+MIN(CA15:CC15)</f>
        <v>59.9</v>
      </c>
      <c r="IP15" s="116">
        <f>+MIN(CD15:CF15)</f>
        <v>64.099999999999994</v>
      </c>
      <c r="IQ15" s="116">
        <f>+MIN(CG15:CI15)</f>
        <v>60.9</v>
      </c>
      <c r="IR15" s="116">
        <f>+MIN(CJ15:CL15)</f>
        <v>50.4</v>
      </c>
      <c r="IS15" s="116">
        <f>+MIN(CM15:CO15)</f>
        <v>51.05</v>
      </c>
      <c r="IT15" s="116">
        <f>+MIN(CP15:CR15)</f>
        <v>31.3</v>
      </c>
      <c r="IU15" s="116">
        <f>+MIN(CS15:CU15)</f>
        <v>27</v>
      </c>
      <c r="IV15" s="116">
        <f>+MIN(CV15:CX15)</f>
        <v>44.05</v>
      </c>
      <c r="IW15" s="116">
        <f>+MIN(CY15:DA15)</f>
        <v>51.65</v>
      </c>
      <c r="IX15" s="116">
        <f>+MIN(DB15:DD15)</f>
        <v>74.5</v>
      </c>
      <c r="IY15" s="116">
        <f>+MIN(DE15:DG15)</f>
        <v>89.95</v>
      </c>
      <c r="IZ15" s="116">
        <f>+MIN(DH15:DJ15)</f>
        <v>118.4</v>
      </c>
      <c r="JA15" s="116">
        <f>+MIN(DK15:DM15)</f>
        <v>156.6</v>
      </c>
      <c r="JB15" s="116">
        <f>+MIN(DN15:DP15)</f>
        <v>203.3</v>
      </c>
      <c r="JC15" s="116">
        <f>+MIN(DQ15:DS15)</f>
        <v>190</v>
      </c>
      <c r="JD15" s="116">
        <f>+MIN(DT15:DV15)</f>
        <v>200.55</v>
      </c>
      <c r="JE15" s="116">
        <f>+MIN(DW15:DY15)</f>
        <v>194.45</v>
      </c>
      <c r="JF15" s="116">
        <f>+MIN(DZ15:EB15)</f>
        <v>182.45</v>
      </c>
      <c r="JG15" s="116">
        <f>+MIN(EC15:EE15)</f>
        <v>192.05</v>
      </c>
      <c r="JH15" s="116">
        <f>+MIN(EF15:EH15)</f>
        <v>216.95</v>
      </c>
      <c r="JI15" s="116">
        <f>+MIN(EI15:EK15)</f>
        <v>230.75</v>
      </c>
      <c r="JJ15" s="116">
        <f>+MIN(EL15:EN15)</f>
        <v>319.8</v>
      </c>
      <c r="JK15" s="116">
        <f>MIN(EO15:EQ15)</f>
        <v>377.2</v>
      </c>
      <c r="JL15" s="116">
        <f>MIN(ER15:ET15)</f>
        <v>400</v>
      </c>
      <c r="JM15" s="116">
        <f>MIN(EU15:EW15)</f>
        <v>385.45</v>
      </c>
      <c r="JN15" s="116">
        <f>MIN(EX15:EZ15)</f>
        <v>326.25</v>
      </c>
      <c r="JO15" s="116">
        <f>MIN(FA15:FC15)</f>
        <v>332.1</v>
      </c>
      <c r="JP15" s="116">
        <f>MIN(FD15:FF15)</f>
        <v>368.65</v>
      </c>
      <c r="JQ15" s="116">
        <f>MIN(FG15:FI15)</f>
        <v>369.75</v>
      </c>
      <c r="JR15" s="116">
        <f>MIN(FJ15:FL15)</f>
        <v>342.35</v>
      </c>
      <c r="JS15" s="116">
        <f>MIN(FM15:FO15)</f>
        <v>367.85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101.03726240511899</v>
      </c>
      <c r="D16" s="116" cm="1">
        <f t="array" ref="D16">_xll.EQNXTDZ($A$1,$B16,D$1)</f>
        <v>94.619900466302795</v>
      </c>
      <c r="E16" s="116" cm="1">
        <f t="array" ref="E16">_xll.EQNXTDZ($A$1,$B16,E$1)</f>
        <v>96.115676557305093</v>
      </c>
      <c r="F16" s="116" cm="1">
        <f t="array" ref="F16">_xll.EQNXTDZ($A$1,$B16,F$1)</f>
        <v>103.208550279154</v>
      </c>
      <c r="G16" s="116" cm="1">
        <f t="array" ref="G16">_xll.EQNXTDZ($A$1,$B16,G$1)</f>
        <v>102.24353344625</v>
      </c>
      <c r="H16" s="116" cm="1">
        <f t="array" ref="H16">_xll.EQNXTDZ($A$1,$B16,H$1)</f>
        <v>103.787560378897</v>
      </c>
      <c r="I16" s="116" cm="1">
        <f t="array" ref="I16">_xll.EQNXTDZ($A$1,$B16,I$1)</f>
        <v>106.48960751103</v>
      </c>
      <c r="J16" s="116" cm="1">
        <f t="array" ref="J16">_xll.EQNXTDZ($A$1,$B16,J$1)</f>
        <v>97.659703489952506</v>
      </c>
      <c r="K16" s="116" cm="1">
        <f t="array" ref="K16">_xll.EQNXTDZ($A$1,$B16,K$1)</f>
        <v>91.290592392781704</v>
      </c>
      <c r="L16" s="116" cm="1">
        <f t="array" ref="L16">_xll.EQNXTDZ($A$1,$B16,L$1)</f>
        <v>93.027622692010098</v>
      </c>
      <c r="M16" s="116" cm="1">
        <f t="array" ref="M16">_xll.EQNXTDZ($A$1,$B16,M$1)</f>
        <v>91.483595759362601</v>
      </c>
      <c r="N16" s="116" cm="1">
        <f t="array" ref="N16">_xll.EQNXTDZ($A$1,$B16,N$1)</f>
        <v>86.127752336741693</v>
      </c>
      <c r="O16" s="116" cm="1">
        <f t="array" ref="O16">_xll.EQNXTDZ($A$1,$B16,O$1)</f>
        <v>83.039698471446798</v>
      </c>
      <c r="P16" s="116" cm="1">
        <f t="array" ref="P16">_xll.EQNXTDZ($A$1,$B16,P$1)</f>
        <v>84.873230453965704</v>
      </c>
      <c r="Q16" s="116" cm="1">
        <f t="array" ref="Q16">_xll.EQNXTDZ($A$1,$B16,Q$1)</f>
        <v>73.148275934173896</v>
      </c>
      <c r="R16" s="116" cm="1">
        <f t="array" ref="R16">_xll.EQNXTDZ($A$1,$B16,R$1)</f>
        <v>78.262865148568693</v>
      </c>
      <c r="S16" s="116" cm="1">
        <f t="array" ref="S16">_xll.EQNXTDZ($A$1,$B16,S$1)</f>
        <v>79.179631139828103</v>
      </c>
      <c r="T16" s="116" cm="1">
        <f t="array" ref="T16">_xll.EQNXTDZ($A$1,$B16,T$1)</f>
        <v>76.718838215921195</v>
      </c>
      <c r="U16" s="116" cm="1">
        <f t="array" ref="U16">_xll.EQNXTDZ($A$1,$B16,U$1)</f>
        <v>88.154287685841496</v>
      </c>
      <c r="V16" s="116" cm="1">
        <f t="array" ref="V16">_xll.EQNXTDZ($A$1,$B16,V$1)</f>
        <v>71.362994793300302</v>
      </c>
      <c r="W16" s="116" cm="1">
        <f t="array" ref="W16">_xll.EQNXTDZ($A$1,$B16,W$1)</f>
        <v>76.091577274533194</v>
      </c>
      <c r="X16" s="116" cm="1">
        <f t="array" ref="X16">_xll.EQNXTDZ($A$1,$B16,X$1)</f>
        <v>84.8</v>
      </c>
      <c r="Y16" s="116" cm="1">
        <f t="array" ref="Y16">_xll.EQNXTDZ($A$1,$B16,Y$1)</f>
        <v>78.05</v>
      </c>
      <c r="Z16" s="116" cm="1">
        <f t="array" ref="Z16">_xll.EQNXTDZ($A$1,$B16,Z$1)</f>
        <v>103.85</v>
      </c>
      <c r="AA16" s="116" cm="1">
        <f t="array" ref="AA16">_xll.EQNXTDZ($A$1,$B16,AA$1)</f>
        <v>107.75</v>
      </c>
      <c r="AB16" s="116" cm="1">
        <f t="array" ref="AB16">_xll.EQNXTDZ($A$1,$B16,AB$1)</f>
        <v>97.95</v>
      </c>
      <c r="AC16" s="116" cm="1">
        <f t="array" ref="AC16">_xll.EQNXTDZ($A$1,$B16,AC$1)</f>
        <v>86.9</v>
      </c>
      <c r="AD16" s="116" cm="1">
        <f t="array" ref="AD16">_xll.EQNXTDZ($A$1,$B16,AD$1)</f>
        <v>83</v>
      </c>
      <c r="AE16" s="116" cm="1">
        <f t="array" ref="AE16">_xll.EQNXTDZ($A$1,$B16,AE$1)</f>
        <v>93.75</v>
      </c>
      <c r="AF16" s="116" cm="1">
        <f t="array" ref="AF16">_xll.EQNXTDZ($A$1,$B16,AF$1)</f>
        <v>93</v>
      </c>
      <c r="AG16" s="116" cm="1">
        <f t="array" ref="AG16">_xll.EQNXTDZ($A$1,$B16,AG$1)</f>
        <v>82.15</v>
      </c>
      <c r="AH16" s="116" cm="1">
        <f t="array" ref="AH16">_xll.EQNXTDZ($A$1,$B16,AH$1)</f>
        <v>90.55</v>
      </c>
      <c r="AI16" s="116" cm="1">
        <f t="array" ref="AI16">_xll.EQNXTDZ($A$1,$B16,AI$1)</f>
        <v>86.95</v>
      </c>
      <c r="AJ16" s="116" cm="1">
        <f t="array" ref="AJ16">_xll.EQNXTDZ($A$1,$B16,AJ$1)</f>
        <v>77.099999999999994</v>
      </c>
      <c r="AK16" s="116" cm="1">
        <f t="array" ref="AK16">_xll.EQNXTDZ($A$1,$B16,AK$1)</f>
        <v>75.849999999999994</v>
      </c>
      <c r="AL16" s="116" cm="1">
        <f t="array" ref="AL16">_xll.EQNXTDZ($A$1,$B16,AL$1)</f>
        <v>74.75</v>
      </c>
      <c r="AM16" s="116" cm="1">
        <f t="array" ref="AM16">_xll.EQNXTDZ($A$1,$B16,AM$1)</f>
        <v>74.05</v>
      </c>
      <c r="AN16" s="116" cm="1">
        <f t="array" ref="AN16">_xll.EQNXTDZ($A$1,$B16,AN$1)</f>
        <v>68.599999999999994</v>
      </c>
      <c r="AO16" s="116" cm="1">
        <f t="array" ref="AO16">_xll.EQNXTDZ($A$1,$B16,AO$1)</f>
        <v>60.7</v>
      </c>
      <c r="AP16" s="116" cm="1">
        <f t="array" ref="AP16">_xll.EQNXTDZ($A$1,$B16,AP$1)</f>
        <v>65.05</v>
      </c>
      <c r="AQ16" s="116" cm="1">
        <f t="array" ref="AQ16">_xll.EQNXTDZ($A$1,$B16,AQ$1)</f>
        <v>68.900000000000006</v>
      </c>
      <c r="AR16" s="116" cm="1">
        <f t="array" ref="AR16">_xll.EQNXTDZ($A$1,$B16,AR$1)</f>
        <v>66.849999999999994</v>
      </c>
      <c r="AS16" s="116" cm="1">
        <f t="array" ref="AS16">_xll.EQNXTDZ($A$1,$B16,AS$1)</f>
        <v>67.900000000000006</v>
      </c>
      <c r="AT16" s="116" cm="1">
        <f t="array" ref="AT16">_xll.EQNXTDZ($A$1,$B16,AT$1)</f>
        <v>60.35</v>
      </c>
      <c r="AU16" s="116" cm="1">
        <f t="array" ref="AU16">_xll.EQNXTDZ($A$1,$B16,AU$1)</f>
        <v>57.35</v>
      </c>
      <c r="AV16" s="116" cm="1">
        <f t="array" ref="AV16">_xll.EQNXTDZ($A$1,$B16,AV$1)</f>
        <v>64.650000000000006</v>
      </c>
      <c r="AW16" s="116" cm="1">
        <f t="array" ref="AW16">_xll.EQNXTDZ($A$1,$B16,AW$1)</f>
        <v>70.55</v>
      </c>
      <c r="AX16" s="116" cm="1">
        <f t="array" ref="AX16">_xll.EQNXTDZ($A$1,$B16,AX$1)</f>
        <v>73.849999999999994</v>
      </c>
      <c r="AY16" s="116" cm="1">
        <f t="array" ref="AY16">_xll.EQNXTDZ($A$1,$B16,AY$1)</f>
        <v>73.45</v>
      </c>
      <c r="AZ16" s="116" cm="1">
        <f t="array" ref="AZ16">_xll.EQNXTDZ($A$1,$B16,AZ$1)</f>
        <v>72</v>
      </c>
      <c r="BA16" s="116" cm="1">
        <f t="array" ref="BA16">_xll.EQNXTDZ($A$1,$B16,BA$1)</f>
        <v>78.25</v>
      </c>
      <c r="BB16" s="116" cm="1">
        <f t="array" ref="BB16">_xll.EQNXTDZ($A$1,$B16,BB$1)</f>
        <v>75.3</v>
      </c>
      <c r="BC16" s="116" cm="1">
        <f t="array" ref="BC16">_xll.EQNXTDZ($A$1,$B16,BC$1)</f>
        <v>78.150000000000006</v>
      </c>
      <c r="BD16" s="116" cm="1">
        <f t="array" ref="BD16">_xll.EQNXTDZ($A$1,$B16,BD$1)</f>
        <v>73.900000000000006</v>
      </c>
      <c r="BE16" s="116" cm="1">
        <f t="array" ref="BE16">_xll.EQNXTDZ($A$1,$B16,BE$1)</f>
        <v>75.7</v>
      </c>
      <c r="BF16" s="116" cm="1">
        <f t="array" ref="BF16">_xll.EQNXTDZ($A$1,$B16,BF$1)</f>
        <v>79.900000000000006</v>
      </c>
      <c r="BG16" s="116" cm="1">
        <f t="array" ref="BG16">_xll.EQNXTDZ($A$1,$B16,BG$1)</f>
        <v>82.6</v>
      </c>
      <c r="BH16" s="116" cm="1">
        <f t="array" ref="BH16">_xll.EQNXTDZ($A$1,$B16,BH$1)</f>
        <v>90.5</v>
      </c>
      <c r="BI16" s="116" cm="1">
        <f t="array" ref="BI16">_xll.EQNXTDZ($A$1,$B16,BI$1)</f>
        <v>84.15</v>
      </c>
      <c r="BJ16" s="116" cm="1">
        <f t="array" ref="BJ16">_xll.EQNXTDZ($A$1,$B16,BJ$1)</f>
        <v>81</v>
      </c>
      <c r="BK16" s="116" cm="1">
        <f t="array" ref="BK16">_xll.EQNXTDZ($A$1,$B16,BK$1)</f>
        <v>80.55</v>
      </c>
      <c r="BL16" s="116" cm="1">
        <f t="array" ref="BL16">_xll.EQNXTDZ($A$1,$B16,BL$1)</f>
        <v>81.849999999999994</v>
      </c>
      <c r="BM16" s="116" cm="1">
        <f t="array" ref="BM16">_xll.EQNXTDZ($A$1,$B16,BM$1)</f>
        <v>79.099999999999994</v>
      </c>
      <c r="BN16" s="116" cm="1">
        <f t="array" ref="BN16">_xll.EQNXTDZ($A$1,$B16,BN$1)</f>
        <v>77.75</v>
      </c>
      <c r="BO16" s="116" cm="1">
        <f t="array" ref="BO16">_xll.EQNXTDZ($A$1,$B16,BO$1)</f>
        <v>84.8</v>
      </c>
      <c r="BP16" s="116" cm="1">
        <f t="array" ref="BP16">_xll.EQNXTDZ($A$1,$B16,BP$1)</f>
        <v>94.7</v>
      </c>
      <c r="BQ16" s="116" cm="1">
        <f t="array" ref="BQ16">_xll.EQNXTDZ($A$1,$B16,BQ$1)</f>
        <v>93.85</v>
      </c>
      <c r="BR16" s="116" cm="1">
        <f t="array" ref="BR16">_xll.EQNXTDZ($A$1,$B16,BR$1)</f>
        <v>89.1</v>
      </c>
      <c r="BS16" s="116" cm="1">
        <f t="array" ref="BS16">_xll.EQNXTDZ($A$1,$B16,BS$1)</f>
        <v>84.6</v>
      </c>
      <c r="BT16" s="116" cm="1">
        <f t="array" ref="BT16">_xll.EQNXTDZ($A$1,$B16,BT$1)</f>
        <v>79.349999999999994</v>
      </c>
      <c r="BU16" s="116" cm="1">
        <f t="array" ref="BU16">_xll.EQNXTDZ($A$1,$B16,BU$1)</f>
        <v>88.15</v>
      </c>
      <c r="BV16" s="116" cm="1">
        <f t="array" ref="BV16">_xll.EQNXTDZ($A$1,$B16,BV$1)</f>
        <v>81.2</v>
      </c>
      <c r="BW16" s="116" cm="1">
        <f t="array" ref="BW16">_xll.EQNXTDZ($A$1,$B16,BW$1)</f>
        <v>73.05</v>
      </c>
      <c r="BX16" s="116" cm="1">
        <f t="array" ref="BX16">_xll.EQNXTDZ($A$1,$B16,BX$1)</f>
        <v>74.400000000000006</v>
      </c>
      <c r="BY16" s="116" cm="1">
        <f t="array" ref="BY16">_xll.EQNXTDZ($A$1,$B16,BY$1)</f>
        <v>76.599999999999994</v>
      </c>
      <c r="BZ16" s="116" cm="1">
        <f t="array" ref="BZ16">_xll.EQNXTDZ($A$1,$B16,BZ$1)</f>
        <v>65.95</v>
      </c>
      <c r="CA16" s="116" cm="1">
        <f t="array" ref="CA16">_xll.EQNXTDZ($A$1,$B16,CA$1)</f>
        <v>76.45</v>
      </c>
      <c r="CB16" s="116" cm="1">
        <f t="array" ref="CB16">_xll.EQNXTDZ($A$1,$B16,CB$1)</f>
        <v>76.25</v>
      </c>
      <c r="CC16" s="116" cm="1">
        <f t="array" ref="CC16">_xll.EQNXTDZ($A$1,$B16,CC$1)</f>
        <v>76.75</v>
      </c>
      <c r="CD16" s="116" cm="1">
        <f t="array" ref="CD16">_xll.EQNXTDZ($A$1,$B16,CD$1)</f>
        <v>71.3</v>
      </c>
      <c r="CE16" s="116" cm="1">
        <f t="array" ref="CE16">_xll.EQNXTDZ($A$1,$B16,CE$1)</f>
        <v>65.349999999999994</v>
      </c>
      <c r="CF16" s="116" cm="1">
        <f t="array" ref="CF16">_xll.EQNXTDZ($A$1,$B16,CF$1)</f>
        <v>73.8</v>
      </c>
      <c r="CG16" s="116" cm="1">
        <f t="array" ref="CG16">_xll.EQNXTDZ($A$1,$B16,CG$1)</f>
        <v>67.75</v>
      </c>
      <c r="CH16" s="116" cm="1">
        <f t="array" ref="CH16">_xll.EQNXTDZ($A$1,$B16,CH$1)</f>
        <v>68.849999999999994</v>
      </c>
      <c r="CI16" s="116" cm="1">
        <f t="array" ref="CI16">_xll.EQNXTDZ($A$1,$B16,CI$1)</f>
        <v>69</v>
      </c>
      <c r="CJ16" s="116" cm="1">
        <f t="array" ref="CJ16">_xll.EQNXTDZ($A$1,$B16,CJ$1)</f>
        <v>60.55</v>
      </c>
      <c r="CK16" s="116" cm="1">
        <f t="array" ref="CK16">_xll.EQNXTDZ($A$1,$B16,CK$1)</f>
        <v>56.75</v>
      </c>
      <c r="CL16" s="116" cm="1">
        <f t="array" ref="CL16">_xll.EQNXTDZ($A$1,$B16,CL$1)</f>
        <v>62.5</v>
      </c>
      <c r="CM16" s="116" cm="1">
        <f t="array" ref="CM16">_xll.EQNXTDZ($A$1,$B16,CM$1)</f>
        <v>59.3</v>
      </c>
      <c r="CN16" s="116" cm="1">
        <f t="array" ref="CN16">_xll.EQNXTDZ($A$1,$B16,CN$1)</f>
        <v>57.4</v>
      </c>
      <c r="CO16" s="116" cm="1">
        <f t="array" ref="CO16">_xll.EQNXTDZ($A$1,$B16,CO$1)</f>
        <v>56.5</v>
      </c>
      <c r="CP16" s="116" cm="1">
        <f t="array" ref="CP16">_xll.EQNXTDZ($A$1,$B16,CP$1)</f>
        <v>58.05</v>
      </c>
      <c r="CQ16" s="116" cm="1">
        <f t="array" ref="CQ16">_xll.EQNXTDZ($A$1,$B16,CQ$1)</f>
        <v>46.65</v>
      </c>
      <c r="CR16" s="116" cm="1">
        <f t="array" ref="CR16">_xll.EQNXTDZ($A$1,$B16,CR$1)</f>
        <v>32.85</v>
      </c>
      <c r="CS16" s="116" cm="1">
        <f t="array" ref="CS16">_xll.EQNXTDZ($A$1,$B16,CS$1)</f>
        <v>31.75</v>
      </c>
      <c r="CT16" s="116" cm="1">
        <f t="array" ref="CT16">_xll.EQNXTDZ($A$1,$B16,CT$1)</f>
        <v>36.6</v>
      </c>
      <c r="CU16" s="116" cm="1">
        <f t="array" ref="CU16">_xll.EQNXTDZ($A$1,$B16,CU$1)</f>
        <v>44.9</v>
      </c>
      <c r="CV16" s="116" cm="1">
        <f t="array" ref="CV16">_xll.EQNXTDZ($A$1,$B16,CV$1)</f>
        <v>48.7</v>
      </c>
      <c r="CW16" s="116" cm="1">
        <f t="array" ref="CW16">_xll.EQNXTDZ($A$1,$B16,CW$1)</f>
        <v>58.7</v>
      </c>
      <c r="CX16" s="116" cm="1">
        <f t="array" ref="CX16">_xll.EQNXTDZ($A$1,$B16,CX$1)</f>
        <v>53.15</v>
      </c>
      <c r="CY16" s="116" cm="1">
        <f t="array" ref="CY16">_xll.EQNXTDZ($A$1,$B16,CY$1)</f>
        <v>52.15</v>
      </c>
      <c r="CZ16" s="116" cm="1">
        <f t="array" ref="CZ16">_xll.EQNXTDZ($A$1,$B16,CZ$1)</f>
        <v>64.95</v>
      </c>
      <c r="DA16" s="116" cm="1">
        <f t="array" ref="DA16">_xll.EQNXTDZ($A$1,$B16,DA$1)</f>
        <v>75.650000000000006</v>
      </c>
      <c r="DB16" s="116" cm="1">
        <f t="array" ref="DB16">_xll.EQNXTDZ($A$1,$B16,DB$1)</f>
        <v>75.400000000000006</v>
      </c>
      <c r="DC16" s="116" cm="1">
        <f t="array" ref="DC16">_xll.EQNXTDZ($A$1,$B16,DC$1)</f>
        <v>95.1</v>
      </c>
      <c r="DD16" s="116" cm="1">
        <f t="array" ref="DD16">_xll.EQNXTDZ($A$1,$B16,DD$1)</f>
        <v>103.2</v>
      </c>
      <c r="DE16" s="116" cm="1">
        <f t="array" ref="DE16">_xll.EQNXTDZ($A$1,$B16,DE$1)</f>
        <v>98.85</v>
      </c>
      <c r="DF16" s="116" cm="1">
        <f t="array" ref="DF16">_xll.EQNXTDZ($A$1,$B16,DF$1)</f>
        <v>106.4</v>
      </c>
      <c r="DG16" s="116" cm="1">
        <f t="array" ref="DG16">_xll.EQNXTDZ($A$1,$B16,DG$1)</f>
        <v>122.1</v>
      </c>
      <c r="DH16" s="116" cm="1">
        <f t="array" ref="DH16">_xll.EQNXTDZ($A$1,$B16,DH$1)</f>
        <v>125</v>
      </c>
      <c r="DI16" s="116" cm="1">
        <f t="array" ref="DI16">_xll.EQNXTDZ($A$1,$B16,DI$1)</f>
        <v>129.05000000000001</v>
      </c>
      <c r="DJ16" s="116" cm="1">
        <f t="array" ref="DJ16">_xll.EQNXTDZ($A$1,$B16,DJ$1)</f>
        <v>158.69999999999999</v>
      </c>
      <c r="DK16" s="116" cm="1">
        <f t="array" ref="DK16">_xll.EQNXTDZ($A$1,$B16,DK$1)</f>
        <v>214.25</v>
      </c>
      <c r="DL16" s="116" cm="1">
        <f t="array" ref="DL16">_xll.EQNXTDZ($A$1,$B16,DL$1)</f>
        <v>216.8</v>
      </c>
      <c r="DM16" s="116" cm="1">
        <f t="array" ref="DM16">_xll.EQNXTDZ($A$1,$B16,DM$1)</f>
        <v>220.9</v>
      </c>
      <c r="DN16" s="116" cm="1">
        <f t="array" ref="DN16">_xll.EQNXTDZ($A$1,$B16,DN$1)</f>
        <v>246.05</v>
      </c>
      <c r="DO16" s="116" cm="1">
        <f t="array" ref="DO16">_xll.EQNXTDZ($A$1,$B16,DO$1)</f>
        <v>223.05</v>
      </c>
      <c r="DP16" s="116" cm="1">
        <f t="array" ref="DP16">_xll.EQNXTDZ($A$1,$B16,DP$1)</f>
        <v>238.85</v>
      </c>
      <c r="DQ16" s="116" cm="1">
        <f t="array" ref="DQ16">_xll.EQNXTDZ($A$1,$B16,DQ$1)</f>
        <v>242.3</v>
      </c>
      <c r="DR16" s="116" cm="1">
        <f t="array" ref="DR16">_xll.EQNXTDZ($A$1,$B16,DR$1)</f>
        <v>235.1</v>
      </c>
      <c r="DS16" s="116" cm="1">
        <f t="array" ref="DS16">_xll.EQNXTDZ($A$1,$B16,DS$1)</f>
        <v>202.35</v>
      </c>
      <c r="DT16" s="116" cm="1">
        <f t="array" ref="DT16">_xll.EQNXTDZ($A$1,$B16,DT$1)</f>
        <v>221.9</v>
      </c>
      <c r="DU16" s="116" cm="1">
        <f t="array" ref="DU16">_xll.EQNXTDZ($A$1,$B16,DU$1)</f>
        <v>236.9</v>
      </c>
      <c r="DV16" s="116" cm="1">
        <f t="array" ref="DV16">_xll.EQNXTDZ($A$1,$B16,DV$1)</f>
        <v>216.5</v>
      </c>
      <c r="DW16" s="116" cm="1">
        <f t="array" ref="DW16">_xll.EQNXTDZ($A$1,$B16,DW$1)</f>
        <v>225.95</v>
      </c>
      <c r="DX16" s="116" cm="1">
        <f t="array" ref="DX16">_xll.EQNXTDZ($A$1,$B16,DX$1)</f>
        <v>224.8</v>
      </c>
      <c r="DY16" s="116" cm="1">
        <f t="array" ref="DY16">_xll.EQNXTDZ($A$1,$B16,DY$1)</f>
        <v>207.7</v>
      </c>
      <c r="DZ16" s="116" cm="1">
        <f t="array" ref="DZ16">_xll.EQNXTDZ($A$1,$B16,DZ$1)</f>
        <v>212.9</v>
      </c>
      <c r="EA16" s="116" cm="1">
        <f t="array" ref="EA16">_xll.EQNXTDZ($A$1,$B16,EA$1)</f>
        <v>202.5</v>
      </c>
      <c r="EB16" s="116" cm="1">
        <f t="array" ref="EB16">_xll.EQNXTDZ($A$1,$B16,EB$1)</f>
        <v>190.2</v>
      </c>
      <c r="EC16" s="116" cm="1">
        <f t="array" ref="EC16">_xll.EQNXTDZ($A$1,$B16,EC$1)</f>
        <v>201.15</v>
      </c>
      <c r="ED16" s="116" cm="1">
        <f t="array" ref="ED16">_xll.EQNXTDZ($A$1,$B16,ED$1)</f>
        <v>213.6</v>
      </c>
      <c r="EE16" s="116" cm="1">
        <f t="array" ref="EE16">_xll.EQNXTDZ($A$1,$B16,EE$1)</f>
        <v>221.8</v>
      </c>
      <c r="EF16" s="116" cm="1">
        <f t="array" ref="EF16">_xll.EQNXTDZ($A$1,$B16,EF$1)</f>
        <v>236.7</v>
      </c>
      <c r="EG16" s="116" cm="1">
        <f t="array" ref="EG16">_xll.EQNXTDZ($A$1,$B16,EG$1)</f>
        <v>245.05</v>
      </c>
      <c r="EH16" s="116" cm="1">
        <f t="array" ref="EH16">_xll.EQNXTDZ($A$1,$B16,EH$1)</f>
        <v>262.2</v>
      </c>
      <c r="EI16" s="116" cm="1">
        <f t="array" ref="EI16">_xll.EQNXTDZ($A$1,$B16,EI$1)</f>
        <v>239.3</v>
      </c>
      <c r="EJ16" s="116" cm="1">
        <f t="array" ref="EJ16">_xll.EQNXTDZ($A$1,$B16,EJ$1)</f>
        <v>267.95</v>
      </c>
      <c r="EK16" s="116" cm="1">
        <f t="array" ref="EK16">_xll.EQNXTDZ($A$1,$B16,EK$1)</f>
        <v>332.05</v>
      </c>
      <c r="EL16" s="116" cm="1">
        <f t="array" ref="EL16">_xll.EQNXTDZ($A$1,$B16,EL$1)</f>
        <v>389.65</v>
      </c>
      <c r="EM16" s="116" cm="1">
        <f t="array" ref="EM16">_xll.EQNXTDZ($A$1,$B16,EM$1)</f>
        <v>371.7</v>
      </c>
      <c r="EN16" s="116" cm="1">
        <f t="array" ref="EN16">_xll.EQNXTDZ($A$1,$B16,EN$1)</f>
        <v>394.15</v>
      </c>
      <c r="EO16" s="116" cm="1">
        <f t="array" ref="EO16">_xll.EQNXTDZ($A$1,$B16,EO$1)</f>
        <v>449.1</v>
      </c>
      <c r="EP16" s="116" cm="1">
        <f t="array" ref="EP16">_xll.EQNXTDZ($A$1,$B16,EP$1)</f>
        <v>436.8</v>
      </c>
      <c r="EQ16" s="116" cm="1">
        <f t="array" ref="EQ16">_xll.EQNXTDZ($A$1,$B16,EQ$1)</f>
        <v>440.5</v>
      </c>
      <c r="ER16" s="116" cm="1">
        <f t="array" ref="ER16">_xll.EQNXTDZ($A$1,$B16,ER$1)</f>
        <v>453.65</v>
      </c>
      <c r="ES16" s="116" cm="1">
        <f t="array" ref="ES16">_xll.EQNXTDZ($A$1,$B16,ES$1)</f>
        <v>434.55</v>
      </c>
      <c r="ET16" s="116" cm="1">
        <f t="array" ref="ET16">_xll.EQNXTDZ($A$1,$B16,ET$1)</f>
        <v>482.7</v>
      </c>
      <c r="EU16" s="116" cm="1">
        <f t="array" ref="EU16">_xll.EQNXTDZ($A$1,$B16,EU$1)</f>
        <v>440.05</v>
      </c>
      <c r="EV16" s="116" cm="1">
        <f t="array" ref="EV16">_xll.EQNXTDZ($A$1,$B16,EV$1)</f>
        <v>414.05</v>
      </c>
      <c r="EW16" s="116" cm="1">
        <f t="array" ref="EW16">_xll.EQNXTDZ($A$1,$B16,EW$1)</f>
        <v>392.4</v>
      </c>
      <c r="EX16" s="116" cm="1">
        <f t="array" ref="EX16">_xll.EQNXTDZ($A$1,$B16,EX$1)</f>
        <v>364.25</v>
      </c>
      <c r="EY16" s="116" cm="1">
        <f t="array" ref="EY16">_xll.EQNXTDZ($A$1,$B16,EY$1)</f>
        <v>339.1</v>
      </c>
      <c r="EZ16" s="116" cm="1">
        <f t="array" ref="EZ16">_xll.EQNXTDZ($A$1,$B16,EZ$1)</f>
        <v>375.4</v>
      </c>
      <c r="FA16" s="116" cm="1">
        <f t="array" ref="FA16">_xll.EQNXTDZ($A$1,$B16,FA$1)</f>
        <v>384.2</v>
      </c>
      <c r="FB16" s="116" cm="1">
        <f t="array" ref="FB16">_xll.EQNXTDZ($A$1,$B16,FB$1)</f>
        <v>392.75</v>
      </c>
      <c r="FC16" s="116" cm="1">
        <f t="array" ref="FC16">_xll.EQNXTDZ($A$1,$B16,FC$1)</f>
        <v>405.6</v>
      </c>
      <c r="FD16" s="116" cm="1">
        <f t="array" ref="FD16">_xll.EQNXTDZ($A$1,$B16,FD$1)</f>
        <v>397.7</v>
      </c>
      <c r="FE16" s="116" cm="1">
        <f t="array" ref="FE16">_xll.EQNXTDZ($A$1,$B16,FE$1)</f>
        <v>374.1</v>
      </c>
      <c r="FF16" s="116" cm="1">
        <f t="array" ref="FF16">_xll.EQNXTDZ($A$1,$B16,FF$1)</f>
        <v>388.75</v>
      </c>
      <c r="FG16" s="116" cm="1">
        <f t="array" ref="FG16">_xll.EQNXTDZ($A$1,$B16,FG$1)</f>
        <v>405.05</v>
      </c>
      <c r="FH16" s="116" cm="1">
        <f t="array" ref="FH16">_xll.EQNXTDZ($A$1,$B16,FH$1)</f>
        <v>390.2</v>
      </c>
      <c r="FI16" s="116" cm="1">
        <f t="array" ref="FI16">_xll.EQNXTDZ($A$1,$B16,FI$1)</f>
        <v>379.55</v>
      </c>
      <c r="FJ16" s="116" cm="1">
        <f t="array" ref="FJ16">_xll.EQNXTDZ($A$1,$B16,FJ$1)</f>
        <v>366.6</v>
      </c>
      <c r="FK16" s="116" cm="1">
        <f t="array" ref="FK16">_xll.EQNXTDZ($A$1,$B16,FK$1)</f>
        <v>377.35</v>
      </c>
      <c r="FL16" s="116" cm="1">
        <f t="array" ref="FL16">_xll.EQNXTDZ($A$1,$B16,FL$1)</f>
        <v>378.7</v>
      </c>
      <c r="FM16" s="116" cm="1">
        <f t="array" ref="FM16">_xll.EQNXTDZ($A$1,$B16,FM$1)</f>
        <v>444.55</v>
      </c>
      <c r="FN16" s="116" cm="1">
        <f t="array" ref="FN16">_xll.EQNXTDZ($A$1,$B16,FN$1)</f>
        <v>420.65</v>
      </c>
      <c r="FO16" s="116" cm="1">
        <f t="array" ref="FO16">_xll.EQNXTDZ($A$1,$B16,FO$1)</f>
        <v>402.1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103.208550279154</v>
      </c>
      <c r="HQ16" s="116">
        <f>+I16</f>
        <v>106.48960751103</v>
      </c>
      <c r="HR16" s="116">
        <f>+L16</f>
        <v>93.027622692010098</v>
      </c>
      <c r="HS16" s="116">
        <f>+O16</f>
        <v>83.039698471446798</v>
      </c>
      <c r="HT16" s="116">
        <f>+R16</f>
        <v>78.262865148568693</v>
      </c>
      <c r="HU16" s="116">
        <f>+U16</f>
        <v>88.154287685841496</v>
      </c>
      <c r="HV16" s="116">
        <f>+X16</f>
        <v>84.8</v>
      </c>
      <c r="HW16" s="116">
        <f>+AA16</f>
        <v>107.75</v>
      </c>
      <c r="HX16" s="116">
        <f>+AD16</f>
        <v>83</v>
      </c>
      <c r="HY16" s="116">
        <f>+AG16</f>
        <v>82.15</v>
      </c>
      <c r="HZ16" s="116">
        <f>+AJ16</f>
        <v>77.099999999999994</v>
      </c>
      <c r="IA16" s="116">
        <f>+AM16</f>
        <v>74.05</v>
      </c>
      <c r="IB16" s="116">
        <f>+AP16</f>
        <v>65.05</v>
      </c>
      <c r="IC16" s="116">
        <f>+AS16</f>
        <v>67.900000000000006</v>
      </c>
      <c r="ID16" s="116">
        <f>+AV16</f>
        <v>64.650000000000006</v>
      </c>
      <c r="IE16" s="116">
        <f>+AY16</f>
        <v>73.45</v>
      </c>
      <c r="IF16" s="116">
        <f>+BB16</f>
        <v>75.3</v>
      </c>
      <c r="IG16" s="116">
        <f>+BE16</f>
        <v>75.7</v>
      </c>
      <c r="IH16" s="116">
        <f>+BH16</f>
        <v>90.5</v>
      </c>
      <c r="II16" s="116">
        <f>+BK16</f>
        <v>80.55</v>
      </c>
      <c r="IJ16" s="116">
        <f>+BN16</f>
        <v>77.75</v>
      </c>
      <c r="IK16" s="116">
        <f>+BQ16</f>
        <v>93.85</v>
      </c>
      <c r="IL16" s="116">
        <f>+BT16</f>
        <v>79.349999999999994</v>
      </c>
      <c r="IM16" s="116">
        <f>+BW16</f>
        <v>73.05</v>
      </c>
      <c r="IN16" s="116">
        <f>+BZ16</f>
        <v>65.95</v>
      </c>
      <c r="IO16" s="116">
        <f>+CC16</f>
        <v>76.75</v>
      </c>
      <c r="IP16" s="116">
        <f>+CF16</f>
        <v>73.8</v>
      </c>
      <c r="IQ16" s="116">
        <f>+CI16</f>
        <v>69</v>
      </c>
      <c r="IR16" s="116">
        <f>+CL16</f>
        <v>62.5</v>
      </c>
      <c r="IS16" s="116">
        <f>+CO16</f>
        <v>56.5</v>
      </c>
      <c r="IT16" s="116">
        <f>+CR16</f>
        <v>32.85</v>
      </c>
      <c r="IU16" s="116">
        <f>+CU16</f>
        <v>44.9</v>
      </c>
      <c r="IV16" s="116">
        <f>+CX16</f>
        <v>53.15</v>
      </c>
      <c r="IW16" s="116">
        <f>+DA16</f>
        <v>75.650000000000006</v>
      </c>
      <c r="IX16" s="116">
        <f>+DD16</f>
        <v>103.2</v>
      </c>
      <c r="IY16" s="116">
        <f>+DG16</f>
        <v>122.1</v>
      </c>
      <c r="IZ16" s="116">
        <f>+DJ16</f>
        <v>158.69999999999999</v>
      </c>
      <c r="JA16" s="116">
        <f>+DM16</f>
        <v>220.9</v>
      </c>
      <c r="JB16" s="116">
        <f>+DP16</f>
        <v>238.85</v>
      </c>
      <c r="JC16" s="116">
        <f>+DS16</f>
        <v>202.35</v>
      </c>
      <c r="JD16" s="116">
        <f>+DV16</f>
        <v>216.5</v>
      </c>
      <c r="JE16" s="116">
        <f>+DY16</f>
        <v>207.7</v>
      </c>
      <c r="JF16" s="116">
        <f>+EB16</f>
        <v>190.2</v>
      </c>
      <c r="JG16" s="116">
        <f>+EE16</f>
        <v>221.8</v>
      </c>
      <c r="JH16" s="116">
        <f>+EH16</f>
        <v>262.2</v>
      </c>
      <c r="JI16" s="116">
        <f>+EK16</f>
        <v>332.05</v>
      </c>
      <c r="JJ16" s="116">
        <f>+EN16</f>
        <v>394.15</v>
      </c>
      <c r="JK16" s="116">
        <f>EQ16</f>
        <v>440.5</v>
      </c>
      <c r="JL16" s="116">
        <f>ET16</f>
        <v>482.7</v>
      </c>
      <c r="JM16" s="116">
        <f>EW16</f>
        <v>392.4</v>
      </c>
      <c r="JN16" s="116">
        <f>EZ16</f>
        <v>375.4</v>
      </c>
      <c r="JO16" s="116">
        <f>FC16</f>
        <v>405.6</v>
      </c>
      <c r="JP16" s="116">
        <f>FF16</f>
        <v>388.75</v>
      </c>
      <c r="JQ16" s="116">
        <f>FI16</f>
        <v>379.55</v>
      </c>
      <c r="JR16" s="116">
        <f>FL16</f>
        <v>378.7</v>
      </c>
      <c r="JS16" s="116">
        <f>FO16</f>
        <v>402.1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106.682610877611</v>
      </c>
      <c r="HQ19" s="116">
        <f t="shared" ref="HQ19:JI21" si="1">+IF(HQ14=0,HQ7,HQ14)</f>
        <v>109.239905484809</v>
      </c>
      <c r="HR19" s="116">
        <f t="shared" si="1"/>
        <v>108.564393701775</v>
      </c>
      <c r="HS19" s="116">
        <f t="shared" si="1"/>
        <v>97.804456014888203</v>
      </c>
      <c r="HT19" s="116">
        <f t="shared" si="1"/>
        <v>91.821351650879294</v>
      </c>
      <c r="HU19" s="116">
        <f t="shared" si="1"/>
        <v>89.215806202036703</v>
      </c>
      <c r="HV19" s="116">
        <f t="shared" si="1"/>
        <v>88.588545260648601</v>
      </c>
      <c r="HW19" s="116">
        <f t="shared" si="1"/>
        <v>115.25</v>
      </c>
      <c r="HX19" s="116">
        <f t="shared" si="1"/>
        <v>112.1</v>
      </c>
      <c r="HY19" s="116">
        <f t="shared" si="1"/>
        <v>94.9</v>
      </c>
      <c r="HZ19" s="116">
        <f t="shared" si="1"/>
        <v>92.4</v>
      </c>
      <c r="IA19" s="116">
        <f t="shared" si="1"/>
        <v>82.15</v>
      </c>
      <c r="IB19" s="116">
        <f t="shared" si="1"/>
        <v>76.75</v>
      </c>
      <c r="IC19" s="116">
        <f t="shared" si="1"/>
        <v>72.45</v>
      </c>
      <c r="ID19" s="116">
        <f t="shared" si="1"/>
        <v>70.75</v>
      </c>
      <c r="IE19" s="116">
        <f t="shared" si="1"/>
        <v>77.95</v>
      </c>
      <c r="IF19" s="116">
        <f t="shared" si="1"/>
        <v>80.349999999999994</v>
      </c>
      <c r="IG19" s="116">
        <f t="shared" si="1"/>
        <v>84.45</v>
      </c>
      <c r="IH19" s="116">
        <f t="shared" si="1"/>
        <v>91.1</v>
      </c>
      <c r="II19" s="116">
        <f t="shared" si="1"/>
        <v>91.25</v>
      </c>
      <c r="IJ19" s="116">
        <f t="shared" si="1"/>
        <v>87.3</v>
      </c>
      <c r="IK19" s="116">
        <f t="shared" si="1"/>
        <v>97.05</v>
      </c>
      <c r="IL19" s="116">
        <f t="shared" si="1"/>
        <v>101.75</v>
      </c>
      <c r="IM19" s="116">
        <f t="shared" si="1"/>
        <v>89.5</v>
      </c>
      <c r="IN19" s="116">
        <f t="shared" si="1"/>
        <v>78.95</v>
      </c>
      <c r="IO19" s="116">
        <f t="shared" si="1"/>
        <v>86.15</v>
      </c>
      <c r="IP19" s="116">
        <f t="shared" si="1"/>
        <v>77.900000000000006</v>
      </c>
      <c r="IQ19" s="116">
        <f t="shared" si="1"/>
        <v>76.900000000000006</v>
      </c>
      <c r="IR19" s="116">
        <f t="shared" si="1"/>
        <v>74.05</v>
      </c>
      <c r="IS19" s="116">
        <f t="shared" si="1"/>
        <v>62.95</v>
      </c>
      <c r="IT19" s="116">
        <f t="shared" si="1"/>
        <v>62.1</v>
      </c>
      <c r="IU19" s="116">
        <f t="shared" si="1"/>
        <v>47.35</v>
      </c>
      <c r="IV19" s="116">
        <f t="shared" si="1"/>
        <v>63.45</v>
      </c>
      <c r="IW19" s="116">
        <f t="shared" si="1"/>
        <v>79</v>
      </c>
      <c r="IX19" s="116">
        <f t="shared" si="1"/>
        <v>114.95</v>
      </c>
      <c r="IY19" s="116">
        <f t="shared" si="1"/>
        <v>132.5</v>
      </c>
      <c r="IZ19" s="116">
        <f t="shared" si="1"/>
        <v>161.15</v>
      </c>
      <c r="JA19" s="116">
        <f t="shared" si="1"/>
        <v>269.7</v>
      </c>
      <c r="JB19" s="116">
        <f t="shared" si="1"/>
        <v>257.85000000000002</v>
      </c>
      <c r="JC19" s="116">
        <f t="shared" si="1"/>
        <v>298</v>
      </c>
      <c r="JD19" s="116">
        <f t="shared" si="1"/>
        <v>251</v>
      </c>
      <c r="JE19" s="116">
        <f t="shared" si="1"/>
        <v>234.5</v>
      </c>
      <c r="JF19" s="116">
        <f t="shared" si="1"/>
        <v>215.45</v>
      </c>
      <c r="JG19" s="116">
        <f t="shared" si="1"/>
        <v>226.25</v>
      </c>
      <c r="JH19" s="116">
        <f t="shared" si="1"/>
        <v>276.5</v>
      </c>
      <c r="JI19" s="116">
        <f t="shared" si="1"/>
        <v>346.9</v>
      </c>
      <c r="JJ19" s="116">
        <f t="shared" ref="JJ19:JJ21" si="2">+IF(JJ14=0,JJ7,JJ14)</f>
        <v>433.2</v>
      </c>
      <c r="JK19" s="116">
        <f t="shared" ref="JK19" si="3">+IF(JK14=0,JK7,JK14)</f>
        <v>464.3</v>
      </c>
      <c r="JL19" s="116">
        <f t="shared" ref="JL19:JM19" si="4">+IF(JL14=0,JL7,JL14)</f>
        <v>494.85</v>
      </c>
      <c r="JM19" s="116">
        <f t="shared" si="4"/>
        <v>491.25</v>
      </c>
      <c r="JN19" s="116">
        <f t="shared" ref="JN19:JO19" si="5">+IF(JN14=0,JN7,JN14)</f>
        <v>402.9</v>
      </c>
      <c r="JO19" s="116">
        <f t="shared" si="5"/>
        <v>416.7</v>
      </c>
      <c r="JP19" s="116">
        <f t="shared" ref="JP19" si="6">+IF(JP14=0,JP7,JP14)</f>
        <v>416.7</v>
      </c>
      <c r="JQ19" s="116">
        <f t="shared" ref="JQ19:KH19" si="7">+IF(JQ14=0,JQ7,JQ14)</f>
        <v>413.2</v>
      </c>
      <c r="JR19" s="116">
        <f t="shared" si="7"/>
        <v>418.4</v>
      </c>
      <c r="JS19" s="116">
        <f t="shared" si="7"/>
        <v>464.8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89.312307885327101</v>
      </c>
      <c r="HQ20" s="116">
        <f t="shared" si="8"/>
        <v>92.979371850364899</v>
      </c>
      <c r="HR20" s="116">
        <f t="shared" si="8"/>
        <v>89.650063776843794</v>
      </c>
      <c r="HS20" s="116">
        <f t="shared" si="8"/>
        <v>74.547550341885696</v>
      </c>
      <c r="HT20" s="116">
        <f t="shared" si="8"/>
        <v>65.862398845743698</v>
      </c>
      <c r="HU20" s="116">
        <f t="shared" si="8"/>
        <v>73.920289400497694</v>
      </c>
      <c r="HV20" s="116">
        <f t="shared" si="8"/>
        <v>68.950452711038594</v>
      </c>
      <c r="HW20" s="116">
        <f t="shared" si="8"/>
        <v>75.849999999999994</v>
      </c>
      <c r="HX20" s="116">
        <f t="shared" si="8"/>
        <v>82</v>
      </c>
      <c r="HY20" s="116">
        <f t="shared" si="8"/>
        <v>76.8</v>
      </c>
      <c r="HZ20" s="116">
        <f t="shared" si="8"/>
        <v>73.599999999999994</v>
      </c>
      <c r="IA20" s="116">
        <f t="shared" si="8"/>
        <v>68.400000000000006</v>
      </c>
      <c r="IB20" s="116">
        <f t="shared" si="8"/>
        <v>55.55</v>
      </c>
      <c r="IC20" s="116">
        <f t="shared" si="8"/>
        <v>61</v>
      </c>
      <c r="ID20" s="116">
        <f t="shared" si="8"/>
        <v>55</v>
      </c>
      <c r="IE20" s="116">
        <f t="shared" si="8"/>
        <v>60.6</v>
      </c>
      <c r="IF20" s="116">
        <f t="shared" si="1"/>
        <v>69.7</v>
      </c>
      <c r="IG20" s="116">
        <f t="shared" si="1"/>
        <v>67.099999999999994</v>
      </c>
      <c r="IH20" s="116">
        <f t="shared" si="1"/>
        <v>75.099999999999994</v>
      </c>
      <c r="II20" s="116">
        <f t="shared" si="1"/>
        <v>76.7</v>
      </c>
      <c r="IJ20" s="116">
        <f t="shared" si="1"/>
        <v>75.900000000000006</v>
      </c>
      <c r="IK20" s="116">
        <f t="shared" si="1"/>
        <v>77.099999999999994</v>
      </c>
      <c r="IL20" s="116">
        <f t="shared" si="1"/>
        <v>77</v>
      </c>
      <c r="IM20" s="116">
        <f t="shared" si="1"/>
        <v>71</v>
      </c>
      <c r="IN20" s="116">
        <f t="shared" si="1"/>
        <v>65.55</v>
      </c>
      <c r="IO20" s="116">
        <f t="shared" si="1"/>
        <v>59.9</v>
      </c>
      <c r="IP20" s="116">
        <f t="shared" si="1"/>
        <v>64.099999999999994</v>
      </c>
      <c r="IQ20" s="116">
        <f t="shared" si="1"/>
        <v>60.9</v>
      </c>
      <c r="IR20" s="116">
        <f t="shared" si="1"/>
        <v>50.4</v>
      </c>
      <c r="IS20" s="116">
        <f t="shared" si="1"/>
        <v>51.05</v>
      </c>
      <c r="IT20" s="116">
        <f t="shared" si="1"/>
        <v>31.3</v>
      </c>
      <c r="IU20" s="116">
        <f t="shared" si="1"/>
        <v>27</v>
      </c>
      <c r="IV20" s="116">
        <f t="shared" si="1"/>
        <v>44.05</v>
      </c>
      <c r="IW20" s="116">
        <f t="shared" si="1"/>
        <v>51.65</v>
      </c>
      <c r="IX20" s="116">
        <f t="shared" si="1"/>
        <v>74.5</v>
      </c>
      <c r="IY20" s="116">
        <f t="shared" si="1"/>
        <v>89.95</v>
      </c>
      <c r="IZ20" s="116">
        <f t="shared" si="1"/>
        <v>118.4</v>
      </c>
      <c r="JA20" s="116">
        <f t="shared" si="1"/>
        <v>156.6</v>
      </c>
      <c r="JB20" s="116">
        <f t="shared" si="1"/>
        <v>203.3</v>
      </c>
      <c r="JC20" s="116">
        <f t="shared" si="1"/>
        <v>190</v>
      </c>
      <c r="JD20" s="116">
        <f t="shared" si="1"/>
        <v>200.55</v>
      </c>
      <c r="JE20" s="116">
        <f t="shared" si="1"/>
        <v>194.45</v>
      </c>
      <c r="JF20" s="116">
        <f t="shared" si="1"/>
        <v>182.45</v>
      </c>
      <c r="JG20" s="116">
        <f t="shared" si="1"/>
        <v>192.05</v>
      </c>
      <c r="JH20" s="116">
        <f t="shared" si="1"/>
        <v>216.95</v>
      </c>
      <c r="JI20" s="116">
        <f t="shared" si="1"/>
        <v>230.75</v>
      </c>
      <c r="JJ20" s="116">
        <f t="shared" si="2"/>
        <v>319.8</v>
      </c>
      <c r="JK20" s="116">
        <f t="shared" ref="JK20" si="9">+IF(JK15=0,JK8,JK15)</f>
        <v>377.2</v>
      </c>
      <c r="JL20" s="116">
        <f t="shared" ref="JL20:JM20" si="10">+IF(JL15=0,JL8,JL15)</f>
        <v>400</v>
      </c>
      <c r="JM20" s="116">
        <f t="shared" si="10"/>
        <v>385.45</v>
      </c>
      <c r="JN20" s="116">
        <f t="shared" ref="JN20:JO20" si="11">+IF(JN15=0,JN8,JN15)</f>
        <v>326.25</v>
      </c>
      <c r="JO20" s="116">
        <f t="shared" si="11"/>
        <v>332.1</v>
      </c>
      <c r="JP20" s="116">
        <f t="shared" ref="JP20" si="12">+IF(JP15=0,JP8,JP15)</f>
        <v>368.65</v>
      </c>
      <c r="JQ20" s="116">
        <f t="shared" ref="JQ20:KH20" si="13">+IF(JQ15=0,JQ8,JQ15)</f>
        <v>369.75</v>
      </c>
      <c r="JR20" s="116">
        <f t="shared" si="13"/>
        <v>342.35</v>
      </c>
      <c r="JS20" s="116">
        <f t="shared" si="13"/>
        <v>367.85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103.208550279154</v>
      </c>
      <c r="HQ21" s="116">
        <f t="shared" si="1"/>
        <v>106.48960751103</v>
      </c>
      <c r="HR21" s="116">
        <f t="shared" si="1"/>
        <v>93.027622692010098</v>
      </c>
      <c r="HS21" s="116">
        <f t="shared" si="1"/>
        <v>83.039698471446798</v>
      </c>
      <c r="HT21" s="116">
        <f t="shared" si="1"/>
        <v>78.262865148568693</v>
      </c>
      <c r="HU21" s="116">
        <f t="shared" si="1"/>
        <v>88.154287685841496</v>
      </c>
      <c r="HV21" s="116">
        <f t="shared" si="1"/>
        <v>84.8</v>
      </c>
      <c r="HW21" s="116">
        <f t="shared" si="1"/>
        <v>107.75</v>
      </c>
      <c r="HX21" s="116">
        <f t="shared" si="1"/>
        <v>83</v>
      </c>
      <c r="HY21" s="116">
        <f t="shared" si="1"/>
        <v>82.15</v>
      </c>
      <c r="HZ21" s="116">
        <f t="shared" si="1"/>
        <v>77.099999999999994</v>
      </c>
      <c r="IA21" s="116">
        <f t="shared" si="1"/>
        <v>74.05</v>
      </c>
      <c r="IB21" s="116">
        <f t="shared" si="1"/>
        <v>65.05</v>
      </c>
      <c r="IC21" s="116">
        <f t="shared" si="1"/>
        <v>67.900000000000006</v>
      </c>
      <c r="ID21" s="116">
        <f t="shared" si="1"/>
        <v>64.650000000000006</v>
      </c>
      <c r="IE21" s="116">
        <f t="shared" si="1"/>
        <v>73.45</v>
      </c>
      <c r="IF21" s="116">
        <f t="shared" si="1"/>
        <v>75.3</v>
      </c>
      <c r="IG21" s="116">
        <f t="shared" si="1"/>
        <v>75.7</v>
      </c>
      <c r="IH21" s="116">
        <f t="shared" si="1"/>
        <v>90.5</v>
      </c>
      <c r="II21" s="116">
        <f t="shared" si="1"/>
        <v>80.55</v>
      </c>
      <c r="IJ21" s="116">
        <f t="shared" si="1"/>
        <v>77.75</v>
      </c>
      <c r="IK21" s="116">
        <f t="shared" si="1"/>
        <v>93.85</v>
      </c>
      <c r="IL21" s="116">
        <f t="shared" si="1"/>
        <v>79.349999999999994</v>
      </c>
      <c r="IM21" s="116">
        <f t="shared" si="1"/>
        <v>73.05</v>
      </c>
      <c r="IN21" s="116">
        <f t="shared" si="1"/>
        <v>65.95</v>
      </c>
      <c r="IO21" s="116">
        <f t="shared" si="1"/>
        <v>76.75</v>
      </c>
      <c r="IP21" s="116">
        <f t="shared" si="1"/>
        <v>73.8</v>
      </c>
      <c r="IQ21" s="116">
        <f t="shared" si="1"/>
        <v>69</v>
      </c>
      <c r="IR21" s="116">
        <f t="shared" si="1"/>
        <v>62.5</v>
      </c>
      <c r="IS21" s="116">
        <f t="shared" si="1"/>
        <v>56.5</v>
      </c>
      <c r="IT21" s="116">
        <f t="shared" si="1"/>
        <v>32.85</v>
      </c>
      <c r="IU21" s="116">
        <f t="shared" si="1"/>
        <v>44.9</v>
      </c>
      <c r="IV21" s="116">
        <f t="shared" si="1"/>
        <v>53.15</v>
      </c>
      <c r="IW21" s="116">
        <f t="shared" si="1"/>
        <v>75.650000000000006</v>
      </c>
      <c r="IX21" s="116">
        <f t="shared" si="1"/>
        <v>103.2</v>
      </c>
      <c r="IY21" s="116">
        <f t="shared" si="1"/>
        <v>122.1</v>
      </c>
      <c r="IZ21" s="116">
        <f t="shared" si="1"/>
        <v>158.69999999999999</v>
      </c>
      <c r="JA21" s="116">
        <f t="shared" si="1"/>
        <v>220.9</v>
      </c>
      <c r="JB21" s="116">
        <f t="shared" si="1"/>
        <v>238.85</v>
      </c>
      <c r="JC21" s="116">
        <f t="shared" si="1"/>
        <v>202.35</v>
      </c>
      <c r="JD21" s="116">
        <f t="shared" si="1"/>
        <v>216.5</v>
      </c>
      <c r="JE21" s="116">
        <f t="shared" si="1"/>
        <v>207.7</v>
      </c>
      <c r="JF21" s="116">
        <f t="shared" si="1"/>
        <v>190.2</v>
      </c>
      <c r="JG21" s="116">
        <f t="shared" si="1"/>
        <v>221.8</v>
      </c>
      <c r="JH21" s="116">
        <f t="shared" si="1"/>
        <v>262.2</v>
      </c>
      <c r="JI21" s="116">
        <f t="shared" si="1"/>
        <v>332.05</v>
      </c>
      <c r="JJ21" s="116">
        <f t="shared" si="2"/>
        <v>394.15</v>
      </c>
      <c r="JK21" s="116">
        <f t="shared" ref="JK21" si="14">+IF(JK16=0,JK9,JK16)</f>
        <v>440.5</v>
      </c>
      <c r="JL21" s="116">
        <f t="shared" ref="JL21:JM21" si="15">+IF(JL16=0,JL9,JL16)</f>
        <v>482.7</v>
      </c>
      <c r="JM21" s="116">
        <f t="shared" si="15"/>
        <v>392.4</v>
      </c>
      <c r="JN21" s="116">
        <f t="shared" ref="JN21:JO21" si="16">+IF(JN16=0,JN9,JN16)</f>
        <v>375.4</v>
      </c>
      <c r="JO21" s="116">
        <f t="shared" si="16"/>
        <v>405.6</v>
      </c>
      <c r="JP21" s="116">
        <f t="shared" ref="JP21" si="17">+IF(JP16=0,JP9,JP16)</f>
        <v>388.75</v>
      </c>
      <c r="JQ21" s="116">
        <f t="shared" ref="JQ21:KH21" si="18">+IF(JQ16=0,JQ9,JQ16)</f>
        <v>379.55</v>
      </c>
      <c r="JR21" s="116">
        <f t="shared" si="18"/>
        <v>378.7</v>
      </c>
      <c r="JS21" s="116">
        <f t="shared" si="18"/>
        <v>402.1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100400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2373072360</v>
      </c>
      <c r="D6" cm="1">
        <f t="array" ref="D6">_xll.EQNXTDZ($A$1,$B6,D$1)</f>
        <v>2373072360</v>
      </c>
      <c r="E6" cm="1">
        <f t="array" ref="E6">_xll.EQNXTDZ($A$1,$B6,E$1)</f>
        <v>2373072360</v>
      </c>
      <c r="F6" cm="1">
        <f t="array" ref="F6">_xll.EQNXTDZ($A$1,$B6,F$1)</f>
        <v>2373072360</v>
      </c>
      <c r="G6" cm="1">
        <f t="array" ref="G6">_xll.EQNXTDZ($A$1,$B6,G$1)</f>
        <v>2373072360</v>
      </c>
      <c r="H6" cm="1">
        <f t="array" ref="H6">_xll.EQNXTDZ($A$1,$B6,H$1)</f>
        <v>2373072360</v>
      </c>
      <c r="I6" cm="1">
        <f t="array" ref="I6">_xll.EQNXTDZ($A$1,$B6,I$1)</f>
        <v>2373072360</v>
      </c>
      <c r="J6" cm="1">
        <f t="array" ref="J6">_xll.EQNXTDZ($A$1,$B6,J$1)</f>
        <v>2373072360</v>
      </c>
      <c r="K6" cm="1">
        <f t="array" ref="K6">_xll.EQNXTDZ($A$1,$B6,K$1)</f>
        <v>2704625254</v>
      </c>
      <c r="L6" cm="1">
        <f t="array" ref="L6">_xll.EQNXTDZ($A$1,$B6,L$1)</f>
        <v>2704625254</v>
      </c>
      <c r="M6" cm="1">
        <f t="array" ref="M6">_xll.EQNXTDZ($A$1,$B6,M$1)</f>
        <v>2704625254</v>
      </c>
      <c r="N6" cm="1">
        <f t="array" ref="N6">_xll.EQNXTDZ($A$1,$B6,N$1)</f>
        <v>2704625254</v>
      </c>
      <c r="O6" cm="1">
        <f t="array" ref="O6">_xll.EQNXTDZ($A$1,$B6,O$1)</f>
        <v>2704629398</v>
      </c>
      <c r="P6" cm="1">
        <f t="array" ref="P6">_xll.EQNXTDZ($A$1,$B6,P$1)</f>
        <v>2704629398</v>
      </c>
      <c r="Q6" cm="1">
        <f t="array" ref="Q6">_xll.EQNXTDZ($A$1,$B6,Q$1)</f>
        <v>2704629398</v>
      </c>
      <c r="R6" cm="1">
        <f t="array" ref="R6">_xll.EQNXTDZ($A$1,$B6,R$1)</f>
        <v>2704629398</v>
      </c>
      <c r="S6" cm="1">
        <f t="array" ref="S6">_xll.EQNXTDZ($A$1,$B6,S$1)</f>
        <v>2704629398</v>
      </c>
      <c r="T6" cm="1">
        <f t="array" ref="T6">_xll.EQNXTDZ($A$1,$B6,T$1)</f>
        <v>2704629398</v>
      </c>
      <c r="U6" cm="1">
        <f t="array" ref="U6">_xll.EQNXTDZ($A$1,$B6,U$1)</f>
        <v>2704773510</v>
      </c>
      <c r="V6" cm="1">
        <f t="array" ref="V6">_xll.EQNXTDZ($A$1,$B6,V$1)</f>
        <v>2704773510</v>
      </c>
      <c r="W6" cm="1">
        <f t="array" ref="W6">_xll.EQNXTDZ($A$1,$B6,W$1)</f>
        <v>2704773510</v>
      </c>
      <c r="X6" cm="1">
        <f t="array" ref="X6">_xll.EQNXTDZ($A$1,$B6,X$1)</f>
        <v>2704773510</v>
      </c>
      <c r="Y6" cm="1">
        <f t="array" ref="Y6">_xll.EQNXTDZ($A$1,$B6,Y$1)</f>
        <v>2704773510</v>
      </c>
      <c r="Z6" cm="1">
        <f t="array" ref="Z6">_xll.EQNXTDZ($A$1,$B6,Z$1)</f>
        <v>2704773510</v>
      </c>
      <c r="AA6" cm="1">
        <f t="array" ref="AA6">_xll.EQNXTDZ($A$1,$B6,AA$1)</f>
        <v>2704773510</v>
      </c>
      <c r="AB6" cm="1">
        <f t="array" ref="AB6">_xll.EQNXTDZ($A$1,$B6,AB$1)</f>
        <v>2704773510</v>
      </c>
      <c r="AC6" cm="1">
        <f t="array" ref="AC6">_xll.EQNXTDZ($A$1,$B6,AC$1)</f>
        <v>2704773510</v>
      </c>
      <c r="AD6" cm="1">
        <f t="array" ref="AD6">_xll.EQNXTDZ($A$1,$B6,AD$1)</f>
        <v>2704773510</v>
      </c>
      <c r="AE6" cm="1">
        <f t="array" ref="AE6">_xll.EQNXTDZ($A$1,$B6,AE$1)</f>
        <v>2704773510</v>
      </c>
      <c r="AF6" cm="1">
        <f t="array" ref="AF6">_xll.EQNXTDZ($A$1,$B6,AF$1)</f>
        <v>2704773510</v>
      </c>
      <c r="AG6" cm="1">
        <f t="array" ref="AG6">_xll.EQNXTDZ($A$1,$B6,AG$1)</f>
        <v>2704773510</v>
      </c>
      <c r="AH6" cm="1">
        <f t="array" ref="AH6">_xll.EQNXTDZ($A$1,$B6,AH$1)</f>
        <v>2704773510</v>
      </c>
      <c r="AI6" cm="1">
        <f t="array" ref="AI6">_xll.EQNXTDZ($A$1,$B6,AI$1)</f>
        <v>2704773510</v>
      </c>
      <c r="AJ6" cm="1">
        <f t="array" ref="AJ6">_xll.EQNXTDZ($A$1,$B6,AJ$1)</f>
        <v>3195339547</v>
      </c>
      <c r="AK6" cm="1">
        <f t="array" ref="AK6">_xll.EQNXTDZ($A$1,$B6,AK$1)</f>
        <v>3195339547</v>
      </c>
      <c r="AL6" cm="1">
        <f t="array" ref="AL6">_xll.EQNXTDZ($A$1,$B6,AL$1)</f>
        <v>3195339547</v>
      </c>
      <c r="AM6" cm="1">
        <f t="array" ref="AM6">_xll.EQNXTDZ($A$1,$B6,AM$1)</f>
        <v>3195339547</v>
      </c>
      <c r="AN6" cm="1">
        <f t="array" ref="AN6">_xll.EQNXTDZ($A$1,$B6,AN$1)</f>
        <v>3195339547</v>
      </c>
      <c r="AO6" cm="1">
        <f t="array" ref="AO6">_xll.EQNXTDZ($A$1,$B6,AO$1)</f>
        <v>3195339547</v>
      </c>
      <c r="AP6" cm="1">
        <f t="array" ref="AP6">_xll.EQNXTDZ($A$1,$B6,AP$1)</f>
        <v>3195339547</v>
      </c>
      <c r="AQ6" cm="1">
        <f t="array" ref="AQ6">_xll.EQNXTDZ($A$1,$B6,AQ$1)</f>
        <v>3195339547</v>
      </c>
      <c r="AR6" cm="1">
        <f t="array" ref="AR6">_xll.EQNXTDZ($A$1,$B6,AR$1)</f>
        <v>3195339547</v>
      </c>
      <c r="AS6" cm="1">
        <f t="array" ref="AS6">_xll.EQNXTDZ($A$1,$B6,AS$1)</f>
        <v>3195339547</v>
      </c>
      <c r="AT6" cm="1">
        <f t="array" ref="AT6">_xll.EQNXTDZ($A$1,$B6,AT$1)</f>
        <v>3195339547</v>
      </c>
      <c r="AU6" cm="1">
        <f t="array" ref="AU6">_xll.EQNXTDZ($A$1,$B6,AU$1)</f>
        <v>3195339547</v>
      </c>
      <c r="AV6" cm="1">
        <f t="array" ref="AV6">_xll.EQNXTDZ($A$1,$B6,AV$1)</f>
        <v>3195339547</v>
      </c>
      <c r="AW6" cm="1">
        <f t="array" ref="AW6">_xll.EQNXTDZ($A$1,$B6,AW$1)</f>
        <v>3195339547</v>
      </c>
      <c r="AX6" cm="1">
        <f t="array" ref="AX6">_xll.EQNXTDZ($A$1,$B6,AX$1)</f>
        <v>3195339547</v>
      </c>
      <c r="AY6" cm="1">
        <f t="array" ref="AY6">_xll.EQNXTDZ($A$1,$B6,AY$1)</f>
        <v>3195339547</v>
      </c>
    </row>
    <row r="7" spans="1:51" x14ac:dyDescent="0.25">
      <c r="B7" t="s">
        <v>429</v>
      </c>
      <c r="C7" s="100">
        <f>+C6/10^7</f>
        <v>237.30723599999999</v>
      </c>
      <c r="D7" s="100">
        <f t="shared" ref="D7:X7" si="0">+D6/10^7</f>
        <v>237.30723599999999</v>
      </c>
      <c r="E7" s="100">
        <f t="shared" si="0"/>
        <v>237.30723599999999</v>
      </c>
      <c r="F7" s="100">
        <f t="shared" si="0"/>
        <v>237.30723599999999</v>
      </c>
      <c r="G7" s="100">
        <f t="shared" si="0"/>
        <v>237.30723599999999</v>
      </c>
      <c r="H7" s="100">
        <f t="shared" si="0"/>
        <v>237.30723599999999</v>
      </c>
      <c r="I7" s="100">
        <f t="shared" si="0"/>
        <v>237.30723599999999</v>
      </c>
      <c r="J7" s="100">
        <f t="shared" si="0"/>
        <v>237.30723599999999</v>
      </c>
      <c r="K7" s="100">
        <f t="shared" si="0"/>
        <v>270.4625254</v>
      </c>
      <c r="L7" s="100">
        <f t="shared" si="0"/>
        <v>270.4625254</v>
      </c>
      <c r="M7" s="100">
        <f t="shared" si="0"/>
        <v>270.4625254</v>
      </c>
      <c r="N7" s="100">
        <f t="shared" si="0"/>
        <v>270.4625254</v>
      </c>
      <c r="O7" s="100">
        <f t="shared" si="0"/>
        <v>270.46293980000002</v>
      </c>
      <c r="P7" s="100">
        <f t="shared" si="0"/>
        <v>270.46293980000002</v>
      </c>
      <c r="Q7" s="100">
        <f t="shared" si="0"/>
        <v>270.46293980000002</v>
      </c>
      <c r="R7" s="100">
        <f t="shared" si="0"/>
        <v>270.46293980000002</v>
      </c>
      <c r="S7" s="100">
        <f t="shared" si="0"/>
        <v>270.46293980000002</v>
      </c>
      <c r="T7" s="100">
        <f t="shared" si="0"/>
        <v>270.46293980000002</v>
      </c>
      <c r="U7" s="100">
        <f t="shared" si="0"/>
        <v>270.477351</v>
      </c>
      <c r="V7" s="100">
        <f t="shared" si="0"/>
        <v>270.477351</v>
      </c>
      <c r="W7" s="100">
        <f t="shared" si="0"/>
        <v>270.477351</v>
      </c>
      <c r="X7" s="100">
        <f t="shared" si="0"/>
        <v>270.477351</v>
      </c>
      <c r="Y7" s="100">
        <f t="shared" ref="Y7:AS7" si="1">+Y6/10^7</f>
        <v>270.477351</v>
      </c>
      <c r="Z7" s="100">
        <f t="shared" si="1"/>
        <v>270.477351</v>
      </c>
      <c r="AA7" s="100">
        <f t="shared" si="1"/>
        <v>270.477351</v>
      </c>
      <c r="AB7" s="100">
        <f t="shared" si="1"/>
        <v>270.477351</v>
      </c>
      <c r="AC7" s="100">
        <f t="shared" si="1"/>
        <v>270.477351</v>
      </c>
      <c r="AD7" s="100">
        <f t="shared" si="1"/>
        <v>270.477351</v>
      </c>
      <c r="AE7" s="100">
        <f t="shared" si="1"/>
        <v>270.477351</v>
      </c>
      <c r="AF7" s="100">
        <f t="shared" si="1"/>
        <v>270.477351</v>
      </c>
      <c r="AG7" s="100">
        <f t="shared" si="1"/>
        <v>270.477351</v>
      </c>
      <c r="AH7" s="100">
        <f t="shared" si="1"/>
        <v>270.477351</v>
      </c>
      <c r="AI7" s="100">
        <f t="shared" si="1"/>
        <v>270.477351</v>
      </c>
      <c r="AJ7" s="100">
        <f t="shared" si="1"/>
        <v>319.53395469999998</v>
      </c>
      <c r="AK7" s="100">
        <f t="shared" si="1"/>
        <v>319.53395469999998</v>
      </c>
      <c r="AL7" s="100">
        <f t="shared" si="1"/>
        <v>319.53395469999998</v>
      </c>
      <c r="AM7" s="100">
        <f t="shared" si="1"/>
        <v>319.53395469999998</v>
      </c>
      <c r="AN7" s="100">
        <f t="shared" si="1"/>
        <v>319.53395469999998</v>
      </c>
      <c r="AO7" s="100">
        <f t="shared" si="1"/>
        <v>319.53395469999998</v>
      </c>
      <c r="AP7" s="100">
        <f t="shared" si="1"/>
        <v>319.53395469999998</v>
      </c>
      <c r="AQ7" s="100">
        <f t="shared" si="1"/>
        <v>319.53395469999998</v>
      </c>
      <c r="AR7" s="100">
        <f t="shared" si="1"/>
        <v>319.53395469999998</v>
      </c>
      <c r="AS7" s="100">
        <f t="shared" si="1"/>
        <v>319.53395469999998</v>
      </c>
      <c r="AT7" s="100">
        <f t="shared" ref="AT7:AX7" si="2">+AT6/10^7</f>
        <v>319.53395469999998</v>
      </c>
      <c r="AU7" s="100">
        <f t="shared" si="2"/>
        <v>319.53395469999998</v>
      </c>
      <c r="AV7" s="100">
        <f t="shared" si="2"/>
        <v>319.53395469999998</v>
      </c>
      <c r="AW7" s="100">
        <f t="shared" si="2"/>
        <v>319.53395469999998</v>
      </c>
      <c r="AX7" s="100">
        <f t="shared" si="2"/>
        <v>319.53395469999998</v>
      </c>
      <c r="AY7" s="100">
        <f t="shared" ref="AY7" si="3">+AY6/10^7</f>
        <v>319.53395469999998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100400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82.6</v>
      </c>
      <c r="C4" s="116">
        <v>82.15</v>
      </c>
      <c r="D4" s="116">
        <v>81.849999999999994</v>
      </c>
      <c r="E4" s="116">
        <v>81.849999999999994</v>
      </c>
      <c r="F4" s="116">
        <v>82.15</v>
      </c>
      <c r="G4">
        <v>188996</v>
      </c>
      <c r="H4" s="116"/>
      <c r="I4" s="116"/>
      <c r="L4" s="170">
        <v>42005</v>
      </c>
      <c r="M4" s="116">
        <v>82.15</v>
      </c>
      <c r="N4" s="116">
        <v>82.65</v>
      </c>
      <c r="O4" s="116">
        <v>81.95</v>
      </c>
      <c r="P4" s="116">
        <v>82.2</v>
      </c>
      <c r="Q4" s="116">
        <v>82.15</v>
      </c>
      <c r="R4">
        <v>938370</v>
      </c>
    </row>
    <row r="5" spans="1:18" x14ac:dyDescent="0.25">
      <c r="A5" s="170">
        <v>42006</v>
      </c>
      <c r="B5" s="116">
        <v>83.7</v>
      </c>
      <c r="C5" s="116">
        <v>83.35</v>
      </c>
      <c r="D5" s="116">
        <v>81.8</v>
      </c>
      <c r="E5" s="116">
        <v>81.8</v>
      </c>
      <c r="F5" s="116">
        <v>83.35</v>
      </c>
      <c r="G5">
        <v>280751</v>
      </c>
      <c r="H5" s="116"/>
      <c r="I5" s="116"/>
      <c r="L5" s="170">
        <v>42006</v>
      </c>
      <c r="M5" s="116">
        <v>83.35</v>
      </c>
      <c r="N5" s="116">
        <v>83.75</v>
      </c>
      <c r="O5" s="116">
        <v>82.25</v>
      </c>
      <c r="P5" s="116">
        <v>82.25</v>
      </c>
      <c r="Q5" s="116">
        <v>83.35</v>
      </c>
      <c r="R5">
        <v>2387959</v>
      </c>
    </row>
    <row r="6" spans="1:18" x14ac:dyDescent="0.25">
      <c r="A6" s="170">
        <v>42009</v>
      </c>
      <c r="B6" s="116">
        <v>84.8</v>
      </c>
      <c r="C6" s="116">
        <v>83</v>
      </c>
      <c r="D6" s="116">
        <v>82.8</v>
      </c>
      <c r="E6" s="116">
        <v>84</v>
      </c>
      <c r="F6" s="116">
        <v>83</v>
      </c>
      <c r="G6">
        <v>418334</v>
      </c>
      <c r="H6" s="116"/>
      <c r="I6" s="116"/>
      <c r="L6" s="170">
        <v>42009</v>
      </c>
      <c r="M6" s="116">
        <v>82.85</v>
      </c>
      <c r="N6" s="116">
        <v>84.6</v>
      </c>
      <c r="O6" s="116">
        <v>82.7</v>
      </c>
      <c r="P6" s="116">
        <v>84.1</v>
      </c>
      <c r="Q6" s="116">
        <v>82.85</v>
      </c>
      <c r="R6">
        <v>1932062</v>
      </c>
    </row>
    <row r="7" spans="1:18" x14ac:dyDescent="0.25">
      <c r="A7" s="170">
        <v>42010</v>
      </c>
      <c r="B7" s="116">
        <v>82.3</v>
      </c>
      <c r="C7" s="116">
        <v>79.75</v>
      </c>
      <c r="D7" s="116">
        <v>79.55</v>
      </c>
      <c r="E7" s="116">
        <v>82.2</v>
      </c>
      <c r="F7" s="116">
        <v>79.75</v>
      </c>
      <c r="G7">
        <v>771722</v>
      </c>
      <c r="H7" s="116"/>
      <c r="I7" s="116"/>
      <c r="L7" s="170">
        <v>42010</v>
      </c>
      <c r="M7" s="116">
        <v>79.650000000000006</v>
      </c>
      <c r="N7" s="116">
        <v>82.3</v>
      </c>
      <c r="O7" s="116">
        <v>79.5</v>
      </c>
      <c r="P7" s="116">
        <v>82</v>
      </c>
      <c r="Q7" s="116">
        <v>79.650000000000006</v>
      </c>
      <c r="R7">
        <v>3509161</v>
      </c>
    </row>
    <row r="8" spans="1:18" x14ac:dyDescent="0.25">
      <c r="A8" s="170">
        <v>42011</v>
      </c>
      <c r="B8" s="116">
        <v>80.2</v>
      </c>
      <c r="C8" s="116">
        <v>78.45</v>
      </c>
      <c r="D8" s="116">
        <v>78.2</v>
      </c>
      <c r="E8" s="116">
        <v>79.05</v>
      </c>
      <c r="F8" s="116">
        <v>78.45</v>
      </c>
      <c r="G8">
        <v>366086</v>
      </c>
      <c r="H8" s="116"/>
      <c r="I8" s="116"/>
      <c r="L8" s="170">
        <v>42011</v>
      </c>
      <c r="M8" s="116">
        <v>78.25</v>
      </c>
      <c r="N8" s="116">
        <v>80.2</v>
      </c>
      <c r="O8" s="116">
        <v>78</v>
      </c>
      <c r="P8" s="116">
        <v>79.5</v>
      </c>
      <c r="Q8" s="116">
        <v>78.25</v>
      </c>
      <c r="R8">
        <v>6050723</v>
      </c>
    </row>
    <row r="9" spans="1:18" x14ac:dyDescent="0.25">
      <c r="A9" s="170">
        <v>42012</v>
      </c>
      <c r="B9" s="116">
        <v>80.349999999999994</v>
      </c>
      <c r="C9" s="116">
        <v>79.95</v>
      </c>
      <c r="D9" s="116">
        <v>79</v>
      </c>
      <c r="E9" s="116">
        <v>79</v>
      </c>
      <c r="F9" s="116">
        <v>79.95</v>
      </c>
      <c r="G9">
        <v>193075</v>
      </c>
      <c r="H9" s="116"/>
      <c r="I9" s="116"/>
      <c r="L9" s="170">
        <v>42012</v>
      </c>
      <c r="M9" s="116">
        <v>80</v>
      </c>
      <c r="N9" s="116">
        <v>80.400000000000006</v>
      </c>
      <c r="O9" s="116">
        <v>78.8</v>
      </c>
      <c r="P9" s="116">
        <v>78.8</v>
      </c>
      <c r="Q9" s="116">
        <v>80</v>
      </c>
      <c r="R9">
        <v>2131875</v>
      </c>
    </row>
    <row r="10" spans="1:18" x14ac:dyDescent="0.25">
      <c r="A10" s="170">
        <v>42013</v>
      </c>
      <c r="B10" s="116">
        <v>81</v>
      </c>
      <c r="C10" s="116">
        <v>79.8</v>
      </c>
      <c r="D10" s="116">
        <v>79</v>
      </c>
      <c r="E10" s="116">
        <v>80.400000000000006</v>
      </c>
      <c r="F10" s="116">
        <v>79.8</v>
      </c>
      <c r="G10">
        <v>218873</v>
      </c>
      <c r="H10" s="116"/>
      <c r="I10" s="116"/>
      <c r="L10" s="170">
        <v>42013</v>
      </c>
      <c r="M10" s="116">
        <v>79.8</v>
      </c>
      <c r="N10" s="116">
        <v>80.8</v>
      </c>
      <c r="O10" s="116">
        <v>79</v>
      </c>
      <c r="P10" s="116">
        <v>80.8</v>
      </c>
      <c r="Q10" s="116">
        <v>79.8</v>
      </c>
      <c r="R10">
        <v>1628211</v>
      </c>
    </row>
    <row r="11" spans="1:18" x14ac:dyDescent="0.25">
      <c r="A11" s="170">
        <v>42016</v>
      </c>
      <c r="B11" s="116">
        <v>80.5</v>
      </c>
      <c r="C11" s="116">
        <v>80.25</v>
      </c>
      <c r="D11" s="116">
        <v>79.2</v>
      </c>
      <c r="E11" s="116">
        <v>79.45</v>
      </c>
      <c r="F11" s="116">
        <v>80.25</v>
      </c>
      <c r="G11">
        <v>153187</v>
      </c>
      <c r="H11" s="116"/>
      <c r="I11" s="116"/>
      <c r="L11" s="170">
        <v>42016</v>
      </c>
      <c r="M11" s="116">
        <v>80.3</v>
      </c>
      <c r="N11" s="116">
        <v>80.55</v>
      </c>
      <c r="O11" s="116">
        <v>79.099999999999994</v>
      </c>
      <c r="P11" s="116">
        <v>79.650000000000006</v>
      </c>
      <c r="Q11" s="116">
        <v>80.3</v>
      </c>
      <c r="R11">
        <v>1152593</v>
      </c>
    </row>
    <row r="12" spans="1:18" x14ac:dyDescent="0.25">
      <c r="A12" s="170">
        <v>42017</v>
      </c>
      <c r="B12" s="116">
        <v>80.5</v>
      </c>
      <c r="C12" s="116">
        <v>79.150000000000006</v>
      </c>
      <c r="D12" s="116">
        <v>78.849999999999994</v>
      </c>
      <c r="E12" s="116">
        <v>80.5</v>
      </c>
      <c r="F12" s="116">
        <v>79.150000000000006</v>
      </c>
      <c r="G12">
        <v>179604</v>
      </c>
      <c r="H12" s="116"/>
      <c r="I12" s="116"/>
      <c r="L12" s="170">
        <v>42017</v>
      </c>
      <c r="M12" s="116">
        <v>79.099999999999994</v>
      </c>
      <c r="N12" s="116">
        <v>80.5</v>
      </c>
      <c r="O12" s="116">
        <v>78.8</v>
      </c>
      <c r="P12" s="116">
        <v>80.099999999999994</v>
      </c>
      <c r="Q12" s="116">
        <v>79.099999999999994</v>
      </c>
      <c r="R12">
        <v>1239610</v>
      </c>
    </row>
    <row r="13" spans="1:18" x14ac:dyDescent="0.25">
      <c r="A13" s="170">
        <v>42018</v>
      </c>
      <c r="B13" s="116">
        <v>79.400000000000006</v>
      </c>
      <c r="C13" s="116">
        <v>78.8</v>
      </c>
      <c r="D13" s="116">
        <v>78.25</v>
      </c>
      <c r="E13" s="116">
        <v>79</v>
      </c>
      <c r="F13" s="116">
        <v>78.8</v>
      </c>
      <c r="G13">
        <v>169680</v>
      </c>
      <c r="H13" s="116"/>
      <c r="I13" s="116"/>
      <c r="L13" s="170">
        <v>42018</v>
      </c>
      <c r="M13" s="116">
        <v>78.849999999999994</v>
      </c>
      <c r="N13" s="116">
        <v>79.5</v>
      </c>
      <c r="O13" s="116">
        <v>78.2</v>
      </c>
      <c r="P13" s="116">
        <v>79.2</v>
      </c>
      <c r="Q13" s="116">
        <v>78.849999999999994</v>
      </c>
      <c r="R13">
        <v>1698726</v>
      </c>
    </row>
    <row r="14" spans="1:18" x14ac:dyDescent="0.25">
      <c r="A14" s="170">
        <v>42019</v>
      </c>
      <c r="B14" s="116">
        <v>82.25</v>
      </c>
      <c r="C14" s="116">
        <v>81.599999999999994</v>
      </c>
      <c r="D14" s="116">
        <v>79.349999999999994</v>
      </c>
      <c r="E14" s="116">
        <v>79.349999999999994</v>
      </c>
      <c r="F14" s="116">
        <v>81.599999999999994</v>
      </c>
      <c r="G14">
        <v>514587</v>
      </c>
      <c r="H14" s="116"/>
      <c r="I14" s="116"/>
      <c r="L14" s="170">
        <v>42019</v>
      </c>
      <c r="M14" s="116">
        <v>81.7</v>
      </c>
      <c r="N14" s="116">
        <v>82.5</v>
      </c>
      <c r="O14" s="116">
        <v>79.8</v>
      </c>
      <c r="P14" s="116">
        <v>80</v>
      </c>
      <c r="Q14" s="116">
        <v>81.7</v>
      </c>
      <c r="R14">
        <v>3779466</v>
      </c>
    </row>
    <row r="15" spans="1:18" x14ac:dyDescent="0.25">
      <c r="A15" s="170">
        <v>42020</v>
      </c>
      <c r="B15" s="116">
        <v>82.6</v>
      </c>
      <c r="C15" s="116">
        <v>82.45</v>
      </c>
      <c r="D15" s="116">
        <v>81.099999999999994</v>
      </c>
      <c r="E15" s="116">
        <v>81.2</v>
      </c>
      <c r="F15" s="116">
        <v>82.45</v>
      </c>
      <c r="G15">
        <v>252917</v>
      </c>
      <c r="H15" s="116"/>
      <c r="I15" s="116"/>
      <c r="L15" s="170">
        <v>42020</v>
      </c>
      <c r="M15" s="116">
        <v>82.7</v>
      </c>
      <c r="N15" s="116">
        <v>83</v>
      </c>
      <c r="O15" s="116">
        <v>81.099999999999994</v>
      </c>
      <c r="P15" s="116">
        <v>81.400000000000006</v>
      </c>
      <c r="Q15" s="116">
        <v>82.7</v>
      </c>
      <c r="R15">
        <v>3751660</v>
      </c>
    </row>
    <row r="16" spans="1:18" x14ac:dyDescent="0.25">
      <c r="A16" s="170">
        <v>42023</v>
      </c>
      <c r="B16" s="116">
        <v>83.6</v>
      </c>
      <c r="C16" s="116">
        <v>82.8</v>
      </c>
      <c r="D16" s="116">
        <v>82.5</v>
      </c>
      <c r="E16" s="116">
        <v>82.65</v>
      </c>
      <c r="F16" s="116">
        <v>82.8</v>
      </c>
      <c r="G16">
        <v>223086</v>
      </c>
      <c r="H16" s="116"/>
      <c r="I16" s="116"/>
      <c r="L16" s="170">
        <v>42023</v>
      </c>
      <c r="M16" s="116">
        <v>82.8</v>
      </c>
      <c r="N16" s="116">
        <v>83.65</v>
      </c>
      <c r="O16" s="116">
        <v>82.4</v>
      </c>
      <c r="P16" s="116">
        <v>82.5</v>
      </c>
      <c r="Q16" s="116">
        <v>82.8</v>
      </c>
      <c r="R16">
        <v>1681839</v>
      </c>
    </row>
    <row r="17" spans="1:18" x14ac:dyDescent="0.25">
      <c r="A17" s="170">
        <v>42024</v>
      </c>
      <c r="B17" s="116">
        <v>83.65</v>
      </c>
      <c r="C17" s="116">
        <v>82.05</v>
      </c>
      <c r="D17" s="116">
        <v>81.55</v>
      </c>
      <c r="E17" s="116">
        <v>83</v>
      </c>
      <c r="F17" s="116">
        <v>82.05</v>
      </c>
      <c r="G17">
        <v>156638</v>
      </c>
      <c r="H17" s="116"/>
      <c r="I17" s="116"/>
      <c r="L17" s="170">
        <v>42024</v>
      </c>
      <c r="M17" s="116">
        <v>82.1</v>
      </c>
      <c r="N17" s="116">
        <v>83.65</v>
      </c>
      <c r="O17" s="116">
        <v>81.599999999999994</v>
      </c>
      <c r="P17" s="116">
        <v>82.85</v>
      </c>
      <c r="Q17" s="116">
        <v>82.1</v>
      </c>
      <c r="R17">
        <v>2328202</v>
      </c>
    </row>
    <row r="18" spans="1:18" x14ac:dyDescent="0.25">
      <c r="A18" s="170">
        <v>42025</v>
      </c>
      <c r="B18" s="116">
        <v>83.4</v>
      </c>
      <c r="C18" s="116">
        <v>83.2</v>
      </c>
      <c r="D18" s="116">
        <v>81.5</v>
      </c>
      <c r="E18" s="116">
        <v>82</v>
      </c>
      <c r="F18" s="116">
        <v>83.2</v>
      </c>
      <c r="G18">
        <v>310220</v>
      </c>
      <c r="H18" s="116"/>
      <c r="I18" s="116"/>
      <c r="L18" s="170">
        <v>42025</v>
      </c>
      <c r="M18" s="116">
        <v>83.4</v>
      </c>
      <c r="N18" s="116">
        <v>83.65</v>
      </c>
      <c r="O18" s="116">
        <v>81.5</v>
      </c>
      <c r="P18" s="116">
        <v>82.2</v>
      </c>
      <c r="Q18" s="116">
        <v>83.4</v>
      </c>
      <c r="R18">
        <v>3908410</v>
      </c>
    </row>
    <row r="19" spans="1:18" x14ac:dyDescent="0.25">
      <c r="A19" s="170">
        <v>42026</v>
      </c>
      <c r="B19" s="116">
        <v>83.75</v>
      </c>
      <c r="C19" s="116">
        <v>83.1</v>
      </c>
      <c r="D19" s="116">
        <v>82.65</v>
      </c>
      <c r="E19" s="116">
        <v>83.3</v>
      </c>
      <c r="F19" s="116">
        <v>83.1</v>
      </c>
      <c r="G19">
        <v>202093</v>
      </c>
      <c r="H19" s="116"/>
      <c r="I19" s="116"/>
      <c r="L19" s="170">
        <v>42026</v>
      </c>
      <c r="M19" s="116">
        <v>83.3</v>
      </c>
      <c r="N19" s="116">
        <v>83.75</v>
      </c>
      <c r="O19" s="116">
        <v>82.65</v>
      </c>
      <c r="P19" s="116">
        <v>83.5</v>
      </c>
      <c r="Q19" s="116">
        <v>83.3</v>
      </c>
      <c r="R19">
        <v>1743113</v>
      </c>
    </row>
    <row r="20" spans="1:18" x14ac:dyDescent="0.25">
      <c r="A20" s="170">
        <v>42027</v>
      </c>
      <c r="B20" s="116">
        <v>90.65</v>
      </c>
      <c r="C20" s="116">
        <v>88.8</v>
      </c>
      <c r="D20" s="116">
        <v>82.7</v>
      </c>
      <c r="E20" s="116">
        <v>83.45</v>
      </c>
      <c r="F20" s="116">
        <v>88.8</v>
      </c>
      <c r="G20">
        <v>1349564</v>
      </c>
      <c r="H20" s="116"/>
      <c r="I20" s="116"/>
      <c r="L20" s="170">
        <v>42027</v>
      </c>
      <c r="M20" s="116">
        <v>88.85</v>
      </c>
      <c r="N20" s="116">
        <v>90.85</v>
      </c>
      <c r="O20" s="116">
        <v>82.8</v>
      </c>
      <c r="P20" s="116">
        <v>83.9</v>
      </c>
      <c r="Q20" s="116">
        <v>88.85</v>
      </c>
      <c r="R20">
        <v>7726076</v>
      </c>
    </row>
    <row r="21" spans="1:18" x14ac:dyDescent="0.25">
      <c r="A21" s="170">
        <v>42031</v>
      </c>
      <c r="B21" s="116">
        <v>91.3</v>
      </c>
      <c r="C21" s="116">
        <v>89.2</v>
      </c>
      <c r="D21" s="116">
        <v>88.25</v>
      </c>
      <c r="E21" s="116">
        <v>89</v>
      </c>
      <c r="F21" s="116">
        <v>89.2</v>
      </c>
      <c r="G21">
        <v>894032</v>
      </c>
      <c r="H21" s="116"/>
      <c r="I21" s="116"/>
      <c r="L21" s="170">
        <v>42031</v>
      </c>
      <c r="M21" s="116">
        <v>89</v>
      </c>
      <c r="N21" s="116">
        <v>91.2</v>
      </c>
      <c r="O21" s="116">
        <v>88.25</v>
      </c>
      <c r="P21" s="116">
        <v>89.4</v>
      </c>
      <c r="Q21" s="116">
        <v>89</v>
      </c>
      <c r="R21">
        <v>6022715</v>
      </c>
    </row>
    <row r="22" spans="1:18" x14ac:dyDescent="0.25">
      <c r="A22" s="170">
        <v>42032</v>
      </c>
      <c r="B22" s="116">
        <v>90.15</v>
      </c>
      <c r="C22" s="116">
        <v>87.75</v>
      </c>
      <c r="D22" s="116">
        <v>87.3</v>
      </c>
      <c r="E22" s="116">
        <v>89.4</v>
      </c>
      <c r="F22" s="116">
        <v>87.75</v>
      </c>
      <c r="G22">
        <v>489107</v>
      </c>
      <c r="H22" s="116"/>
      <c r="I22" s="116"/>
      <c r="L22" s="170">
        <v>42032</v>
      </c>
      <c r="M22" s="116">
        <v>88</v>
      </c>
      <c r="N22" s="116">
        <v>90.3</v>
      </c>
      <c r="O22" s="116">
        <v>87.5</v>
      </c>
      <c r="P22" s="116">
        <v>89</v>
      </c>
      <c r="Q22" s="116">
        <v>88</v>
      </c>
      <c r="R22">
        <v>4184638</v>
      </c>
    </row>
    <row r="23" spans="1:18" x14ac:dyDescent="0.25">
      <c r="A23" s="170">
        <v>42033</v>
      </c>
      <c r="B23" s="116">
        <v>88.45</v>
      </c>
      <c r="C23" s="116">
        <v>88</v>
      </c>
      <c r="D23" s="116">
        <v>86.65</v>
      </c>
      <c r="E23" s="116">
        <v>87.75</v>
      </c>
      <c r="F23" s="116">
        <v>88</v>
      </c>
      <c r="G23">
        <v>420924</v>
      </c>
      <c r="H23" s="116"/>
      <c r="I23" s="116"/>
      <c r="L23" s="170">
        <v>42033</v>
      </c>
      <c r="M23" s="116">
        <v>88.15</v>
      </c>
      <c r="N23" s="116">
        <v>88.8</v>
      </c>
      <c r="O23" s="116">
        <v>86.5</v>
      </c>
      <c r="P23" s="116">
        <v>87.95</v>
      </c>
      <c r="Q23" s="116">
        <v>88.15</v>
      </c>
      <c r="R23">
        <v>6091464</v>
      </c>
    </row>
    <row r="24" spans="1:18" x14ac:dyDescent="0.25">
      <c r="A24" s="170">
        <v>42034</v>
      </c>
      <c r="B24" s="116">
        <v>91.5</v>
      </c>
      <c r="C24" s="116">
        <v>90.55</v>
      </c>
      <c r="D24" s="116">
        <v>87.85</v>
      </c>
      <c r="E24" s="116">
        <v>88.45</v>
      </c>
      <c r="F24" s="116">
        <v>90.55</v>
      </c>
      <c r="G24">
        <v>693426</v>
      </c>
      <c r="H24" s="116"/>
      <c r="I24" s="116"/>
      <c r="L24" s="170">
        <v>42034</v>
      </c>
      <c r="M24" s="116">
        <v>90.5</v>
      </c>
      <c r="N24" s="116">
        <v>91.55</v>
      </c>
      <c r="O24" s="116">
        <v>87.8</v>
      </c>
      <c r="P24" s="116">
        <v>88.35</v>
      </c>
      <c r="Q24" s="116">
        <v>90.5</v>
      </c>
      <c r="R24">
        <v>4689840</v>
      </c>
    </row>
    <row r="25" spans="1:18" x14ac:dyDescent="0.25">
      <c r="A25" s="170">
        <v>42037</v>
      </c>
      <c r="B25" s="116">
        <v>92.4</v>
      </c>
      <c r="C25" s="116">
        <v>91.05</v>
      </c>
      <c r="D25" s="116">
        <v>89.3</v>
      </c>
      <c r="E25" s="116">
        <v>91.1</v>
      </c>
      <c r="F25" s="116">
        <v>91.05</v>
      </c>
      <c r="G25">
        <v>643394</v>
      </c>
      <c r="H25" s="116"/>
      <c r="I25" s="116"/>
      <c r="L25" s="170">
        <v>42037</v>
      </c>
      <c r="M25" s="116">
        <v>91.15</v>
      </c>
      <c r="N25" s="116">
        <v>92.45</v>
      </c>
      <c r="O25" s="116">
        <v>89.3</v>
      </c>
      <c r="P25" s="116">
        <v>91.2</v>
      </c>
      <c r="Q25" s="116">
        <v>91.15</v>
      </c>
      <c r="R25">
        <v>5228666</v>
      </c>
    </row>
    <row r="26" spans="1:18" x14ac:dyDescent="0.25">
      <c r="A26" s="170">
        <v>42038</v>
      </c>
      <c r="B26" s="116">
        <v>91.75</v>
      </c>
      <c r="C26" s="116">
        <v>87.3</v>
      </c>
      <c r="D26" s="116">
        <v>86.95</v>
      </c>
      <c r="E26" s="116">
        <v>91.7</v>
      </c>
      <c r="F26" s="116">
        <v>87.3</v>
      </c>
      <c r="G26">
        <v>563890</v>
      </c>
      <c r="H26" s="116"/>
      <c r="I26" s="116"/>
      <c r="L26" s="170">
        <v>42038</v>
      </c>
      <c r="M26" s="116">
        <v>87.35</v>
      </c>
      <c r="N26" s="116">
        <v>92</v>
      </c>
      <c r="O26" s="116">
        <v>86.9</v>
      </c>
      <c r="P26" s="116">
        <v>91.45</v>
      </c>
      <c r="Q26" s="116">
        <v>87.35</v>
      </c>
      <c r="R26">
        <v>3239110</v>
      </c>
    </row>
    <row r="27" spans="1:18" x14ac:dyDescent="0.25">
      <c r="A27" s="170">
        <v>42039</v>
      </c>
      <c r="B27" s="116">
        <v>91.9</v>
      </c>
      <c r="C27" s="116">
        <v>90.2</v>
      </c>
      <c r="D27" s="116">
        <v>87.8</v>
      </c>
      <c r="E27" s="116">
        <v>89</v>
      </c>
      <c r="F27" s="116">
        <v>90.2</v>
      </c>
      <c r="G27">
        <v>1614254</v>
      </c>
      <c r="H27" s="116"/>
      <c r="I27" s="116"/>
      <c r="L27" s="170">
        <v>42039</v>
      </c>
      <c r="M27" s="116">
        <v>90.1</v>
      </c>
      <c r="N27" s="116">
        <v>92</v>
      </c>
      <c r="O27" s="116">
        <v>87.8</v>
      </c>
      <c r="P27" s="116">
        <v>88.1</v>
      </c>
      <c r="Q27" s="116">
        <v>90.1</v>
      </c>
      <c r="R27">
        <v>8146546</v>
      </c>
    </row>
    <row r="28" spans="1:18" x14ac:dyDescent="0.25">
      <c r="A28" s="170">
        <v>42040</v>
      </c>
      <c r="B28" s="116">
        <v>91.3</v>
      </c>
      <c r="C28" s="116">
        <v>83.45</v>
      </c>
      <c r="D28" s="116">
        <v>82.55</v>
      </c>
      <c r="E28" s="116">
        <v>91.25</v>
      </c>
      <c r="F28" s="116">
        <v>83.45</v>
      </c>
      <c r="G28">
        <v>1258612</v>
      </c>
      <c r="H28" s="116"/>
      <c r="I28" s="116"/>
      <c r="L28" s="170">
        <v>42040</v>
      </c>
      <c r="M28" s="116">
        <v>83.3</v>
      </c>
      <c r="N28" s="116">
        <v>91.1</v>
      </c>
      <c r="O28" s="116">
        <v>82.35</v>
      </c>
      <c r="P28" s="116">
        <v>91</v>
      </c>
      <c r="Q28" s="116">
        <v>83.3</v>
      </c>
      <c r="R28">
        <v>8635942</v>
      </c>
    </row>
    <row r="29" spans="1:18" x14ac:dyDescent="0.25">
      <c r="A29" s="170">
        <v>42041</v>
      </c>
      <c r="B29" s="116">
        <v>84.4</v>
      </c>
      <c r="C29" s="116">
        <v>82</v>
      </c>
      <c r="D29" s="116">
        <v>80.7</v>
      </c>
      <c r="E29" s="116">
        <v>84.1</v>
      </c>
      <c r="F29" s="116">
        <v>82</v>
      </c>
      <c r="G29">
        <v>786152</v>
      </c>
      <c r="H29" s="116"/>
      <c r="I29" s="116"/>
      <c r="L29" s="170">
        <v>42041</v>
      </c>
      <c r="M29" s="116">
        <v>82.1</v>
      </c>
      <c r="N29" s="116">
        <v>84.45</v>
      </c>
      <c r="O29" s="116">
        <v>80.55</v>
      </c>
      <c r="P29" s="116">
        <v>83.3</v>
      </c>
      <c r="Q29" s="116">
        <v>82.1</v>
      </c>
      <c r="R29">
        <v>6246080</v>
      </c>
    </row>
    <row r="30" spans="1:18" x14ac:dyDescent="0.25">
      <c r="A30" s="170">
        <v>42044</v>
      </c>
      <c r="B30" s="116">
        <v>80.95</v>
      </c>
      <c r="C30" s="116">
        <v>80</v>
      </c>
      <c r="D30" s="116">
        <v>78.5</v>
      </c>
      <c r="E30" s="116">
        <v>80.95</v>
      </c>
      <c r="F30" s="116">
        <v>80</v>
      </c>
      <c r="G30">
        <v>1133522</v>
      </c>
      <c r="H30" s="116"/>
      <c r="I30" s="116"/>
      <c r="L30" s="170">
        <v>42044</v>
      </c>
      <c r="M30" s="116">
        <v>80.05</v>
      </c>
      <c r="N30" s="116">
        <v>80.900000000000006</v>
      </c>
      <c r="O30" s="116">
        <v>78.45</v>
      </c>
      <c r="P30" s="116">
        <v>80.5</v>
      </c>
      <c r="Q30" s="116">
        <v>80.05</v>
      </c>
      <c r="R30">
        <v>6683197</v>
      </c>
    </row>
    <row r="31" spans="1:18" x14ac:dyDescent="0.25">
      <c r="A31" s="170">
        <v>42045</v>
      </c>
      <c r="B31" s="116">
        <v>82.15</v>
      </c>
      <c r="C31" s="116">
        <v>81.349999999999994</v>
      </c>
      <c r="D31" s="116">
        <v>78</v>
      </c>
      <c r="E31" s="116">
        <v>79</v>
      </c>
      <c r="F31" s="116">
        <v>81.349999999999994</v>
      </c>
      <c r="G31">
        <v>829572</v>
      </c>
      <c r="H31" s="116"/>
      <c r="I31" s="116"/>
      <c r="L31" s="170">
        <v>42045</v>
      </c>
      <c r="M31" s="116">
        <v>81.3</v>
      </c>
      <c r="N31" s="116">
        <v>82.2</v>
      </c>
      <c r="O31" s="116">
        <v>77.95</v>
      </c>
      <c r="P31" s="116">
        <v>78.3</v>
      </c>
      <c r="Q31" s="116">
        <v>81.3</v>
      </c>
      <c r="R31">
        <v>6072995</v>
      </c>
    </row>
    <row r="32" spans="1:18" x14ac:dyDescent="0.25">
      <c r="A32" s="170">
        <v>42046</v>
      </c>
      <c r="B32" s="116">
        <v>82.65</v>
      </c>
      <c r="C32" s="116">
        <v>82.1</v>
      </c>
      <c r="D32" s="116">
        <v>81.5</v>
      </c>
      <c r="E32" s="116">
        <v>81.900000000000006</v>
      </c>
      <c r="F32" s="116">
        <v>82.1</v>
      </c>
      <c r="G32">
        <v>381549</v>
      </c>
      <c r="H32" s="116"/>
      <c r="I32" s="116"/>
      <c r="L32" s="170">
        <v>42046</v>
      </c>
      <c r="M32" s="116">
        <v>82.15</v>
      </c>
      <c r="N32" s="116">
        <v>82.7</v>
      </c>
      <c r="O32" s="116">
        <v>81.5</v>
      </c>
      <c r="P32" s="116">
        <v>81.8</v>
      </c>
      <c r="Q32" s="116">
        <v>82.15</v>
      </c>
      <c r="R32">
        <v>1923495</v>
      </c>
    </row>
    <row r="33" spans="1:18" x14ac:dyDescent="0.25">
      <c r="A33" s="170">
        <v>42047</v>
      </c>
      <c r="B33" s="116">
        <v>84.1</v>
      </c>
      <c r="C33" s="116">
        <v>83.7</v>
      </c>
      <c r="D33" s="116">
        <v>81.95</v>
      </c>
      <c r="E33" s="116">
        <v>82.2</v>
      </c>
      <c r="F33" s="116">
        <v>83.7</v>
      </c>
      <c r="G33">
        <v>395581</v>
      </c>
      <c r="H33" s="116"/>
      <c r="I33" s="116"/>
      <c r="L33" s="170">
        <v>42047</v>
      </c>
      <c r="M33" s="116">
        <v>83.9</v>
      </c>
      <c r="N33" s="116">
        <v>84.4</v>
      </c>
      <c r="O33" s="116">
        <v>81.8</v>
      </c>
      <c r="P33" s="116">
        <v>82.1</v>
      </c>
      <c r="Q33" s="116">
        <v>83.9</v>
      </c>
      <c r="R33">
        <v>2829265</v>
      </c>
    </row>
    <row r="34" spans="1:18" x14ac:dyDescent="0.25">
      <c r="A34" s="170">
        <v>42048</v>
      </c>
      <c r="B34" s="116">
        <v>84.6</v>
      </c>
      <c r="C34" s="116">
        <v>84.3</v>
      </c>
      <c r="D34" s="116">
        <v>83.15</v>
      </c>
      <c r="E34" s="116">
        <v>84.6</v>
      </c>
      <c r="F34" s="116">
        <v>84.3</v>
      </c>
      <c r="G34">
        <v>387017</v>
      </c>
      <c r="H34" s="116"/>
      <c r="I34" s="116"/>
      <c r="L34" s="170">
        <v>42048</v>
      </c>
      <c r="M34" s="116">
        <v>84.4</v>
      </c>
      <c r="N34" s="116">
        <v>84.65</v>
      </c>
      <c r="O34" s="116">
        <v>83.15</v>
      </c>
      <c r="P34" s="116">
        <v>84.5</v>
      </c>
      <c r="Q34" s="116">
        <v>84.4</v>
      </c>
      <c r="R34">
        <v>2601904</v>
      </c>
    </row>
    <row r="35" spans="1:18" x14ac:dyDescent="0.25">
      <c r="A35" s="170">
        <v>42051</v>
      </c>
      <c r="B35" s="116">
        <v>84.9</v>
      </c>
      <c r="C35" s="116">
        <v>84</v>
      </c>
      <c r="D35" s="116">
        <v>83.55</v>
      </c>
      <c r="E35" s="116">
        <v>84.6</v>
      </c>
      <c r="F35" s="116">
        <v>84</v>
      </c>
      <c r="G35">
        <v>486174</v>
      </c>
      <c r="H35" s="116"/>
      <c r="I35" s="116"/>
      <c r="L35" s="170">
        <v>42051</v>
      </c>
      <c r="M35" s="116">
        <v>84.1</v>
      </c>
      <c r="N35" s="116">
        <v>85</v>
      </c>
      <c r="O35" s="116">
        <v>83.4</v>
      </c>
      <c r="P35" s="116">
        <v>84.3</v>
      </c>
      <c r="Q35" s="116">
        <v>84.1</v>
      </c>
      <c r="R35">
        <v>1912876</v>
      </c>
    </row>
    <row r="36" spans="1:18" x14ac:dyDescent="0.25">
      <c r="A36" s="170">
        <v>42053</v>
      </c>
      <c r="B36" s="116">
        <v>86.75</v>
      </c>
      <c r="C36" s="116">
        <v>86.1</v>
      </c>
      <c r="D36" s="116">
        <v>84.1</v>
      </c>
      <c r="E36" s="116">
        <v>84.55</v>
      </c>
      <c r="F36" s="116">
        <v>86.1</v>
      </c>
      <c r="G36">
        <v>618743</v>
      </c>
      <c r="H36" s="116"/>
      <c r="I36" s="116"/>
      <c r="L36" s="170">
        <v>42053</v>
      </c>
      <c r="M36" s="116">
        <v>86.25</v>
      </c>
      <c r="N36" s="116">
        <v>86.8</v>
      </c>
      <c r="O36" s="116">
        <v>84</v>
      </c>
      <c r="P36" s="116">
        <v>84.4</v>
      </c>
      <c r="Q36" s="116">
        <v>86.25</v>
      </c>
      <c r="R36">
        <v>2950082</v>
      </c>
    </row>
    <row r="37" spans="1:18" x14ac:dyDescent="0.25">
      <c r="A37" s="170">
        <v>42054</v>
      </c>
      <c r="B37" s="116">
        <v>88.8</v>
      </c>
      <c r="C37" s="116">
        <v>88.3</v>
      </c>
      <c r="D37" s="116">
        <v>83.6</v>
      </c>
      <c r="E37" s="116">
        <v>87</v>
      </c>
      <c r="F37" s="116">
        <v>88.3</v>
      </c>
      <c r="G37">
        <v>801853</v>
      </c>
      <c r="H37" s="116"/>
      <c r="I37" s="116"/>
      <c r="L37" s="170">
        <v>42054</v>
      </c>
      <c r="M37" s="116">
        <v>88.3</v>
      </c>
      <c r="N37" s="116">
        <v>88.8</v>
      </c>
      <c r="O37" s="116">
        <v>83.5</v>
      </c>
      <c r="P37" s="116">
        <v>86.7</v>
      </c>
      <c r="Q37" s="116">
        <v>88.3</v>
      </c>
      <c r="R37">
        <v>3956381</v>
      </c>
    </row>
    <row r="38" spans="1:18" x14ac:dyDescent="0.25">
      <c r="A38" s="170">
        <v>42055</v>
      </c>
      <c r="B38" s="116">
        <v>88.45</v>
      </c>
      <c r="C38" s="116">
        <v>85.95</v>
      </c>
      <c r="D38" s="116">
        <v>85.55</v>
      </c>
      <c r="E38" s="116">
        <v>88.3</v>
      </c>
      <c r="F38" s="116">
        <v>85.95</v>
      </c>
      <c r="G38">
        <v>515390</v>
      </c>
      <c r="H38" s="116"/>
      <c r="I38" s="116"/>
      <c r="L38" s="170">
        <v>42055</v>
      </c>
      <c r="M38" s="116">
        <v>85.95</v>
      </c>
      <c r="N38" s="116">
        <v>88.65</v>
      </c>
      <c r="O38" s="116">
        <v>85.45</v>
      </c>
      <c r="P38" s="116">
        <v>88.3</v>
      </c>
      <c r="Q38" s="116">
        <v>85.95</v>
      </c>
      <c r="R38">
        <v>3317379</v>
      </c>
    </row>
    <row r="39" spans="1:18" x14ac:dyDescent="0.25">
      <c r="A39" s="170">
        <v>42058</v>
      </c>
      <c r="B39" s="116">
        <v>87.8</v>
      </c>
      <c r="C39" s="116">
        <v>85.05</v>
      </c>
      <c r="D39" s="116">
        <v>84.55</v>
      </c>
      <c r="E39" s="116">
        <v>86.7</v>
      </c>
      <c r="F39" s="116">
        <v>85.05</v>
      </c>
      <c r="G39">
        <v>484696</v>
      </c>
      <c r="H39" s="116"/>
      <c r="I39" s="116"/>
      <c r="L39" s="170">
        <v>42058</v>
      </c>
      <c r="M39" s="116">
        <v>84.95</v>
      </c>
      <c r="N39" s="116">
        <v>87.8</v>
      </c>
      <c r="O39" s="116">
        <v>84.4</v>
      </c>
      <c r="P39" s="116">
        <v>86.45</v>
      </c>
      <c r="Q39" s="116">
        <v>84.95</v>
      </c>
      <c r="R39">
        <v>4082849</v>
      </c>
    </row>
    <row r="40" spans="1:18" x14ac:dyDescent="0.25">
      <c r="A40" s="170">
        <v>42059</v>
      </c>
      <c r="B40" s="116">
        <v>86.05</v>
      </c>
      <c r="C40" s="116">
        <v>84.55</v>
      </c>
      <c r="D40" s="116">
        <v>83.3</v>
      </c>
      <c r="E40" s="116">
        <v>85</v>
      </c>
      <c r="F40" s="116">
        <v>84.55</v>
      </c>
      <c r="G40">
        <v>432417</v>
      </c>
      <c r="H40" s="116"/>
      <c r="I40" s="116"/>
      <c r="L40" s="170">
        <v>42059</v>
      </c>
      <c r="M40" s="116">
        <v>84.45</v>
      </c>
      <c r="N40" s="116">
        <v>86.1</v>
      </c>
      <c r="O40" s="116">
        <v>83.25</v>
      </c>
      <c r="P40" s="116">
        <v>85.25</v>
      </c>
      <c r="Q40" s="116">
        <v>84.45</v>
      </c>
      <c r="R40">
        <v>4198879</v>
      </c>
    </row>
    <row r="41" spans="1:18" x14ac:dyDescent="0.25">
      <c r="A41" s="170">
        <v>42060</v>
      </c>
      <c r="B41" s="116">
        <v>85.95</v>
      </c>
      <c r="C41" s="116">
        <v>83</v>
      </c>
      <c r="D41" s="116">
        <v>82.6</v>
      </c>
      <c r="E41" s="116">
        <v>85.95</v>
      </c>
      <c r="F41" s="116">
        <v>83</v>
      </c>
      <c r="G41">
        <v>364717</v>
      </c>
      <c r="H41" s="116"/>
      <c r="I41" s="116"/>
      <c r="L41" s="170">
        <v>42060</v>
      </c>
      <c r="M41" s="116">
        <v>83</v>
      </c>
      <c r="N41" s="116">
        <v>85.7</v>
      </c>
      <c r="O41" s="116">
        <v>82.6</v>
      </c>
      <c r="P41" s="116">
        <v>84.85</v>
      </c>
      <c r="Q41" s="116">
        <v>83</v>
      </c>
      <c r="R41">
        <v>2045340</v>
      </c>
    </row>
    <row r="42" spans="1:18" x14ac:dyDescent="0.25">
      <c r="A42" s="170">
        <v>42061</v>
      </c>
      <c r="B42" s="116">
        <v>83.7</v>
      </c>
      <c r="C42" s="116">
        <v>82.8</v>
      </c>
      <c r="D42" s="116">
        <v>81.2</v>
      </c>
      <c r="E42" s="116">
        <v>82.7</v>
      </c>
      <c r="F42" s="116">
        <v>82.8</v>
      </c>
      <c r="G42">
        <v>436774</v>
      </c>
      <c r="H42" s="116"/>
      <c r="I42" s="116"/>
      <c r="L42" s="170">
        <v>42061</v>
      </c>
      <c r="M42" s="116">
        <v>82.7</v>
      </c>
      <c r="N42" s="116">
        <v>83.65</v>
      </c>
      <c r="O42" s="116">
        <v>81.2</v>
      </c>
      <c r="P42" s="116">
        <v>82.8</v>
      </c>
      <c r="Q42" s="116">
        <v>82.7</v>
      </c>
      <c r="R42">
        <v>4020091</v>
      </c>
    </row>
    <row r="43" spans="1:18" x14ac:dyDescent="0.25">
      <c r="A43" s="170">
        <v>42062</v>
      </c>
      <c r="B43" s="116">
        <v>87.8</v>
      </c>
      <c r="C43" s="116">
        <v>87.3</v>
      </c>
      <c r="D43" s="116">
        <v>84.55</v>
      </c>
      <c r="E43" s="116">
        <v>85</v>
      </c>
      <c r="F43" s="116">
        <v>87.3</v>
      </c>
      <c r="G43">
        <v>837155</v>
      </c>
      <c r="H43" s="116"/>
      <c r="I43" s="116"/>
      <c r="L43" s="170">
        <v>42062</v>
      </c>
      <c r="M43" s="116">
        <v>87.3</v>
      </c>
      <c r="N43" s="116">
        <v>87.9</v>
      </c>
      <c r="O43" s="116">
        <v>84.5</v>
      </c>
      <c r="P43" s="116">
        <v>84.6</v>
      </c>
      <c r="Q43" s="116">
        <v>87.3</v>
      </c>
      <c r="R43">
        <v>7855296</v>
      </c>
    </row>
    <row r="44" spans="1:18" x14ac:dyDescent="0.25">
      <c r="A44" s="170">
        <v>42063</v>
      </c>
      <c r="B44" s="116">
        <v>89.65</v>
      </c>
      <c r="C44" s="116">
        <v>86.95</v>
      </c>
      <c r="D44" s="116">
        <v>84.7</v>
      </c>
      <c r="E44" s="116">
        <v>89.6</v>
      </c>
      <c r="F44" s="116">
        <v>86.95</v>
      </c>
      <c r="G44">
        <v>1009221</v>
      </c>
      <c r="H44" s="116"/>
      <c r="I44" s="116"/>
      <c r="L44" s="170">
        <v>42063</v>
      </c>
      <c r="M44" s="116">
        <v>86.85</v>
      </c>
      <c r="N44" s="116">
        <v>89.2</v>
      </c>
      <c r="O44" s="116">
        <v>84.55</v>
      </c>
      <c r="P44" s="116">
        <v>89</v>
      </c>
      <c r="Q44" s="116">
        <v>86.85</v>
      </c>
      <c r="R44">
        <v>4884856</v>
      </c>
    </row>
    <row r="45" spans="1:18" x14ac:dyDescent="0.25">
      <c r="A45" s="170">
        <v>42065</v>
      </c>
      <c r="B45" s="116">
        <v>87.4</v>
      </c>
      <c r="C45" s="116">
        <v>86</v>
      </c>
      <c r="D45" s="116">
        <v>85.1</v>
      </c>
      <c r="E45" s="116">
        <v>85.5</v>
      </c>
      <c r="F45" s="116">
        <v>86</v>
      </c>
      <c r="G45">
        <v>494108</v>
      </c>
      <c r="H45" s="116"/>
      <c r="I45" s="116"/>
      <c r="L45" s="170">
        <v>42065</v>
      </c>
      <c r="M45" s="116">
        <v>86.25</v>
      </c>
      <c r="N45" s="116">
        <v>87.4</v>
      </c>
      <c r="O45" s="116">
        <v>85.1</v>
      </c>
      <c r="P45" s="116">
        <v>86.5</v>
      </c>
      <c r="Q45" s="116">
        <v>86.25</v>
      </c>
      <c r="R45">
        <v>3162250</v>
      </c>
    </row>
    <row r="46" spans="1:18" x14ac:dyDescent="0.25">
      <c r="A46" s="170">
        <v>42066</v>
      </c>
      <c r="B46" s="116">
        <v>87.8</v>
      </c>
      <c r="C46" s="116">
        <v>87.15</v>
      </c>
      <c r="D46" s="116">
        <v>85.5</v>
      </c>
      <c r="E46" s="116">
        <v>86.6</v>
      </c>
      <c r="F46" s="116">
        <v>87.15</v>
      </c>
      <c r="G46">
        <v>518153</v>
      </c>
      <c r="H46" s="116"/>
      <c r="I46" s="116"/>
      <c r="L46" s="170">
        <v>42066</v>
      </c>
      <c r="M46" s="116">
        <v>87.25</v>
      </c>
      <c r="N46" s="116">
        <v>87.8</v>
      </c>
      <c r="O46" s="116">
        <v>85</v>
      </c>
      <c r="P46" s="116">
        <v>86.4</v>
      </c>
      <c r="Q46" s="116">
        <v>87.25</v>
      </c>
      <c r="R46">
        <v>2803269</v>
      </c>
    </row>
    <row r="47" spans="1:18" x14ac:dyDescent="0.25">
      <c r="A47" s="170">
        <v>42067</v>
      </c>
      <c r="B47" s="116">
        <v>88.35</v>
      </c>
      <c r="C47" s="116">
        <v>84.35</v>
      </c>
      <c r="D47" s="116">
        <v>83.8</v>
      </c>
      <c r="E47" s="116">
        <v>88</v>
      </c>
      <c r="F47" s="116">
        <v>84.35</v>
      </c>
      <c r="G47">
        <v>474109</v>
      </c>
      <c r="H47" s="116"/>
      <c r="I47" s="116"/>
      <c r="L47" s="170">
        <v>42067</v>
      </c>
      <c r="M47" s="116">
        <v>84.35</v>
      </c>
      <c r="N47" s="116">
        <v>88.3</v>
      </c>
      <c r="O47" s="116">
        <v>83.8</v>
      </c>
      <c r="P47" s="116">
        <v>88</v>
      </c>
      <c r="Q47" s="116">
        <v>84.35</v>
      </c>
      <c r="R47">
        <v>2752005</v>
      </c>
    </row>
    <row r="48" spans="1:18" x14ac:dyDescent="0.25">
      <c r="A48" s="170">
        <v>42068</v>
      </c>
      <c r="B48" s="116">
        <v>85.85</v>
      </c>
      <c r="C48" s="116">
        <v>85.25</v>
      </c>
      <c r="D48" s="116">
        <v>84</v>
      </c>
      <c r="E48" s="116">
        <v>84.7</v>
      </c>
      <c r="F48" s="116">
        <v>85.25</v>
      </c>
      <c r="G48">
        <v>320967</v>
      </c>
      <c r="H48" s="116"/>
      <c r="I48" s="116"/>
      <c r="L48" s="170">
        <v>42068</v>
      </c>
      <c r="M48" s="116">
        <v>85.3</v>
      </c>
      <c r="N48" s="116">
        <v>85.9</v>
      </c>
      <c r="O48" s="116">
        <v>84</v>
      </c>
      <c r="P48" s="116">
        <v>84.35</v>
      </c>
      <c r="Q48" s="116">
        <v>85.3</v>
      </c>
      <c r="R48">
        <v>2394050</v>
      </c>
    </row>
    <row r="49" spans="1:18" x14ac:dyDescent="0.25">
      <c r="A49" s="170">
        <v>42072</v>
      </c>
      <c r="B49" s="116">
        <v>84.85</v>
      </c>
      <c r="C49" s="116">
        <v>82.25</v>
      </c>
      <c r="D49" s="116">
        <v>82</v>
      </c>
      <c r="E49" s="116">
        <v>84.85</v>
      </c>
      <c r="F49" s="116">
        <v>82.25</v>
      </c>
      <c r="G49">
        <v>344824</v>
      </c>
      <c r="H49" s="116"/>
      <c r="I49" s="116"/>
      <c r="L49" s="170">
        <v>42072</v>
      </c>
      <c r="M49" s="116">
        <v>82.25</v>
      </c>
      <c r="N49" s="116">
        <v>84.85</v>
      </c>
      <c r="O49" s="116">
        <v>82</v>
      </c>
      <c r="P49" s="116">
        <v>84.55</v>
      </c>
      <c r="Q49" s="116">
        <v>82.25</v>
      </c>
      <c r="R49">
        <v>2210809</v>
      </c>
    </row>
    <row r="50" spans="1:18" x14ac:dyDescent="0.25">
      <c r="A50" s="170">
        <v>42073</v>
      </c>
      <c r="B50" s="116">
        <v>84</v>
      </c>
      <c r="C50" s="116">
        <v>81.150000000000006</v>
      </c>
      <c r="D50" s="116">
        <v>80.900000000000006</v>
      </c>
      <c r="E50" s="116">
        <v>84</v>
      </c>
      <c r="F50" s="116">
        <v>81.150000000000006</v>
      </c>
      <c r="G50">
        <v>409918</v>
      </c>
      <c r="H50" s="116"/>
      <c r="I50" s="116"/>
      <c r="L50" s="170">
        <v>42073</v>
      </c>
      <c r="M50" s="116">
        <v>81.099999999999994</v>
      </c>
      <c r="N50" s="116">
        <v>83.2</v>
      </c>
      <c r="O50" s="116">
        <v>80.849999999999994</v>
      </c>
      <c r="P50" s="116">
        <v>82.75</v>
      </c>
      <c r="Q50" s="116">
        <v>81.099999999999994</v>
      </c>
      <c r="R50">
        <v>2361600</v>
      </c>
    </row>
    <row r="51" spans="1:18" x14ac:dyDescent="0.25">
      <c r="A51" s="170">
        <v>42074</v>
      </c>
      <c r="B51" s="116">
        <v>82.1</v>
      </c>
      <c r="C51" s="116">
        <v>80.900000000000006</v>
      </c>
      <c r="D51" s="116">
        <v>80.7</v>
      </c>
      <c r="E51" s="116">
        <v>81</v>
      </c>
      <c r="F51" s="116">
        <v>80.900000000000006</v>
      </c>
      <c r="G51">
        <v>305844</v>
      </c>
      <c r="H51" s="116"/>
      <c r="I51" s="116"/>
      <c r="L51" s="170">
        <v>42074</v>
      </c>
      <c r="M51" s="116">
        <v>80.849999999999994</v>
      </c>
      <c r="N51" s="116">
        <v>82.15</v>
      </c>
      <c r="O51" s="116">
        <v>80.55</v>
      </c>
      <c r="P51" s="116">
        <v>81.8</v>
      </c>
      <c r="Q51" s="116">
        <v>80.849999999999994</v>
      </c>
      <c r="R51">
        <v>3338126</v>
      </c>
    </row>
    <row r="52" spans="1:18" x14ac:dyDescent="0.25">
      <c r="A52" s="170">
        <v>42075</v>
      </c>
      <c r="B52" s="116">
        <v>82.4</v>
      </c>
      <c r="C52" s="116">
        <v>81.5</v>
      </c>
      <c r="D52" s="116">
        <v>81.3</v>
      </c>
      <c r="E52" s="116">
        <v>82.2</v>
      </c>
      <c r="F52" s="116">
        <v>81.5</v>
      </c>
      <c r="G52">
        <v>305262</v>
      </c>
      <c r="H52" s="116"/>
      <c r="I52" s="116"/>
      <c r="L52" s="170">
        <v>42075</v>
      </c>
      <c r="M52" s="116">
        <v>81.45</v>
      </c>
      <c r="N52" s="116">
        <v>82.4</v>
      </c>
      <c r="O52" s="116">
        <v>81.2</v>
      </c>
      <c r="P52" s="116">
        <v>81.25</v>
      </c>
      <c r="Q52" s="116">
        <v>81.45</v>
      </c>
      <c r="R52">
        <v>3011012</v>
      </c>
    </row>
    <row r="53" spans="1:18" x14ac:dyDescent="0.25">
      <c r="A53" s="170">
        <v>42076</v>
      </c>
      <c r="B53" s="116">
        <v>82.9</v>
      </c>
      <c r="C53" s="116">
        <v>79.7</v>
      </c>
      <c r="D53" s="116">
        <v>79.349999999999994</v>
      </c>
      <c r="E53" s="116">
        <v>82.2</v>
      </c>
      <c r="F53" s="116">
        <v>79.7</v>
      </c>
      <c r="G53">
        <v>417928</v>
      </c>
      <c r="H53" s="116"/>
      <c r="I53" s="116"/>
      <c r="L53" s="170">
        <v>42076</v>
      </c>
      <c r="M53" s="116">
        <v>79.7</v>
      </c>
      <c r="N53" s="116">
        <v>82.7</v>
      </c>
      <c r="O53" s="116">
        <v>79.400000000000006</v>
      </c>
      <c r="P53" s="116">
        <v>82.7</v>
      </c>
      <c r="Q53" s="116">
        <v>79.7</v>
      </c>
      <c r="R53">
        <v>3689687</v>
      </c>
    </row>
    <row r="54" spans="1:18" x14ac:dyDescent="0.25">
      <c r="A54" s="170">
        <v>42079</v>
      </c>
      <c r="B54" s="116">
        <v>81.400000000000006</v>
      </c>
      <c r="C54" s="116">
        <v>80.95</v>
      </c>
      <c r="D54" s="116">
        <v>79.5</v>
      </c>
      <c r="E54" s="116">
        <v>80.7</v>
      </c>
      <c r="F54" s="116">
        <v>80.95</v>
      </c>
      <c r="G54">
        <v>315558</v>
      </c>
      <c r="H54" s="116"/>
      <c r="I54" s="116"/>
      <c r="L54" s="170">
        <v>42079</v>
      </c>
      <c r="M54" s="116">
        <v>81</v>
      </c>
      <c r="N54" s="116">
        <v>81.45</v>
      </c>
      <c r="O54" s="116">
        <v>79.5</v>
      </c>
      <c r="P54" s="116">
        <v>80.7</v>
      </c>
      <c r="Q54" s="116">
        <v>81</v>
      </c>
      <c r="R54">
        <v>3030132</v>
      </c>
    </row>
    <row r="55" spans="1:18" x14ac:dyDescent="0.25">
      <c r="A55" s="170">
        <v>42080</v>
      </c>
      <c r="B55" s="116">
        <v>81.900000000000006</v>
      </c>
      <c r="C55" s="116">
        <v>80.45</v>
      </c>
      <c r="D55" s="116">
        <v>80</v>
      </c>
      <c r="E55" s="116">
        <v>81.900000000000006</v>
      </c>
      <c r="F55" s="116">
        <v>80.45</v>
      </c>
      <c r="G55">
        <v>383457</v>
      </c>
      <c r="H55" s="116"/>
      <c r="I55" s="116"/>
      <c r="L55" s="170">
        <v>42080</v>
      </c>
      <c r="M55" s="116">
        <v>80.55</v>
      </c>
      <c r="N55" s="116">
        <v>81.8</v>
      </c>
      <c r="O55" s="116">
        <v>80.05</v>
      </c>
      <c r="P55" s="116">
        <v>81.650000000000006</v>
      </c>
      <c r="Q55" s="116">
        <v>80.55</v>
      </c>
      <c r="R55">
        <v>2387387</v>
      </c>
    </row>
    <row r="56" spans="1:18" x14ac:dyDescent="0.25">
      <c r="A56" s="170">
        <v>42081</v>
      </c>
      <c r="B56" s="116">
        <v>82.05</v>
      </c>
      <c r="C56" s="116">
        <v>80.5</v>
      </c>
      <c r="D56" s="116">
        <v>79</v>
      </c>
      <c r="E56" s="116">
        <v>80</v>
      </c>
      <c r="F56" s="116">
        <v>80.5</v>
      </c>
      <c r="G56">
        <v>418103</v>
      </c>
      <c r="H56" s="116"/>
      <c r="I56" s="116"/>
      <c r="L56" s="170">
        <v>42081</v>
      </c>
      <c r="M56" s="116">
        <v>80.349999999999994</v>
      </c>
      <c r="N56" s="116">
        <v>82.1</v>
      </c>
      <c r="O56" s="116">
        <v>78.849999999999994</v>
      </c>
      <c r="P56" s="116">
        <v>80.150000000000006</v>
      </c>
      <c r="Q56" s="116">
        <v>80.349999999999994</v>
      </c>
      <c r="R56">
        <v>5906417</v>
      </c>
    </row>
    <row r="57" spans="1:18" x14ac:dyDescent="0.25">
      <c r="A57" s="170">
        <v>42082</v>
      </c>
      <c r="B57" s="116">
        <v>81.7</v>
      </c>
      <c r="C57" s="116">
        <v>79.55</v>
      </c>
      <c r="D57" s="116">
        <v>79.2</v>
      </c>
      <c r="E57" s="116">
        <v>80.400000000000006</v>
      </c>
      <c r="F57" s="116">
        <v>79.55</v>
      </c>
      <c r="G57">
        <v>242157</v>
      </c>
      <c r="H57" s="116"/>
      <c r="I57" s="116"/>
      <c r="L57" s="170">
        <v>42082</v>
      </c>
      <c r="M57" s="116">
        <v>79.8</v>
      </c>
      <c r="N57" s="116">
        <v>81.75</v>
      </c>
      <c r="O57" s="116">
        <v>79.5</v>
      </c>
      <c r="P57" s="116">
        <v>80.95</v>
      </c>
      <c r="Q57" s="116">
        <v>79.8</v>
      </c>
      <c r="R57">
        <v>2905760</v>
      </c>
    </row>
    <row r="58" spans="1:18" x14ac:dyDescent="0.25">
      <c r="A58" s="170">
        <v>42083</v>
      </c>
      <c r="B58" s="116">
        <v>80.349999999999994</v>
      </c>
      <c r="C58" s="116">
        <v>78.900000000000006</v>
      </c>
      <c r="D58" s="116">
        <v>78.650000000000006</v>
      </c>
      <c r="E58" s="116">
        <v>79.8</v>
      </c>
      <c r="F58" s="116">
        <v>78.900000000000006</v>
      </c>
      <c r="G58">
        <v>280262</v>
      </c>
      <c r="H58" s="116"/>
      <c r="I58" s="116"/>
      <c r="L58" s="170">
        <v>42083</v>
      </c>
      <c r="M58" s="116">
        <v>78.95</v>
      </c>
      <c r="N58" s="116">
        <v>80.400000000000006</v>
      </c>
      <c r="O58" s="116">
        <v>78.650000000000006</v>
      </c>
      <c r="P58" s="116">
        <v>80</v>
      </c>
      <c r="Q58" s="116">
        <v>78.95</v>
      </c>
      <c r="R58">
        <v>2398900</v>
      </c>
    </row>
    <row r="59" spans="1:18" x14ac:dyDescent="0.25">
      <c r="A59" s="170">
        <v>42086</v>
      </c>
      <c r="B59" s="116">
        <v>79.5</v>
      </c>
      <c r="C59" s="116">
        <v>78.8</v>
      </c>
      <c r="D59" s="116">
        <v>78.349999999999994</v>
      </c>
      <c r="E59" s="116">
        <v>79</v>
      </c>
      <c r="F59" s="116">
        <v>78.8</v>
      </c>
      <c r="G59">
        <v>235292</v>
      </c>
      <c r="H59" s="116"/>
      <c r="I59" s="116"/>
      <c r="L59" s="170">
        <v>42086</v>
      </c>
      <c r="M59" s="116">
        <v>78.75</v>
      </c>
      <c r="N59" s="116">
        <v>79.599999999999994</v>
      </c>
      <c r="O59" s="116">
        <v>78.349999999999994</v>
      </c>
      <c r="P59" s="116">
        <v>79.5</v>
      </c>
      <c r="Q59" s="116">
        <v>78.75</v>
      </c>
      <c r="R59">
        <v>2500710</v>
      </c>
    </row>
    <row r="60" spans="1:18" x14ac:dyDescent="0.25">
      <c r="A60" s="170">
        <v>42087</v>
      </c>
      <c r="B60" s="116">
        <v>79.45</v>
      </c>
      <c r="C60" s="116">
        <v>78.45</v>
      </c>
      <c r="D60" s="116">
        <v>78.25</v>
      </c>
      <c r="E60" s="116">
        <v>78.95</v>
      </c>
      <c r="F60" s="116">
        <v>78.45</v>
      </c>
      <c r="G60">
        <v>240931</v>
      </c>
      <c r="H60" s="116"/>
      <c r="I60" s="116"/>
      <c r="L60" s="170">
        <v>42087</v>
      </c>
      <c r="M60" s="116">
        <v>78.349999999999994</v>
      </c>
      <c r="N60" s="116">
        <v>79.45</v>
      </c>
      <c r="O60" s="116">
        <v>78.150000000000006</v>
      </c>
      <c r="P60" s="116">
        <v>78.55</v>
      </c>
      <c r="Q60" s="116">
        <v>78.349999999999994</v>
      </c>
      <c r="R60">
        <v>2560026</v>
      </c>
    </row>
    <row r="61" spans="1:18" x14ac:dyDescent="0.25">
      <c r="A61" s="170">
        <v>42088</v>
      </c>
      <c r="B61" s="116">
        <v>78.75</v>
      </c>
      <c r="C61" s="116">
        <v>77.2</v>
      </c>
      <c r="D61" s="116">
        <v>77.05</v>
      </c>
      <c r="E61" s="116">
        <v>78.5</v>
      </c>
      <c r="F61" s="116">
        <v>77.2</v>
      </c>
      <c r="G61">
        <v>251504</v>
      </c>
      <c r="H61" s="116"/>
      <c r="I61" s="116"/>
      <c r="L61" s="170">
        <v>42088</v>
      </c>
      <c r="M61" s="116">
        <v>77.349999999999994</v>
      </c>
      <c r="N61" s="116">
        <v>78.900000000000006</v>
      </c>
      <c r="O61" s="116">
        <v>77.25</v>
      </c>
      <c r="P61" s="116">
        <v>78.900000000000006</v>
      </c>
      <c r="Q61" s="116">
        <v>77.349999999999994</v>
      </c>
      <c r="R61">
        <v>1892901</v>
      </c>
    </row>
    <row r="62" spans="1:18" x14ac:dyDescent="0.25">
      <c r="A62" s="170">
        <v>42089</v>
      </c>
      <c r="B62" s="116">
        <v>78.150000000000006</v>
      </c>
      <c r="C62" s="116">
        <v>76.3</v>
      </c>
      <c r="D62" s="116">
        <v>76</v>
      </c>
      <c r="E62" s="116">
        <v>77.400000000000006</v>
      </c>
      <c r="F62" s="116">
        <v>76.3</v>
      </c>
      <c r="G62">
        <v>432432</v>
      </c>
      <c r="H62" s="116"/>
      <c r="I62" s="116"/>
      <c r="L62" s="170">
        <v>42089</v>
      </c>
      <c r="M62" s="116">
        <v>76.2</v>
      </c>
      <c r="N62" s="116">
        <v>78.25</v>
      </c>
      <c r="O62" s="116">
        <v>76</v>
      </c>
      <c r="P62" s="116">
        <v>77.5</v>
      </c>
      <c r="Q62" s="116">
        <v>76.2</v>
      </c>
      <c r="R62">
        <v>4567870</v>
      </c>
    </row>
    <row r="63" spans="1:18" x14ac:dyDescent="0.25">
      <c r="A63" s="170">
        <v>42090</v>
      </c>
      <c r="B63" s="116">
        <v>77</v>
      </c>
      <c r="C63" s="116">
        <v>75.099999999999994</v>
      </c>
      <c r="D63" s="116">
        <v>74.099999999999994</v>
      </c>
      <c r="E63" s="116">
        <v>77</v>
      </c>
      <c r="F63" s="116">
        <v>75.099999999999994</v>
      </c>
      <c r="G63">
        <v>381294</v>
      </c>
      <c r="H63" s="116"/>
      <c r="I63" s="116"/>
      <c r="L63" s="170">
        <v>42090</v>
      </c>
      <c r="M63" s="116">
        <v>74.900000000000006</v>
      </c>
      <c r="N63" s="116">
        <v>76.95</v>
      </c>
      <c r="O63" s="116">
        <v>74</v>
      </c>
      <c r="P63" s="116">
        <v>76.95</v>
      </c>
      <c r="Q63" s="116">
        <v>74.900000000000006</v>
      </c>
      <c r="R63">
        <v>3761113</v>
      </c>
    </row>
    <row r="64" spans="1:18" x14ac:dyDescent="0.25">
      <c r="A64" s="170">
        <v>42093</v>
      </c>
      <c r="B64" s="116">
        <v>75.95</v>
      </c>
      <c r="C64" s="116">
        <v>74.55</v>
      </c>
      <c r="D64" s="116">
        <v>73.599999999999994</v>
      </c>
      <c r="E64" s="116">
        <v>75.599999999999994</v>
      </c>
      <c r="F64" s="116">
        <v>74.55</v>
      </c>
      <c r="G64">
        <v>482763</v>
      </c>
      <c r="H64" s="116"/>
      <c r="I64" s="116"/>
      <c r="L64" s="170">
        <v>42093</v>
      </c>
      <c r="M64" s="116">
        <v>74.349999999999994</v>
      </c>
      <c r="N64" s="116">
        <v>75.849999999999994</v>
      </c>
      <c r="O64" s="116">
        <v>73.55</v>
      </c>
      <c r="P64" s="116">
        <v>75.599999999999994</v>
      </c>
      <c r="Q64" s="116">
        <v>74.349999999999994</v>
      </c>
      <c r="R64">
        <v>4614892</v>
      </c>
    </row>
    <row r="65" spans="1:18" x14ac:dyDescent="0.25">
      <c r="A65" s="170">
        <v>42094</v>
      </c>
      <c r="B65" s="116">
        <v>77.45</v>
      </c>
      <c r="C65" s="116">
        <v>77.099999999999994</v>
      </c>
      <c r="D65" s="116">
        <v>75</v>
      </c>
      <c r="E65" s="116">
        <v>75</v>
      </c>
      <c r="F65" s="116">
        <v>77.099999999999994</v>
      </c>
      <c r="G65">
        <v>473323</v>
      </c>
      <c r="H65" s="116"/>
      <c r="I65" s="116"/>
      <c r="L65" s="170">
        <v>42094</v>
      </c>
      <c r="M65" s="116">
        <v>77.099999999999994</v>
      </c>
      <c r="N65" s="116">
        <v>77.5</v>
      </c>
      <c r="O65" s="116">
        <v>74.900000000000006</v>
      </c>
      <c r="P65" s="116">
        <v>75.3</v>
      </c>
      <c r="Q65" s="116">
        <v>77.099999999999994</v>
      </c>
      <c r="R65">
        <v>6840776</v>
      </c>
    </row>
    <row r="66" spans="1:18" x14ac:dyDescent="0.25">
      <c r="A66" s="170">
        <v>42095</v>
      </c>
      <c r="B66" s="116">
        <v>78</v>
      </c>
      <c r="C66" s="116">
        <v>77.55</v>
      </c>
      <c r="D66" s="116">
        <v>76.75</v>
      </c>
      <c r="E66" s="116">
        <v>78</v>
      </c>
      <c r="F66" s="116">
        <v>77.55</v>
      </c>
      <c r="G66">
        <v>463872</v>
      </c>
      <c r="H66" s="116"/>
      <c r="I66" s="116"/>
      <c r="L66" s="170">
        <v>42095</v>
      </c>
      <c r="M66" s="116">
        <v>77.5</v>
      </c>
      <c r="N66" s="116">
        <v>77.900000000000006</v>
      </c>
      <c r="O66" s="116">
        <v>76.7</v>
      </c>
      <c r="P66" s="116">
        <v>77.05</v>
      </c>
      <c r="Q66" s="116">
        <v>77.5</v>
      </c>
      <c r="R66">
        <v>2798293</v>
      </c>
    </row>
    <row r="67" spans="1:18" x14ac:dyDescent="0.25">
      <c r="A67" s="170">
        <v>42100</v>
      </c>
      <c r="B67" s="116">
        <v>78.2</v>
      </c>
      <c r="C67" s="116">
        <v>77.05</v>
      </c>
      <c r="D67" s="116">
        <v>76.150000000000006</v>
      </c>
      <c r="E67" s="116">
        <v>78</v>
      </c>
      <c r="F67" s="116">
        <v>77.05</v>
      </c>
      <c r="G67">
        <v>266416</v>
      </c>
      <c r="H67" s="116"/>
      <c r="I67" s="116"/>
      <c r="L67" s="170">
        <v>42100</v>
      </c>
      <c r="M67" s="116">
        <v>77.25</v>
      </c>
      <c r="N67" s="116">
        <v>78.3</v>
      </c>
      <c r="O67" s="116">
        <v>76.099999999999994</v>
      </c>
      <c r="P67" s="116">
        <v>78</v>
      </c>
      <c r="Q67" s="116">
        <v>77.25</v>
      </c>
      <c r="R67">
        <v>4749503</v>
      </c>
    </row>
    <row r="68" spans="1:18" x14ac:dyDescent="0.25">
      <c r="A68" s="170">
        <v>42101</v>
      </c>
      <c r="B68" s="116">
        <v>78.650000000000006</v>
      </c>
      <c r="C68" s="116">
        <v>78.3</v>
      </c>
      <c r="D68" s="116">
        <v>77.099999999999994</v>
      </c>
      <c r="E68" s="116">
        <v>77.900000000000006</v>
      </c>
      <c r="F68" s="116">
        <v>78.3</v>
      </c>
      <c r="G68">
        <v>315825</v>
      </c>
      <c r="H68" s="116"/>
      <c r="I68" s="116"/>
      <c r="L68" s="170">
        <v>42101</v>
      </c>
      <c r="M68" s="116">
        <v>78.400000000000006</v>
      </c>
      <c r="N68" s="116">
        <v>79</v>
      </c>
      <c r="O68" s="116">
        <v>77.2</v>
      </c>
      <c r="P68" s="116">
        <v>77.8</v>
      </c>
      <c r="Q68" s="116">
        <v>78.400000000000006</v>
      </c>
      <c r="R68">
        <v>2546427</v>
      </c>
    </row>
    <row r="69" spans="1:18" x14ac:dyDescent="0.25">
      <c r="A69" s="170">
        <v>42102</v>
      </c>
      <c r="B69" s="116">
        <v>78.900000000000006</v>
      </c>
      <c r="C69" s="116">
        <v>77.55</v>
      </c>
      <c r="D69" s="116">
        <v>77.3</v>
      </c>
      <c r="E69" s="116">
        <v>78.599999999999994</v>
      </c>
      <c r="F69" s="116">
        <v>77.55</v>
      </c>
      <c r="G69">
        <v>289599</v>
      </c>
      <c r="H69" s="116"/>
      <c r="I69" s="116"/>
      <c r="L69" s="170">
        <v>42102</v>
      </c>
      <c r="M69" s="116">
        <v>77.349999999999994</v>
      </c>
      <c r="N69" s="116">
        <v>79</v>
      </c>
      <c r="O69" s="116">
        <v>77.150000000000006</v>
      </c>
      <c r="P69" s="116">
        <v>78.900000000000006</v>
      </c>
      <c r="Q69" s="116">
        <v>77.349999999999994</v>
      </c>
      <c r="R69">
        <v>2227241</v>
      </c>
    </row>
    <row r="70" spans="1:18" x14ac:dyDescent="0.25">
      <c r="A70" s="170">
        <v>42103</v>
      </c>
      <c r="B70" s="116">
        <v>78.5</v>
      </c>
      <c r="C70" s="116">
        <v>78.25</v>
      </c>
      <c r="D70" s="116">
        <v>77.400000000000006</v>
      </c>
      <c r="E70" s="116">
        <v>77.900000000000006</v>
      </c>
      <c r="F70" s="116">
        <v>78.25</v>
      </c>
      <c r="G70">
        <v>169061</v>
      </c>
      <c r="H70" s="116"/>
      <c r="I70" s="116"/>
      <c r="L70" s="170">
        <v>42103</v>
      </c>
      <c r="M70" s="116">
        <v>78.349999999999994</v>
      </c>
      <c r="N70" s="116">
        <v>78.599999999999994</v>
      </c>
      <c r="O70" s="116">
        <v>77.349999999999994</v>
      </c>
      <c r="P70" s="116">
        <v>77.8</v>
      </c>
      <c r="Q70" s="116">
        <v>78.349999999999994</v>
      </c>
      <c r="R70">
        <v>1948487</v>
      </c>
    </row>
    <row r="71" spans="1:18" x14ac:dyDescent="0.25">
      <c r="A71" s="170">
        <v>42104</v>
      </c>
      <c r="B71" s="116">
        <v>79.5</v>
      </c>
      <c r="C71" s="116">
        <v>78.900000000000006</v>
      </c>
      <c r="D71" s="116">
        <v>78</v>
      </c>
      <c r="E71" s="116">
        <v>78.400000000000006</v>
      </c>
      <c r="F71" s="116">
        <v>78.900000000000006</v>
      </c>
      <c r="G71">
        <v>277841</v>
      </c>
      <c r="H71" s="116"/>
      <c r="I71" s="116"/>
      <c r="L71" s="170">
        <v>42104</v>
      </c>
      <c r="M71" s="116">
        <v>78.900000000000006</v>
      </c>
      <c r="N71" s="116">
        <v>79.599999999999994</v>
      </c>
      <c r="O71" s="116">
        <v>78</v>
      </c>
      <c r="P71" s="116">
        <v>78.5</v>
      </c>
      <c r="Q71" s="116">
        <v>78.900000000000006</v>
      </c>
      <c r="R71">
        <v>1930751</v>
      </c>
    </row>
    <row r="72" spans="1:18" x14ac:dyDescent="0.25">
      <c r="A72" s="170">
        <v>42107</v>
      </c>
      <c r="B72" s="116">
        <v>80.45</v>
      </c>
      <c r="C72" s="116">
        <v>79.900000000000006</v>
      </c>
      <c r="D72" s="116">
        <v>79</v>
      </c>
      <c r="E72" s="116">
        <v>79</v>
      </c>
      <c r="F72" s="116">
        <v>79.900000000000006</v>
      </c>
      <c r="G72">
        <v>418984</v>
      </c>
      <c r="H72" s="116"/>
      <c r="I72" s="116"/>
      <c r="L72" s="170">
        <v>42107</v>
      </c>
      <c r="M72" s="116">
        <v>80.150000000000006</v>
      </c>
      <c r="N72" s="116">
        <v>80.45</v>
      </c>
      <c r="O72" s="116">
        <v>78.900000000000006</v>
      </c>
      <c r="P72" s="116">
        <v>79.2</v>
      </c>
      <c r="Q72" s="116">
        <v>80.150000000000006</v>
      </c>
      <c r="R72">
        <v>2412265</v>
      </c>
    </row>
    <row r="73" spans="1:18" x14ac:dyDescent="0.25">
      <c r="A73" s="170">
        <v>42109</v>
      </c>
      <c r="B73" s="116">
        <v>82.15</v>
      </c>
      <c r="C73" s="116">
        <v>80.849999999999994</v>
      </c>
      <c r="D73" s="116">
        <v>80.05</v>
      </c>
      <c r="E73" s="116">
        <v>81</v>
      </c>
      <c r="F73" s="116">
        <v>80.849999999999994</v>
      </c>
      <c r="G73">
        <v>433177</v>
      </c>
      <c r="H73" s="116"/>
      <c r="I73" s="116"/>
      <c r="L73" s="170">
        <v>42109</v>
      </c>
      <c r="M73" s="116">
        <v>81.2</v>
      </c>
      <c r="N73" s="116">
        <v>82.35</v>
      </c>
      <c r="O73" s="116">
        <v>79.400000000000006</v>
      </c>
      <c r="P73" s="116">
        <v>80.5</v>
      </c>
      <c r="Q73" s="116">
        <v>81.2</v>
      </c>
      <c r="R73">
        <v>4619530</v>
      </c>
    </row>
    <row r="74" spans="1:18" x14ac:dyDescent="0.25">
      <c r="A74" s="170">
        <v>42110</v>
      </c>
      <c r="B74" s="116">
        <v>81.400000000000006</v>
      </c>
      <c r="C74" s="116">
        <v>80.150000000000006</v>
      </c>
      <c r="D74" s="116">
        <v>79.400000000000006</v>
      </c>
      <c r="E74" s="116">
        <v>81.349999999999994</v>
      </c>
      <c r="F74" s="116">
        <v>80.150000000000006</v>
      </c>
      <c r="G74">
        <v>189884</v>
      </c>
      <c r="H74" s="116"/>
      <c r="I74" s="116"/>
      <c r="L74" s="170">
        <v>42110</v>
      </c>
      <c r="M74" s="116">
        <v>80.2</v>
      </c>
      <c r="N74" s="116">
        <v>81.3</v>
      </c>
      <c r="O74" s="116">
        <v>79.349999999999994</v>
      </c>
      <c r="P74" s="116">
        <v>81.2</v>
      </c>
      <c r="Q74" s="116">
        <v>80.2</v>
      </c>
      <c r="R74">
        <v>1788962</v>
      </c>
    </row>
    <row r="75" spans="1:18" x14ac:dyDescent="0.25">
      <c r="A75" s="170">
        <v>42111</v>
      </c>
      <c r="B75" s="116">
        <v>81.400000000000006</v>
      </c>
      <c r="C75" s="116">
        <v>80.349999999999994</v>
      </c>
      <c r="D75" s="116">
        <v>79.400000000000006</v>
      </c>
      <c r="E75" s="116">
        <v>80</v>
      </c>
      <c r="F75" s="116">
        <v>80.349999999999994</v>
      </c>
      <c r="G75">
        <v>258035</v>
      </c>
      <c r="H75" s="116"/>
      <c r="I75" s="116"/>
      <c r="L75" s="170">
        <v>42111</v>
      </c>
      <c r="M75" s="116">
        <v>80.45</v>
      </c>
      <c r="N75" s="116">
        <v>81.5</v>
      </c>
      <c r="O75" s="116">
        <v>79.25</v>
      </c>
      <c r="P75" s="116">
        <v>80</v>
      </c>
      <c r="Q75" s="116">
        <v>80.45</v>
      </c>
      <c r="R75">
        <v>1602765</v>
      </c>
    </row>
    <row r="76" spans="1:18" x14ac:dyDescent="0.25">
      <c r="A76" s="170">
        <v>42114</v>
      </c>
      <c r="B76" s="116">
        <v>81</v>
      </c>
      <c r="C76" s="116">
        <v>78.7</v>
      </c>
      <c r="D76" s="116">
        <v>78.45</v>
      </c>
      <c r="E76" s="116">
        <v>80.95</v>
      </c>
      <c r="F76" s="116">
        <v>78.7</v>
      </c>
      <c r="G76">
        <v>5878743</v>
      </c>
      <c r="H76" s="116"/>
      <c r="I76" s="116"/>
      <c r="L76" s="170">
        <v>42114</v>
      </c>
      <c r="M76" s="116">
        <v>78.75</v>
      </c>
      <c r="N76" s="116">
        <v>81.05</v>
      </c>
      <c r="O76" s="116">
        <v>78.45</v>
      </c>
      <c r="P76" s="116">
        <v>80.400000000000006</v>
      </c>
      <c r="Q76" s="116">
        <v>78.75</v>
      </c>
      <c r="R76">
        <v>1983867</v>
      </c>
    </row>
    <row r="77" spans="1:18" x14ac:dyDescent="0.25">
      <c r="A77" s="170">
        <v>42115</v>
      </c>
      <c r="B77" s="116">
        <v>79.400000000000006</v>
      </c>
      <c r="C77" s="116">
        <v>77.5</v>
      </c>
      <c r="D77" s="116">
        <v>77.3</v>
      </c>
      <c r="E77" s="116">
        <v>79.05</v>
      </c>
      <c r="F77" s="116">
        <v>77.5</v>
      </c>
      <c r="G77">
        <v>1210321</v>
      </c>
      <c r="H77" s="116"/>
      <c r="I77" s="116"/>
      <c r="L77" s="170">
        <v>42115</v>
      </c>
      <c r="M77" s="116">
        <v>77.5</v>
      </c>
      <c r="N77" s="116">
        <v>79.400000000000006</v>
      </c>
      <c r="O77" s="116">
        <v>77.150000000000006</v>
      </c>
      <c r="P77" s="116">
        <v>78.5</v>
      </c>
      <c r="Q77" s="116">
        <v>77.5</v>
      </c>
      <c r="R77">
        <v>2395252</v>
      </c>
    </row>
    <row r="78" spans="1:18" x14ac:dyDescent="0.25">
      <c r="A78" s="170">
        <v>42116</v>
      </c>
      <c r="B78" s="116">
        <v>79.3</v>
      </c>
      <c r="C78" s="116">
        <v>78.75</v>
      </c>
      <c r="D78" s="116">
        <v>76.7</v>
      </c>
      <c r="E78" s="116">
        <v>77.55</v>
      </c>
      <c r="F78" s="116">
        <v>78.75</v>
      </c>
      <c r="G78">
        <v>327975</v>
      </c>
      <c r="H78" s="116"/>
      <c r="I78" s="116"/>
      <c r="L78" s="170">
        <v>42116</v>
      </c>
      <c r="M78" s="116">
        <v>78.650000000000006</v>
      </c>
      <c r="N78" s="116">
        <v>79.45</v>
      </c>
      <c r="O78" s="116">
        <v>76.55</v>
      </c>
      <c r="P78" s="116">
        <v>77.599999999999994</v>
      </c>
      <c r="Q78" s="116">
        <v>78.650000000000006</v>
      </c>
      <c r="R78">
        <v>3366177</v>
      </c>
    </row>
    <row r="79" spans="1:18" x14ac:dyDescent="0.25">
      <c r="A79" s="170">
        <v>42117</v>
      </c>
      <c r="B79" s="116">
        <v>80.3</v>
      </c>
      <c r="C79" s="116">
        <v>79</v>
      </c>
      <c r="D79" s="116">
        <v>78.400000000000006</v>
      </c>
      <c r="E79" s="116">
        <v>79.3</v>
      </c>
      <c r="F79" s="116">
        <v>79</v>
      </c>
      <c r="G79">
        <v>309690</v>
      </c>
      <c r="H79" s="116"/>
      <c r="I79" s="116"/>
      <c r="L79" s="170">
        <v>42117</v>
      </c>
      <c r="M79" s="116">
        <v>79.25</v>
      </c>
      <c r="N79" s="116">
        <v>80.349999999999994</v>
      </c>
      <c r="O79" s="116">
        <v>78.599999999999994</v>
      </c>
      <c r="P79" s="116">
        <v>79.8</v>
      </c>
      <c r="Q79" s="116">
        <v>79.25</v>
      </c>
      <c r="R79">
        <v>2348489</v>
      </c>
    </row>
    <row r="80" spans="1:18" x14ac:dyDescent="0.25">
      <c r="A80" s="170">
        <v>42118</v>
      </c>
      <c r="B80" s="116">
        <v>79.2</v>
      </c>
      <c r="C80" s="116">
        <v>77.95</v>
      </c>
      <c r="D80" s="116">
        <v>77.599999999999994</v>
      </c>
      <c r="E80" s="116">
        <v>79.150000000000006</v>
      </c>
      <c r="F80" s="116">
        <v>77.95</v>
      </c>
      <c r="G80">
        <v>183916</v>
      </c>
      <c r="H80" s="116"/>
      <c r="I80" s="116"/>
      <c r="L80" s="170">
        <v>42118</v>
      </c>
      <c r="M80" s="116">
        <v>78.099999999999994</v>
      </c>
      <c r="N80" s="116">
        <v>79.349999999999994</v>
      </c>
      <c r="O80" s="116">
        <v>77.599999999999994</v>
      </c>
      <c r="P80" s="116">
        <v>79.3</v>
      </c>
      <c r="Q80" s="116">
        <v>78.099999999999994</v>
      </c>
      <c r="R80">
        <v>1487555</v>
      </c>
    </row>
    <row r="81" spans="1:18" x14ac:dyDescent="0.25">
      <c r="A81" s="170">
        <v>42121</v>
      </c>
      <c r="B81" s="116">
        <v>79.05</v>
      </c>
      <c r="C81" s="116">
        <v>77.5</v>
      </c>
      <c r="D81" s="116">
        <v>77.349999999999994</v>
      </c>
      <c r="E81" s="116">
        <v>77.95</v>
      </c>
      <c r="F81" s="116">
        <v>77.5</v>
      </c>
      <c r="G81">
        <v>210379</v>
      </c>
      <c r="H81" s="116"/>
      <c r="I81" s="116"/>
      <c r="L81" s="170">
        <v>42121</v>
      </c>
      <c r="M81" s="116">
        <v>77.599999999999994</v>
      </c>
      <c r="N81" s="116">
        <v>79.2</v>
      </c>
      <c r="O81" s="116">
        <v>77.400000000000006</v>
      </c>
      <c r="P81" s="116">
        <v>78.5</v>
      </c>
      <c r="Q81" s="116">
        <v>77.599999999999994</v>
      </c>
      <c r="R81">
        <v>2222370</v>
      </c>
    </row>
    <row r="82" spans="1:18" x14ac:dyDescent="0.25">
      <c r="A82" s="170">
        <v>42122</v>
      </c>
      <c r="B82" s="116">
        <v>78.5</v>
      </c>
      <c r="C82" s="116">
        <v>77.8</v>
      </c>
      <c r="D82" s="116">
        <v>76.7</v>
      </c>
      <c r="E82" s="116">
        <v>77.95</v>
      </c>
      <c r="F82" s="116">
        <v>77.8</v>
      </c>
      <c r="G82">
        <v>218500</v>
      </c>
      <c r="H82" s="116"/>
      <c r="I82" s="116"/>
      <c r="L82" s="170">
        <v>42122</v>
      </c>
      <c r="M82" s="116">
        <v>77.900000000000006</v>
      </c>
      <c r="N82" s="116">
        <v>78.599999999999994</v>
      </c>
      <c r="O82" s="116">
        <v>76.55</v>
      </c>
      <c r="P82" s="116">
        <v>77.400000000000006</v>
      </c>
      <c r="Q82" s="116">
        <v>77.900000000000006</v>
      </c>
      <c r="R82">
        <v>2494510</v>
      </c>
    </row>
    <row r="83" spans="1:18" x14ac:dyDescent="0.25">
      <c r="A83" s="170">
        <v>42123</v>
      </c>
      <c r="B83" s="116">
        <v>78.099999999999994</v>
      </c>
      <c r="C83" s="116">
        <v>77.349999999999994</v>
      </c>
      <c r="D83" s="116">
        <v>77.099999999999994</v>
      </c>
      <c r="E83" s="116">
        <v>77.95</v>
      </c>
      <c r="F83" s="116">
        <v>77.349999999999994</v>
      </c>
      <c r="G83">
        <v>151733</v>
      </c>
      <c r="H83" s="116"/>
      <c r="I83" s="116"/>
      <c r="L83" s="170">
        <v>42123</v>
      </c>
      <c r="M83" s="116">
        <v>77.45</v>
      </c>
      <c r="N83" s="116">
        <v>78.150000000000006</v>
      </c>
      <c r="O83" s="116">
        <v>77.150000000000006</v>
      </c>
      <c r="P83" s="116">
        <v>77.900000000000006</v>
      </c>
      <c r="Q83" s="116">
        <v>77.45</v>
      </c>
      <c r="R83">
        <v>1615193</v>
      </c>
    </row>
    <row r="84" spans="1:18" x14ac:dyDescent="0.25">
      <c r="A84" s="170">
        <v>42124</v>
      </c>
      <c r="B84" s="116">
        <v>77.55</v>
      </c>
      <c r="C84" s="116">
        <v>75.849999999999994</v>
      </c>
      <c r="D84" s="116">
        <v>74.650000000000006</v>
      </c>
      <c r="E84" s="116">
        <v>77.400000000000006</v>
      </c>
      <c r="F84" s="116">
        <v>75.849999999999994</v>
      </c>
      <c r="G84">
        <v>464134</v>
      </c>
      <c r="H84" s="116"/>
      <c r="I84" s="116"/>
      <c r="L84" s="170">
        <v>42124</v>
      </c>
      <c r="M84" s="116">
        <v>75.8</v>
      </c>
      <c r="N84" s="116">
        <v>77.95</v>
      </c>
      <c r="O84" s="116">
        <v>74.400000000000006</v>
      </c>
      <c r="P84" s="116">
        <v>77.45</v>
      </c>
      <c r="Q84" s="116">
        <v>75.8</v>
      </c>
      <c r="R84">
        <v>6036198</v>
      </c>
    </row>
    <row r="85" spans="1:18" x14ac:dyDescent="0.25">
      <c r="A85" s="170">
        <v>42128</v>
      </c>
      <c r="B85" s="116">
        <v>77.5</v>
      </c>
      <c r="C85" s="116">
        <v>77.2</v>
      </c>
      <c r="D85" s="116">
        <v>76.25</v>
      </c>
      <c r="E85" s="116">
        <v>77.5</v>
      </c>
      <c r="F85" s="116">
        <v>77.2</v>
      </c>
      <c r="G85">
        <v>277447</v>
      </c>
      <c r="H85" s="116"/>
      <c r="I85" s="116"/>
      <c r="L85" s="170">
        <v>42128</v>
      </c>
      <c r="M85" s="116">
        <v>77.3</v>
      </c>
      <c r="N85" s="116">
        <v>77.7</v>
      </c>
      <c r="O85" s="116">
        <v>76.25</v>
      </c>
      <c r="P85" s="116">
        <v>76.3</v>
      </c>
      <c r="Q85" s="116">
        <v>77.3</v>
      </c>
      <c r="R85">
        <v>1665818</v>
      </c>
    </row>
    <row r="86" spans="1:18" x14ac:dyDescent="0.25">
      <c r="A86" s="170">
        <v>42129</v>
      </c>
      <c r="B86" s="116">
        <v>77.7</v>
      </c>
      <c r="C86" s="116">
        <v>76.2</v>
      </c>
      <c r="D86" s="116">
        <v>76</v>
      </c>
      <c r="E86" s="116">
        <v>77.7</v>
      </c>
      <c r="F86" s="116">
        <v>76.2</v>
      </c>
      <c r="G86">
        <v>359970</v>
      </c>
      <c r="H86" s="116"/>
      <c r="I86" s="116"/>
      <c r="L86" s="170">
        <v>42129</v>
      </c>
      <c r="M86" s="116">
        <v>76.099999999999994</v>
      </c>
      <c r="N86" s="116">
        <v>77.349999999999994</v>
      </c>
      <c r="O86" s="116">
        <v>76</v>
      </c>
      <c r="P86" s="116">
        <v>77.2</v>
      </c>
      <c r="Q86" s="116">
        <v>76.099999999999994</v>
      </c>
      <c r="R86">
        <v>1528185</v>
      </c>
    </row>
    <row r="87" spans="1:18" x14ac:dyDescent="0.25">
      <c r="A87" s="170">
        <v>42130</v>
      </c>
      <c r="B87" s="116">
        <v>76.150000000000006</v>
      </c>
      <c r="C87" s="116">
        <v>73.349999999999994</v>
      </c>
      <c r="D87" s="116">
        <v>73.2</v>
      </c>
      <c r="E87" s="116">
        <v>76.150000000000006</v>
      </c>
      <c r="F87" s="116">
        <v>73.349999999999994</v>
      </c>
      <c r="G87">
        <v>576802</v>
      </c>
      <c r="H87" s="116"/>
      <c r="I87" s="116"/>
      <c r="L87" s="170">
        <v>42130</v>
      </c>
      <c r="M87" s="116">
        <v>73.45</v>
      </c>
      <c r="N87" s="116">
        <v>76.150000000000006</v>
      </c>
      <c r="O87" s="116">
        <v>73.099999999999994</v>
      </c>
      <c r="P87" s="116">
        <v>76</v>
      </c>
      <c r="Q87" s="116">
        <v>73.45</v>
      </c>
      <c r="R87">
        <v>4113387</v>
      </c>
    </row>
    <row r="88" spans="1:18" x14ac:dyDescent="0.25">
      <c r="A88" s="170">
        <v>42131</v>
      </c>
      <c r="B88" s="116">
        <v>73.5</v>
      </c>
      <c r="C88" s="116">
        <v>71.650000000000006</v>
      </c>
      <c r="D88" s="116">
        <v>70.55</v>
      </c>
      <c r="E88" s="116">
        <v>73.45</v>
      </c>
      <c r="F88" s="116">
        <v>71.650000000000006</v>
      </c>
      <c r="G88">
        <v>602045</v>
      </c>
      <c r="H88" s="116"/>
      <c r="I88" s="116"/>
      <c r="L88" s="170">
        <v>42131</v>
      </c>
      <c r="M88" s="116">
        <v>71.7</v>
      </c>
      <c r="N88" s="116">
        <v>73.650000000000006</v>
      </c>
      <c r="O88" s="116">
        <v>70.55</v>
      </c>
      <c r="P88" s="116">
        <v>73.400000000000006</v>
      </c>
      <c r="Q88" s="116">
        <v>71.7</v>
      </c>
      <c r="R88">
        <v>5413380</v>
      </c>
    </row>
    <row r="89" spans="1:18" x14ac:dyDescent="0.25">
      <c r="A89" s="170">
        <v>42132</v>
      </c>
      <c r="B89" s="116">
        <v>74.099999999999994</v>
      </c>
      <c r="C89" s="116">
        <v>73.150000000000006</v>
      </c>
      <c r="D89" s="116">
        <v>72.650000000000006</v>
      </c>
      <c r="E89" s="116">
        <v>72.849999999999994</v>
      </c>
      <c r="F89" s="116">
        <v>73.150000000000006</v>
      </c>
      <c r="G89">
        <v>321144</v>
      </c>
      <c r="H89" s="116"/>
      <c r="I89" s="116"/>
      <c r="L89" s="170">
        <v>42132</v>
      </c>
      <c r="M89" s="116">
        <v>73.2</v>
      </c>
      <c r="N89" s="116">
        <v>74.2</v>
      </c>
      <c r="O89" s="116">
        <v>72.349999999999994</v>
      </c>
      <c r="P89" s="116">
        <v>72.7</v>
      </c>
      <c r="Q89" s="116">
        <v>73.2</v>
      </c>
      <c r="R89">
        <v>3156909</v>
      </c>
    </row>
    <row r="90" spans="1:18" x14ac:dyDescent="0.25">
      <c r="A90" s="170">
        <v>42135</v>
      </c>
      <c r="B90" s="116">
        <v>74.650000000000006</v>
      </c>
      <c r="C90" s="116">
        <v>74.2</v>
      </c>
      <c r="D90" s="116">
        <v>73.55</v>
      </c>
      <c r="E90" s="116">
        <v>74</v>
      </c>
      <c r="F90" s="116">
        <v>74.2</v>
      </c>
      <c r="G90">
        <v>266618</v>
      </c>
      <c r="H90" s="116"/>
      <c r="I90" s="116"/>
      <c r="L90" s="170">
        <v>42135</v>
      </c>
      <c r="M90" s="116">
        <v>74.3</v>
      </c>
      <c r="N90" s="116">
        <v>74.8</v>
      </c>
      <c r="O90" s="116">
        <v>73.25</v>
      </c>
      <c r="P90" s="116">
        <v>73.900000000000006</v>
      </c>
      <c r="Q90" s="116">
        <v>74.3</v>
      </c>
      <c r="R90">
        <v>1887506</v>
      </c>
    </row>
    <row r="91" spans="1:18" x14ac:dyDescent="0.25">
      <c r="A91" s="170">
        <v>42136</v>
      </c>
      <c r="B91" s="116">
        <v>74.400000000000006</v>
      </c>
      <c r="C91" s="116">
        <v>71.5</v>
      </c>
      <c r="D91" s="116">
        <v>71.25</v>
      </c>
      <c r="E91" s="116">
        <v>74.3</v>
      </c>
      <c r="F91" s="116">
        <v>71.5</v>
      </c>
      <c r="G91">
        <v>407527</v>
      </c>
      <c r="H91" s="116"/>
      <c r="I91" s="116"/>
      <c r="L91" s="170">
        <v>42136</v>
      </c>
      <c r="M91" s="116">
        <v>71.5</v>
      </c>
      <c r="N91" s="116">
        <v>74.7</v>
      </c>
      <c r="O91" s="116">
        <v>71.2</v>
      </c>
      <c r="P91" s="116">
        <v>74.7</v>
      </c>
      <c r="Q91" s="116">
        <v>71.5</v>
      </c>
      <c r="R91">
        <v>3909128</v>
      </c>
    </row>
    <row r="92" spans="1:18" x14ac:dyDescent="0.25">
      <c r="A92" s="170">
        <v>42137</v>
      </c>
      <c r="B92" s="116">
        <v>73.599999999999994</v>
      </c>
      <c r="C92" s="116">
        <v>73.099999999999994</v>
      </c>
      <c r="D92" s="116">
        <v>71.400000000000006</v>
      </c>
      <c r="E92" s="116">
        <v>72</v>
      </c>
      <c r="F92" s="116">
        <v>73.099999999999994</v>
      </c>
      <c r="G92">
        <v>589333</v>
      </c>
      <c r="H92" s="116"/>
      <c r="I92" s="116"/>
      <c r="L92" s="170">
        <v>42137</v>
      </c>
      <c r="M92" s="116">
        <v>73.400000000000006</v>
      </c>
      <c r="N92" s="116">
        <v>73.650000000000006</v>
      </c>
      <c r="O92" s="116">
        <v>71.400000000000006</v>
      </c>
      <c r="P92" s="116">
        <v>72</v>
      </c>
      <c r="Q92" s="116">
        <v>73.400000000000006</v>
      </c>
      <c r="R92">
        <v>2948873</v>
      </c>
    </row>
    <row r="93" spans="1:18" x14ac:dyDescent="0.25">
      <c r="A93" s="170">
        <v>42138</v>
      </c>
      <c r="B93" s="116">
        <v>74</v>
      </c>
      <c r="C93" s="116">
        <v>73.45</v>
      </c>
      <c r="D93" s="116">
        <v>72.75</v>
      </c>
      <c r="E93" s="116">
        <v>73</v>
      </c>
      <c r="F93" s="116">
        <v>73.45</v>
      </c>
      <c r="G93">
        <v>288471</v>
      </c>
      <c r="H93" s="116"/>
      <c r="I93" s="116"/>
      <c r="L93" s="170">
        <v>42138</v>
      </c>
      <c r="M93" s="116">
        <v>73.55</v>
      </c>
      <c r="N93" s="116">
        <v>74</v>
      </c>
      <c r="O93" s="116">
        <v>72.75</v>
      </c>
      <c r="P93" s="116">
        <v>73.900000000000006</v>
      </c>
      <c r="Q93" s="116">
        <v>73.55</v>
      </c>
      <c r="R93">
        <v>2013494</v>
      </c>
    </row>
    <row r="94" spans="1:18" x14ac:dyDescent="0.25">
      <c r="A94" s="170">
        <v>42139</v>
      </c>
      <c r="B94" s="116">
        <v>74.25</v>
      </c>
      <c r="C94" s="116">
        <v>72.95</v>
      </c>
      <c r="D94" s="116">
        <v>72.650000000000006</v>
      </c>
      <c r="E94" s="116">
        <v>74</v>
      </c>
      <c r="F94" s="116">
        <v>72.95</v>
      </c>
      <c r="G94">
        <v>251245</v>
      </c>
      <c r="H94" s="116"/>
      <c r="I94" s="116"/>
      <c r="L94" s="170">
        <v>42139</v>
      </c>
      <c r="M94" s="116">
        <v>73</v>
      </c>
      <c r="N94" s="116">
        <v>74.3</v>
      </c>
      <c r="O94" s="116">
        <v>72.55</v>
      </c>
      <c r="P94" s="116">
        <v>73.95</v>
      </c>
      <c r="Q94" s="116">
        <v>73</v>
      </c>
      <c r="R94">
        <v>1709357</v>
      </c>
    </row>
    <row r="95" spans="1:18" x14ac:dyDescent="0.25">
      <c r="A95" s="170">
        <v>42142</v>
      </c>
      <c r="B95" s="116">
        <v>75.349999999999994</v>
      </c>
      <c r="C95" s="116">
        <v>75.2</v>
      </c>
      <c r="D95" s="116">
        <v>72.7</v>
      </c>
      <c r="E95" s="116">
        <v>72.95</v>
      </c>
      <c r="F95" s="116">
        <v>75.2</v>
      </c>
      <c r="G95">
        <v>365419</v>
      </c>
      <c r="H95" s="116"/>
      <c r="I95" s="116"/>
      <c r="L95" s="170">
        <v>42142</v>
      </c>
      <c r="M95" s="116">
        <v>75.25</v>
      </c>
      <c r="N95" s="116">
        <v>75.5</v>
      </c>
      <c r="O95" s="116">
        <v>72.5</v>
      </c>
      <c r="P95" s="116">
        <v>73.45</v>
      </c>
      <c r="Q95" s="116">
        <v>75.25</v>
      </c>
      <c r="R95">
        <v>2663775</v>
      </c>
    </row>
    <row r="96" spans="1:18" x14ac:dyDescent="0.25">
      <c r="A96" s="170">
        <v>42143</v>
      </c>
      <c r="B96" s="116">
        <v>76.849999999999994</v>
      </c>
      <c r="C96" s="116">
        <v>75.849999999999994</v>
      </c>
      <c r="D96" s="116">
        <v>74.599999999999994</v>
      </c>
      <c r="E96" s="116">
        <v>75.900000000000006</v>
      </c>
      <c r="F96" s="116">
        <v>75.849999999999994</v>
      </c>
      <c r="G96">
        <v>1198237</v>
      </c>
      <c r="H96" s="116"/>
      <c r="I96" s="116"/>
      <c r="L96" s="170">
        <v>42143</v>
      </c>
      <c r="M96" s="116">
        <v>75.849999999999994</v>
      </c>
      <c r="N96" s="116">
        <v>76.900000000000006</v>
      </c>
      <c r="O96" s="116">
        <v>74.5</v>
      </c>
      <c r="P96" s="116">
        <v>75.7</v>
      </c>
      <c r="Q96" s="116">
        <v>75.849999999999994</v>
      </c>
      <c r="R96">
        <v>8089446</v>
      </c>
    </row>
    <row r="97" spans="1:18" x14ac:dyDescent="0.25">
      <c r="A97" s="170">
        <v>42144</v>
      </c>
      <c r="B97" s="116">
        <v>79.8</v>
      </c>
      <c r="C97" s="116">
        <v>77.2</v>
      </c>
      <c r="D97" s="116">
        <v>76.849999999999994</v>
      </c>
      <c r="E97" s="116">
        <v>79</v>
      </c>
      <c r="F97" s="116">
        <v>77.2</v>
      </c>
      <c r="G97">
        <v>1053925</v>
      </c>
      <c r="H97" s="116"/>
      <c r="I97" s="116"/>
      <c r="L97" s="170">
        <v>42144</v>
      </c>
      <c r="M97" s="116">
        <v>77.05</v>
      </c>
      <c r="N97" s="116">
        <v>79.599999999999994</v>
      </c>
      <c r="O97" s="116">
        <v>76.75</v>
      </c>
      <c r="P97" s="116">
        <v>79.5</v>
      </c>
      <c r="Q97" s="116">
        <v>77.05</v>
      </c>
      <c r="R97">
        <v>9937909</v>
      </c>
    </row>
    <row r="98" spans="1:18" x14ac:dyDescent="0.25">
      <c r="A98" s="170">
        <v>42145</v>
      </c>
      <c r="B98" s="116">
        <v>77.8</v>
      </c>
      <c r="C98" s="116">
        <v>76.2</v>
      </c>
      <c r="D98" s="116">
        <v>75.8</v>
      </c>
      <c r="E98" s="116">
        <v>77.8</v>
      </c>
      <c r="F98" s="116">
        <v>76.2</v>
      </c>
      <c r="G98">
        <v>337075</v>
      </c>
      <c r="H98" s="116"/>
      <c r="I98" s="116"/>
      <c r="L98" s="170">
        <v>42145</v>
      </c>
      <c r="M98" s="116">
        <v>76.2</v>
      </c>
      <c r="N98" s="116">
        <v>77.599999999999994</v>
      </c>
      <c r="O98" s="116">
        <v>75.75</v>
      </c>
      <c r="P98" s="116">
        <v>77.5</v>
      </c>
      <c r="Q98" s="116">
        <v>76.2</v>
      </c>
      <c r="R98">
        <v>2586311</v>
      </c>
    </row>
    <row r="99" spans="1:18" x14ac:dyDescent="0.25">
      <c r="A99" s="170">
        <v>42146</v>
      </c>
      <c r="B99" s="116">
        <v>76.8</v>
      </c>
      <c r="C99" s="116">
        <v>75.75</v>
      </c>
      <c r="D99" s="116">
        <v>75.599999999999994</v>
      </c>
      <c r="E99" s="116">
        <v>76.349999999999994</v>
      </c>
      <c r="F99" s="116">
        <v>75.75</v>
      </c>
      <c r="G99">
        <v>311376</v>
      </c>
      <c r="H99" s="116"/>
      <c r="I99" s="116"/>
      <c r="L99" s="170">
        <v>42146</v>
      </c>
      <c r="M99" s="116">
        <v>75.95</v>
      </c>
      <c r="N99" s="116">
        <v>76.849999999999994</v>
      </c>
      <c r="O99" s="116">
        <v>75.55</v>
      </c>
      <c r="P99" s="116">
        <v>76.25</v>
      </c>
      <c r="Q99" s="116">
        <v>75.95</v>
      </c>
      <c r="R99">
        <v>1980853</v>
      </c>
    </row>
    <row r="100" spans="1:18" x14ac:dyDescent="0.25">
      <c r="A100" s="170">
        <v>42149</v>
      </c>
      <c r="B100" s="116">
        <v>75.75</v>
      </c>
      <c r="C100" s="116">
        <v>74.849999999999994</v>
      </c>
      <c r="D100" s="116">
        <v>74.45</v>
      </c>
      <c r="E100" s="116">
        <v>75.75</v>
      </c>
      <c r="F100" s="116">
        <v>74.849999999999994</v>
      </c>
      <c r="G100">
        <v>295533</v>
      </c>
      <c r="H100" s="116"/>
      <c r="I100" s="116"/>
      <c r="L100" s="170">
        <v>42149</v>
      </c>
      <c r="M100" s="116">
        <v>74.8</v>
      </c>
      <c r="N100" s="116">
        <v>75.75</v>
      </c>
      <c r="O100" s="116">
        <v>74.45</v>
      </c>
      <c r="P100" s="116">
        <v>75.7</v>
      </c>
      <c r="Q100" s="116">
        <v>74.8</v>
      </c>
      <c r="R100">
        <v>3492569</v>
      </c>
    </row>
    <row r="101" spans="1:18" x14ac:dyDescent="0.25">
      <c r="A101" s="170">
        <v>42150</v>
      </c>
      <c r="B101" s="116">
        <v>75.25</v>
      </c>
      <c r="C101" s="116">
        <v>74.95</v>
      </c>
      <c r="D101" s="116">
        <v>74.55</v>
      </c>
      <c r="E101" s="116">
        <v>75.099999999999994</v>
      </c>
      <c r="F101" s="116">
        <v>74.95</v>
      </c>
      <c r="G101">
        <v>167940</v>
      </c>
      <c r="H101" s="116"/>
      <c r="I101" s="116"/>
      <c r="L101" s="170">
        <v>42150</v>
      </c>
      <c r="M101" s="116">
        <v>75.099999999999994</v>
      </c>
      <c r="N101" s="116">
        <v>75.3</v>
      </c>
      <c r="O101" s="116">
        <v>74.5</v>
      </c>
      <c r="P101" s="116">
        <v>75.05</v>
      </c>
      <c r="Q101" s="116">
        <v>75.099999999999994</v>
      </c>
      <c r="R101">
        <v>1557907</v>
      </c>
    </row>
    <row r="102" spans="1:18" x14ac:dyDescent="0.25">
      <c r="A102" s="170">
        <v>42151</v>
      </c>
      <c r="B102" s="116">
        <v>75.900000000000006</v>
      </c>
      <c r="C102" s="116">
        <v>75.7</v>
      </c>
      <c r="D102" s="116">
        <v>74.5</v>
      </c>
      <c r="E102" s="116">
        <v>75</v>
      </c>
      <c r="F102" s="116">
        <v>75.7</v>
      </c>
      <c r="G102">
        <v>267331</v>
      </c>
      <c r="H102" s="116"/>
      <c r="I102" s="116"/>
      <c r="L102" s="170">
        <v>42151</v>
      </c>
      <c r="M102" s="116">
        <v>75.849999999999994</v>
      </c>
      <c r="N102" s="116">
        <v>76</v>
      </c>
      <c r="O102" s="116">
        <v>74.400000000000006</v>
      </c>
      <c r="P102" s="116">
        <v>74.599999999999994</v>
      </c>
      <c r="Q102" s="116">
        <v>75.849999999999994</v>
      </c>
      <c r="R102">
        <v>2333746</v>
      </c>
    </row>
    <row r="103" spans="1:18" x14ac:dyDescent="0.25">
      <c r="A103" s="170">
        <v>42152</v>
      </c>
      <c r="B103" s="116">
        <v>76.8</v>
      </c>
      <c r="C103" s="116">
        <v>74.05</v>
      </c>
      <c r="D103" s="116">
        <v>73.75</v>
      </c>
      <c r="E103" s="116">
        <v>76.8</v>
      </c>
      <c r="F103" s="116">
        <v>74.05</v>
      </c>
      <c r="G103">
        <v>309622</v>
      </c>
      <c r="H103" s="116"/>
      <c r="I103" s="116"/>
      <c r="L103" s="170">
        <v>42152</v>
      </c>
      <c r="M103" s="116">
        <v>74.099999999999994</v>
      </c>
      <c r="N103" s="116">
        <v>76.05</v>
      </c>
      <c r="O103" s="116">
        <v>73.7</v>
      </c>
      <c r="P103" s="116">
        <v>75.400000000000006</v>
      </c>
      <c r="Q103" s="116">
        <v>74.099999999999994</v>
      </c>
      <c r="R103">
        <v>6131083</v>
      </c>
    </row>
    <row r="104" spans="1:18" x14ac:dyDescent="0.25">
      <c r="A104" s="170">
        <v>42153</v>
      </c>
      <c r="B104" s="116">
        <v>75.5</v>
      </c>
      <c r="C104" s="116">
        <v>74.75</v>
      </c>
      <c r="D104" s="116">
        <v>73.849999999999994</v>
      </c>
      <c r="E104" s="116">
        <v>75.400000000000006</v>
      </c>
      <c r="F104" s="116">
        <v>74.75</v>
      </c>
      <c r="G104">
        <v>304713</v>
      </c>
      <c r="H104" s="116"/>
      <c r="I104" s="116"/>
      <c r="L104" s="170">
        <v>42153</v>
      </c>
      <c r="M104" s="116">
        <v>74.55</v>
      </c>
      <c r="N104" s="116">
        <v>75.349999999999994</v>
      </c>
      <c r="O104" s="116">
        <v>73.75</v>
      </c>
      <c r="P104" s="116">
        <v>74.150000000000006</v>
      </c>
      <c r="Q104" s="116">
        <v>74.55</v>
      </c>
      <c r="R104">
        <v>8196956</v>
      </c>
    </row>
    <row r="105" spans="1:18" x14ac:dyDescent="0.25">
      <c r="A105" s="170">
        <v>42156</v>
      </c>
      <c r="B105" s="116">
        <v>76.349999999999994</v>
      </c>
      <c r="C105" s="116">
        <v>76.099999999999994</v>
      </c>
      <c r="D105" s="116">
        <v>74.349999999999994</v>
      </c>
      <c r="E105" s="116">
        <v>75.25</v>
      </c>
      <c r="F105" s="116">
        <v>76.099999999999994</v>
      </c>
      <c r="G105">
        <v>224075</v>
      </c>
      <c r="H105" s="116"/>
      <c r="I105" s="116"/>
      <c r="L105" s="170">
        <v>42156</v>
      </c>
      <c r="M105" s="116">
        <v>76.099999999999994</v>
      </c>
      <c r="N105" s="116">
        <v>76.349999999999994</v>
      </c>
      <c r="O105" s="116">
        <v>74.099999999999994</v>
      </c>
      <c r="P105" s="116">
        <v>75.05</v>
      </c>
      <c r="Q105" s="116">
        <v>76.099999999999994</v>
      </c>
      <c r="R105">
        <v>2732139</v>
      </c>
    </row>
    <row r="106" spans="1:18" x14ac:dyDescent="0.25">
      <c r="A106" s="170">
        <v>42157</v>
      </c>
      <c r="B106" s="116">
        <v>76.95</v>
      </c>
      <c r="C106" s="116">
        <v>75</v>
      </c>
      <c r="D106" s="116">
        <v>74.55</v>
      </c>
      <c r="E106" s="116">
        <v>76.95</v>
      </c>
      <c r="F106" s="116">
        <v>75</v>
      </c>
      <c r="G106">
        <v>739577</v>
      </c>
      <c r="H106" s="116"/>
      <c r="I106" s="116"/>
      <c r="L106" s="170">
        <v>42157</v>
      </c>
      <c r="M106" s="116">
        <v>75.05</v>
      </c>
      <c r="N106" s="116">
        <v>76.2</v>
      </c>
      <c r="O106" s="116">
        <v>74.5</v>
      </c>
      <c r="P106" s="116">
        <v>75.599999999999994</v>
      </c>
      <c r="Q106" s="116">
        <v>75.05</v>
      </c>
      <c r="R106">
        <v>2958395</v>
      </c>
    </row>
    <row r="107" spans="1:18" x14ac:dyDescent="0.25">
      <c r="A107" s="170">
        <v>42158</v>
      </c>
      <c r="B107" s="116">
        <v>74.95</v>
      </c>
      <c r="C107" s="116">
        <v>70.400000000000006</v>
      </c>
      <c r="D107" s="116">
        <v>69.2</v>
      </c>
      <c r="E107" s="116">
        <v>74.95</v>
      </c>
      <c r="F107" s="116">
        <v>70.400000000000006</v>
      </c>
      <c r="G107">
        <v>876981</v>
      </c>
      <c r="H107" s="116"/>
      <c r="I107" s="116"/>
      <c r="L107" s="170">
        <v>42158</v>
      </c>
      <c r="M107" s="116">
        <v>70.849999999999994</v>
      </c>
      <c r="N107" s="116">
        <v>74.849999999999994</v>
      </c>
      <c r="O107" s="116">
        <v>69</v>
      </c>
      <c r="P107" s="116">
        <v>74.849999999999994</v>
      </c>
      <c r="Q107" s="116">
        <v>70.849999999999994</v>
      </c>
      <c r="R107">
        <v>6074343</v>
      </c>
    </row>
    <row r="108" spans="1:18" x14ac:dyDescent="0.25">
      <c r="A108" s="170">
        <v>42159</v>
      </c>
      <c r="B108" s="116">
        <v>71</v>
      </c>
      <c r="C108" s="116">
        <v>70.3</v>
      </c>
      <c r="D108" s="116">
        <v>68.400000000000006</v>
      </c>
      <c r="E108" s="116">
        <v>70.95</v>
      </c>
      <c r="F108" s="116">
        <v>70.3</v>
      </c>
      <c r="G108">
        <v>764800</v>
      </c>
      <c r="H108" s="116"/>
      <c r="I108" s="116"/>
      <c r="L108" s="170">
        <v>42159</v>
      </c>
      <c r="M108" s="116">
        <v>70.150000000000006</v>
      </c>
      <c r="N108" s="116">
        <v>70.900000000000006</v>
      </c>
      <c r="O108" s="116">
        <v>68.349999999999994</v>
      </c>
      <c r="P108" s="116">
        <v>70.8</v>
      </c>
      <c r="Q108" s="116">
        <v>70.150000000000006</v>
      </c>
      <c r="R108">
        <v>4884209</v>
      </c>
    </row>
    <row r="109" spans="1:18" x14ac:dyDescent="0.25">
      <c r="A109" s="170">
        <v>42160</v>
      </c>
      <c r="B109" s="116">
        <v>71.3</v>
      </c>
      <c r="C109" s="116">
        <v>70.599999999999994</v>
      </c>
      <c r="D109" s="116">
        <v>69.650000000000006</v>
      </c>
      <c r="E109" s="116">
        <v>70.5</v>
      </c>
      <c r="F109" s="116">
        <v>70.599999999999994</v>
      </c>
      <c r="G109">
        <v>254312</v>
      </c>
      <c r="H109" s="116"/>
      <c r="I109" s="116"/>
      <c r="L109" s="170">
        <v>42160</v>
      </c>
      <c r="M109" s="116">
        <v>70.650000000000006</v>
      </c>
      <c r="N109" s="116">
        <v>71.400000000000006</v>
      </c>
      <c r="O109" s="116">
        <v>69.150000000000006</v>
      </c>
      <c r="P109" s="116">
        <v>70.099999999999994</v>
      </c>
      <c r="Q109" s="116">
        <v>70.650000000000006</v>
      </c>
      <c r="R109">
        <v>2612950</v>
      </c>
    </row>
    <row r="110" spans="1:18" x14ac:dyDescent="0.25">
      <c r="A110" s="170">
        <v>42163</v>
      </c>
      <c r="B110" s="116">
        <v>71.849999999999994</v>
      </c>
      <c r="C110" s="116">
        <v>71.400000000000006</v>
      </c>
      <c r="D110" s="116">
        <v>70.25</v>
      </c>
      <c r="E110" s="116">
        <v>71</v>
      </c>
      <c r="F110" s="116">
        <v>71.400000000000006</v>
      </c>
      <c r="G110">
        <v>158266</v>
      </c>
      <c r="H110" s="116"/>
      <c r="I110" s="116"/>
      <c r="L110" s="170">
        <v>42163</v>
      </c>
      <c r="M110" s="116">
        <v>71.400000000000006</v>
      </c>
      <c r="N110" s="116">
        <v>71.900000000000006</v>
      </c>
      <c r="O110" s="116">
        <v>70.3</v>
      </c>
      <c r="P110" s="116">
        <v>70.7</v>
      </c>
      <c r="Q110" s="116">
        <v>71.400000000000006</v>
      </c>
      <c r="R110">
        <v>2485596</v>
      </c>
    </row>
    <row r="111" spans="1:18" x14ac:dyDescent="0.25">
      <c r="A111" s="170">
        <v>42164</v>
      </c>
      <c r="B111" s="116">
        <v>72.400000000000006</v>
      </c>
      <c r="C111" s="116">
        <v>72.150000000000006</v>
      </c>
      <c r="D111" s="116">
        <v>70.349999999999994</v>
      </c>
      <c r="E111" s="116">
        <v>71.95</v>
      </c>
      <c r="F111" s="116">
        <v>72.150000000000006</v>
      </c>
      <c r="G111">
        <v>242887</v>
      </c>
      <c r="H111" s="116"/>
      <c r="I111" s="116"/>
      <c r="L111" s="170">
        <v>42164</v>
      </c>
      <c r="M111" s="116">
        <v>72.349999999999994</v>
      </c>
      <c r="N111" s="116">
        <v>72.650000000000006</v>
      </c>
      <c r="O111" s="116">
        <v>70.349999999999994</v>
      </c>
      <c r="P111" s="116">
        <v>71.349999999999994</v>
      </c>
      <c r="Q111" s="116">
        <v>72.349999999999994</v>
      </c>
      <c r="R111">
        <v>2864231</v>
      </c>
    </row>
    <row r="112" spans="1:18" x14ac:dyDescent="0.25">
      <c r="A112" s="170">
        <v>42165</v>
      </c>
      <c r="B112" s="116">
        <v>74.400000000000006</v>
      </c>
      <c r="C112" s="116">
        <v>73.75</v>
      </c>
      <c r="D112" s="116">
        <v>72</v>
      </c>
      <c r="E112" s="116">
        <v>72</v>
      </c>
      <c r="F112" s="116">
        <v>73.75</v>
      </c>
      <c r="G112">
        <v>329465</v>
      </c>
      <c r="H112" s="116"/>
      <c r="I112" s="116"/>
      <c r="L112" s="170">
        <v>42165</v>
      </c>
      <c r="M112" s="116">
        <v>73.849999999999994</v>
      </c>
      <c r="N112" s="116">
        <v>74.599999999999994</v>
      </c>
      <c r="O112" s="116">
        <v>72.650000000000006</v>
      </c>
      <c r="P112" s="116">
        <v>72.900000000000006</v>
      </c>
      <c r="Q112" s="116">
        <v>73.849999999999994</v>
      </c>
      <c r="R112">
        <v>4019510</v>
      </c>
    </row>
    <row r="113" spans="1:18" x14ac:dyDescent="0.25">
      <c r="A113" s="170">
        <v>42166</v>
      </c>
      <c r="B113" s="116">
        <v>74.599999999999994</v>
      </c>
      <c r="C113" s="116">
        <v>70.150000000000006</v>
      </c>
      <c r="D113" s="116">
        <v>69.650000000000006</v>
      </c>
      <c r="E113" s="116">
        <v>74.45</v>
      </c>
      <c r="F113" s="116">
        <v>70.150000000000006</v>
      </c>
      <c r="G113">
        <v>982892</v>
      </c>
      <c r="H113" s="116"/>
      <c r="I113" s="116"/>
      <c r="L113" s="170">
        <v>42166</v>
      </c>
      <c r="M113" s="116">
        <v>70</v>
      </c>
      <c r="N113" s="116">
        <v>74.55</v>
      </c>
      <c r="O113" s="116">
        <v>69.400000000000006</v>
      </c>
      <c r="P113" s="116">
        <v>74</v>
      </c>
      <c r="Q113" s="116">
        <v>70</v>
      </c>
      <c r="R113">
        <v>5389454</v>
      </c>
    </row>
    <row r="114" spans="1:18" x14ac:dyDescent="0.25">
      <c r="A114" s="170">
        <v>42167</v>
      </c>
      <c r="B114" s="116">
        <v>72.900000000000006</v>
      </c>
      <c r="C114" s="116">
        <v>72.599999999999994</v>
      </c>
      <c r="D114" s="116">
        <v>69.7</v>
      </c>
      <c r="E114" s="116">
        <v>70.2</v>
      </c>
      <c r="F114" s="116">
        <v>72.599999999999994</v>
      </c>
      <c r="G114">
        <v>422086</v>
      </c>
      <c r="H114" s="116"/>
      <c r="I114" s="116"/>
      <c r="L114" s="170">
        <v>42167</v>
      </c>
      <c r="M114" s="116">
        <v>72.650000000000006</v>
      </c>
      <c r="N114" s="116">
        <v>73</v>
      </c>
      <c r="O114" s="116">
        <v>69.7</v>
      </c>
      <c r="P114" s="116">
        <v>70</v>
      </c>
      <c r="Q114" s="116">
        <v>72.650000000000006</v>
      </c>
      <c r="R114">
        <v>4929775</v>
      </c>
    </row>
    <row r="115" spans="1:18" x14ac:dyDescent="0.25">
      <c r="A115" s="170">
        <v>42170</v>
      </c>
      <c r="B115" s="116">
        <v>73.55</v>
      </c>
      <c r="C115" s="116">
        <v>72.099999999999994</v>
      </c>
      <c r="D115" s="116">
        <v>71.400000000000006</v>
      </c>
      <c r="E115" s="116">
        <v>72.95</v>
      </c>
      <c r="F115" s="116">
        <v>72.099999999999994</v>
      </c>
      <c r="G115">
        <v>2452257</v>
      </c>
      <c r="H115" s="116"/>
      <c r="I115" s="116"/>
      <c r="L115" s="170">
        <v>42170</v>
      </c>
      <c r="M115" s="116">
        <v>72.05</v>
      </c>
      <c r="N115" s="116">
        <v>73.7</v>
      </c>
      <c r="O115" s="116">
        <v>71.2</v>
      </c>
      <c r="P115" s="116">
        <v>72.95</v>
      </c>
      <c r="Q115" s="116">
        <v>72.05</v>
      </c>
      <c r="R115">
        <v>5738366</v>
      </c>
    </row>
    <row r="116" spans="1:18" x14ac:dyDescent="0.25">
      <c r="A116" s="170">
        <v>42171</v>
      </c>
      <c r="B116" s="116">
        <v>74.25</v>
      </c>
      <c r="C116" s="116">
        <v>73.95</v>
      </c>
      <c r="D116" s="116">
        <v>71.75</v>
      </c>
      <c r="E116" s="116">
        <v>72.400000000000006</v>
      </c>
      <c r="F116" s="116">
        <v>73.95</v>
      </c>
      <c r="G116">
        <v>337695</v>
      </c>
      <c r="H116" s="116"/>
      <c r="I116" s="116"/>
      <c r="L116" s="170">
        <v>42171</v>
      </c>
      <c r="M116" s="116">
        <v>74.099999999999994</v>
      </c>
      <c r="N116" s="116">
        <v>74.5</v>
      </c>
      <c r="O116" s="116">
        <v>71.599999999999994</v>
      </c>
      <c r="P116" s="116">
        <v>72</v>
      </c>
      <c r="Q116" s="116">
        <v>74.099999999999994</v>
      </c>
      <c r="R116">
        <v>4089658</v>
      </c>
    </row>
    <row r="117" spans="1:18" x14ac:dyDescent="0.25">
      <c r="A117" s="170">
        <v>42172</v>
      </c>
      <c r="B117" s="116">
        <v>74</v>
      </c>
      <c r="C117" s="116">
        <v>72.849999999999994</v>
      </c>
      <c r="D117" s="116">
        <v>72.599999999999994</v>
      </c>
      <c r="E117" s="116">
        <v>74</v>
      </c>
      <c r="F117" s="116">
        <v>72.849999999999994</v>
      </c>
      <c r="G117">
        <v>227534</v>
      </c>
      <c r="H117" s="116"/>
      <c r="I117" s="116"/>
      <c r="L117" s="170">
        <v>42172</v>
      </c>
      <c r="M117" s="116">
        <v>72.75</v>
      </c>
      <c r="N117" s="116">
        <v>74.150000000000006</v>
      </c>
      <c r="O117" s="116">
        <v>72.5</v>
      </c>
      <c r="P117" s="116">
        <v>74.099999999999994</v>
      </c>
      <c r="Q117" s="116">
        <v>72.75</v>
      </c>
      <c r="R117">
        <v>2194377</v>
      </c>
    </row>
    <row r="118" spans="1:18" x14ac:dyDescent="0.25">
      <c r="A118" s="170">
        <v>42173</v>
      </c>
      <c r="B118" s="116">
        <v>73.349999999999994</v>
      </c>
      <c r="C118" s="116">
        <v>73.099999999999994</v>
      </c>
      <c r="D118" s="116">
        <v>71.95</v>
      </c>
      <c r="E118" s="116">
        <v>72.599999999999994</v>
      </c>
      <c r="F118" s="116">
        <v>73.099999999999994</v>
      </c>
      <c r="G118">
        <v>279167</v>
      </c>
      <c r="H118" s="116"/>
      <c r="I118" s="116"/>
      <c r="L118" s="170">
        <v>42173</v>
      </c>
      <c r="M118" s="116">
        <v>73.099999999999994</v>
      </c>
      <c r="N118" s="116">
        <v>73.5</v>
      </c>
      <c r="O118" s="116">
        <v>71.900000000000006</v>
      </c>
      <c r="P118" s="116">
        <v>72.599999999999994</v>
      </c>
      <c r="Q118" s="116">
        <v>73.099999999999994</v>
      </c>
      <c r="R118">
        <v>2860807</v>
      </c>
    </row>
    <row r="119" spans="1:18" x14ac:dyDescent="0.25">
      <c r="A119" s="170">
        <v>42174</v>
      </c>
      <c r="B119" s="116">
        <v>73.55</v>
      </c>
      <c r="C119" s="116">
        <v>72.150000000000006</v>
      </c>
      <c r="D119" s="116">
        <v>72</v>
      </c>
      <c r="E119" s="116">
        <v>73.3</v>
      </c>
      <c r="F119" s="116">
        <v>72.150000000000006</v>
      </c>
      <c r="G119">
        <v>365188</v>
      </c>
      <c r="H119" s="116"/>
      <c r="I119" s="116"/>
      <c r="L119" s="170">
        <v>42174</v>
      </c>
      <c r="M119" s="116">
        <v>72.3</v>
      </c>
      <c r="N119" s="116">
        <v>73.55</v>
      </c>
      <c r="O119" s="116">
        <v>72.099999999999994</v>
      </c>
      <c r="P119" s="116">
        <v>73.099999999999994</v>
      </c>
      <c r="Q119" s="116">
        <v>72.3</v>
      </c>
      <c r="R119">
        <v>3897925</v>
      </c>
    </row>
    <row r="120" spans="1:18" x14ac:dyDescent="0.25">
      <c r="A120" s="170">
        <v>42177</v>
      </c>
      <c r="B120" s="116">
        <v>74.7</v>
      </c>
      <c r="C120" s="116">
        <v>74.55</v>
      </c>
      <c r="D120" s="116">
        <v>71.599999999999994</v>
      </c>
      <c r="E120" s="116">
        <v>72.2</v>
      </c>
      <c r="F120" s="116">
        <v>74.55</v>
      </c>
      <c r="G120">
        <v>374081</v>
      </c>
      <c r="H120" s="116"/>
      <c r="I120" s="116"/>
      <c r="L120" s="170">
        <v>42177</v>
      </c>
      <c r="M120" s="116">
        <v>74.5</v>
      </c>
      <c r="N120" s="116">
        <v>74.75</v>
      </c>
      <c r="O120" s="116">
        <v>71.55</v>
      </c>
      <c r="P120" s="116">
        <v>72.5</v>
      </c>
      <c r="Q120" s="116">
        <v>74.5</v>
      </c>
      <c r="R120">
        <v>2835299</v>
      </c>
    </row>
    <row r="121" spans="1:18" x14ac:dyDescent="0.25">
      <c r="A121" s="170">
        <v>42178</v>
      </c>
      <c r="B121" s="116">
        <v>74.7</v>
      </c>
      <c r="C121" s="116">
        <v>74.099999999999994</v>
      </c>
      <c r="D121" s="116">
        <v>73.25</v>
      </c>
      <c r="E121" s="116">
        <v>73.5</v>
      </c>
      <c r="F121" s="116">
        <v>74.099999999999994</v>
      </c>
      <c r="G121">
        <v>297303</v>
      </c>
      <c r="H121" s="116"/>
      <c r="I121" s="116"/>
      <c r="L121" s="170">
        <v>42178</v>
      </c>
      <c r="M121" s="116">
        <v>74.150000000000006</v>
      </c>
      <c r="N121" s="116">
        <v>74.7</v>
      </c>
      <c r="O121" s="116">
        <v>73.099999999999994</v>
      </c>
      <c r="P121" s="116">
        <v>74</v>
      </c>
      <c r="Q121" s="116">
        <v>74.150000000000006</v>
      </c>
      <c r="R121">
        <v>3045780</v>
      </c>
    </row>
    <row r="122" spans="1:18" x14ac:dyDescent="0.25">
      <c r="A122" s="170">
        <v>42179</v>
      </c>
      <c r="B122" s="116">
        <v>74.95</v>
      </c>
      <c r="C122" s="116">
        <v>73.650000000000006</v>
      </c>
      <c r="D122" s="116">
        <v>73.25</v>
      </c>
      <c r="E122" s="116">
        <v>74.45</v>
      </c>
      <c r="F122" s="116">
        <v>73.650000000000006</v>
      </c>
      <c r="G122">
        <v>204205</v>
      </c>
      <c r="H122" s="116"/>
      <c r="I122" s="116"/>
      <c r="L122" s="170">
        <v>42179</v>
      </c>
      <c r="M122" s="116">
        <v>73.8</v>
      </c>
      <c r="N122" s="116">
        <v>74.95</v>
      </c>
      <c r="O122" s="116">
        <v>73.25</v>
      </c>
      <c r="P122" s="116">
        <v>74</v>
      </c>
      <c r="Q122" s="116">
        <v>73.8</v>
      </c>
      <c r="R122">
        <v>1408455</v>
      </c>
    </row>
    <row r="123" spans="1:18" x14ac:dyDescent="0.25">
      <c r="A123" s="170">
        <v>42180</v>
      </c>
      <c r="B123" s="116">
        <v>75.2</v>
      </c>
      <c r="C123" s="116">
        <v>74.849999999999994</v>
      </c>
      <c r="D123" s="116">
        <v>73</v>
      </c>
      <c r="E123" s="116">
        <v>73.400000000000006</v>
      </c>
      <c r="F123" s="116">
        <v>74.849999999999994</v>
      </c>
      <c r="G123">
        <v>260617</v>
      </c>
      <c r="H123" s="116"/>
      <c r="I123" s="116"/>
      <c r="L123" s="170">
        <v>42180</v>
      </c>
      <c r="M123" s="116">
        <v>75</v>
      </c>
      <c r="N123" s="116">
        <v>75.8</v>
      </c>
      <c r="O123" s="116">
        <v>72.8</v>
      </c>
      <c r="P123" s="116">
        <v>73.099999999999994</v>
      </c>
      <c r="Q123" s="116">
        <v>75</v>
      </c>
      <c r="R123">
        <v>4048264</v>
      </c>
    </row>
    <row r="124" spans="1:18" x14ac:dyDescent="0.25">
      <c r="A124" s="170">
        <v>42181</v>
      </c>
      <c r="B124" s="116">
        <v>75.5</v>
      </c>
      <c r="C124" s="116">
        <v>73.8</v>
      </c>
      <c r="D124" s="116">
        <v>73.3</v>
      </c>
      <c r="E124" s="116">
        <v>75.5</v>
      </c>
      <c r="F124" s="116">
        <v>73.8</v>
      </c>
      <c r="G124">
        <v>241909</v>
      </c>
      <c r="H124" s="116"/>
      <c r="I124" s="116"/>
      <c r="L124" s="170">
        <v>42181</v>
      </c>
      <c r="M124" s="116">
        <v>73.849999999999994</v>
      </c>
      <c r="N124" s="116">
        <v>75</v>
      </c>
      <c r="O124" s="116">
        <v>73.349999999999994</v>
      </c>
      <c r="P124" s="116">
        <v>75</v>
      </c>
      <c r="Q124" s="116">
        <v>73.849999999999994</v>
      </c>
      <c r="R124">
        <v>1366790</v>
      </c>
    </row>
    <row r="125" spans="1:18" x14ac:dyDescent="0.25">
      <c r="A125" s="170">
        <v>42184</v>
      </c>
      <c r="B125" s="116">
        <v>73.650000000000006</v>
      </c>
      <c r="C125" s="116">
        <v>72.849999999999994</v>
      </c>
      <c r="D125" s="116">
        <v>72</v>
      </c>
      <c r="E125" s="116">
        <v>73</v>
      </c>
      <c r="F125" s="116">
        <v>72.849999999999994</v>
      </c>
      <c r="G125">
        <v>214290</v>
      </c>
      <c r="H125" s="116"/>
      <c r="I125" s="116"/>
      <c r="L125" s="170">
        <v>42184</v>
      </c>
      <c r="M125" s="116">
        <v>72.849999999999994</v>
      </c>
      <c r="N125" s="116">
        <v>73.599999999999994</v>
      </c>
      <c r="O125" s="116">
        <v>71.900000000000006</v>
      </c>
      <c r="P125" s="116">
        <v>73.5</v>
      </c>
      <c r="Q125" s="116">
        <v>72.849999999999994</v>
      </c>
      <c r="R125">
        <v>2006949</v>
      </c>
    </row>
    <row r="126" spans="1:18" x14ac:dyDescent="0.25">
      <c r="A126" s="170">
        <v>42185</v>
      </c>
      <c r="B126" s="116">
        <v>74.2</v>
      </c>
      <c r="C126" s="116">
        <v>74.05</v>
      </c>
      <c r="D126" s="116">
        <v>73</v>
      </c>
      <c r="E126" s="116">
        <v>73.25</v>
      </c>
      <c r="F126" s="116">
        <v>74.05</v>
      </c>
      <c r="G126">
        <v>675077</v>
      </c>
      <c r="H126" s="116"/>
      <c r="I126" s="116"/>
      <c r="L126" s="170">
        <v>42185</v>
      </c>
      <c r="M126" s="116">
        <v>74.150000000000006</v>
      </c>
      <c r="N126" s="116">
        <v>74.349999999999994</v>
      </c>
      <c r="O126" s="116">
        <v>73</v>
      </c>
      <c r="P126" s="116">
        <v>73</v>
      </c>
      <c r="Q126" s="116">
        <v>74.150000000000006</v>
      </c>
      <c r="R126">
        <v>2226284</v>
      </c>
    </row>
    <row r="127" spans="1:18" x14ac:dyDescent="0.25">
      <c r="A127" s="170">
        <v>42186</v>
      </c>
      <c r="B127" s="116">
        <v>75.25</v>
      </c>
      <c r="C127" s="116">
        <v>74.7</v>
      </c>
      <c r="D127" s="116">
        <v>73.599999999999994</v>
      </c>
      <c r="E127" s="116">
        <v>74.150000000000006</v>
      </c>
      <c r="F127" s="116">
        <v>74.7</v>
      </c>
      <c r="G127">
        <v>197613</v>
      </c>
      <c r="H127" s="116"/>
      <c r="I127" s="116"/>
      <c r="L127" s="170">
        <v>42186</v>
      </c>
      <c r="M127" s="116">
        <v>74.75</v>
      </c>
      <c r="N127" s="116">
        <v>75.25</v>
      </c>
      <c r="O127" s="116">
        <v>73.5</v>
      </c>
      <c r="P127" s="116">
        <v>74.150000000000006</v>
      </c>
      <c r="Q127" s="116">
        <v>74.75</v>
      </c>
      <c r="R127">
        <v>1730442</v>
      </c>
    </row>
    <row r="128" spans="1:18" x14ac:dyDescent="0.25">
      <c r="A128" s="170">
        <v>42187</v>
      </c>
      <c r="B128" s="116">
        <v>75.400000000000006</v>
      </c>
      <c r="C128" s="116">
        <v>74.650000000000006</v>
      </c>
      <c r="D128" s="116">
        <v>74.400000000000006</v>
      </c>
      <c r="E128" s="116">
        <v>75.400000000000006</v>
      </c>
      <c r="F128" s="116">
        <v>74.650000000000006</v>
      </c>
      <c r="G128">
        <v>183322</v>
      </c>
      <c r="H128" s="116"/>
      <c r="I128" s="116"/>
      <c r="L128" s="170">
        <v>42187</v>
      </c>
      <c r="M128" s="116">
        <v>74.900000000000006</v>
      </c>
      <c r="N128" s="116">
        <v>75.5</v>
      </c>
      <c r="O128" s="116">
        <v>74.5</v>
      </c>
      <c r="P128" s="116">
        <v>75</v>
      </c>
      <c r="Q128" s="116">
        <v>74.900000000000006</v>
      </c>
      <c r="R128">
        <v>1558746</v>
      </c>
    </row>
    <row r="129" spans="1:18" x14ac:dyDescent="0.25">
      <c r="A129" s="170">
        <v>42188</v>
      </c>
      <c r="B129" s="116">
        <v>75.25</v>
      </c>
      <c r="C129" s="116">
        <v>74.2</v>
      </c>
      <c r="D129" s="116">
        <v>74</v>
      </c>
      <c r="E129" s="116">
        <v>75.25</v>
      </c>
      <c r="F129" s="116">
        <v>74.2</v>
      </c>
      <c r="G129">
        <v>106465</v>
      </c>
      <c r="H129" s="116"/>
      <c r="I129" s="116"/>
      <c r="L129" s="170">
        <v>42188</v>
      </c>
      <c r="M129" s="116">
        <v>74.3</v>
      </c>
      <c r="N129" s="116">
        <v>75.25</v>
      </c>
      <c r="O129" s="116">
        <v>74</v>
      </c>
      <c r="P129" s="116">
        <v>74.5</v>
      </c>
      <c r="Q129" s="116">
        <v>74.3</v>
      </c>
      <c r="R129">
        <v>1118064</v>
      </c>
    </row>
    <row r="130" spans="1:18" x14ac:dyDescent="0.25">
      <c r="A130" s="170">
        <v>42191</v>
      </c>
      <c r="B130" s="116">
        <v>74.650000000000006</v>
      </c>
      <c r="C130" s="116">
        <v>74.349999999999994</v>
      </c>
      <c r="D130" s="116">
        <v>72.7</v>
      </c>
      <c r="E130" s="116">
        <v>74</v>
      </c>
      <c r="F130" s="116">
        <v>74.349999999999994</v>
      </c>
      <c r="G130">
        <v>163345</v>
      </c>
      <c r="H130" s="116"/>
      <c r="I130" s="116"/>
      <c r="L130" s="170">
        <v>42191</v>
      </c>
      <c r="M130" s="116">
        <v>74.45</v>
      </c>
      <c r="N130" s="116">
        <v>74.75</v>
      </c>
      <c r="O130" s="116">
        <v>72.650000000000006</v>
      </c>
      <c r="P130" s="116">
        <v>73.3</v>
      </c>
      <c r="Q130" s="116">
        <v>74.45</v>
      </c>
      <c r="R130">
        <v>1379039</v>
      </c>
    </row>
    <row r="131" spans="1:18" x14ac:dyDescent="0.25">
      <c r="A131" s="170">
        <v>42192</v>
      </c>
      <c r="B131" s="116">
        <v>75.150000000000006</v>
      </c>
      <c r="C131" s="116">
        <v>73.7</v>
      </c>
      <c r="D131" s="116">
        <v>73.5</v>
      </c>
      <c r="E131" s="116">
        <v>74.45</v>
      </c>
      <c r="F131" s="116">
        <v>73.7</v>
      </c>
      <c r="G131">
        <v>169075</v>
      </c>
      <c r="H131" s="116"/>
      <c r="I131" s="116"/>
      <c r="L131" s="170">
        <v>42192</v>
      </c>
      <c r="M131" s="116">
        <v>73.75</v>
      </c>
      <c r="N131" s="116">
        <v>75.349999999999994</v>
      </c>
      <c r="O131" s="116">
        <v>73.5</v>
      </c>
      <c r="P131" s="116">
        <v>75</v>
      </c>
      <c r="Q131" s="116">
        <v>73.75</v>
      </c>
      <c r="R131">
        <v>1519519</v>
      </c>
    </row>
    <row r="132" spans="1:18" x14ac:dyDescent="0.25">
      <c r="A132" s="170">
        <v>42193</v>
      </c>
      <c r="B132" s="116">
        <v>73.5</v>
      </c>
      <c r="C132" s="116">
        <v>72.5</v>
      </c>
      <c r="D132" s="116">
        <v>72.099999999999994</v>
      </c>
      <c r="E132" s="116">
        <v>73.5</v>
      </c>
      <c r="F132" s="116">
        <v>72.5</v>
      </c>
      <c r="G132">
        <v>143166</v>
      </c>
      <c r="H132" s="116"/>
      <c r="I132" s="116"/>
      <c r="L132" s="170">
        <v>42193</v>
      </c>
      <c r="M132" s="116">
        <v>72.5</v>
      </c>
      <c r="N132" s="116">
        <v>73.3</v>
      </c>
      <c r="O132" s="116">
        <v>72.099999999999994</v>
      </c>
      <c r="P132" s="116">
        <v>73</v>
      </c>
      <c r="Q132" s="116">
        <v>72.5</v>
      </c>
      <c r="R132">
        <v>2119540</v>
      </c>
    </row>
    <row r="133" spans="1:18" x14ac:dyDescent="0.25">
      <c r="A133" s="170">
        <v>42194</v>
      </c>
      <c r="B133" s="116">
        <v>73</v>
      </c>
      <c r="C133" s="116">
        <v>72.349999999999994</v>
      </c>
      <c r="D133" s="116">
        <v>72.150000000000006</v>
      </c>
      <c r="E133" s="116">
        <v>72.5</v>
      </c>
      <c r="F133" s="116">
        <v>72.349999999999994</v>
      </c>
      <c r="G133">
        <v>105040</v>
      </c>
      <c r="H133" s="116"/>
      <c r="I133" s="116"/>
      <c r="L133" s="170">
        <v>42194</v>
      </c>
      <c r="M133" s="116">
        <v>72.45</v>
      </c>
      <c r="N133" s="116">
        <v>73.2</v>
      </c>
      <c r="O133" s="116">
        <v>72.2</v>
      </c>
      <c r="P133" s="116">
        <v>72.5</v>
      </c>
      <c r="Q133" s="116">
        <v>72.45</v>
      </c>
      <c r="R133">
        <v>1491726</v>
      </c>
    </row>
    <row r="134" spans="1:18" x14ac:dyDescent="0.25">
      <c r="A134" s="170">
        <v>42195</v>
      </c>
      <c r="B134" s="116">
        <v>72.8</v>
      </c>
      <c r="C134" s="116">
        <v>71.7</v>
      </c>
      <c r="D134" s="116">
        <v>71.3</v>
      </c>
      <c r="E134" s="116">
        <v>72.75</v>
      </c>
      <c r="F134" s="116">
        <v>71.7</v>
      </c>
      <c r="G134">
        <v>266577</v>
      </c>
      <c r="H134" s="116"/>
      <c r="I134" s="116"/>
      <c r="L134" s="170">
        <v>42195</v>
      </c>
      <c r="M134" s="116">
        <v>71.5</v>
      </c>
      <c r="N134" s="116">
        <v>72.7</v>
      </c>
      <c r="O134" s="116">
        <v>71.05</v>
      </c>
      <c r="P134" s="116">
        <v>72.45</v>
      </c>
      <c r="Q134" s="116">
        <v>71.5</v>
      </c>
      <c r="R134">
        <v>8725027</v>
      </c>
    </row>
    <row r="135" spans="1:18" x14ac:dyDescent="0.25">
      <c r="A135" s="170">
        <v>42198</v>
      </c>
      <c r="B135" s="116">
        <v>73</v>
      </c>
      <c r="C135" s="116">
        <v>72.8</v>
      </c>
      <c r="D135" s="116">
        <v>71.5</v>
      </c>
      <c r="E135" s="116">
        <v>71.7</v>
      </c>
      <c r="F135" s="116">
        <v>72.8</v>
      </c>
      <c r="G135">
        <v>309606</v>
      </c>
      <c r="H135" s="116"/>
      <c r="I135" s="116"/>
      <c r="L135" s="170">
        <v>42198</v>
      </c>
      <c r="M135" s="116">
        <v>72.75</v>
      </c>
      <c r="N135" s="116">
        <v>73</v>
      </c>
      <c r="O135" s="116">
        <v>71.5</v>
      </c>
      <c r="P135" s="116">
        <v>71.650000000000006</v>
      </c>
      <c r="Q135" s="116">
        <v>72.75</v>
      </c>
      <c r="R135">
        <v>2062761</v>
      </c>
    </row>
    <row r="136" spans="1:18" x14ac:dyDescent="0.25">
      <c r="A136" s="170">
        <v>42199</v>
      </c>
      <c r="B136" s="116">
        <v>73.45</v>
      </c>
      <c r="C136" s="116">
        <v>72.900000000000006</v>
      </c>
      <c r="D136" s="116">
        <v>72.3</v>
      </c>
      <c r="E136" s="116">
        <v>72.8</v>
      </c>
      <c r="F136" s="116">
        <v>72.900000000000006</v>
      </c>
      <c r="G136">
        <v>187912</v>
      </c>
      <c r="H136" s="116"/>
      <c r="I136" s="116"/>
      <c r="L136" s="170">
        <v>42199</v>
      </c>
      <c r="M136" s="116">
        <v>72.95</v>
      </c>
      <c r="N136" s="116">
        <v>73.45</v>
      </c>
      <c r="O136" s="116">
        <v>72.349999999999994</v>
      </c>
      <c r="P136" s="116">
        <v>73</v>
      </c>
      <c r="Q136" s="116">
        <v>72.95</v>
      </c>
      <c r="R136">
        <v>1117660</v>
      </c>
    </row>
    <row r="137" spans="1:18" x14ac:dyDescent="0.25">
      <c r="A137" s="170">
        <v>42200</v>
      </c>
      <c r="B137" s="116">
        <v>74.900000000000006</v>
      </c>
      <c r="C137" s="116">
        <v>74.45</v>
      </c>
      <c r="D137" s="116">
        <v>72.8</v>
      </c>
      <c r="E137" s="116">
        <v>73</v>
      </c>
      <c r="F137" s="116">
        <v>74.45</v>
      </c>
      <c r="G137">
        <v>234274</v>
      </c>
      <c r="H137" s="116"/>
      <c r="I137" s="116"/>
      <c r="L137" s="170">
        <v>42200</v>
      </c>
      <c r="M137" s="116">
        <v>74.25</v>
      </c>
      <c r="N137" s="116">
        <v>74.849999999999994</v>
      </c>
      <c r="O137" s="116">
        <v>72.5</v>
      </c>
      <c r="P137" s="116">
        <v>72.5</v>
      </c>
      <c r="Q137" s="116">
        <v>74.25</v>
      </c>
      <c r="R137">
        <v>2339626</v>
      </c>
    </row>
    <row r="138" spans="1:18" x14ac:dyDescent="0.25">
      <c r="A138" s="170">
        <v>42201</v>
      </c>
      <c r="B138" s="116">
        <v>76.2</v>
      </c>
      <c r="C138" s="116">
        <v>76</v>
      </c>
      <c r="D138" s="116">
        <v>74.2</v>
      </c>
      <c r="E138" s="116">
        <v>74.45</v>
      </c>
      <c r="F138" s="116">
        <v>76</v>
      </c>
      <c r="G138">
        <v>309071</v>
      </c>
      <c r="H138" s="116"/>
      <c r="I138" s="116"/>
      <c r="L138" s="170">
        <v>42201</v>
      </c>
      <c r="M138" s="116">
        <v>76</v>
      </c>
      <c r="N138" s="116">
        <v>76.2</v>
      </c>
      <c r="O138" s="116">
        <v>74.2</v>
      </c>
      <c r="P138" s="116">
        <v>74.95</v>
      </c>
      <c r="Q138" s="116">
        <v>76</v>
      </c>
      <c r="R138">
        <v>1977357</v>
      </c>
    </row>
    <row r="139" spans="1:18" x14ac:dyDescent="0.25">
      <c r="A139" s="170">
        <v>42202</v>
      </c>
      <c r="B139" s="116">
        <v>76.75</v>
      </c>
      <c r="C139" s="116">
        <v>75.95</v>
      </c>
      <c r="D139" s="116">
        <v>75.7</v>
      </c>
      <c r="E139" s="116">
        <v>76.7</v>
      </c>
      <c r="F139" s="116">
        <v>75.95</v>
      </c>
      <c r="G139">
        <v>313620</v>
      </c>
      <c r="H139" s="116"/>
      <c r="I139" s="116"/>
      <c r="L139" s="170">
        <v>42202</v>
      </c>
      <c r="M139" s="116">
        <v>75.900000000000006</v>
      </c>
      <c r="N139" s="116">
        <v>76.849999999999994</v>
      </c>
      <c r="O139" s="116">
        <v>75.650000000000006</v>
      </c>
      <c r="P139" s="116">
        <v>76.25</v>
      </c>
      <c r="Q139" s="116">
        <v>75.900000000000006</v>
      </c>
      <c r="R139">
        <v>2361802</v>
      </c>
    </row>
    <row r="140" spans="1:18" x14ac:dyDescent="0.25">
      <c r="A140" s="170">
        <v>42205</v>
      </c>
      <c r="B140" s="116">
        <v>75.900000000000006</v>
      </c>
      <c r="C140" s="116">
        <v>74.400000000000006</v>
      </c>
      <c r="D140" s="116">
        <v>73.95</v>
      </c>
      <c r="E140" s="116">
        <v>75.900000000000006</v>
      </c>
      <c r="F140" s="116">
        <v>74.400000000000006</v>
      </c>
      <c r="G140">
        <v>217317</v>
      </c>
      <c r="H140" s="116"/>
      <c r="I140" s="116"/>
      <c r="L140" s="170">
        <v>42205</v>
      </c>
      <c r="M140" s="116">
        <v>74.5</v>
      </c>
      <c r="N140" s="116">
        <v>74.95</v>
      </c>
      <c r="O140" s="116">
        <v>74</v>
      </c>
      <c r="P140" s="116">
        <v>74.8</v>
      </c>
      <c r="Q140" s="116">
        <v>74.5</v>
      </c>
      <c r="R140">
        <v>1908650</v>
      </c>
    </row>
    <row r="141" spans="1:18" x14ac:dyDescent="0.25">
      <c r="A141" s="170">
        <v>42206</v>
      </c>
      <c r="B141" s="116">
        <v>74.55</v>
      </c>
      <c r="C141" s="116">
        <v>72.150000000000006</v>
      </c>
      <c r="D141" s="116">
        <v>72</v>
      </c>
      <c r="E141" s="116">
        <v>74.400000000000006</v>
      </c>
      <c r="F141" s="116">
        <v>72.150000000000006</v>
      </c>
      <c r="G141">
        <v>199327</v>
      </c>
      <c r="H141" s="116"/>
      <c r="I141" s="116"/>
      <c r="L141" s="170">
        <v>42206</v>
      </c>
      <c r="M141" s="116">
        <v>72.150000000000006</v>
      </c>
      <c r="N141" s="116">
        <v>74.599999999999994</v>
      </c>
      <c r="O141" s="116">
        <v>72</v>
      </c>
      <c r="P141" s="116">
        <v>74.2</v>
      </c>
      <c r="Q141" s="116">
        <v>72.150000000000006</v>
      </c>
      <c r="R141">
        <v>1792346</v>
      </c>
    </row>
    <row r="142" spans="1:18" x14ac:dyDescent="0.25">
      <c r="A142" s="170">
        <v>42207</v>
      </c>
      <c r="B142" s="116">
        <v>73.55</v>
      </c>
      <c r="C142" s="116">
        <v>72.900000000000006</v>
      </c>
      <c r="D142" s="116">
        <v>71.599999999999994</v>
      </c>
      <c r="E142" s="116">
        <v>72</v>
      </c>
      <c r="F142" s="116">
        <v>72.900000000000006</v>
      </c>
      <c r="G142">
        <v>271883</v>
      </c>
      <c r="H142" s="116"/>
      <c r="I142" s="116"/>
      <c r="L142" s="170">
        <v>42207</v>
      </c>
      <c r="M142" s="116">
        <v>73</v>
      </c>
      <c r="N142" s="116">
        <v>73.599999999999994</v>
      </c>
      <c r="O142" s="116">
        <v>71.45</v>
      </c>
      <c r="P142" s="116">
        <v>72</v>
      </c>
      <c r="Q142" s="116">
        <v>73</v>
      </c>
      <c r="R142">
        <v>2257135</v>
      </c>
    </row>
    <row r="143" spans="1:18" x14ac:dyDescent="0.25">
      <c r="A143" s="170">
        <v>42208</v>
      </c>
      <c r="B143" s="116">
        <v>73.3</v>
      </c>
      <c r="C143" s="116">
        <v>71.650000000000006</v>
      </c>
      <c r="D143" s="116">
        <v>71.5</v>
      </c>
      <c r="E143" s="116">
        <v>73</v>
      </c>
      <c r="F143" s="116">
        <v>71.650000000000006</v>
      </c>
      <c r="G143">
        <v>3023853</v>
      </c>
      <c r="H143" s="116"/>
      <c r="I143" s="116"/>
      <c r="L143" s="170">
        <v>42208</v>
      </c>
      <c r="M143" s="116">
        <v>71.900000000000006</v>
      </c>
      <c r="N143" s="116">
        <v>73.400000000000006</v>
      </c>
      <c r="O143" s="116">
        <v>71.7</v>
      </c>
      <c r="P143" s="116">
        <v>73.2</v>
      </c>
      <c r="Q143" s="116">
        <v>71.900000000000006</v>
      </c>
      <c r="R143">
        <v>2138940</v>
      </c>
    </row>
    <row r="144" spans="1:18" x14ac:dyDescent="0.25">
      <c r="A144" s="170">
        <v>42209</v>
      </c>
      <c r="B144" s="116">
        <v>72.3</v>
      </c>
      <c r="C144" s="116">
        <v>71.650000000000006</v>
      </c>
      <c r="D144" s="116">
        <v>71.45</v>
      </c>
      <c r="E144" s="116">
        <v>72.3</v>
      </c>
      <c r="F144" s="116">
        <v>71.650000000000006</v>
      </c>
      <c r="G144">
        <v>174091</v>
      </c>
      <c r="H144" s="116"/>
      <c r="I144" s="116"/>
      <c r="L144" s="170">
        <v>42209</v>
      </c>
      <c r="M144" s="116">
        <v>71.8</v>
      </c>
      <c r="N144" s="116">
        <v>72.349999999999994</v>
      </c>
      <c r="O144" s="116">
        <v>71.400000000000006</v>
      </c>
      <c r="P144" s="116">
        <v>72.2</v>
      </c>
      <c r="Q144" s="116">
        <v>71.8</v>
      </c>
      <c r="R144">
        <v>2110460</v>
      </c>
    </row>
    <row r="145" spans="1:18" x14ac:dyDescent="0.25">
      <c r="A145" s="170">
        <v>42212</v>
      </c>
      <c r="B145" s="116">
        <v>72.099999999999994</v>
      </c>
      <c r="C145" s="116">
        <v>71.099999999999994</v>
      </c>
      <c r="D145" s="116">
        <v>70.25</v>
      </c>
      <c r="E145" s="116">
        <v>71.650000000000006</v>
      </c>
      <c r="F145" s="116">
        <v>71.099999999999994</v>
      </c>
      <c r="G145">
        <v>207936</v>
      </c>
      <c r="H145" s="116"/>
      <c r="I145" s="116"/>
      <c r="L145" s="170">
        <v>42212</v>
      </c>
      <c r="M145" s="116">
        <v>71.25</v>
      </c>
      <c r="N145" s="116">
        <v>72.2</v>
      </c>
      <c r="O145" s="116">
        <v>70.25</v>
      </c>
      <c r="P145" s="116">
        <v>71.7</v>
      </c>
      <c r="Q145" s="116">
        <v>71.25</v>
      </c>
      <c r="R145">
        <v>3130774</v>
      </c>
    </row>
    <row r="146" spans="1:18" x14ac:dyDescent="0.25">
      <c r="A146" s="170">
        <v>42213</v>
      </c>
      <c r="B146" s="116">
        <v>71.75</v>
      </c>
      <c r="C146" s="116">
        <v>70.900000000000006</v>
      </c>
      <c r="D146" s="116">
        <v>70.099999999999994</v>
      </c>
      <c r="E146" s="116">
        <v>71.5</v>
      </c>
      <c r="F146" s="116">
        <v>70.900000000000006</v>
      </c>
      <c r="G146">
        <v>226658</v>
      </c>
      <c r="H146" s="116"/>
      <c r="I146" s="116"/>
      <c r="L146" s="170">
        <v>42213</v>
      </c>
      <c r="M146" s="116">
        <v>70.95</v>
      </c>
      <c r="N146" s="116">
        <v>71.75</v>
      </c>
      <c r="O146" s="116">
        <v>70</v>
      </c>
      <c r="P146" s="116">
        <v>71</v>
      </c>
      <c r="Q146" s="116">
        <v>70.95</v>
      </c>
      <c r="R146">
        <v>2122680</v>
      </c>
    </row>
    <row r="147" spans="1:18" x14ac:dyDescent="0.25">
      <c r="A147" s="170">
        <v>42214</v>
      </c>
      <c r="B147" s="116">
        <v>71.099999999999994</v>
      </c>
      <c r="C147" s="116">
        <v>68.349999999999994</v>
      </c>
      <c r="D147" s="116">
        <v>67.150000000000006</v>
      </c>
      <c r="E147" s="116">
        <v>71.099999999999994</v>
      </c>
      <c r="F147" s="116">
        <v>68.349999999999994</v>
      </c>
      <c r="G147">
        <v>702137</v>
      </c>
      <c r="H147" s="116"/>
      <c r="I147" s="116"/>
      <c r="L147" s="170">
        <v>42214</v>
      </c>
      <c r="M147" s="116">
        <v>68.3</v>
      </c>
      <c r="N147" s="116">
        <v>71.2</v>
      </c>
      <c r="O147" s="116">
        <v>67.05</v>
      </c>
      <c r="P147" s="116">
        <v>71</v>
      </c>
      <c r="Q147" s="116">
        <v>68.3</v>
      </c>
      <c r="R147">
        <v>5818545</v>
      </c>
    </row>
    <row r="148" spans="1:18" x14ac:dyDescent="0.25">
      <c r="A148" s="170">
        <v>42215</v>
      </c>
      <c r="B148" s="116">
        <v>69.95</v>
      </c>
      <c r="C148" s="116">
        <v>69.599999999999994</v>
      </c>
      <c r="D148" s="116">
        <v>67</v>
      </c>
      <c r="E148" s="116">
        <v>68.349999999999994</v>
      </c>
      <c r="F148" s="116">
        <v>69.599999999999994</v>
      </c>
      <c r="G148">
        <v>470149</v>
      </c>
      <c r="H148" s="116"/>
      <c r="I148" s="116"/>
      <c r="L148" s="170">
        <v>42215</v>
      </c>
      <c r="M148" s="116">
        <v>69.599999999999994</v>
      </c>
      <c r="N148" s="116">
        <v>70</v>
      </c>
      <c r="O148" s="116">
        <v>66</v>
      </c>
      <c r="P148" s="116">
        <v>66</v>
      </c>
      <c r="Q148" s="116">
        <v>69.599999999999994</v>
      </c>
      <c r="R148">
        <v>5359448</v>
      </c>
    </row>
    <row r="149" spans="1:18" x14ac:dyDescent="0.25">
      <c r="A149" s="170">
        <v>42216</v>
      </c>
      <c r="B149" s="116">
        <v>70.400000000000006</v>
      </c>
      <c r="C149" s="116">
        <v>68.599999999999994</v>
      </c>
      <c r="D149" s="116">
        <v>68.3</v>
      </c>
      <c r="E149" s="116">
        <v>69.599999999999994</v>
      </c>
      <c r="F149" s="116">
        <v>68.599999999999994</v>
      </c>
      <c r="G149">
        <v>310565</v>
      </c>
      <c r="H149" s="116"/>
      <c r="I149" s="116"/>
      <c r="L149" s="170">
        <v>42216</v>
      </c>
      <c r="M149" s="116">
        <v>68.45</v>
      </c>
      <c r="N149" s="116">
        <v>70.45</v>
      </c>
      <c r="O149" s="116">
        <v>68.150000000000006</v>
      </c>
      <c r="P149" s="116">
        <v>69.7</v>
      </c>
      <c r="Q149" s="116">
        <v>68.45</v>
      </c>
      <c r="R149">
        <v>3855766</v>
      </c>
    </row>
    <row r="150" spans="1:18" x14ac:dyDescent="0.25">
      <c r="A150" s="170">
        <v>42219</v>
      </c>
      <c r="B150" s="116">
        <v>69.900000000000006</v>
      </c>
      <c r="C150" s="116">
        <v>69.45</v>
      </c>
      <c r="D150" s="116">
        <v>68.7</v>
      </c>
      <c r="E150" s="116">
        <v>68.7</v>
      </c>
      <c r="F150" s="116">
        <v>69.45</v>
      </c>
      <c r="G150">
        <v>235547</v>
      </c>
      <c r="H150" s="116"/>
      <c r="I150" s="116"/>
      <c r="L150" s="170">
        <v>42219</v>
      </c>
      <c r="M150" s="116">
        <v>69.5</v>
      </c>
      <c r="N150" s="116">
        <v>69.849999999999994</v>
      </c>
      <c r="O150" s="116">
        <v>68.55</v>
      </c>
      <c r="P150" s="116">
        <v>69.2</v>
      </c>
      <c r="Q150" s="116">
        <v>69.5</v>
      </c>
      <c r="R150">
        <v>1826681</v>
      </c>
    </row>
    <row r="151" spans="1:18" x14ac:dyDescent="0.25">
      <c r="A151" s="170">
        <v>42220</v>
      </c>
      <c r="B151" s="116">
        <v>70.099999999999994</v>
      </c>
      <c r="C151" s="116">
        <v>69.75</v>
      </c>
      <c r="D151" s="116">
        <v>68.599999999999994</v>
      </c>
      <c r="E151" s="116">
        <v>69</v>
      </c>
      <c r="F151" s="116">
        <v>69.75</v>
      </c>
      <c r="G151">
        <v>224011</v>
      </c>
      <c r="H151" s="116"/>
      <c r="I151" s="116"/>
      <c r="L151" s="170">
        <v>42220</v>
      </c>
      <c r="M151" s="116">
        <v>69.900000000000006</v>
      </c>
      <c r="N151" s="116">
        <v>70.2</v>
      </c>
      <c r="O151" s="116">
        <v>68.55</v>
      </c>
      <c r="P151" s="116">
        <v>69.5</v>
      </c>
      <c r="Q151" s="116">
        <v>69.900000000000006</v>
      </c>
      <c r="R151">
        <v>2441973</v>
      </c>
    </row>
    <row r="152" spans="1:18" x14ac:dyDescent="0.25">
      <c r="A152" s="170">
        <v>42221</v>
      </c>
      <c r="B152" s="116">
        <v>70.900000000000006</v>
      </c>
      <c r="C152" s="116">
        <v>69.900000000000006</v>
      </c>
      <c r="D152" s="116">
        <v>69.5</v>
      </c>
      <c r="E152" s="116">
        <v>70</v>
      </c>
      <c r="F152" s="116">
        <v>69.900000000000006</v>
      </c>
      <c r="G152">
        <v>278879</v>
      </c>
      <c r="H152" s="116"/>
      <c r="I152" s="116"/>
      <c r="L152" s="170">
        <v>42221</v>
      </c>
      <c r="M152" s="116">
        <v>69.75</v>
      </c>
      <c r="N152" s="116">
        <v>70.95</v>
      </c>
      <c r="O152" s="116">
        <v>69.3</v>
      </c>
      <c r="P152" s="116">
        <v>70</v>
      </c>
      <c r="Q152" s="116">
        <v>69.75</v>
      </c>
      <c r="R152">
        <v>2964149</v>
      </c>
    </row>
    <row r="153" spans="1:18" x14ac:dyDescent="0.25">
      <c r="A153" s="170">
        <v>42222</v>
      </c>
      <c r="B153" s="116">
        <v>70.5</v>
      </c>
      <c r="C153" s="116">
        <v>69.75</v>
      </c>
      <c r="D153" s="116">
        <v>69.25</v>
      </c>
      <c r="E153" s="116">
        <v>70.5</v>
      </c>
      <c r="F153" s="116">
        <v>69.75</v>
      </c>
      <c r="G153">
        <v>169663</v>
      </c>
      <c r="H153" s="116"/>
      <c r="I153" s="116"/>
      <c r="L153" s="170">
        <v>42222</v>
      </c>
      <c r="M153" s="116">
        <v>69.75</v>
      </c>
      <c r="N153" s="116">
        <v>70.5</v>
      </c>
      <c r="O153" s="116">
        <v>69.2</v>
      </c>
      <c r="P153" s="116">
        <v>70.400000000000006</v>
      </c>
      <c r="Q153" s="116">
        <v>69.75</v>
      </c>
      <c r="R153">
        <v>1500113</v>
      </c>
    </row>
    <row r="154" spans="1:18" x14ac:dyDescent="0.25">
      <c r="A154" s="170">
        <v>42223</v>
      </c>
      <c r="B154" s="116">
        <v>70.8</v>
      </c>
      <c r="C154" s="116">
        <v>69.150000000000006</v>
      </c>
      <c r="D154" s="116">
        <v>68.849999999999994</v>
      </c>
      <c r="E154" s="116">
        <v>70.8</v>
      </c>
      <c r="F154" s="116">
        <v>69.150000000000006</v>
      </c>
      <c r="G154">
        <v>221446</v>
      </c>
      <c r="H154" s="116"/>
      <c r="I154" s="116"/>
      <c r="L154" s="170">
        <v>42223</v>
      </c>
      <c r="M154" s="116">
        <v>69.099999999999994</v>
      </c>
      <c r="N154" s="116">
        <v>70.150000000000006</v>
      </c>
      <c r="O154" s="116">
        <v>68.849999999999994</v>
      </c>
      <c r="P154" s="116">
        <v>69.75</v>
      </c>
      <c r="Q154" s="116">
        <v>69.099999999999994</v>
      </c>
      <c r="R154">
        <v>1379657</v>
      </c>
    </row>
    <row r="155" spans="1:18" x14ac:dyDescent="0.25">
      <c r="A155" s="170">
        <v>42226</v>
      </c>
      <c r="B155" s="116">
        <v>70.150000000000006</v>
      </c>
      <c r="C155" s="116">
        <v>69.150000000000006</v>
      </c>
      <c r="D155" s="116">
        <v>68.75</v>
      </c>
      <c r="E155" s="116">
        <v>69.599999999999994</v>
      </c>
      <c r="F155" s="116">
        <v>69.150000000000006</v>
      </c>
      <c r="G155">
        <v>298957</v>
      </c>
      <c r="H155" s="116"/>
      <c r="I155" s="116"/>
      <c r="L155" s="170">
        <v>42226</v>
      </c>
      <c r="M155" s="116">
        <v>69.099999999999994</v>
      </c>
      <c r="N155" s="116">
        <v>70.150000000000006</v>
      </c>
      <c r="O155" s="116">
        <v>68.75</v>
      </c>
      <c r="P155" s="116">
        <v>69.150000000000006</v>
      </c>
      <c r="Q155" s="116">
        <v>69.099999999999994</v>
      </c>
      <c r="R155">
        <v>1268145</v>
      </c>
    </row>
    <row r="156" spans="1:18" x14ac:dyDescent="0.25">
      <c r="A156" s="170">
        <v>42227</v>
      </c>
      <c r="B156" s="116">
        <v>69.849999999999994</v>
      </c>
      <c r="C156" s="116">
        <v>68.150000000000006</v>
      </c>
      <c r="D156" s="116">
        <v>67.95</v>
      </c>
      <c r="E156" s="116">
        <v>69.150000000000006</v>
      </c>
      <c r="F156" s="116">
        <v>68.150000000000006</v>
      </c>
      <c r="G156">
        <v>236352</v>
      </c>
      <c r="H156" s="116"/>
      <c r="I156" s="116"/>
      <c r="L156" s="170">
        <v>42227</v>
      </c>
      <c r="M156" s="116">
        <v>68.25</v>
      </c>
      <c r="N156" s="116">
        <v>69.7</v>
      </c>
      <c r="O156" s="116">
        <v>68</v>
      </c>
      <c r="P156" s="116">
        <v>69.2</v>
      </c>
      <c r="Q156" s="116">
        <v>68.25</v>
      </c>
      <c r="R156">
        <v>1563841</v>
      </c>
    </row>
    <row r="157" spans="1:18" x14ac:dyDescent="0.25">
      <c r="A157" s="170">
        <v>42228</v>
      </c>
      <c r="B157" s="116">
        <v>68.5</v>
      </c>
      <c r="C157" s="116">
        <v>67.55</v>
      </c>
      <c r="D157" s="116">
        <v>67.349999999999994</v>
      </c>
      <c r="E157" s="116">
        <v>68</v>
      </c>
      <c r="F157" s="116">
        <v>67.55</v>
      </c>
      <c r="G157">
        <v>250380</v>
      </c>
      <c r="H157" s="116"/>
      <c r="I157" s="116"/>
      <c r="L157" s="170">
        <v>42228</v>
      </c>
      <c r="M157" s="116">
        <v>67.55</v>
      </c>
      <c r="N157" s="116">
        <v>68.5</v>
      </c>
      <c r="O157" s="116">
        <v>67.3</v>
      </c>
      <c r="P157" s="116">
        <v>68.25</v>
      </c>
      <c r="Q157" s="116">
        <v>67.55</v>
      </c>
      <c r="R157">
        <v>1704026</v>
      </c>
    </row>
    <row r="158" spans="1:18" x14ac:dyDescent="0.25">
      <c r="A158" s="170">
        <v>42229</v>
      </c>
      <c r="B158" s="116">
        <v>70.849999999999994</v>
      </c>
      <c r="C158" s="116">
        <v>69.2</v>
      </c>
      <c r="D158" s="116">
        <v>68.05</v>
      </c>
      <c r="E158" s="116">
        <v>68.2</v>
      </c>
      <c r="F158" s="116">
        <v>69.2</v>
      </c>
      <c r="G158">
        <v>1113169</v>
      </c>
      <c r="H158" s="116"/>
      <c r="I158" s="116"/>
      <c r="L158" s="170">
        <v>42229</v>
      </c>
      <c r="M158" s="116">
        <v>69.150000000000006</v>
      </c>
      <c r="N158" s="116">
        <v>70.75</v>
      </c>
      <c r="O158" s="116">
        <v>67.25</v>
      </c>
      <c r="P158" s="116">
        <v>67.900000000000006</v>
      </c>
      <c r="Q158" s="116">
        <v>69.150000000000006</v>
      </c>
      <c r="R158">
        <v>8195280</v>
      </c>
    </row>
    <row r="159" spans="1:18" x14ac:dyDescent="0.25">
      <c r="A159" s="170">
        <v>42230</v>
      </c>
      <c r="B159" s="116">
        <v>70</v>
      </c>
      <c r="C159" s="116">
        <v>69.7</v>
      </c>
      <c r="D159" s="116">
        <v>69.05</v>
      </c>
      <c r="E159" s="116">
        <v>70</v>
      </c>
      <c r="F159" s="116">
        <v>69.7</v>
      </c>
      <c r="G159">
        <v>359900</v>
      </c>
      <c r="H159" s="116"/>
      <c r="I159" s="116"/>
      <c r="L159" s="170">
        <v>42230</v>
      </c>
      <c r="M159" s="116">
        <v>69.7</v>
      </c>
      <c r="N159" s="116">
        <v>70.099999999999994</v>
      </c>
      <c r="O159" s="116">
        <v>69.150000000000006</v>
      </c>
      <c r="P159" s="116">
        <v>69.900000000000006</v>
      </c>
      <c r="Q159" s="116">
        <v>69.7</v>
      </c>
      <c r="R159">
        <v>1931964</v>
      </c>
    </row>
    <row r="160" spans="1:18" x14ac:dyDescent="0.25">
      <c r="A160" s="170">
        <v>42233</v>
      </c>
      <c r="B160" s="116">
        <v>70</v>
      </c>
      <c r="C160" s="116">
        <v>68.650000000000006</v>
      </c>
      <c r="D160" s="116">
        <v>68.150000000000006</v>
      </c>
      <c r="E160" s="116">
        <v>69.7</v>
      </c>
      <c r="F160" s="116">
        <v>68.650000000000006</v>
      </c>
      <c r="G160">
        <v>206019</v>
      </c>
      <c r="H160" s="116"/>
      <c r="I160" s="116"/>
      <c r="L160" s="170">
        <v>42233</v>
      </c>
      <c r="M160" s="116">
        <v>68.650000000000006</v>
      </c>
      <c r="N160" s="116">
        <v>70</v>
      </c>
      <c r="O160" s="116">
        <v>68</v>
      </c>
      <c r="P160" s="116">
        <v>69.8</v>
      </c>
      <c r="Q160" s="116">
        <v>68.650000000000006</v>
      </c>
      <c r="R160">
        <v>1239265</v>
      </c>
    </row>
    <row r="161" spans="1:18" x14ac:dyDescent="0.25">
      <c r="A161" s="170">
        <v>42234</v>
      </c>
      <c r="B161" s="116">
        <v>69</v>
      </c>
      <c r="C161" s="116">
        <v>68.099999999999994</v>
      </c>
      <c r="D161" s="116">
        <v>67.599999999999994</v>
      </c>
      <c r="E161" s="116">
        <v>69</v>
      </c>
      <c r="F161" s="116">
        <v>68.099999999999994</v>
      </c>
      <c r="G161">
        <v>444006</v>
      </c>
      <c r="H161" s="116"/>
      <c r="I161" s="116"/>
      <c r="L161" s="170">
        <v>42234</v>
      </c>
      <c r="M161" s="116">
        <v>68.099999999999994</v>
      </c>
      <c r="N161" s="116">
        <v>68.95</v>
      </c>
      <c r="O161" s="116">
        <v>67.55</v>
      </c>
      <c r="P161" s="116">
        <v>68.55</v>
      </c>
      <c r="Q161" s="116">
        <v>68.099999999999994</v>
      </c>
      <c r="R161">
        <v>2079478</v>
      </c>
    </row>
    <row r="162" spans="1:18" x14ac:dyDescent="0.25">
      <c r="A162" s="170">
        <v>42235</v>
      </c>
      <c r="B162" s="116">
        <v>68.099999999999994</v>
      </c>
      <c r="C162" s="116">
        <v>67.400000000000006</v>
      </c>
      <c r="D162" s="116">
        <v>67.2</v>
      </c>
      <c r="E162" s="116">
        <v>68.099999999999994</v>
      </c>
      <c r="F162" s="116">
        <v>67.400000000000006</v>
      </c>
      <c r="G162">
        <v>267794</v>
      </c>
      <c r="H162" s="116"/>
      <c r="I162" s="116"/>
      <c r="L162" s="170">
        <v>42235</v>
      </c>
      <c r="M162" s="116">
        <v>67.400000000000006</v>
      </c>
      <c r="N162" s="116">
        <v>68.45</v>
      </c>
      <c r="O162" s="116">
        <v>67.25</v>
      </c>
      <c r="P162" s="116">
        <v>68.45</v>
      </c>
      <c r="Q162" s="116">
        <v>67.400000000000006</v>
      </c>
      <c r="R162">
        <v>1602637</v>
      </c>
    </row>
    <row r="163" spans="1:18" x14ac:dyDescent="0.25">
      <c r="A163" s="170">
        <v>42236</v>
      </c>
      <c r="B163" s="116">
        <v>68.5</v>
      </c>
      <c r="C163" s="116">
        <v>67.599999999999994</v>
      </c>
      <c r="D163" s="116">
        <v>66.25</v>
      </c>
      <c r="E163" s="116">
        <v>68</v>
      </c>
      <c r="F163" s="116">
        <v>67.599999999999994</v>
      </c>
      <c r="G163">
        <v>639579</v>
      </c>
      <c r="H163" s="116"/>
      <c r="I163" s="116"/>
      <c r="L163" s="170">
        <v>42236</v>
      </c>
      <c r="M163" s="116">
        <v>67.5</v>
      </c>
      <c r="N163" s="116">
        <v>68.5</v>
      </c>
      <c r="O163" s="116">
        <v>66.150000000000006</v>
      </c>
      <c r="P163" s="116">
        <v>67</v>
      </c>
      <c r="Q163" s="116">
        <v>67.5</v>
      </c>
      <c r="R163">
        <v>2941443</v>
      </c>
    </row>
    <row r="164" spans="1:18" x14ac:dyDescent="0.25">
      <c r="A164" s="170">
        <v>42237</v>
      </c>
      <c r="B164" s="116">
        <v>68.45</v>
      </c>
      <c r="C164" s="116">
        <v>68.150000000000006</v>
      </c>
      <c r="D164" s="116">
        <v>66.099999999999994</v>
      </c>
      <c r="E164" s="116">
        <v>67.5</v>
      </c>
      <c r="F164" s="116">
        <v>68.150000000000006</v>
      </c>
      <c r="G164">
        <v>402618</v>
      </c>
      <c r="H164" s="116"/>
      <c r="I164" s="116"/>
      <c r="L164" s="170">
        <v>42237</v>
      </c>
      <c r="M164" s="116">
        <v>68</v>
      </c>
      <c r="N164" s="116">
        <v>68.25</v>
      </c>
      <c r="O164" s="116">
        <v>66.2</v>
      </c>
      <c r="P164" s="116">
        <v>66.8</v>
      </c>
      <c r="Q164" s="116">
        <v>68</v>
      </c>
      <c r="R164">
        <v>3125893</v>
      </c>
    </row>
    <row r="165" spans="1:18" x14ac:dyDescent="0.25">
      <c r="A165" s="170">
        <v>42240</v>
      </c>
      <c r="B165" s="116">
        <v>66.849999999999994</v>
      </c>
      <c r="C165" s="116">
        <v>62.3</v>
      </c>
      <c r="D165" s="116">
        <v>61.9</v>
      </c>
      <c r="E165" s="116">
        <v>66.5</v>
      </c>
      <c r="F165" s="116">
        <v>62.3</v>
      </c>
      <c r="G165">
        <v>704899</v>
      </c>
      <c r="H165" s="116"/>
      <c r="I165" s="116"/>
      <c r="L165" s="170">
        <v>42240</v>
      </c>
      <c r="M165" s="116">
        <v>62.25</v>
      </c>
      <c r="N165" s="116">
        <v>66.8</v>
      </c>
      <c r="O165" s="116">
        <v>61.8</v>
      </c>
      <c r="P165" s="116">
        <v>66.45</v>
      </c>
      <c r="Q165" s="116">
        <v>62.25</v>
      </c>
      <c r="R165">
        <v>5925675</v>
      </c>
    </row>
    <row r="166" spans="1:18" x14ac:dyDescent="0.25">
      <c r="A166" s="170">
        <v>42241</v>
      </c>
      <c r="B166" s="116">
        <v>63.2</v>
      </c>
      <c r="C166" s="116">
        <v>58.85</v>
      </c>
      <c r="D166" s="116">
        <v>55.7</v>
      </c>
      <c r="E166" s="116">
        <v>61.3</v>
      </c>
      <c r="F166" s="116">
        <v>58.85</v>
      </c>
      <c r="G166">
        <v>1320202</v>
      </c>
      <c r="H166" s="116"/>
      <c r="I166" s="116"/>
      <c r="L166" s="170">
        <v>42241</v>
      </c>
      <c r="M166" s="116">
        <v>58.5</v>
      </c>
      <c r="N166" s="116">
        <v>63.2</v>
      </c>
      <c r="O166" s="116">
        <v>55.2</v>
      </c>
      <c r="P166" s="116">
        <v>62.25</v>
      </c>
      <c r="Q166" s="116">
        <v>58.5</v>
      </c>
      <c r="R166">
        <v>11755899</v>
      </c>
    </row>
    <row r="167" spans="1:18" x14ac:dyDescent="0.25">
      <c r="A167" s="170">
        <v>42242</v>
      </c>
      <c r="B167" s="116">
        <v>61.6</v>
      </c>
      <c r="C167" s="116">
        <v>60.2</v>
      </c>
      <c r="D167" s="116">
        <v>57.85</v>
      </c>
      <c r="E167" s="116">
        <v>58.9</v>
      </c>
      <c r="F167" s="116">
        <v>60.2</v>
      </c>
      <c r="G167">
        <v>560121</v>
      </c>
      <c r="H167" s="116"/>
      <c r="I167" s="116"/>
      <c r="L167" s="170">
        <v>42242</v>
      </c>
      <c r="M167" s="116">
        <v>60.2</v>
      </c>
      <c r="N167" s="116">
        <v>61.6</v>
      </c>
      <c r="O167" s="116">
        <v>57.75</v>
      </c>
      <c r="P167" s="116">
        <v>58.6</v>
      </c>
      <c r="Q167" s="116">
        <v>60.2</v>
      </c>
      <c r="R167">
        <v>5847098</v>
      </c>
    </row>
    <row r="168" spans="1:18" x14ac:dyDescent="0.25">
      <c r="A168" s="170">
        <v>42243</v>
      </c>
      <c r="B168" s="116">
        <v>62</v>
      </c>
      <c r="C168" s="116">
        <v>60.75</v>
      </c>
      <c r="D168" s="116">
        <v>60.4</v>
      </c>
      <c r="E168" s="116">
        <v>62</v>
      </c>
      <c r="F168" s="116">
        <v>60.75</v>
      </c>
      <c r="G168">
        <v>338077</v>
      </c>
      <c r="H168" s="116"/>
      <c r="I168" s="116"/>
      <c r="L168" s="170">
        <v>42243</v>
      </c>
      <c r="M168" s="116">
        <v>60.55</v>
      </c>
      <c r="N168" s="116">
        <v>61.5</v>
      </c>
      <c r="O168" s="116">
        <v>60.25</v>
      </c>
      <c r="P168" s="116">
        <v>61.4</v>
      </c>
      <c r="Q168" s="116">
        <v>60.55</v>
      </c>
      <c r="R168">
        <v>5956925</v>
      </c>
    </row>
    <row r="169" spans="1:18" x14ac:dyDescent="0.25">
      <c r="A169" s="170">
        <v>42244</v>
      </c>
      <c r="B169" s="116">
        <v>62.3</v>
      </c>
      <c r="C169" s="116">
        <v>61.05</v>
      </c>
      <c r="D169" s="116">
        <v>59.65</v>
      </c>
      <c r="E169" s="116">
        <v>61.6</v>
      </c>
      <c r="F169" s="116">
        <v>61.05</v>
      </c>
      <c r="G169">
        <v>513105</v>
      </c>
      <c r="H169" s="116"/>
      <c r="I169" s="116"/>
      <c r="L169" s="170">
        <v>42244</v>
      </c>
      <c r="M169" s="116">
        <v>61.05</v>
      </c>
      <c r="N169" s="116">
        <v>62.25</v>
      </c>
      <c r="O169" s="116">
        <v>59.65</v>
      </c>
      <c r="P169" s="116">
        <v>61.55</v>
      </c>
      <c r="Q169" s="116">
        <v>61.05</v>
      </c>
      <c r="R169">
        <v>9597680</v>
      </c>
    </row>
    <row r="170" spans="1:18" x14ac:dyDescent="0.25">
      <c r="A170" s="170">
        <v>42247</v>
      </c>
      <c r="B170" s="116">
        <v>62.1</v>
      </c>
      <c r="C170" s="116">
        <v>60.7</v>
      </c>
      <c r="D170" s="116">
        <v>60.1</v>
      </c>
      <c r="E170" s="116">
        <v>61</v>
      </c>
      <c r="F170" s="116">
        <v>60.7</v>
      </c>
      <c r="G170">
        <v>2273364</v>
      </c>
      <c r="H170" s="116"/>
      <c r="I170" s="116"/>
      <c r="L170" s="170">
        <v>42247</v>
      </c>
      <c r="M170" s="116">
        <v>60.55</v>
      </c>
      <c r="N170" s="116">
        <v>62.2</v>
      </c>
      <c r="O170" s="116">
        <v>60</v>
      </c>
      <c r="P170" s="116">
        <v>61.1</v>
      </c>
      <c r="Q170" s="116">
        <v>60.55</v>
      </c>
      <c r="R170">
        <v>6311543</v>
      </c>
    </row>
    <row r="171" spans="1:18" x14ac:dyDescent="0.25">
      <c r="A171" s="170">
        <v>42248</v>
      </c>
      <c r="B171" s="116">
        <v>60.75</v>
      </c>
      <c r="C171" s="116">
        <v>60.35</v>
      </c>
      <c r="D171" s="116">
        <v>59.75</v>
      </c>
      <c r="E171" s="116">
        <v>60.55</v>
      </c>
      <c r="F171" s="116">
        <v>60.35</v>
      </c>
      <c r="G171">
        <v>578749</v>
      </c>
      <c r="H171" s="116"/>
      <c r="I171" s="116"/>
      <c r="L171" s="170">
        <v>42248</v>
      </c>
      <c r="M171" s="116">
        <v>60.35</v>
      </c>
      <c r="N171" s="116">
        <v>61</v>
      </c>
      <c r="O171" s="116">
        <v>59.6</v>
      </c>
      <c r="P171" s="116">
        <v>60.3</v>
      </c>
      <c r="Q171" s="116">
        <v>60.35</v>
      </c>
      <c r="R171">
        <v>5519413</v>
      </c>
    </row>
    <row r="172" spans="1:18" x14ac:dyDescent="0.25">
      <c r="A172" s="170">
        <v>42249</v>
      </c>
      <c r="B172" s="116">
        <v>61</v>
      </c>
      <c r="C172" s="116">
        <v>58.65</v>
      </c>
      <c r="D172" s="116">
        <v>58.3</v>
      </c>
      <c r="E172" s="116">
        <v>61</v>
      </c>
      <c r="F172" s="116">
        <v>58.65</v>
      </c>
      <c r="G172">
        <v>234386</v>
      </c>
      <c r="H172" s="116"/>
      <c r="I172" s="116"/>
      <c r="L172" s="170">
        <v>42249</v>
      </c>
      <c r="M172" s="116">
        <v>58.45</v>
      </c>
      <c r="N172" s="116">
        <v>60.9</v>
      </c>
      <c r="O172" s="116">
        <v>58.1</v>
      </c>
      <c r="P172" s="116">
        <v>60.8</v>
      </c>
      <c r="Q172" s="116">
        <v>58.45</v>
      </c>
      <c r="R172">
        <v>3677920</v>
      </c>
    </row>
    <row r="173" spans="1:18" x14ac:dyDescent="0.25">
      <c r="A173" s="170">
        <v>42250</v>
      </c>
      <c r="B173" s="116">
        <v>60.35</v>
      </c>
      <c r="C173" s="116">
        <v>59.9</v>
      </c>
      <c r="D173" s="116">
        <v>58.65</v>
      </c>
      <c r="E173" s="116">
        <v>59.5</v>
      </c>
      <c r="F173" s="116">
        <v>59.9</v>
      </c>
      <c r="G173">
        <v>214216</v>
      </c>
      <c r="H173" s="116"/>
      <c r="I173" s="116"/>
      <c r="L173" s="170">
        <v>42250</v>
      </c>
      <c r="M173" s="116">
        <v>59.9</v>
      </c>
      <c r="N173" s="116">
        <v>60.4</v>
      </c>
      <c r="O173" s="116">
        <v>58.65</v>
      </c>
      <c r="P173" s="116">
        <v>59</v>
      </c>
      <c r="Q173" s="116">
        <v>59.9</v>
      </c>
      <c r="R173">
        <v>1759906</v>
      </c>
    </row>
    <row r="174" spans="1:18" x14ac:dyDescent="0.25">
      <c r="A174" s="170">
        <v>42251</v>
      </c>
      <c r="B174" s="116">
        <v>59.9</v>
      </c>
      <c r="C174" s="116">
        <v>56.55</v>
      </c>
      <c r="D174" s="116">
        <v>56.1</v>
      </c>
      <c r="E174" s="116">
        <v>59.9</v>
      </c>
      <c r="F174" s="116">
        <v>56.55</v>
      </c>
      <c r="G174">
        <v>676234</v>
      </c>
      <c r="H174" s="116"/>
      <c r="I174" s="116"/>
      <c r="L174" s="170">
        <v>42251</v>
      </c>
      <c r="M174" s="116">
        <v>56.55</v>
      </c>
      <c r="N174" s="116">
        <v>59.75</v>
      </c>
      <c r="O174" s="116">
        <v>56.05</v>
      </c>
      <c r="P174" s="116">
        <v>59.35</v>
      </c>
      <c r="Q174" s="116">
        <v>56.55</v>
      </c>
      <c r="R174">
        <v>4740800</v>
      </c>
    </row>
    <row r="175" spans="1:18" x14ac:dyDescent="0.25">
      <c r="A175" s="170">
        <v>42254</v>
      </c>
      <c r="B175" s="116">
        <v>58.1</v>
      </c>
      <c r="C175" s="116">
        <v>56.3</v>
      </c>
      <c r="D175" s="116">
        <v>55.55</v>
      </c>
      <c r="E175" s="116">
        <v>57.6</v>
      </c>
      <c r="F175" s="116">
        <v>56.3</v>
      </c>
      <c r="G175">
        <v>497863</v>
      </c>
      <c r="H175" s="116"/>
      <c r="I175" s="116"/>
      <c r="L175" s="170">
        <v>42254</v>
      </c>
      <c r="M175" s="116">
        <v>56.15</v>
      </c>
      <c r="N175" s="116">
        <v>57.8</v>
      </c>
      <c r="O175" s="116">
        <v>55.3</v>
      </c>
      <c r="P175" s="116">
        <v>57.5</v>
      </c>
      <c r="Q175" s="116">
        <v>56.15</v>
      </c>
      <c r="R175">
        <v>4116671</v>
      </c>
    </row>
    <row r="176" spans="1:18" x14ac:dyDescent="0.25">
      <c r="A176" s="170">
        <v>42255</v>
      </c>
      <c r="B176" s="116">
        <v>59</v>
      </c>
      <c r="C176" s="116">
        <v>58.65</v>
      </c>
      <c r="D176" s="116">
        <v>56.25</v>
      </c>
      <c r="E176" s="116">
        <v>56.95</v>
      </c>
      <c r="F176" s="116">
        <v>58.65</v>
      </c>
      <c r="G176">
        <v>504996</v>
      </c>
      <c r="H176" s="116"/>
      <c r="I176" s="116"/>
      <c r="L176" s="170">
        <v>42255</v>
      </c>
      <c r="M176" s="116">
        <v>58.65</v>
      </c>
      <c r="N176" s="116">
        <v>59.1</v>
      </c>
      <c r="O176" s="116">
        <v>56.2</v>
      </c>
      <c r="P176" s="116">
        <v>56.35</v>
      </c>
      <c r="Q176" s="116">
        <v>58.65</v>
      </c>
      <c r="R176">
        <v>3906976</v>
      </c>
    </row>
    <row r="177" spans="1:18" x14ac:dyDescent="0.25">
      <c r="A177" s="170">
        <v>42256</v>
      </c>
      <c r="B177" s="116">
        <v>59.8</v>
      </c>
      <c r="C177" s="116">
        <v>59.15</v>
      </c>
      <c r="D177" s="116">
        <v>58.65</v>
      </c>
      <c r="E177" s="116">
        <v>59.2</v>
      </c>
      <c r="F177" s="116">
        <v>59.15</v>
      </c>
      <c r="G177">
        <v>421013</v>
      </c>
      <c r="H177" s="116"/>
      <c r="I177" s="116"/>
      <c r="L177" s="170">
        <v>42256</v>
      </c>
      <c r="M177" s="116">
        <v>59.2</v>
      </c>
      <c r="N177" s="116">
        <v>59.9</v>
      </c>
      <c r="O177" s="116">
        <v>58.6</v>
      </c>
      <c r="P177" s="116">
        <v>59.9</v>
      </c>
      <c r="Q177" s="116">
        <v>59.2</v>
      </c>
      <c r="R177">
        <v>3209916</v>
      </c>
    </row>
    <row r="178" spans="1:18" x14ac:dyDescent="0.25">
      <c r="A178" s="170">
        <v>42257</v>
      </c>
      <c r="B178" s="116">
        <v>61.15</v>
      </c>
      <c r="C178" s="116">
        <v>60.85</v>
      </c>
      <c r="D178" s="116">
        <v>58.4</v>
      </c>
      <c r="E178" s="116">
        <v>59.15</v>
      </c>
      <c r="F178" s="116">
        <v>60.85</v>
      </c>
      <c r="G178">
        <v>322171</v>
      </c>
      <c r="H178" s="116"/>
      <c r="I178" s="116"/>
      <c r="L178" s="170">
        <v>42257</v>
      </c>
      <c r="M178" s="116">
        <v>60.95</v>
      </c>
      <c r="N178" s="116">
        <v>61.3</v>
      </c>
      <c r="O178" s="116">
        <v>58.5</v>
      </c>
      <c r="P178" s="116">
        <v>58.8</v>
      </c>
      <c r="Q178" s="116">
        <v>60.95</v>
      </c>
      <c r="R178">
        <v>3898795</v>
      </c>
    </row>
    <row r="179" spans="1:18" x14ac:dyDescent="0.25">
      <c r="A179" s="170">
        <v>42258</v>
      </c>
      <c r="B179" s="116">
        <v>61.5</v>
      </c>
      <c r="C179" s="116">
        <v>59.55</v>
      </c>
      <c r="D179" s="116">
        <v>58.95</v>
      </c>
      <c r="E179" s="116">
        <v>61.25</v>
      </c>
      <c r="F179" s="116">
        <v>59.55</v>
      </c>
      <c r="G179">
        <v>452428</v>
      </c>
      <c r="H179" s="116"/>
      <c r="I179" s="116"/>
      <c r="L179" s="170">
        <v>42258</v>
      </c>
      <c r="M179" s="116">
        <v>59.55</v>
      </c>
      <c r="N179" s="116">
        <v>61.5</v>
      </c>
      <c r="O179" s="116">
        <v>58.75</v>
      </c>
      <c r="P179" s="116">
        <v>61.1</v>
      </c>
      <c r="Q179" s="116">
        <v>59.55</v>
      </c>
      <c r="R179">
        <v>3058038</v>
      </c>
    </row>
    <row r="180" spans="1:18" x14ac:dyDescent="0.25">
      <c r="A180" s="170">
        <v>42261</v>
      </c>
      <c r="B180" s="116">
        <v>62.05</v>
      </c>
      <c r="C180" s="116">
        <v>61.8</v>
      </c>
      <c r="D180" s="116">
        <v>59.5</v>
      </c>
      <c r="E180" s="116">
        <v>60</v>
      </c>
      <c r="F180" s="116">
        <v>61.8</v>
      </c>
      <c r="G180">
        <v>381502</v>
      </c>
      <c r="H180" s="116"/>
      <c r="I180" s="116"/>
      <c r="L180" s="170">
        <v>42261</v>
      </c>
      <c r="M180" s="116">
        <v>61.8</v>
      </c>
      <c r="N180" s="116">
        <v>62.1</v>
      </c>
      <c r="O180" s="116">
        <v>59.5</v>
      </c>
      <c r="P180" s="116">
        <v>59.8</v>
      </c>
      <c r="Q180" s="116">
        <v>61.8</v>
      </c>
      <c r="R180">
        <v>3161574</v>
      </c>
    </row>
    <row r="181" spans="1:18" x14ac:dyDescent="0.25">
      <c r="A181" s="170">
        <v>42262</v>
      </c>
      <c r="B181" s="116">
        <v>62</v>
      </c>
      <c r="C181" s="116">
        <v>61.45</v>
      </c>
      <c r="D181" s="116">
        <v>60.65</v>
      </c>
      <c r="E181" s="116">
        <v>62</v>
      </c>
      <c r="F181" s="116">
        <v>61.45</v>
      </c>
      <c r="G181">
        <v>154800</v>
      </c>
      <c r="H181" s="116"/>
      <c r="I181" s="116"/>
      <c r="L181" s="170">
        <v>42262</v>
      </c>
      <c r="M181" s="116">
        <v>61.5</v>
      </c>
      <c r="N181" s="116">
        <v>62.1</v>
      </c>
      <c r="O181" s="116">
        <v>60.65</v>
      </c>
      <c r="P181" s="116">
        <v>61.85</v>
      </c>
      <c r="Q181" s="116">
        <v>61.5</v>
      </c>
      <c r="R181">
        <v>2276796</v>
      </c>
    </row>
    <row r="182" spans="1:18" x14ac:dyDescent="0.25">
      <c r="A182" s="170">
        <v>42263</v>
      </c>
      <c r="B182" s="116">
        <v>62.3</v>
      </c>
      <c r="C182" s="116">
        <v>61.95</v>
      </c>
      <c r="D182" s="116">
        <v>61.25</v>
      </c>
      <c r="E182" s="116">
        <v>62.1</v>
      </c>
      <c r="F182" s="116">
        <v>61.95</v>
      </c>
      <c r="G182">
        <v>113087</v>
      </c>
      <c r="H182" s="116"/>
      <c r="I182" s="116"/>
      <c r="L182" s="170">
        <v>42263</v>
      </c>
      <c r="M182" s="116">
        <v>62.15</v>
      </c>
      <c r="N182" s="116">
        <v>62.35</v>
      </c>
      <c r="O182" s="116">
        <v>61.25</v>
      </c>
      <c r="P182" s="116">
        <v>62</v>
      </c>
      <c r="Q182" s="116">
        <v>62.15</v>
      </c>
      <c r="R182">
        <v>1556239</v>
      </c>
    </row>
    <row r="183" spans="1:18" x14ac:dyDescent="0.25">
      <c r="A183" s="170">
        <v>42265</v>
      </c>
      <c r="B183" s="116">
        <v>64.650000000000006</v>
      </c>
      <c r="C183" s="116">
        <v>64</v>
      </c>
      <c r="D183" s="116">
        <v>61.5</v>
      </c>
      <c r="E183" s="116">
        <v>61.5</v>
      </c>
      <c r="F183" s="116">
        <v>64</v>
      </c>
      <c r="G183">
        <v>324881</v>
      </c>
      <c r="H183" s="116"/>
      <c r="I183" s="116"/>
      <c r="L183" s="170">
        <v>42265</v>
      </c>
      <c r="M183" s="116">
        <v>64.3</v>
      </c>
      <c r="N183" s="116">
        <v>65</v>
      </c>
      <c r="O183" s="116">
        <v>61.7</v>
      </c>
      <c r="P183" s="116">
        <v>62.25</v>
      </c>
      <c r="Q183" s="116">
        <v>64.3</v>
      </c>
      <c r="R183">
        <v>4338334</v>
      </c>
    </row>
    <row r="184" spans="1:18" x14ac:dyDescent="0.25">
      <c r="A184" s="170">
        <v>42268</v>
      </c>
      <c r="B184" s="116">
        <v>65.7</v>
      </c>
      <c r="C184" s="116">
        <v>64.5</v>
      </c>
      <c r="D184" s="116">
        <v>63.55</v>
      </c>
      <c r="E184" s="116">
        <v>63.9</v>
      </c>
      <c r="F184" s="116">
        <v>64.5</v>
      </c>
      <c r="G184">
        <v>369869</v>
      </c>
      <c r="H184" s="116"/>
      <c r="I184" s="116"/>
      <c r="L184" s="170">
        <v>42268</v>
      </c>
      <c r="M184" s="116">
        <v>64.7</v>
      </c>
      <c r="N184" s="116">
        <v>65.7</v>
      </c>
      <c r="O184" s="116">
        <v>63.55</v>
      </c>
      <c r="P184" s="116">
        <v>63.7</v>
      </c>
      <c r="Q184" s="116">
        <v>64.7</v>
      </c>
      <c r="R184">
        <v>3129377</v>
      </c>
    </row>
    <row r="185" spans="1:18" x14ac:dyDescent="0.25">
      <c r="A185" s="170">
        <v>42269</v>
      </c>
      <c r="B185" s="116">
        <v>65.45</v>
      </c>
      <c r="C185" s="116">
        <v>62.9</v>
      </c>
      <c r="D185" s="116">
        <v>62.15</v>
      </c>
      <c r="E185" s="116">
        <v>64.599999999999994</v>
      </c>
      <c r="F185" s="116">
        <v>62.9</v>
      </c>
      <c r="G185">
        <v>160699</v>
      </c>
      <c r="H185" s="116"/>
      <c r="I185" s="116"/>
      <c r="L185" s="170">
        <v>42269</v>
      </c>
      <c r="M185" s="116">
        <v>62.85</v>
      </c>
      <c r="N185" s="116">
        <v>65.5</v>
      </c>
      <c r="O185" s="116">
        <v>62.2</v>
      </c>
      <c r="P185" s="116">
        <v>64.900000000000006</v>
      </c>
      <c r="Q185" s="116">
        <v>62.85</v>
      </c>
      <c r="R185">
        <v>2552620</v>
      </c>
    </row>
    <row r="186" spans="1:18" x14ac:dyDescent="0.25">
      <c r="A186" s="170">
        <v>42270</v>
      </c>
      <c r="B186" s="116">
        <v>63.95</v>
      </c>
      <c r="C186" s="116">
        <v>63.15</v>
      </c>
      <c r="D186" s="116">
        <v>62</v>
      </c>
      <c r="E186" s="116">
        <v>62.8</v>
      </c>
      <c r="F186" s="116">
        <v>63.15</v>
      </c>
      <c r="G186">
        <v>160870</v>
      </c>
      <c r="H186" s="116"/>
      <c r="I186" s="116"/>
      <c r="L186" s="170">
        <v>42270</v>
      </c>
      <c r="M186" s="116">
        <v>63.25</v>
      </c>
      <c r="N186" s="116">
        <v>63.95</v>
      </c>
      <c r="O186" s="116">
        <v>61.85</v>
      </c>
      <c r="P186" s="116">
        <v>62.4</v>
      </c>
      <c r="Q186" s="116">
        <v>63.25</v>
      </c>
      <c r="R186">
        <v>2186897</v>
      </c>
    </row>
    <row r="187" spans="1:18" x14ac:dyDescent="0.25">
      <c r="A187" s="170">
        <v>42271</v>
      </c>
      <c r="B187" s="116">
        <v>66.3</v>
      </c>
      <c r="C187" s="116">
        <v>64.95</v>
      </c>
      <c r="D187" s="116">
        <v>62.75</v>
      </c>
      <c r="E187" s="116">
        <v>63.1</v>
      </c>
      <c r="F187" s="116">
        <v>64.95</v>
      </c>
      <c r="G187">
        <v>454681</v>
      </c>
      <c r="H187" s="116"/>
      <c r="I187" s="116"/>
      <c r="L187" s="170">
        <v>42271</v>
      </c>
      <c r="M187" s="116">
        <v>65.05</v>
      </c>
      <c r="N187" s="116">
        <v>66.45</v>
      </c>
      <c r="O187" s="116">
        <v>62.65</v>
      </c>
      <c r="P187" s="116">
        <v>63.05</v>
      </c>
      <c r="Q187" s="116">
        <v>65.05</v>
      </c>
      <c r="R187">
        <v>6380468</v>
      </c>
    </row>
    <row r="188" spans="1:18" x14ac:dyDescent="0.25">
      <c r="A188" s="170">
        <v>42275</v>
      </c>
      <c r="B188" s="116">
        <v>66.900000000000006</v>
      </c>
      <c r="C188" s="116">
        <v>65.5</v>
      </c>
      <c r="D188" s="116">
        <v>63.75</v>
      </c>
      <c r="E188" s="116">
        <v>65.95</v>
      </c>
      <c r="F188" s="116">
        <v>65.5</v>
      </c>
      <c r="G188">
        <v>436222</v>
      </c>
      <c r="H188" s="116"/>
      <c r="I188" s="116"/>
      <c r="L188" s="170">
        <v>42275</v>
      </c>
      <c r="M188" s="116">
        <v>65.5</v>
      </c>
      <c r="N188" s="116">
        <v>66.95</v>
      </c>
      <c r="O188" s="116">
        <v>63.75</v>
      </c>
      <c r="P188" s="116">
        <v>64.900000000000006</v>
      </c>
      <c r="Q188" s="116">
        <v>65.5</v>
      </c>
      <c r="R188">
        <v>2253633</v>
      </c>
    </row>
    <row r="189" spans="1:18" x14ac:dyDescent="0.25">
      <c r="A189" s="170">
        <v>42276</v>
      </c>
      <c r="B189" s="116">
        <v>66.2</v>
      </c>
      <c r="C189" s="116">
        <v>66.05</v>
      </c>
      <c r="D189" s="116">
        <v>62.5</v>
      </c>
      <c r="E189" s="116">
        <v>62.5</v>
      </c>
      <c r="F189" s="116">
        <v>66.05</v>
      </c>
      <c r="G189">
        <v>290521</v>
      </c>
      <c r="H189" s="116"/>
      <c r="I189" s="116"/>
      <c r="L189" s="170">
        <v>42276</v>
      </c>
      <c r="M189" s="116">
        <v>66.05</v>
      </c>
      <c r="N189" s="116">
        <v>66.3</v>
      </c>
      <c r="O189" s="116">
        <v>63.6</v>
      </c>
      <c r="P189" s="116">
        <v>64.5</v>
      </c>
      <c r="Q189" s="116">
        <v>66.05</v>
      </c>
      <c r="R189">
        <v>3623790</v>
      </c>
    </row>
    <row r="190" spans="1:18" x14ac:dyDescent="0.25">
      <c r="A190" s="170">
        <v>42277</v>
      </c>
      <c r="B190" s="116">
        <v>67.45</v>
      </c>
      <c r="C190" s="116">
        <v>65.05</v>
      </c>
      <c r="D190" s="116">
        <v>64.8</v>
      </c>
      <c r="E190" s="116">
        <v>67.45</v>
      </c>
      <c r="F190" s="116">
        <v>65.05</v>
      </c>
      <c r="G190">
        <v>142393</v>
      </c>
      <c r="H190" s="116"/>
      <c r="I190" s="116"/>
      <c r="L190" s="170">
        <v>42277</v>
      </c>
      <c r="M190" s="116">
        <v>64.95</v>
      </c>
      <c r="N190" s="116">
        <v>67</v>
      </c>
      <c r="O190" s="116">
        <v>64.75</v>
      </c>
      <c r="P190" s="116">
        <v>66.5</v>
      </c>
      <c r="Q190" s="116">
        <v>64.95</v>
      </c>
      <c r="R190">
        <v>3624923</v>
      </c>
    </row>
    <row r="191" spans="1:18" x14ac:dyDescent="0.25">
      <c r="A191" s="170">
        <v>42278</v>
      </c>
      <c r="B191" s="116">
        <v>66.650000000000006</v>
      </c>
      <c r="C191" s="116">
        <v>65.75</v>
      </c>
      <c r="D191" s="116">
        <v>64.95</v>
      </c>
      <c r="E191" s="116">
        <v>64.95</v>
      </c>
      <c r="F191" s="116">
        <v>65.75</v>
      </c>
      <c r="G191">
        <v>173405</v>
      </c>
      <c r="H191" s="116"/>
      <c r="I191" s="116"/>
      <c r="L191" s="170">
        <v>42278</v>
      </c>
      <c r="M191" s="116">
        <v>65.849999999999994</v>
      </c>
      <c r="N191" s="116">
        <v>66.650000000000006</v>
      </c>
      <c r="O191" s="116">
        <v>65.3</v>
      </c>
      <c r="P191" s="116">
        <v>65.3</v>
      </c>
      <c r="Q191" s="116">
        <v>65.849999999999994</v>
      </c>
      <c r="R191">
        <v>1818223</v>
      </c>
    </row>
    <row r="192" spans="1:18" x14ac:dyDescent="0.25">
      <c r="A192" s="170">
        <v>42282</v>
      </c>
      <c r="B192" s="116">
        <v>67.400000000000006</v>
      </c>
      <c r="C192" s="116">
        <v>67.099999999999994</v>
      </c>
      <c r="D192" s="116">
        <v>65.849999999999994</v>
      </c>
      <c r="E192" s="116">
        <v>66.900000000000006</v>
      </c>
      <c r="F192" s="116">
        <v>67.099999999999994</v>
      </c>
      <c r="G192">
        <v>258196</v>
      </c>
      <c r="H192" s="116"/>
      <c r="I192" s="116"/>
      <c r="L192" s="170">
        <v>42282</v>
      </c>
      <c r="M192" s="116">
        <v>67.2</v>
      </c>
      <c r="N192" s="116">
        <v>67.5</v>
      </c>
      <c r="O192" s="116">
        <v>65.849999999999994</v>
      </c>
      <c r="P192" s="116">
        <v>66.099999999999994</v>
      </c>
      <c r="Q192" s="116">
        <v>67.2</v>
      </c>
      <c r="R192">
        <v>2183790</v>
      </c>
    </row>
    <row r="193" spans="1:18" x14ac:dyDescent="0.25">
      <c r="A193" s="170">
        <v>42283</v>
      </c>
      <c r="B193" s="116">
        <v>69.349999999999994</v>
      </c>
      <c r="C193" s="116">
        <v>69</v>
      </c>
      <c r="D193" s="116">
        <v>67</v>
      </c>
      <c r="E193" s="116">
        <v>67</v>
      </c>
      <c r="F193" s="116">
        <v>69</v>
      </c>
      <c r="G193">
        <v>836951</v>
      </c>
      <c r="H193" s="116"/>
      <c r="I193" s="116"/>
      <c r="L193" s="170">
        <v>42283</v>
      </c>
      <c r="M193" s="116">
        <v>69.05</v>
      </c>
      <c r="N193" s="116">
        <v>69.45</v>
      </c>
      <c r="O193" s="116">
        <v>67</v>
      </c>
      <c r="P193" s="116">
        <v>67.5</v>
      </c>
      <c r="Q193" s="116">
        <v>69.05</v>
      </c>
      <c r="R193">
        <v>3684704</v>
      </c>
    </row>
    <row r="194" spans="1:18" x14ac:dyDescent="0.25">
      <c r="A194" s="170">
        <v>42284</v>
      </c>
      <c r="B194" s="116">
        <v>70.75</v>
      </c>
      <c r="C194" s="116">
        <v>70.3</v>
      </c>
      <c r="D194" s="116">
        <v>68.5</v>
      </c>
      <c r="E194" s="116">
        <v>69.45</v>
      </c>
      <c r="F194" s="116">
        <v>70.3</v>
      </c>
      <c r="G194">
        <v>356929</v>
      </c>
      <c r="H194" s="116"/>
      <c r="I194" s="116"/>
      <c r="L194" s="170">
        <v>42284</v>
      </c>
      <c r="M194" s="116">
        <v>70.349999999999994</v>
      </c>
      <c r="N194" s="116">
        <v>70.75</v>
      </c>
      <c r="O194" s="116">
        <v>68.400000000000006</v>
      </c>
      <c r="P194" s="116">
        <v>69.099999999999994</v>
      </c>
      <c r="Q194" s="116">
        <v>70.349999999999994</v>
      </c>
      <c r="R194">
        <v>3527961</v>
      </c>
    </row>
    <row r="195" spans="1:18" x14ac:dyDescent="0.25">
      <c r="A195" s="170">
        <v>42285</v>
      </c>
      <c r="B195" s="116">
        <v>70.95</v>
      </c>
      <c r="C195" s="116">
        <v>70.349999999999994</v>
      </c>
      <c r="D195" s="116">
        <v>69.150000000000006</v>
      </c>
      <c r="E195" s="116">
        <v>70.45</v>
      </c>
      <c r="F195" s="116">
        <v>70.349999999999994</v>
      </c>
      <c r="G195">
        <v>321162</v>
      </c>
      <c r="H195" s="116"/>
      <c r="I195" s="116"/>
      <c r="L195" s="170">
        <v>42285</v>
      </c>
      <c r="M195" s="116">
        <v>70.25</v>
      </c>
      <c r="N195" s="116">
        <v>71</v>
      </c>
      <c r="O195" s="116">
        <v>69.099999999999994</v>
      </c>
      <c r="P195" s="116">
        <v>70.5</v>
      </c>
      <c r="Q195" s="116">
        <v>70.25</v>
      </c>
      <c r="R195">
        <v>2156145</v>
      </c>
    </row>
    <row r="196" spans="1:18" x14ac:dyDescent="0.25">
      <c r="A196" s="170">
        <v>42286</v>
      </c>
      <c r="B196" s="116">
        <v>71</v>
      </c>
      <c r="C196" s="116">
        <v>69.650000000000006</v>
      </c>
      <c r="D196" s="116">
        <v>69.349999999999994</v>
      </c>
      <c r="E196" s="116">
        <v>70.5</v>
      </c>
      <c r="F196" s="116">
        <v>69.650000000000006</v>
      </c>
      <c r="G196">
        <v>171640</v>
      </c>
      <c r="H196" s="116"/>
      <c r="I196" s="116"/>
      <c r="L196" s="170">
        <v>42286</v>
      </c>
      <c r="M196" s="116">
        <v>69.7</v>
      </c>
      <c r="N196" s="116">
        <v>71.05</v>
      </c>
      <c r="O196" s="116">
        <v>69.25</v>
      </c>
      <c r="P196" s="116">
        <v>70.45</v>
      </c>
      <c r="Q196" s="116">
        <v>69.7</v>
      </c>
      <c r="R196">
        <v>2545925</v>
      </c>
    </row>
    <row r="197" spans="1:18" x14ac:dyDescent="0.25">
      <c r="A197" s="170">
        <v>42289</v>
      </c>
      <c r="B197" s="116">
        <v>71.25</v>
      </c>
      <c r="C197" s="116">
        <v>70</v>
      </c>
      <c r="D197" s="116">
        <v>69.599999999999994</v>
      </c>
      <c r="E197" s="116">
        <v>70</v>
      </c>
      <c r="F197" s="116">
        <v>70</v>
      </c>
      <c r="G197">
        <v>366101</v>
      </c>
      <c r="H197" s="116"/>
      <c r="I197" s="116"/>
      <c r="L197" s="170">
        <v>42289</v>
      </c>
      <c r="M197" s="116">
        <v>69.95</v>
      </c>
      <c r="N197" s="116">
        <v>71.25</v>
      </c>
      <c r="O197" s="116">
        <v>69.55</v>
      </c>
      <c r="P197" s="116">
        <v>69.95</v>
      </c>
      <c r="Q197" s="116">
        <v>69.95</v>
      </c>
      <c r="R197">
        <v>5866783</v>
      </c>
    </row>
    <row r="198" spans="1:18" x14ac:dyDescent="0.25">
      <c r="A198" s="170">
        <v>42290</v>
      </c>
      <c r="B198" s="116">
        <v>70.45</v>
      </c>
      <c r="C198" s="116">
        <v>70.2</v>
      </c>
      <c r="D198" s="116">
        <v>69.45</v>
      </c>
      <c r="E198" s="116">
        <v>70.3</v>
      </c>
      <c r="F198" s="116">
        <v>70.2</v>
      </c>
      <c r="G198">
        <v>162294</v>
      </c>
      <c r="H198" s="116"/>
      <c r="I198" s="116"/>
      <c r="L198" s="170">
        <v>42290</v>
      </c>
      <c r="M198" s="116">
        <v>70.150000000000006</v>
      </c>
      <c r="N198" s="116">
        <v>70.349999999999994</v>
      </c>
      <c r="O198" s="116">
        <v>69.400000000000006</v>
      </c>
      <c r="P198" s="116">
        <v>70</v>
      </c>
      <c r="Q198" s="116">
        <v>70.150000000000006</v>
      </c>
      <c r="R198">
        <v>2212905</v>
      </c>
    </row>
    <row r="199" spans="1:18" x14ac:dyDescent="0.25">
      <c r="A199" s="170">
        <v>42291</v>
      </c>
      <c r="B199" s="116">
        <v>70.400000000000006</v>
      </c>
      <c r="C199" s="116">
        <v>69.650000000000006</v>
      </c>
      <c r="D199" s="116">
        <v>69.5</v>
      </c>
      <c r="E199" s="116">
        <v>70.150000000000006</v>
      </c>
      <c r="F199" s="116">
        <v>69.650000000000006</v>
      </c>
      <c r="G199">
        <v>162502</v>
      </c>
      <c r="H199" s="116"/>
      <c r="I199" s="116"/>
      <c r="L199" s="170">
        <v>42291</v>
      </c>
      <c r="M199" s="116">
        <v>69.650000000000006</v>
      </c>
      <c r="N199" s="116">
        <v>70.400000000000006</v>
      </c>
      <c r="O199" s="116">
        <v>69.5</v>
      </c>
      <c r="P199" s="116">
        <v>70</v>
      </c>
      <c r="Q199" s="116">
        <v>69.650000000000006</v>
      </c>
      <c r="R199">
        <v>1506954</v>
      </c>
    </row>
    <row r="200" spans="1:18" x14ac:dyDescent="0.25">
      <c r="A200" s="170">
        <v>42292</v>
      </c>
      <c r="B200" s="116">
        <v>70.95</v>
      </c>
      <c r="C200" s="116">
        <v>70.150000000000006</v>
      </c>
      <c r="D200" s="116">
        <v>70</v>
      </c>
      <c r="E200" s="116">
        <v>70</v>
      </c>
      <c r="F200" s="116">
        <v>70.150000000000006</v>
      </c>
      <c r="G200">
        <v>226357</v>
      </c>
      <c r="H200" s="116"/>
      <c r="I200" s="116"/>
      <c r="L200" s="170">
        <v>42292</v>
      </c>
      <c r="M200" s="116">
        <v>70.2</v>
      </c>
      <c r="N200" s="116">
        <v>71.099999999999994</v>
      </c>
      <c r="O200" s="116">
        <v>70</v>
      </c>
      <c r="P200" s="116">
        <v>70.2</v>
      </c>
      <c r="Q200" s="116">
        <v>70.2</v>
      </c>
      <c r="R200">
        <v>2276032</v>
      </c>
    </row>
    <row r="201" spans="1:18" x14ac:dyDescent="0.25">
      <c r="A201" s="170">
        <v>42293</v>
      </c>
      <c r="B201" s="116">
        <v>70.5</v>
      </c>
      <c r="C201" s="116">
        <v>69.599999999999994</v>
      </c>
      <c r="D201" s="116">
        <v>69</v>
      </c>
      <c r="E201" s="116">
        <v>70.400000000000006</v>
      </c>
      <c r="F201" s="116">
        <v>69.599999999999994</v>
      </c>
      <c r="G201">
        <v>170626</v>
      </c>
      <c r="H201" s="116"/>
      <c r="I201" s="116"/>
      <c r="L201" s="170">
        <v>42293</v>
      </c>
      <c r="M201" s="116">
        <v>69.650000000000006</v>
      </c>
      <c r="N201" s="116">
        <v>70.599999999999994</v>
      </c>
      <c r="O201" s="116">
        <v>64</v>
      </c>
      <c r="P201" s="116">
        <v>70.349999999999994</v>
      </c>
      <c r="Q201" s="116">
        <v>69.650000000000006</v>
      </c>
      <c r="R201">
        <v>2399414</v>
      </c>
    </row>
    <row r="202" spans="1:18" x14ac:dyDescent="0.25">
      <c r="A202" s="170">
        <v>42296</v>
      </c>
      <c r="B202" s="116">
        <v>70.099999999999994</v>
      </c>
      <c r="C202" s="116">
        <v>69.3</v>
      </c>
      <c r="D202" s="116">
        <v>68.849999999999994</v>
      </c>
      <c r="E202" s="116">
        <v>70</v>
      </c>
      <c r="F202" s="116">
        <v>69.3</v>
      </c>
      <c r="G202">
        <v>227047</v>
      </c>
      <c r="H202" s="116"/>
      <c r="I202" s="116"/>
      <c r="L202" s="170">
        <v>42296</v>
      </c>
      <c r="M202" s="116">
        <v>69.45</v>
      </c>
      <c r="N202" s="116">
        <v>70</v>
      </c>
      <c r="O202" s="116">
        <v>68.75</v>
      </c>
      <c r="P202" s="116">
        <v>70</v>
      </c>
      <c r="Q202" s="116">
        <v>69.45</v>
      </c>
      <c r="R202">
        <v>1948781</v>
      </c>
    </row>
    <row r="203" spans="1:18" x14ac:dyDescent="0.25">
      <c r="A203" s="170">
        <v>42297</v>
      </c>
      <c r="B203" s="116">
        <v>72.45</v>
      </c>
      <c r="C203" s="116">
        <v>70.849999999999994</v>
      </c>
      <c r="D203" s="116">
        <v>69.25</v>
      </c>
      <c r="E203" s="116">
        <v>69.25</v>
      </c>
      <c r="F203" s="116">
        <v>70.849999999999994</v>
      </c>
      <c r="G203">
        <v>668763</v>
      </c>
      <c r="H203" s="116"/>
      <c r="I203" s="116"/>
      <c r="L203" s="170">
        <v>42297</v>
      </c>
      <c r="M203" s="116">
        <v>70.900000000000006</v>
      </c>
      <c r="N203" s="116">
        <v>72.5</v>
      </c>
      <c r="O203" s="116">
        <v>69.349999999999994</v>
      </c>
      <c r="P203" s="116">
        <v>69.400000000000006</v>
      </c>
      <c r="Q203" s="116">
        <v>70.900000000000006</v>
      </c>
      <c r="R203">
        <v>7165327</v>
      </c>
    </row>
    <row r="204" spans="1:18" x14ac:dyDescent="0.25">
      <c r="A204" s="170">
        <v>42298</v>
      </c>
      <c r="B204" s="116">
        <v>71.5</v>
      </c>
      <c r="C204" s="116">
        <v>70.55</v>
      </c>
      <c r="D204" s="116">
        <v>69.45</v>
      </c>
      <c r="E204" s="116">
        <v>71.5</v>
      </c>
      <c r="F204" s="116">
        <v>70.55</v>
      </c>
      <c r="G204">
        <v>362553</v>
      </c>
      <c r="H204" s="116"/>
      <c r="I204" s="116"/>
      <c r="L204" s="170">
        <v>42298</v>
      </c>
      <c r="M204" s="116">
        <v>70.599999999999994</v>
      </c>
      <c r="N204" s="116">
        <v>71.349999999999994</v>
      </c>
      <c r="O204" s="116">
        <v>69.349999999999994</v>
      </c>
      <c r="P204" s="116">
        <v>71.349999999999994</v>
      </c>
      <c r="Q204" s="116">
        <v>70.599999999999994</v>
      </c>
      <c r="R204">
        <v>3607852</v>
      </c>
    </row>
    <row r="205" spans="1:18" x14ac:dyDescent="0.25">
      <c r="A205" s="170">
        <v>42300</v>
      </c>
      <c r="B205" s="116">
        <v>71.45</v>
      </c>
      <c r="C205" s="116">
        <v>70.400000000000006</v>
      </c>
      <c r="D205" s="116">
        <v>70.099999999999994</v>
      </c>
      <c r="E205" s="116">
        <v>71</v>
      </c>
      <c r="F205" s="116">
        <v>70.400000000000006</v>
      </c>
      <c r="G205">
        <v>201389</v>
      </c>
      <c r="H205" s="116"/>
      <c r="I205" s="116"/>
      <c r="L205" s="170">
        <v>42300</v>
      </c>
      <c r="M205" s="116">
        <v>70.400000000000006</v>
      </c>
      <c r="N205" s="116">
        <v>71.3</v>
      </c>
      <c r="O205" s="116">
        <v>70.05</v>
      </c>
      <c r="P205" s="116">
        <v>71.099999999999994</v>
      </c>
      <c r="Q205" s="116">
        <v>70.400000000000006</v>
      </c>
      <c r="R205">
        <v>2483461</v>
      </c>
    </row>
    <row r="206" spans="1:18" x14ac:dyDescent="0.25">
      <c r="A206" s="170">
        <v>42303</v>
      </c>
      <c r="B206" s="116">
        <v>72</v>
      </c>
      <c r="C206" s="116">
        <v>70.55</v>
      </c>
      <c r="D206" s="116">
        <v>70.099999999999994</v>
      </c>
      <c r="E206" s="116">
        <v>72</v>
      </c>
      <c r="F206" s="116">
        <v>70.55</v>
      </c>
      <c r="G206">
        <v>298977</v>
      </c>
      <c r="H206" s="116"/>
      <c r="I206" s="116"/>
      <c r="L206" s="170">
        <v>42303</v>
      </c>
      <c r="M206" s="116">
        <v>70.650000000000006</v>
      </c>
      <c r="N206" s="116">
        <v>71.900000000000006</v>
      </c>
      <c r="O206" s="116">
        <v>70.150000000000006</v>
      </c>
      <c r="P206" s="116">
        <v>70.7</v>
      </c>
      <c r="Q206" s="116">
        <v>70.650000000000006</v>
      </c>
      <c r="R206">
        <v>3336007</v>
      </c>
    </row>
    <row r="207" spans="1:18" x14ac:dyDescent="0.25">
      <c r="A207" s="170">
        <v>42304</v>
      </c>
      <c r="B207" s="116">
        <v>71.400000000000006</v>
      </c>
      <c r="C207" s="116">
        <v>70.95</v>
      </c>
      <c r="D207" s="116">
        <v>70.150000000000006</v>
      </c>
      <c r="E207" s="116">
        <v>71.2</v>
      </c>
      <c r="F207" s="116">
        <v>70.95</v>
      </c>
      <c r="G207">
        <v>286215</v>
      </c>
      <c r="H207" s="116"/>
      <c r="I207" s="116"/>
      <c r="L207" s="170">
        <v>42304</v>
      </c>
      <c r="M207" s="116">
        <v>70.95</v>
      </c>
      <c r="N207" s="116">
        <v>71.5</v>
      </c>
      <c r="O207" s="116">
        <v>70.349999999999994</v>
      </c>
      <c r="P207" s="116">
        <v>70.5</v>
      </c>
      <c r="Q207" s="116">
        <v>70.95</v>
      </c>
      <c r="R207">
        <v>4220398</v>
      </c>
    </row>
    <row r="208" spans="1:18" x14ac:dyDescent="0.25">
      <c r="A208" s="170">
        <v>42305</v>
      </c>
      <c r="B208" s="116">
        <v>71</v>
      </c>
      <c r="C208" s="116">
        <v>69.599999999999994</v>
      </c>
      <c r="D208" s="116">
        <v>69.400000000000006</v>
      </c>
      <c r="E208" s="116">
        <v>70.25</v>
      </c>
      <c r="F208" s="116">
        <v>69.599999999999994</v>
      </c>
      <c r="G208">
        <v>257624</v>
      </c>
      <c r="H208" s="116"/>
      <c r="I208" s="116"/>
      <c r="L208" s="170">
        <v>42305</v>
      </c>
      <c r="M208" s="116">
        <v>69.7</v>
      </c>
      <c r="N208" s="116">
        <v>71.05</v>
      </c>
      <c r="O208" s="116">
        <v>69.400000000000006</v>
      </c>
      <c r="P208" s="116">
        <v>70.8</v>
      </c>
      <c r="Q208" s="116">
        <v>69.7</v>
      </c>
      <c r="R208">
        <v>2772890</v>
      </c>
    </row>
    <row r="209" spans="1:18" x14ac:dyDescent="0.25">
      <c r="A209" s="170">
        <v>42306</v>
      </c>
      <c r="B209" s="116">
        <v>70</v>
      </c>
      <c r="C209" s="116">
        <v>69.599999999999994</v>
      </c>
      <c r="D209" s="116">
        <v>68.599999999999994</v>
      </c>
      <c r="E209" s="116">
        <v>69.599999999999994</v>
      </c>
      <c r="F209" s="116">
        <v>69.599999999999994</v>
      </c>
      <c r="G209">
        <v>455207</v>
      </c>
      <c r="H209" s="116"/>
      <c r="I209" s="116"/>
      <c r="L209" s="170">
        <v>42306</v>
      </c>
      <c r="M209" s="116">
        <v>69.650000000000006</v>
      </c>
      <c r="N209" s="116">
        <v>70</v>
      </c>
      <c r="O209" s="116">
        <v>68.5</v>
      </c>
      <c r="P209" s="116">
        <v>69.599999999999994</v>
      </c>
      <c r="Q209" s="116">
        <v>69.650000000000006</v>
      </c>
      <c r="R209">
        <v>6150955</v>
      </c>
    </row>
    <row r="210" spans="1:18" x14ac:dyDescent="0.25">
      <c r="A210" s="170">
        <v>42307</v>
      </c>
      <c r="B210" s="116">
        <v>71.650000000000006</v>
      </c>
      <c r="C210" s="116">
        <v>68.900000000000006</v>
      </c>
      <c r="D210" s="116">
        <v>68.599999999999994</v>
      </c>
      <c r="E210" s="116">
        <v>69.8</v>
      </c>
      <c r="F210" s="116">
        <v>68.900000000000006</v>
      </c>
      <c r="G210">
        <v>951804</v>
      </c>
      <c r="H210" s="116"/>
      <c r="I210" s="116"/>
      <c r="L210" s="170">
        <v>42307</v>
      </c>
      <c r="M210" s="116">
        <v>68.849999999999994</v>
      </c>
      <c r="N210" s="116">
        <v>71.5</v>
      </c>
      <c r="O210" s="116">
        <v>68.650000000000006</v>
      </c>
      <c r="P210" s="116">
        <v>69.75</v>
      </c>
      <c r="Q210" s="116">
        <v>68.849999999999994</v>
      </c>
      <c r="R210">
        <v>7852546</v>
      </c>
    </row>
    <row r="211" spans="1:18" x14ac:dyDescent="0.25">
      <c r="A211" s="170">
        <v>42310</v>
      </c>
      <c r="B211" s="116">
        <v>69.150000000000006</v>
      </c>
      <c r="C211" s="116">
        <v>68.849999999999994</v>
      </c>
      <c r="D211" s="116">
        <v>68</v>
      </c>
      <c r="E211" s="116">
        <v>68.8</v>
      </c>
      <c r="F211" s="116">
        <v>68.849999999999994</v>
      </c>
      <c r="G211">
        <v>183992</v>
      </c>
      <c r="H211" s="116"/>
      <c r="I211" s="116"/>
      <c r="L211" s="170">
        <v>42310</v>
      </c>
      <c r="M211" s="116">
        <v>68.75</v>
      </c>
      <c r="N211" s="116">
        <v>69.150000000000006</v>
      </c>
      <c r="O211" s="116">
        <v>68.099999999999994</v>
      </c>
      <c r="P211" s="116">
        <v>68.7</v>
      </c>
      <c r="Q211" s="116">
        <v>68.75</v>
      </c>
      <c r="R211">
        <v>1629516</v>
      </c>
    </row>
    <row r="212" spans="1:18" x14ac:dyDescent="0.25">
      <c r="A212" s="170">
        <v>42311</v>
      </c>
      <c r="B212" s="116">
        <v>69.7</v>
      </c>
      <c r="C212" s="116">
        <v>68.900000000000006</v>
      </c>
      <c r="D212" s="116">
        <v>68.45</v>
      </c>
      <c r="E212" s="116">
        <v>69.7</v>
      </c>
      <c r="F212" s="116">
        <v>68.900000000000006</v>
      </c>
      <c r="G212">
        <v>129482</v>
      </c>
      <c r="H212" s="116"/>
      <c r="I212" s="116"/>
      <c r="L212" s="170">
        <v>42311</v>
      </c>
      <c r="M212" s="116">
        <v>68.849999999999994</v>
      </c>
      <c r="N212" s="116">
        <v>69.599999999999994</v>
      </c>
      <c r="O212" s="116">
        <v>68.349999999999994</v>
      </c>
      <c r="P212" s="116">
        <v>69.5</v>
      </c>
      <c r="Q212" s="116">
        <v>68.849999999999994</v>
      </c>
      <c r="R212">
        <v>1841334</v>
      </c>
    </row>
    <row r="213" spans="1:18" x14ac:dyDescent="0.25">
      <c r="A213" s="170">
        <v>42312</v>
      </c>
      <c r="B213" s="116">
        <v>69.7</v>
      </c>
      <c r="C213" s="116">
        <v>68.650000000000006</v>
      </c>
      <c r="D213" s="116">
        <v>68.5</v>
      </c>
      <c r="E213" s="116">
        <v>69.7</v>
      </c>
      <c r="F213" s="116">
        <v>68.650000000000006</v>
      </c>
      <c r="G213">
        <v>259232</v>
      </c>
      <c r="H213" s="116"/>
      <c r="I213" s="116"/>
      <c r="L213" s="170">
        <v>42312</v>
      </c>
      <c r="M213" s="116">
        <v>68.599999999999994</v>
      </c>
      <c r="N213" s="116">
        <v>69.5</v>
      </c>
      <c r="O213" s="116">
        <v>68.45</v>
      </c>
      <c r="P213" s="116">
        <v>69.400000000000006</v>
      </c>
      <c r="Q213" s="116">
        <v>68.599999999999994</v>
      </c>
      <c r="R213">
        <v>2170065</v>
      </c>
    </row>
    <row r="214" spans="1:18" x14ac:dyDescent="0.25">
      <c r="A214" s="170">
        <v>42313</v>
      </c>
      <c r="B214" s="116">
        <v>69.5</v>
      </c>
      <c r="C214" s="116">
        <v>68.5</v>
      </c>
      <c r="D214" s="116">
        <v>68.25</v>
      </c>
      <c r="E214" s="116">
        <v>68.650000000000006</v>
      </c>
      <c r="F214" s="116">
        <v>68.5</v>
      </c>
      <c r="G214">
        <v>506264</v>
      </c>
      <c r="H214" s="116"/>
      <c r="I214" s="116"/>
      <c r="L214" s="170">
        <v>42313</v>
      </c>
      <c r="M214" s="116">
        <v>68.5</v>
      </c>
      <c r="N214" s="116">
        <v>69.5</v>
      </c>
      <c r="O214" s="116">
        <v>68.150000000000006</v>
      </c>
      <c r="P214" s="116">
        <v>69.099999999999994</v>
      </c>
      <c r="Q214" s="116">
        <v>68.5</v>
      </c>
      <c r="R214">
        <v>1836314</v>
      </c>
    </row>
    <row r="215" spans="1:18" x14ac:dyDescent="0.25">
      <c r="A215" s="170">
        <v>42314</v>
      </c>
      <c r="B215" s="116">
        <v>69.3</v>
      </c>
      <c r="C215" s="116">
        <v>67.599999999999994</v>
      </c>
      <c r="D215" s="116">
        <v>66.7</v>
      </c>
      <c r="E215" s="116">
        <v>69</v>
      </c>
      <c r="F215" s="116">
        <v>67.599999999999994</v>
      </c>
      <c r="G215">
        <v>266361</v>
      </c>
      <c r="H215" s="116"/>
      <c r="I215" s="116"/>
      <c r="L215" s="170">
        <v>42314</v>
      </c>
      <c r="M215" s="116">
        <v>67.55</v>
      </c>
      <c r="N215" s="116">
        <v>69.5</v>
      </c>
      <c r="O215" s="116">
        <v>66.599999999999994</v>
      </c>
      <c r="P215" s="116">
        <v>69.400000000000006</v>
      </c>
      <c r="Q215" s="116">
        <v>67.55</v>
      </c>
      <c r="R215">
        <v>2400308</v>
      </c>
    </row>
    <row r="216" spans="1:18" x14ac:dyDescent="0.25">
      <c r="A216" s="170">
        <v>42317</v>
      </c>
      <c r="B216" s="116">
        <v>69.599999999999994</v>
      </c>
      <c r="C216" s="116">
        <v>68.349999999999994</v>
      </c>
      <c r="D216" s="116">
        <v>66.05</v>
      </c>
      <c r="E216" s="116">
        <v>67</v>
      </c>
      <c r="F216" s="116">
        <v>68.349999999999994</v>
      </c>
      <c r="G216">
        <v>986490</v>
      </c>
      <c r="H216" s="116"/>
      <c r="I216" s="116"/>
      <c r="L216" s="170">
        <v>42317</v>
      </c>
      <c r="M216" s="116">
        <v>68.099999999999994</v>
      </c>
      <c r="N216" s="116">
        <v>69.55</v>
      </c>
      <c r="O216" s="116">
        <v>66.05</v>
      </c>
      <c r="P216" s="116">
        <v>67</v>
      </c>
      <c r="Q216" s="116">
        <v>68.099999999999994</v>
      </c>
      <c r="R216">
        <v>9032436</v>
      </c>
    </row>
    <row r="217" spans="1:18" x14ac:dyDescent="0.25">
      <c r="A217" s="170">
        <v>42318</v>
      </c>
      <c r="B217" s="116">
        <v>69.900000000000006</v>
      </c>
      <c r="C217" s="116">
        <v>67.95</v>
      </c>
      <c r="D217" s="116">
        <v>67.55</v>
      </c>
      <c r="E217" s="116">
        <v>69.5</v>
      </c>
      <c r="F217" s="116">
        <v>67.95</v>
      </c>
      <c r="G217">
        <v>537224</v>
      </c>
      <c r="H217" s="116"/>
      <c r="I217" s="116"/>
      <c r="L217" s="170">
        <v>42318</v>
      </c>
      <c r="M217" s="116">
        <v>67.8</v>
      </c>
      <c r="N217" s="116">
        <v>69.8</v>
      </c>
      <c r="O217" s="116">
        <v>67.349999999999994</v>
      </c>
      <c r="P217" s="116">
        <v>69.25</v>
      </c>
      <c r="Q217" s="116">
        <v>67.8</v>
      </c>
      <c r="R217">
        <v>4596144</v>
      </c>
    </row>
    <row r="218" spans="1:18" x14ac:dyDescent="0.25">
      <c r="A218" s="170">
        <v>42319</v>
      </c>
      <c r="B218" s="116">
        <v>69.150000000000006</v>
      </c>
      <c r="C218" s="116">
        <v>68.400000000000006</v>
      </c>
      <c r="D218" s="116">
        <v>68.150000000000006</v>
      </c>
      <c r="E218" s="116">
        <v>68.900000000000006</v>
      </c>
      <c r="F218" s="116">
        <v>68.400000000000006</v>
      </c>
      <c r="G218">
        <v>94622</v>
      </c>
      <c r="H218" s="116"/>
      <c r="I218" s="116"/>
      <c r="L218" s="170">
        <v>42319</v>
      </c>
      <c r="M218" s="116">
        <v>68.45</v>
      </c>
      <c r="N218" s="116">
        <v>69.3</v>
      </c>
      <c r="O218" s="116">
        <v>68.05</v>
      </c>
      <c r="P218" s="116">
        <v>69</v>
      </c>
      <c r="Q218" s="116">
        <v>68.45</v>
      </c>
      <c r="R218">
        <v>466299</v>
      </c>
    </row>
    <row r="219" spans="1:18" x14ac:dyDescent="0.25">
      <c r="A219" s="170">
        <v>42321</v>
      </c>
      <c r="B219" s="116">
        <v>68.849999999999994</v>
      </c>
      <c r="C219" s="116">
        <v>68.3</v>
      </c>
      <c r="D219" s="116">
        <v>67.599999999999994</v>
      </c>
      <c r="E219" s="116">
        <v>68.55</v>
      </c>
      <c r="F219" s="116">
        <v>68.3</v>
      </c>
      <c r="G219">
        <v>296569</v>
      </c>
      <c r="H219" s="116"/>
      <c r="I219" s="116"/>
      <c r="L219" s="170">
        <v>42321</v>
      </c>
      <c r="M219" s="116">
        <v>68.3</v>
      </c>
      <c r="N219" s="116">
        <v>68.849999999999994</v>
      </c>
      <c r="O219" s="116">
        <v>67.55</v>
      </c>
      <c r="P219" s="116">
        <v>68.45</v>
      </c>
      <c r="Q219" s="116">
        <v>68.3</v>
      </c>
      <c r="R219">
        <v>1967314</v>
      </c>
    </row>
    <row r="220" spans="1:18" x14ac:dyDescent="0.25">
      <c r="A220" s="170">
        <v>42324</v>
      </c>
      <c r="B220" s="116">
        <v>68.599999999999994</v>
      </c>
      <c r="C220" s="116">
        <v>67.25</v>
      </c>
      <c r="D220" s="116">
        <v>66.7</v>
      </c>
      <c r="E220" s="116">
        <v>68</v>
      </c>
      <c r="F220" s="116">
        <v>67.25</v>
      </c>
      <c r="G220">
        <v>391390</v>
      </c>
      <c r="H220" s="116"/>
      <c r="I220" s="116"/>
      <c r="L220" s="170">
        <v>42324</v>
      </c>
      <c r="M220" s="116">
        <v>67.3</v>
      </c>
      <c r="N220" s="116">
        <v>68.55</v>
      </c>
      <c r="O220" s="116">
        <v>66.650000000000006</v>
      </c>
      <c r="P220" s="116">
        <v>68.150000000000006</v>
      </c>
      <c r="Q220" s="116">
        <v>67.3</v>
      </c>
      <c r="R220">
        <v>4186093</v>
      </c>
    </row>
    <row r="221" spans="1:18" x14ac:dyDescent="0.25">
      <c r="A221" s="170">
        <v>42325</v>
      </c>
      <c r="B221" s="116">
        <v>68.150000000000006</v>
      </c>
      <c r="C221" s="116">
        <v>67.400000000000006</v>
      </c>
      <c r="D221" s="116">
        <v>67</v>
      </c>
      <c r="E221" s="116">
        <v>67.400000000000006</v>
      </c>
      <c r="F221" s="116">
        <v>67.400000000000006</v>
      </c>
      <c r="G221">
        <v>246127</v>
      </c>
      <c r="H221" s="116"/>
      <c r="I221" s="116"/>
      <c r="L221" s="170">
        <v>42325</v>
      </c>
      <c r="M221" s="116">
        <v>67.400000000000006</v>
      </c>
      <c r="N221" s="116">
        <v>68.2</v>
      </c>
      <c r="O221" s="116">
        <v>66.95</v>
      </c>
      <c r="P221" s="116">
        <v>67.5</v>
      </c>
      <c r="Q221" s="116">
        <v>67.400000000000006</v>
      </c>
      <c r="R221">
        <v>1783141</v>
      </c>
    </row>
    <row r="222" spans="1:18" x14ac:dyDescent="0.25">
      <c r="A222" s="170">
        <v>42326</v>
      </c>
      <c r="B222" s="116">
        <v>68.150000000000006</v>
      </c>
      <c r="C222" s="116">
        <v>65.849999999999994</v>
      </c>
      <c r="D222" s="116">
        <v>65.650000000000006</v>
      </c>
      <c r="E222" s="116">
        <v>67.400000000000006</v>
      </c>
      <c r="F222" s="116">
        <v>65.849999999999994</v>
      </c>
      <c r="G222">
        <v>318415</v>
      </c>
      <c r="H222" s="116"/>
      <c r="I222" s="116"/>
      <c r="L222" s="170">
        <v>42326</v>
      </c>
      <c r="M222" s="116">
        <v>65.849999999999994</v>
      </c>
      <c r="N222" s="116">
        <v>68.25</v>
      </c>
      <c r="O222" s="116">
        <v>65.650000000000006</v>
      </c>
      <c r="P222" s="116">
        <v>67.55</v>
      </c>
      <c r="Q222" s="116">
        <v>65.849999999999994</v>
      </c>
      <c r="R222">
        <v>2070946</v>
      </c>
    </row>
    <row r="223" spans="1:18" x14ac:dyDescent="0.25">
      <c r="A223" s="170">
        <v>42327</v>
      </c>
      <c r="B223" s="116">
        <v>67</v>
      </c>
      <c r="C223" s="116">
        <v>66.7</v>
      </c>
      <c r="D223" s="116">
        <v>66.099999999999994</v>
      </c>
      <c r="E223" s="116">
        <v>67</v>
      </c>
      <c r="F223" s="116">
        <v>66.7</v>
      </c>
      <c r="G223">
        <v>291106</v>
      </c>
      <c r="H223" s="116"/>
      <c r="I223" s="116"/>
      <c r="L223" s="170">
        <v>42327</v>
      </c>
      <c r="M223" s="116">
        <v>66.75</v>
      </c>
      <c r="N223" s="116">
        <v>66.95</v>
      </c>
      <c r="O223" s="116">
        <v>66.05</v>
      </c>
      <c r="P223" s="116">
        <v>66.05</v>
      </c>
      <c r="Q223" s="116">
        <v>66.75</v>
      </c>
      <c r="R223">
        <v>1319920</v>
      </c>
    </row>
    <row r="224" spans="1:18" x14ac:dyDescent="0.25">
      <c r="A224" s="170">
        <v>42328</v>
      </c>
      <c r="B224" s="116">
        <v>67.5</v>
      </c>
      <c r="C224" s="116">
        <v>66.55</v>
      </c>
      <c r="D224" s="116">
        <v>66.150000000000006</v>
      </c>
      <c r="E224" s="116">
        <v>66.150000000000006</v>
      </c>
      <c r="F224" s="116">
        <v>66.55</v>
      </c>
      <c r="G224">
        <v>247729</v>
      </c>
      <c r="H224" s="116"/>
      <c r="I224" s="116"/>
      <c r="L224" s="170">
        <v>42328</v>
      </c>
      <c r="M224" s="116">
        <v>66.650000000000006</v>
      </c>
      <c r="N224" s="116">
        <v>67.5</v>
      </c>
      <c r="O224" s="116">
        <v>66.3</v>
      </c>
      <c r="P224" s="116">
        <v>66.349999999999994</v>
      </c>
      <c r="Q224" s="116">
        <v>66.650000000000006</v>
      </c>
      <c r="R224">
        <v>1435324</v>
      </c>
    </row>
    <row r="225" spans="1:18" x14ac:dyDescent="0.25">
      <c r="A225" s="170">
        <v>42331</v>
      </c>
      <c r="B225" s="116">
        <v>67.2</v>
      </c>
      <c r="C225" s="116">
        <v>66.95</v>
      </c>
      <c r="D225" s="116">
        <v>66.45</v>
      </c>
      <c r="E225" s="116">
        <v>66.45</v>
      </c>
      <c r="F225" s="116">
        <v>66.95</v>
      </c>
      <c r="G225">
        <v>128139</v>
      </c>
      <c r="H225" s="116"/>
      <c r="I225" s="116"/>
      <c r="L225" s="170">
        <v>42331</v>
      </c>
      <c r="M225" s="116">
        <v>66.95</v>
      </c>
      <c r="N225" s="116">
        <v>67.099999999999994</v>
      </c>
      <c r="O225" s="116">
        <v>66.5</v>
      </c>
      <c r="P225" s="116">
        <v>67</v>
      </c>
      <c r="Q225" s="116">
        <v>66.95</v>
      </c>
      <c r="R225">
        <v>1691812</v>
      </c>
    </row>
    <row r="226" spans="1:18" x14ac:dyDescent="0.25">
      <c r="A226" s="170">
        <v>42332</v>
      </c>
      <c r="B226" s="116">
        <v>67.349999999999994</v>
      </c>
      <c r="C226" s="116">
        <v>66.599999999999994</v>
      </c>
      <c r="D226" s="116">
        <v>66.349999999999994</v>
      </c>
      <c r="E226" s="116">
        <v>66.900000000000006</v>
      </c>
      <c r="F226" s="116">
        <v>66.599999999999994</v>
      </c>
      <c r="G226">
        <v>140533</v>
      </c>
      <c r="H226" s="116"/>
      <c r="I226" s="116"/>
      <c r="L226" s="170">
        <v>42332</v>
      </c>
      <c r="M226" s="116">
        <v>66.55</v>
      </c>
      <c r="N226" s="116">
        <v>67.3</v>
      </c>
      <c r="O226" s="116">
        <v>66.3</v>
      </c>
      <c r="P226" s="116">
        <v>66.900000000000006</v>
      </c>
      <c r="Q226" s="116">
        <v>66.55</v>
      </c>
      <c r="R226">
        <v>1807371</v>
      </c>
    </row>
    <row r="227" spans="1:18" x14ac:dyDescent="0.25">
      <c r="A227" s="170">
        <v>42334</v>
      </c>
      <c r="B227" s="116">
        <v>67.099999999999994</v>
      </c>
      <c r="C227" s="116">
        <v>66.349999999999994</v>
      </c>
      <c r="D227" s="116">
        <v>66.150000000000006</v>
      </c>
      <c r="E227" s="116">
        <v>66.599999999999994</v>
      </c>
      <c r="F227" s="116">
        <v>66.349999999999994</v>
      </c>
      <c r="G227">
        <v>408785</v>
      </c>
      <c r="H227" s="116"/>
      <c r="I227" s="116"/>
      <c r="L227" s="170">
        <v>42334</v>
      </c>
      <c r="M227" s="116">
        <v>66.3</v>
      </c>
      <c r="N227" s="116">
        <v>67.05</v>
      </c>
      <c r="O227" s="116">
        <v>66.150000000000006</v>
      </c>
      <c r="P227" s="116">
        <v>66.7</v>
      </c>
      <c r="Q227" s="116">
        <v>66.3</v>
      </c>
      <c r="R227">
        <v>4945512</v>
      </c>
    </row>
    <row r="228" spans="1:18" x14ac:dyDescent="0.25">
      <c r="A228" s="170">
        <v>42335</v>
      </c>
      <c r="B228" s="116">
        <v>67.3</v>
      </c>
      <c r="C228" s="116">
        <v>66.25</v>
      </c>
      <c r="D228" s="116">
        <v>66</v>
      </c>
      <c r="E228" s="116">
        <v>67.2</v>
      </c>
      <c r="F228" s="116">
        <v>66.25</v>
      </c>
      <c r="G228">
        <v>423716</v>
      </c>
      <c r="H228" s="116"/>
      <c r="I228" s="116"/>
      <c r="L228" s="170">
        <v>42335</v>
      </c>
      <c r="M228" s="116">
        <v>66.25</v>
      </c>
      <c r="N228" s="116">
        <v>67.349999999999994</v>
      </c>
      <c r="O228" s="116">
        <v>65.900000000000006</v>
      </c>
      <c r="P228" s="116">
        <v>66.8</v>
      </c>
      <c r="Q228" s="116">
        <v>66.25</v>
      </c>
      <c r="R228">
        <v>1778931</v>
      </c>
    </row>
    <row r="229" spans="1:18" x14ac:dyDescent="0.25">
      <c r="A229" s="170">
        <v>42338</v>
      </c>
      <c r="B229" s="116">
        <v>67.900000000000006</v>
      </c>
      <c r="C229" s="116">
        <v>66.849999999999994</v>
      </c>
      <c r="D229" s="116">
        <v>66.45</v>
      </c>
      <c r="E229" s="116">
        <v>66.95</v>
      </c>
      <c r="F229" s="116">
        <v>66.849999999999994</v>
      </c>
      <c r="G229">
        <v>347003</v>
      </c>
      <c r="H229" s="116"/>
      <c r="I229" s="116"/>
      <c r="L229" s="170">
        <v>42338</v>
      </c>
      <c r="M229" s="116">
        <v>66.8</v>
      </c>
      <c r="N229" s="116">
        <v>67.900000000000006</v>
      </c>
      <c r="O229" s="116">
        <v>66.45</v>
      </c>
      <c r="P229" s="116">
        <v>66.5</v>
      </c>
      <c r="Q229" s="116">
        <v>66.8</v>
      </c>
      <c r="R229">
        <v>6754131</v>
      </c>
    </row>
    <row r="230" spans="1:18" x14ac:dyDescent="0.25">
      <c r="A230" s="170">
        <v>42339</v>
      </c>
      <c r="B230" s="116">
        <v>68</v>
      </c>
      <c r="C230" s="116">
        <v>66.599999999999994</v>
      </c>
      <c r="D230" s="116">
        <v>66.3</v>
      </c>
      <c r="E230" s="116">
        <v>68</v>
      </c>
      <c r="F230" s="116">
        <v>66.599999999999994</v>
      </c>
      <c r="G230">
        <v>413488</v>
      </c>
      <c r="H230" s="116"/>
      <c r="I230" s="116"/>
      <c r="L230" s="170">
        <v>42339</v>
      </c>
      <c r="M230" s="116">
        <v>66.599999999999994</v>
      </c>
      <c r="N230" s="116">
        <v>68</v>
      </c>
      <c r="O230" s="116">
        <v>66.349999999999994</v>
      </c>
      <c r="P230" s="116">
        <v>68</v>
      </c>
      <c r="Q230" s="116">
        <v>66.599999999999994</v>
      </c>
      <c r="R230">
        <v>3104617</v>
      </c>
    </row>
    <row r="231" spans="1:18" x14ac:dyDescent="0.25">
      <c r="A231" s="170">
        <v>42340</v>
      </c>
      <c r="B231" s="116">
        <v>67</v>
      </c>
      <c r="C231" s="116">
        <v>66.25</v>
      </c>
      <c r="D231" s="116">
        <v>65.95</v>
      </c>
      <c r="E231" s="116">
        <v>66.849999999999994</v>
      </c>
      <c r="F231" s="116">
        <v>66.25</v>
      </c>
      <c r="G231">
        <v>243503</v>
      </c>
      <c r="H231" s="116"/>
      <c r="I231" s="116"/>
      <c r="L231" s="170">
        <v>42340</v>
      </c>
      <c r="M231" s="116">
        <v>66.3</v>
      </c>
      <c r="N231" s="116">
        <v>66.95</v>
      </c>
      <c r="O231" s="116">
        <v>65.849999999999994</v>
      </c>
      <c r="P231" s="116">
        <v>66.8</v>
      </c>
      <c r="Q231" s="116">
        <v>66.3</v>
      </c>
      <c r="R231">
        <v>1407703</v>
      </c>
    </row>
    <row r="232" spans="1:18" x14ac:dyDescent="0.25">
      <c r="A232" s="170">
        <v>42341</v>
      </c>
      <c r="B232" s="116">
        <v>66.75</v>
      </c>
      <c r="C232" s="116">
        <v>65.650000000000006</v>
      </c>
      <c r="D232" s="116">
        <v>65.2</v>
      </c>
      <c r="E232" s="116">
        <v>66</v>
      </c>
      <c r="F232" s="116">
        <v>65.650000000000006</v>
      </c>
      <c r="G232">
        <v>306728</v>
      </c>
      <c r="H232" s="116"/>
      <c r="I232" s="116"/>
      <c r="L232" s="170">
        <v>42341</v>
      </c>
      <c r="M232" s="116">
        <v>65.650000000000006</v>
      </c>
      <c r="N232" s="116">
        <v>66.8</v>
      </c>
      <c r="O232" s="116">
        <v>65.25</v>
      </c>
      <c r="P232" s="116">
        <v>66</v>
      </c>
      <c r="Q232" s="116">
        <v>65.650000000000006</v>
      </c>
      <c r="R232">
        <v>1727696</v>
      </c>
    </row>
    <row r="233" spans="1:18" x14ac:dyDescent="0.25">
      <c r="A233" s="170">
        <v>42342</v>
      </c>
      <c r="B233" s="116">
        <v>66.05</v>
      </c>
      <c r="C233" s="116">
        <v>64.349999999999994</v>
      </c>
      <c r="D233" s="116">
        <v>64.2</v>
      </c>
      <c r="E233" s="116">
        <v>65.650000000000006</v>
      </c>
      <c r="F233" s="116">
        <v>64.349999999999994</v>
      </c>
      <c r="G233">
        <v>363571</v>
      </c>
      <c r="H233" s="116"/>
      <c r="I233" s="116"/>
      <c r="L233" s="170">
        <v>42342</v>
      </c>
      <c r="M233" s="116">
        <v>64.2</v>
      </c>
      <c r="N233" s="116">
        <v>66</v>
      </c>
      <c r="O233" s="116">
        <v>64</v>
      </c>
      <c r="P233" s="116">
        <v>64.900000000000006</v>
      </c>
      <c r="Q233" s="116">
        <v>64.2</v>
      </c>
      <c r="R233">
        <v>2544924</v>
      </c>
    </row>
    <row r="234" spans="1:18" x14ac:dyDescent="0.25">
      <c r="A234" s="170">
        <v>42345</v>
      </c>
      <c r="B234" s="116">
        <v>65</v>
      </c>
      <c r="C234" s="116">
        <v>64.25</v>
      </c>
      <c r="D234" s="116">
        <v>64.099999999999994</v>
      </c>
      <c r="E234" s="116">
        <v>65</v>
      </c>
      <c r="F234" s="116">
        <v>64.25</v>
      </c>
      <c r="G234">
        <v>243180</v>
      </c>
      <c r="H234" s="116"/>
      <c r="I234" s="116"/>
      <c r="L234" s="170">
        <v>42345</v>
      </c>
      <c r="M234" s="116">
        <v>64.150000000000006</v>
      </c>
      <c r="N234" s="116">
        <v>64.95</v>
      </c>
      <c r="O234" s="116">
        <v>64</v>
      </c>
      <c r="P234" s="116">
        <v>64.900000000000006</v>
      </c>
      <c r="Q234" s="116">
        <v>64.150000000000006</v>
      </c>
      <c r="R234">
        <v>1516182</v>
      </c>
    </row>
    <row r="235" spans="1:18" x14ac:dyDescent="0.25">
      <c r="A235" s="170">
        <v>42346</v>
      </c>
      <c r="B235" s="116">
        <v>64.2</v>
      </c>
      <c r="C235" s="116">
        <v>63.4</v>
      </c>
      <c r="D235" s="116">
        <v>62.8</v>
      </c>
      <c r="E235" s="116">
        <v>64</v>
      </c>
      <c r="F235" s="116">
        <v>63.4</v>
      </c>
      <c r="G235">
        <v>309248</v>
      </c>
      <c r="H235" s="116"/>
      <c r="I235" s="116"/>
      <c r="L235" s="170">
        <v>42346</v>
      </c>
      <c r="M235" s="116">
        <v>63.55</v>
      </c>
      <c r="N235" s="116">
        <v>64.3</v>
      </c>
      <c r="O235" s="116">
        <v>62.75</v>
      </c>
      <c r="P235" s="116">
        <v>62.9</v>
      </c>
      <c r="Q235" s="116">
        <v>63.55</v>
      </c>
      <c r="R235">
        <v>2207354</v>
      </c>
    </row>
    <row r="236" spans="1:18" x14ac:dyDescent="0.25">
      <c r="A236" s="170">
        <v>42347</v>
      </c>
      <c r="B236" s="116">
        <v>63.5</v>
      </c>
      <c r="C236" s="116">
        <v>62</v>
      </c>
      <c r="D236" s="116">
        <v>61.7</v>
      </c>
      <c r="E236" s="116">
        <v>63.4</v>
      </c>
      <c r="F236" s="116">
        <v>62</v>
      </c>
      <c r="G236">
        <v>349431</v>
      </c>
      <c r="H236" s="116"/>
      <c r="I236" s="116"/>
      <c r="L236" s="170">
        <v>42347</v>
      </c>
      <c r="M236" s="116">
        <v>62</v>
      </c>
      <c r="N236" s="116">
        <v>63.75</v>
      </c>
      <c r="O236" s="116">
        <v>61.7</v>
      </c>
      <c r="P236" s="116">
        <v>63.75</v>
      </c>
      <c r="Q236" s="116">
        <v>62</v>
      </c>
      <c r="R236">
        <v>1717959</v>
      </c>
    </row>
    <row r="237" spans="1:18" x14ac:dyDescent="0.25">
      <c r="A237" s="170">
        <v>42348</v>
      </c>
      <c r="B237" s="116">
        <v>62.95</v>
      </c>
      <c r="C237" s="116">
        <v>62.6</v>
      </c>
      <c r="D237" s="116">
        <v>61.3</v>
      </c>
      <c r="E237" s="116">
        <v>61.3</v>
      </c>
      <c r="F237" s="116">
        <v>62.6</v>
      </c>
      <c r="G237">
        <v>283717</v>
      </c>
      <c r="H237" s="116"/>
      <c r="I237" s="116"/>
      <c r="L237" s="170">
        <v>42348</v>
      </c>
      <c r="M237" s="116">
        <v>62.6</v>
      </c>
      <c r="N237" s="116">
        <v>62.9</v>
      </c>
      <c r="O237" s="116">
        <v>62</v>
      </c>
      <c r="P237" s="116">
        <v>62.3</v>
      </c>
      <c r="Q237" s="116">
        <v>62.6</v>
      </c>
      <c r="R237">
        <v>1552855</v>
      </c>
    </row>
    <row r="238" spans="1:18" x14ac:dyDescent="0.25">
      <c r="A238" s="170">
        <v>42349</v>
      </c>
      <c r="B238" s="116">
        <v>63.2</v>
      </c>
      <c r="C238" s="116">
        <v>61.9</v>
      </c>
      <c r="D238" s="116">
        <v>61</v>
      </c>
      <c r="E238" s="116">
        <v>62.6</v>
      </c>
      <c r="F238" s="116">
        <v>61.9</v>
      </c>
      <c r="G238">
        <v>287276</v>
      </c>
      <c r="H238" s="116"/>
      <c r="I238" s="116"/>
      <c r="L238" s="170">
        <v>42349</v>
      </c>
      <c r="M238" s="116">
        <v>61.85</v>
      </c>
      <c r="N238" s="116">
        <v>63.15</v>
      </c>
      <c r="O238" s="116">
        <v>61</v>
      </c>
      <c r="P238" s="116">
        <v>62.4</v>
      </c>
      <c r="Q238" s="116">
        <v>61.85</v>
      </c>
      <c r="R238">
        <v>2013081</v>
      </c>
    </row>
    <row r="239" spans="1:18" x14ac:dyDescent="0.25">
      <c r="A239" s="170">
        <v>42352</v>
      </c>
      <c r="B239" s="116">
        <v>62.5</v>
      </c>
      <c r="C239" s="116">
        <v>61.65</v>
      </c>
      <c r="D239" s="116">
        <v>61.4</v>
      </c>
      <c r="E239" s="116">
        <v>62</v>
      </c>
      <c r="F239" s="116">
        <v>61.65</v>
      </c>
      <c r="G239">
        <v>217635</v>
      </c>
      <c r="H239" s="116"/>
      <c r="I239" s="116"/>
      <c r="L239" s="170">
        <v>42352</v>
      </c>
      <c r="M239" s="116">
        <v>61.6</v>
      </c>
      <c r="N239" s="116">
        <v>62.55</v>
      </c>
      <c r="O239" s="116">
        <v>61.1</v>
      </c>
      <c r="P239" s="116">
        <v>62</v>
      </c>
      <c r="Q239" s="116">
        <v>61.6</v>
      </c>
      <c r="R239">
        <v>1926459</v>
      </c>
    </row>
    <row r="240" spans="1:18" x14ac:dyDescent="0.25">
      <c r="A240" s="170">
        <v>42353</v>
      </c>
      <c r="B240" s="116">
        <v>62.2</v>
      </c>
      <c r="C240" s="116">
        <v>61.4</v>
      </c>
      <c r="D240" s="116">
        <v>61.05</v>
      </c>
      <c r="E240" s="116">
        <v>61.2</v>
      </c>
      <c r="F240" s="116">
        <v>61.4</v>
      </c>
      <c r="G240">
        <v>350266</v>
      </c>
      <c r="H240" s="116"/>
      <c r="I240" s="116"/>
      <c r="L240" s="170">
        <v>42353</v>
      </c>
      <c r="M240" s="116">
        <v>61.45</v>
      </c>
      <c r="N240" s="116">
        <v>62.05</v>
      </c>
      <c r="O240" s="116">
        <v>61.1</v>
      </c>
      <c r="P240" s="116">
        <v>61.5</v>
      </c>
      <c r="Q240" s="116">
        <v>61.45</v>
      </c>
      <c r="R240">
        <v>1989111</v>
      </c>
    </row>
    <row r="241" spans="1:18" x14ac:dyDescent="0.25">
      <c r="A241" s="170">
        <v>42354</v>
      </c>
      <c r="B241" s="116">
        <v>63.1</v>
      </c>
      <c r="C241" s="116">
        <v>62.05</v>
      </c>
      <c r="D241" s="116">
        <v>61.2</v>
      </c>
      <c r="E241" s="116">
        <v>61.2</v>
      </c>
      <c r="F241" s="116">
        <v>62.05</v>
      </c>
      <c r="G241">
        <v>330146</v>
      </c>
      <c r="H241" s="116"/>
      <c r="I241" s="116"/>
      <c r="L241" s="170">
        <v>42354</v>
      </c>
      <c r="M241" s="116">
        <v>62</v>
      </c>
      <c r="N241" s="116">
        <v>63.1</v>
      </c>
      <c r="O241" s="116">
        <v>61.7</v>
      </c>
      <c r="P241" s="116">
        <v>61.95</v>
      </c>
      <c r="Q241" s="116">
        <v>62</v>
      </c>
      <c r="R241">
        <v>2509005</v>
      </c>
    </row>
    <row r="242" spans="1:18" x14ac:dyDescent="0.25">
      <c r="A242" s="170">
        <v>42355</v>
      </c>
      <c r="B242" s="116">
        <v>64.75</v>
      </c>
      <c r="C242" s="116">
        <v>64.55</v>
      </c>
      <c r="D242" s="116">
        <v>62.25</v>
      </c>
      <c r="E242" s="116">
        <v>62.5</v>
      </c>
      <c r="F242" s="116">
        <v>64.55</v>
      </c>
      <c r="G242">
        <v>598667</v>
      </c>
      <c r="H242" s="116"/>
      <c r="I242" s="116"/>
      <c r="L242" s="170">
        <v>42355</v>
      </c>
      <c r="M242" s="116">
        <v>64.75</v>
      </c>
      <c r="N242" s="116">
        <v>64.95</v>
      </c>
      <c r="O242" s="116">
        <v>62.3</v>
      </c>
      <c r="P242" s="116">
        <v>62.95</v>
      </c>
      <c r="Q242" s="116">
        <v>64.75</v>
      </c>
      <c r="R242">
        <v>3638996</v>
      </c>
    </row>
    <row r="243" spans="1:18" x14ac:dyDescent="0.25">
      <c r="A243" s="170">
        <v>42356</v>
      </c>
      <c r="B243" s="116">
        <v>65.95</v>
      </c>
      <c r="C243" s="116">
        <v>65.150000000000006</v>
      </c>
      <c r="D243" s="116">
        <v>64.599999999999994</v>
      </c>
      <c r="E243" s="116">
        <v>65</v>
      </c>
      <c r="F243" s="116">
        <v>65.150000000000006</v>
      </c>
      <c r="G243">
        <v>502946</v>
      </c>
      <c r="H243" s="116"/>
      <c r="I243" s="116"/>
      <c r="L243" s="170">
        <v>42356</v>
      </c>
      <c r="M243" s="116">
        <v>65</v>
      </c>
      <c r="N243" s="116">
        <v>66</v>
      </c>
      <c r="O243" s="116">
        <v>64.5</v>
      </c>
      <c r="P243" s="116">
        <v>64.75</v>
      </c>
      <c r="Q243" s="116">
        <v>65</v>
      </c>
      <c r="R243">
        <v>3813660</v>
      </c>
    </row>
    <row r="244" spans="1:18" x14ac:dyDescent="0.25">
      <c r="A244" s="170">
        <v>42359</v>
      </c>
      <c r="B244" s="116">
        <v>65.5</v>
      </c>
      <c r="C244" s="116">
        <v>64.95</v>
      </c>
      <c r="D244" s="116">
        <v>64.5</v>
      </c>
      <c r="E244" s="116">
        <v>65</v>
      </c>
      <c r="F244" s="116">
        <v>64.95</v>
      </c>
      <c r="G244">
        <v>267301</v>
      </c>
      <c r="H244" s="116"/>
      <c r="I244" s="116"/>
      <c r="L244" s="170">
        <v>42359</v>
      </c>
      <c r="M244" s="116">
        <v>65</v>
      </c>
      <c r="N244" s="116">
        <v>65.5</v>
      </c>
      <c r="O244" s="116">
        <v>64.400000000000006</v>
      </c>
      <c r="P244" s="116">
        <v>65</v>
      </c>
      <c r="Q244" s="116">
        <v>65</v>
      </c>
      <c r="R244">
        <v>2932353</v>
      </c>
    </row>
    <row r="245" spans="1:18" x14ac:dyDescent="0.25">
      <c r="A245" s="170">
        <v>42360</v>
      </c>
      <c r="B245" s="116">
        <v>66.3</v>
      </c>
      <c r="C245" s="116">
        <v>65.3</v>
      </c>
      <c r="D245" s="116">
        <v>64.75</v>
      </c>
      <c r="E245" s="116">
        <v>65</v>
      </c>
      <c r="F245" s="116">
        <v>65.3</v>
      </c>
      <c r="G245">
        <v>511858</v>
      </c>
      <c r="H245" s="116"/>
      <c r="I245" s="116"/>
      <c r="L245" s="170">
        <v>42360</v>
      </c>
      <c r="M245" s="116">
        <v>65.25</v>
      </c>
      <c r="N245" s="116">
        <v>66.400000000000006</v>
      </c>
      <c r="O245" s="116">
        <v>64.75</v>
      </c>
      <c r="P245" s="116">
        <v>65.05</v>
      </c>
      <c r="Q245" s="116">
        <v>65.25</v>
      </c>
      <c r="R245">
        <v>2654585</v>
      </c>
    </row>
    <row r="246" spans="1:18" x14ac:dyDescent="0.25">
      <c r="A246" s="170">
        <v>42361</v>
      </c>
      <c r="B246" s="116">
        <v>66.150000000000006</v>
      </c>
      <c r="C246" s="116">
        <v>65.650000000000006</v>
      </c>
      <c r="D246" s="116">
        <v>65.3</v>
      </c>
      <c r="E246" s="116">
        <v>65.900000000000006</v>
      </c>
      <c r="F246" s="116">
        <v>65.650000000000006</v>
      </c>
      <c r="G246">
        <v>188523</v>
      </c>
      <c r="H246" s="116"/>
      <c r="I246" s="116"/>
      <c r="L246" s="170">
        <v>42361</v>
      </c>
      <c r="M246" s="116">
        <v>65.75</v>
      </c>
      <c r="N246" s="116">
        <v>66.150000000000006</v>
      </c>
      <c r="O246" s="116">
        <v>65.3</v>
      </c>
      <c r="P246" s="116">
        <v>65.650000000000006</v>
      </c>
      <c r="Q246" s="116">
        <v>65.75</v>
      </c>
      <c r="R246">
        <v>1163831</v>
      </c>
    </row>
    <row r="247" spans="1:18" x14ac:dyDescent="0.25">
      <c r="A247" s="170">
        <v>42362</v>
      </c>
      <c r="B247" s="116">
        <v>66.5</v>
      </c>
      <c r="C247" s="116">
        <v>66.349999999999994</v>
      </c>
      <c r="D247" s="116">
        <v>65.5</v>
      </c>
      <c r="E247" s="116">
        <v>66.45</v>
      </c>
      <c r="F247" s="116">
        <v>66.349999999999994</v>
      </c>
      <c r="G247">
        <v>172997</v>
      </c>
      <c r="H247" s="116"/>
      <c r="I247" s="116"/>
      <c r="L247" s="170">
        <v>42362</v>
      </c>
      <c r="M247" s="116">
        <v>66.400000000000006</v>
      </c>
      <c r="N247" s="116">
        <v>66.8</v>
      </c>
      <c r="O247" s="116">
        <v>65.45</v>
      </c>
      <c r="P247" s="116">
        <v>66</v>
      </c>
      <c r="Q247" s="116">
        <v>66.400000000000006</v>
      </c>
      <c r="R247">
        <v>1359015</v>
      </c>
    </row>
    <row r="248" spans="1:18" x14ac:dyDescent="0.25">
      <c r="A248" s="170">
        <v>42366</v>
      </c>
      <c r="B248" s="116">
        <v>68.45</v>
      </c>
      <c r="C248" s="116">
        <v>67.599999999999994</v>
      </c>
      <c r="D248" s="116">
        <v>66.75</v>
      </c>
      <c r="E248" s="116">
        <v>66.75</v>
      </c>
      <c r="F248" s="116">
        <v>67.599999999999994</v>
      </c>
      <c r="G248">
        <v>491084</v>
      </c>
      <c r="H248" s="116"/>
      <c r="I248" s="116"/>
      <c r="L248" s="170">
        <v>42366</v>
      </c>
      <c r="M248" s="116">
        <v>67.5</v>
      </c>
      <c r="N248" s="116">
        <v>68.349999999999994</v>
      </c>
      <c r="O248" s="116">
        <v>67</v>
      </c>
      <c r="P248" s="116">
        <v>67</v>
      </c>
      <c r="Q248" s="116">
        <v>67.5</v>
      </c>
      <c r="R248">
        <v>3739245</v>
      </c>
    </row>
    <row r="249" spans="1:18" x14ac:dyDescent="0.25">
      <c r="A249" s="170">
        <v>42367</v>
      </c>
      <c r="B249" s="116">
        <v>67.900000000000006</v>
      </c>
      <c r="C249" s="116">
        <v>67.150000000000006</v>
      </c>
      <c r="D249" s="116">
        <v>66.75</v>
      </c>
      <c r="E249" s="116">
        <v>67.900000000000006</v>
      </c>
      <c r="F249" s="116">
        <v>67.150000000000006</v>
      </c>
      <c r="G249">
        <v>278866</v>
      </c>
      <c r="H249" s="116"/>
      <c r="I249" s="116"/>
      <c r="L249" s="170">
        <v>42367</v>
      </c>
      <c r="M249" s="116">
        <v>67.099999999999994</v>
      </c>
      <c r="N249" s="116">
        <v>67.900000000000006</v>
      </c>
      <c r="O249" s="116">
        <v>66.8</v>
      </c>
      <c r="P249" s="116">
        <v>67.7</v>
      </c>
      <c r="Q249" s="116">
        <v>67.099999999999994</v>
      </c>
      <c r="R249">
        <v>1868048</v>
      </c>
    </row>
    <row r="250" spans="1:18" x14ac:dyDescent="0.25">
      <c r="A250" s="170">
        <v>42368</v>
      </c>
      <c r="B250" s="116">
        <v>68.650000000000006</v>
      </c>
      <c r="C250" s="116">
        <v>67.7</v>
      </c>
      <c r="D250" s="116">
        <v>67.45</v>
      </c>
      <c r="E250" s="116">
        <v>68.650000000000006</v>
      </c>
      <c r="F250" s="116">
        <v>67.7</v>
      </c>
      <c r="G250">
        <v>352307</v>
      </c>
      <c r="H250" s="116"/>
      <c r="I250" s="116"/>
      <c r="L250" s="170">
        <v>42368</v>
      </c>
      <c r="M250" s="116">
        <v>67.75</v>
      </c>
      <c r="N250" s="116">
        <v>68.45</v>
      </c>
      <c r="O250" s="116">
        <v>67.45</v>
      </c>
      <c r="P250" s="116">
        <v>68.45</v>
      </c>
      <c r="Q250" s="116">
        <v>67.75</v>
      </c>
      <c r="R250">
        <v>2193301</v>
      </c>
    </row>
    <row r="251" spans="1:18" x14ac:dyDescent="0.25">
      <c r="A251" s="170">
        <v>42369</v>
      </c>
      <c r="B251" s="116">
        <v>68.95</v>
      </c>
      <c r="C251" s="116">
        <v>67.900000000000006</v>
      </c>
      <c r="D251" s="116">
        <v>67.599999999999994</v>
      </c>
      <c r="E251" s="116">
        <v>67.95</v>
      </c>
      <c r="F251" s="116">
        <v>67.900000000000006</v>
      </c>
      <c r="G251">
        <v>296675</v>
      </c>
      <c r="H251" s="116"/>
      <c r="I251" s="116"/>
      <c r="L251" s="170">
        <v>42369</v>
      </c>
      <c r="M251" s="116">
        <v>67.900000000000006</v>
      </c>
      <c r="N251" s="116">
        <v>69</v>
      </c>
      <c r="O251" s="116">
        <v>67.599999999999994</v>
      </c>
      <c r="P251" s="116">
        <v>67.900000000000006</v>
      </c>
      <c r="Q251" s="116">
        <v>67.900000000000006</v>
      </c>
      <c r="R251">
        <v>3580051</v>
      </c>
    </row>
    <row r="252" spans="1:18" x14ac:dyDescent="0.25">
      <c r="A252" s="170">
        <v>42370</v>
      </c>
      <c r="B252" s="116">
        <v>69.45</v>
      </c>
      <c r="C252" s="116">
        <v>68.900000000000006</v>
      </c>
      <c r="D252" s="116">
        <v>67.849999999999994</v>
      </c>
      <c r="E252" s="116">
        <v>68</v>
      </c>
      <c r="F252" s="116">
        <v>68.900000000000006</v>
      </c>
      <c r="G252">
        <v>312654</v>
      </c>
      <c r="H252" s="116"/>
      <c r="I252" s="116"/>
      <c r="L252" s="170">
        <v>42370</v>
      </c>
      <c r="M252" s="116">
        <v>68.95</v>
      </c>
      <c r="N252" s="116">
        <v>69.45</v>
      </c>
      <c r="O252" s="116">
        <v>67.8</v>
      </c>
      <c r="P252" s="116">
        <v>68.099999999999994</v>
      </c>
      <c r="Q252" s="116">
        <v>68.95</v>
      </c>
      <c r="R252">
        <v>1973896</v>
      </c>
    </row>
    <row r="253" spans="1:18" x14ac:dyDescent="0.25">
      <c r="A253" s="170">
        <v>42373</v>
      </c>
      <c r="B253" s="116">
        <v>69.8</v>
      </c>
      <c r="C253" s="116">
        <v>68.3</v>
      </c>
      <c r="D253" s="116">
        <v>67.5</v>
      </c>
      <c r="E253" s="116">
        <v>69.099999999999994</v>
      </c>
      <c r="F253" s="116">
        <v>68.3</v>
      </c>
      <c r="G253">
        <v>302571</v>
      </c>
      <c r="H253" s="116"/>
      <c r="I253" s="116"/>
      <c r="L253" s="170">
        <v>42373</v>
      </c>
      <c r="M253" s="116">
        <v>68.25</v>
      </c>
      <c r="N253" s="116">
        <v>69.900000000000006</v>
      </c>
      <c r="O253" s="116">
        <v>67.5</v>
      </c>
      <c r="P253" s="116">
        <v>68.900000000000006</v>
      </c>
      <c r="Q253" s="116">
        <v>68.25</v>
      </c>
      <c r="R253">
        <v>2644953</v>
      </c>
    </row>
    <row r="254" spans="1:18" x14ac:dyDescent="0.25">
      <c r="A254" s="170">
        <v>42374</v>
      </c>
      <c r="B254" s="116">
        <v>70.75</v>
      </c>
      <c r="C254" s="116">
        <v>69.349999999999994</v>
      </c>
      <c r="D254" s="116">
        <v>68.349999999999994</v>
      </c>
      <c r="E254" s="116">
        <v>68.349999999999994</v>
      </c>
      <c r="F254" s="116">
        <v>69.349999999999994</v>
      </c>
      <c r="G254">
        <v>697638</v>
      </c>
      <c r="H254" s="116"/>
      <c r="I254" s="116"/>
      <c r="L254" s="170">
        <v>42374</v>
      </c>
      <c r="M254" s="116">
        <v>69.349999999999994</v>
      </c>
      <c r="N254" s="116">
        <v>70.7</v>
      </c>
      <c r="O254" s="116">
        <v>68.45</v>
      </c>
      <c r="P254" s="116">
        <v>68.55</v>
      </c>
      <c r="Q254" s="116">
        <v>69.349999999999994</v>
      </c>
      <c r="R254">
        <v>3266085</v>
      </c>
    </row>
    <row r="255" spans="1:18" x14ac:dyDescent="0.25">
      <c r="A255" s="170">
        <v>42375</v>
      </c>
      <c r="B255" s="116">
        <v>69.7</v>
      </c>
      <c r="C255" s="116">
        <v>68.7</v>
      </c>
      <c r="D255" s="116">
        <v>68</v>
      </c>
      <c r="E255" s="116">
        <v>68.900000000000006</v>
      </c>
      <c r="F255" s="116">
        <v>68.7</v>
      </c>
      <c r="G255">
        <v>278189</v>
      </c>
      <c r="H255" s="116"/>
      <c r="I255" s="116"/>
      <c r="L255" s="170">
        <v>42375</v>
      </c>
      <c r="M255" s="116">
        <v>68.8</v>
      </c>
      <c r="N255" s="116">
        <v>69.75</v>
      </c>
      <c r="O255" s="116">
        <v>68</v>
      </c>
      <c r="P255" s="116">
        <v>69.3</v>
      </c>
      <c r="Q255" s="116">
        <v>68.8</v>
      </c>
      <c r="R255">
        <v>3274557</v>
      </c>
    </row>
    <row r="256" spans="1:18" x14ac:dyDescent="0.25">
      <c r="A256" s="170">
        <v>42376</v>
      </c>
      <c r="B256" s="116">
        <v>68.400000000000006</v>
      </c>
      <c r="C256" s="116">
        <v>66.2</v>
      </c>
      <c r="D256" s="116">
        <v>65.849999999999994</v>
      </c>
      <c r="E256" s="116">
        <v>68</v>
      </c>
      <c r="F256" s="116">
        <v>66.2</v>
      </c>
      <c r="G256">
        <v>359600</v>
      </c>
      <c r="H256" s="116"/>
      <c r="I256" s="116"/>
      <c r="L256" s="170">
        <v>42376</v>
      </c>
      <c r="M256" s="116">
        <v>66.349999999999994</v>
      </c>
      <c r="N256" s="116">
        <v>68.400000000000006</v>
      </c>
      <c r="O256" s="116">
        <v>65.8</v>
      </c>
      <c r="P256" s="116">
        <v>67.95</v>
      </c>
      <c r="Q256" s="116">
        <v>66.349999999999994</v>
      </c>
      <c r="R256">
        <v>2616771</v>
      </c>
    </row>
    <row r="257" spans="1:18" x14ac:dyDescent="0.25">
      <c r="A257" s="170">
        <v>42377</v>
      </c>
      <c r="B257" s="116">
        <v>69.25</v>
      </c>
      <c r="C257" s="116">
        <v>68.650000000000006</v>
      </c>
      <c r="D257" s="116">
        <v>66.45</v>
      </c>
      <c r="E257" s="116">
        <v>66.599999999999994</v>
      </c>
      <c r="F257" s="116">
        <v>68.650000000000006</v>
      </c>
      <c r="G257">
        <v>321924</v>
      </c>
      <c r="H257" s="116"/>
      <c r="I257" s="116"/>
      <c r="L257" s="170">
        <v>42377</v>
      </c>
      <c r="M257" s="116">
        <v>68.7</v>
      </c>
      <c r="N257" s="116">
        <v>69.3</v>
      </c>
      <c r="O257" s="116">
        <v>66.349999999999994</v>
      </c>
      <c r="P257" s="116">
        <v>67</v>
      </c>
      <c r="Q257" s="116">
        <v>68.7</v>
      </c>
      <c r="R257">
        <v>2913346</v>
      </c>
    </row>
    <row r="258" spans="1:18" x14ac:dyDescent="0.25">
      <c r="A258" s="170">
        <v>42380</v>
      </c>
      <c r="B258" s="116">
        <v>68</v>
      </c>
      <c r="C258" s="116">
        <v>67.150000000000006</v>
      </c>
      <c r="D258" s="116">
        <v>66.3</v>
      </c>
      <c r="E258" s="116">
        <v>68</v>
      </c>
      <c r="F258" s="116">
        <v>67.150000000000006</v>
      </c>
      <c r="G258">
        <v>354035</v>
      </c>
      <c r="H258" s="116"/>
      <c r="I258" s="116"/>
      <c r="L258" s="170">
        <v>42380</v>
      </c>
      <c r="M258" s="116">
        <v>67.150000000000006</v>
      </c>
      <c r="N258" s="116">
        <v>67.95</v>
      </c>
      <c r="O258" s="116">
        <v>66.2</v>
      </c>
      <c r="P258" s="116">
        <v>67.95</v>
      </c>
      <c r="Q258" s="116">
        <v>67.150000000000006</v>
      </c>
      <c r="R258">
        <v>3288875</v>
      </c>
    </row>
    <row r="259" spans="1:18" x14ac:dyDescent="0.25">
      <c r="A259" s="170">
        <v>42381</v>
      </c>
      <c r="B259" s="116">
        <v>68.25</v>
      </c>
      <c r="C259" s="116">
        <v>67.150000000000006</v>
      </c>
      <c r="D259" s="116">
        <v>66.400000000000006</v>
      </c>
      <c r="E259" s="116">
        <v>67.8</v>
      </c>
      <c r="F259" s="116">
        <v>67.150000000000006</v>
      </c>
      <c r="G259">
        <v>265089</v>
      </c>
      <c r="H259" s="116"/>
      <c r="I259" s="116"/>
      <c r="L259" s="170">
        <v>42381</v>
      </c>
      <c r="M259" s="116">
        <v>67</v>
      </c>
      <c r="N259" s="116">
        <v>68.25</v>
      </c>
      <c r="O259" s="116">
        <v>66.45</v>
      </c>
      <c r="P259" s="116">
        <v>67.650000000000006</v>
      </c>
      <c r="Q259" s="116">
        <v>67</v>
      </c>
      <c r="R259">
        <v>2857305</v>
      </c>
    </row>
    <row r="260" spans="1:18" x14ac:dyDescent="0.25">
      <c r="A260" s="170">
        <v>42382</v>
      </c>
      <c r="B260" s="116">
        <v>67.849999999999994</v>
      </c>
      <c r="C260" s="116">
        <v>65.650000000000006</v>
      </c>
      <c r="D260" s="116">
        <v>64.400000000000006</v>
      </c>
      <c r="E260" s="116">
        <v>67.8</v>
      </c>
      <c r="F260" s="116">
        <v>65.650000000000006</v>
      </c>
      <c r="G260">
        <v>359613</v>
      </c>
      <c r="H260" s="116"/>
      <c r="I260" s="116"/>
      <c r="L260" s="170">
        <v>42382</v>
      </c>
      <c r="M260" s="116">
        <v>65.7</v>
      </c>
      <c r="N260" s="116">
        <v>68</v>
      </c>
      <c r="O260" s="116">
        <v>64.400000000000006</v>
      </c>
      <c r="P260" s="116">
        <v>67.5</v>
      </c>
      <c r="Q260" s="116">
        <v>65.7</v>
      </c>
      <c r="R260">
        <v>3728023</v>
      </c>
    </row>
    <row r="261" spans="1:18" x14ac:dyDescent="0.25">
      <c r="A261" s="170">
        <v>42383</v>
      </c>
      <c r="B261" s="116">
        <v>65.75</v>
      </c>
      <c r="C261" s="116">
        <v>64.75</v>
      </c>
      <c r="D261" s="116">
        <v>63.5</v>
      </c>
      <c r="E261" s="116">
        <v>65</v>
      </c>
      <c r="F261" s="116">
        <v>64.75</v>
      </c>
      <c r="G261">
        <v>251707</v>
      </c>
      <c r="H261" s="116"/>
      <c r="I261" s="116"/>
      <c r="L261" s="170">
        <v>42383</v>
      </c>
      <c r="M261" s="116">
        <v>64.75</v>
      </c>
      <c r="N261" s="116">
        <v>65.849999999999994</v>
      </c>
      <c r="O261" s="116">
        <v>63.5</v>
      </c>
      <c r="P261" s="116">
        <v>65.099999999999994</v>
      </c>
      <c r="Q261" s="116">
        <v>64.75</v>
      </c>
      <c r="R261">
        <v>2720635</v>
      </c>
    </row>
    <row r="262" spans="1:18" x14ac:dyDescent="0.25">
      <c r="A262" s="170">
        <v>42384</v>
      </c>
      <c r="B262" s="116">
        <v>65.849999999999994</v>
      </c>
      <c r="C262" s="116">
        <v>61.75</v>
      </c>
      <c r="D262" s="116">
        <v>61.15</v>
      </c>
      <c r="E262" s="116">
        <v>65.849999999999994</v>
      </c>
      <c r="F262" s="116">
        <v>61.75</v>
      </c>
      <c r="G262">
        <v>348944</v>
      </c>
      <c r="H262" s="116"/>
      <c r="I262" s="116"/>
      <c r="L262" s="170">
        <v>42384</v>
      </c>
      <c r="M262" s="116">
        <v>61.75</v>
      </c>
      <c r="N262" s="116">
        <v>65.5</v>
      </c>
      <c r="O262" s="116">
        <v>61.3</v>
      </c>
      <c r="P262" s="116">
        <v>65</v>
      </c>
      <c r="Q262" s="116">
        <v>61.75</v>
      </c>
      <c r="R262">
        <v>2254377</v>
      </c>
    </row>
    <row r="263" spans="1:18" x14ac:dyDescent="0.25">
      <c r="A263" s="170">
        <v>42387</v>
      </c>
      <c r="B263" s="116">
        <v>63.4</v>
      </c>
      <c r="C263" s="116">
        <v>61.65</v>
      </c>
      <c r="D263" s="116">
        <v>61.1</v>
      </c>
      <c r="E263" s="116">
        <v>61.1</v>
      </c>
      <c r="F263" s="116">
        <v>61.65</v>
      </c>
      <c r="G263">
        <v>459563</v>
      </c>
      <c r="H263" s="116"/>
      <c r="I263" s="116"/>
      <c r="L263" s="170">
        <v>42387</v>
      </c>
      <c r="M263" s="116">
        <v>61.65</v>
      </c>
      <c r="N263" s="116">
        <v>63.45</v>
      </c>
      <c r="O263" s="116">
        <v>61.1</v>
      </c>
      <c r="P263" s="116">
        <v>61.45</v>
      </c>
      <c r="Q263" s="116">
        <v>61.65</v>
      </c>
      <c r="R263">
        <v>2870369</v>
      </c>
    </row>
    <row r="264" spans="1:18" x14ac:dyDescent="0.25">
      <c r="A264" s="170">
        <v>42388</v>
      </c>
      <c r="B264" s="116">
        <v>64.900000000000006</v>
      </c>
      <c r="C264" s="116">
        <v>64.349999999999994</v>
      </c>
      <c r="D264" s="116">
        <v>61.6</v>
      </c>
      <c r="E264" s="116">
        <v>62.5</v>
      </c>
      <c r="F264" s="116">
        <v>64.349999999999994</v>
      </c>
      <c r="G264">
        <v>401479</v>
      </c>
      <c r="H264" s="116"/>
      <c r="I264" s="116"/>
      <c r="L264" s="170">
        <v>42388</v>
      </c>
      <c r="M264" s="116">
        <v>64.25</v>
      </c>
      <c r="N264" s="116">
        <v>64.95</v>
      </c>
      <c r="O264" s="116">
        <v>62</v>
      </c>
      <c r="P264" s="116">
        <v>62.2</v>
      </c>
      <c r="Q264" s="116">
        <v>64.25</v>
      </c>
      <c r="R264">
        <v>3722032</v>
      </c>
    </row>
    <row r="265" spans="1:18" x14ac:dyDescent="0.25">
      <c r="A265" s="170">
        <v>42389</v>
      </c>
      <c r="B265" s="116">
        <v>63.8</v>
      </c>
      <c r="C265" s="116">
        <v>61.65</v>
      </c>
      <c r="D265" s="116">
        <v>60.55</v>
      </c>
      <c r="E265" s="116">
        <v>63.8</v>
      </c>
      <c r="F265" s="116">
        <v>61.65</v>
      </c>
      <c r="G265">
        <v>516132</v>
      </c>
      <c r="H265" s="116"/>
      <c r="I265" s="116"/>
      <c r="L265" s="170">
        <v>42389</v>
      </c>
      <c r="M265" s="116">
        <v>61.75</v>
      </c>
      <c r="N265" s="116">
        <v>63.7</v>
      </c>
      <c r="O265" s="116">
        <v>60.4</v>
      </c>
      <c r="P265" s="116">
        <v>63.2</v>
      </c>
      <c r="Q265" s="116">
        <v>61.75</v>
      </c>
      <c r="R265">
        <v>3483973</v>
      </c>
    </row>
    <row r="266" spans="1:18" x14ac:dyDescent="0.25">
      <c r="A266" s="170">
        <v>42390</v>
      </c>
      <c r="B266" s="116">
        <v>62.85</v>
      </c>
      <c r="C266" s="116">
        <v>61.25</v>
      </c>
      <c r="D266" s="116">
        <v>60.25</v>
      </c>
      <c r="E266" s="116">
        <v>62</v>
      </c>
      <c r="F266" s="116">
        <v>61.25</v>
      </c>
      <c r="G266">
        <v>418820</v>
      </c>
      <c r="H266" s="116"/>
      <c r="I266" s="116"/>
      <c r="L266" s="170">
        <v>42390</v>
      </c>
      <c r="M266" s="116">
        <v>61.15</v>
      </c>
      <c r="N266" s="116">
        <v>62.75</v>
      </c>
      <c r="O266" s="116">
        <v>60.1</v>
      </c>
      <c r="P266" s="116">
        <v>62.1</v>
      </c>
      <c r="Q266" s="116">
        <v>61.15</v>
      </c>
      <c r="R266">
        <v>4223902</v>
      </c>
    </row>
    <row r="267" spans="1:18" x14ac:dyDescent="0.25">
      <c r="A267" s="170">
        <v>42391</v>
      </c>
      <c r="B267" s="116">
        <v>62.5</v>
      </c>
      <c r="C267" s="116">
        <v>61.8</v>
      </c>
      <c r="D267" s="116">
        <v>61.4</v>
      </c>
      <c r="E267" s="116">
        <v>62</v>
      </c>
      <c r="F267" s="116">
        <v>61.8</v>
      </c>
      <c r="G267">
        <v>278641</v>
      </c>
      <c r="H267" s="116"/>
      <c r="I267" s="116"/>
      <c r="L267" s="170">
        <v>42391</v>
      </c>
      <c r="M267" s="116">
        <v>61.75</v>
      </c>
      <c r="N267" s="116">
        <v>62.5</v>
      </c>
      <c r="O267" s="116">
        <v>61.5</v>
      </c>
      <c r="P267" s="116">
        <v>62.4</v>
      </c>
      <c r="Q267" s="116">
        <v>61.75</v>
      </c>
      <c r="R267">
        <v>2793950</v>
      </c>
    </row>
    <row r="268" spans="1:18" x14ac:dyDescent="0.25">
      <c r="A268" s="170">
        <v>42394</v>
      </c>
      <c r="B268" s="116">
        <v>62.6</v>
      </c>
      <c r="C268" s="116">
        <v>61.4</v>
      </c>
      <c r="D268" s="116">
        <v>61.05</v>
      </c>
      <c r="E268" s="116">
        <v>62.5</v>
      </c>
      <c r="F268" s="116">
        <v>61.4</v>
      </c>
      <c r="G268">
        <v>194328</v>
      </c>
      <c r="H268" s="116"/>
      <c r="I268" s="116"/>
      <c r="L268" s="170">
        <v>42394</v>
      </c>
      <c r="M268" s="116">
        <v>61.35</v>
      </c>
      <c r="N268" s="116">
        <v>62.55</v>
      </c>
      <c r="O268" s="116">
        <v>61.05</v>
      </c>
      <c r="P268" s="116">
        <v>62.55</v>
      </c>
      <c r="Q268" s="116">
        <v>61.35</v>
      </c>
      <c r="R268">
        <v>2573219</v>
      </c>
    </row>
    <row r="269" spans="1:18" x14ac:dyDescent="0.25">
      <c r="A269" s="170">
        <v>42396</v>
      </c>
      <c r="B269" s="116">
        <v>62.1</v>
      </c>
      <c r="C269" s="116">
        <v>61.3</v>
      </c>
      <c r="D269" s="116">
        <v>61</v>
      </c>
      <c r="E269" s="116">
        <v>62.05</v>
      </c>
      <c r="F269" s="116">
        <v>61.3</v>
      </c>
      <c r="G269">
        <v>173433</v>
      </c>
      <c r="H269" s="116"/>
      <c r="I269" s="116"/>
      <c r="L269" s="170">
        <v>42396</v>
      </c>
      <c r="M269" s="116">
        <v>61.3</v>
      </c>
      <c r="N269" s="116">
        <v>62.4</v>
      </c>
      <c r="O269" s="116">
        <v>61</v>
      </c>
      <c r="P269" s="116">
        <v>62.4</v>
      </c>
      <c r="Q269" s="116">
        <v>61.3</v>
      </c>
      <c r="R269">
        <v>2950538</v>
      </c>
    </row>
    <row r="270" spans="1:18" x14ac:dyDescent="0.25">
      <c r="A270" s="170">
        <v>42397</v>
      </c>
      <c r="B270" s="116">
        <v>61.75</v>
      </c>
      <c r="C270" s="116">
        <v>60.15</v>
      </c>
      <c r="D270" s="116">
        <v>60</v>
      </c>
      <c r="E270" s="116">
        <v>61.5</v>
      </c>
      <c r="F270" s="116">
        <v>60.15</v>
      </c>
      <c r="G270">
        <v>213315</v>
      </c>
      <c r="H270" s="116"/>
      <c r="I270" s="116"/>
      <c r="L270" s="170">
        <v>42397</v>
      </c>
      <c r="M270" s="116">
        <v>60</v>
      </c>
      <c r="N270" s="116">
        <v>61.7</v>
      </c>
      <c r="O270" s="116">
        <v>59.75</v>
      </c>
      <c r="P270" s="116">
        <v>61.3</v>
      </c>
      <c r="Q270" s="116">
        <v>60</v>
      </c>
      <c r="R270">
        <v>5165366</v>
      </c>
    </row>
    <row r="271" spans="1:18" x14ac:dyDescent="0.25">
      <c r="A271" s="170">
        <v>42398</v>
      </c>
      <c r="B271" s="116">
        <v>61.35</v>
      </c>
      <c r="C271" s="116">
        <v>60.35</v>
      </c>
      <c r="D271" s="116">
        <v>59.95</v>
      </c>
      <c r="E271" s="116">
        <v>60.1</v>
      </c>
      <c r="F271" s="116">
        <v>60.35</v>
      </c>
      <c r="G271">
        <v>371947</v>
      </c>
      <c r="H271" s="116"/>
      <c r="I271" s="116"/>
      <c r="L271" s="170">
        <v>42398</v>
      </c>
      <c r="M271" s="116">
        <v>60.1</v>
      </c>
      <c r="N271" s="116">
        <v>61.35</v>
      </c>
      <c r="O271" s="116">
        <v>59.8</v>
      </c>
      <c r="P271" s="116">
        <v>60.2</v>
      </c>
      <c r="Q271" s="116">
        <v>60.1</v>
      </c>
      <c r="R271">
        <v>4490327</v>
      </c>
    </row>
    <row r="272" spans="1:18" x14ac:dyDescent="0.25">
      <c r="A272" s="170">
        <v>42401</v>
      </c>
      <c r="B272" s="116">
        <v>61</v>
      </c>
      <c r="C272" s="116">
        <v>60.55</v>
      </c>
      <c r="D272" s="116">
        <v>60.1</v>
      </c>
      <c r="E272" s="116">
        <v>61</v>
      </c>
      <c r="F272" s="116">
        <v>60.55</v>
      </c>
      <c r="G272">
        <v>289520</v>
      </c>
      <c r="H272" s="116"/>
      <c r="I272" s="116"/>
      <c r="L272" s="170">
        <v>42401</v>
      </c>
      <c r="M272" s="116">
        <v>60.6</v>
      </c>
      <c r="N272" s="116">
        <v>61</v>
      </c>
      <c r="O272" s="116">
        <v>60.1</v>
      </c>
      <c r="P272" s="116">
        <v>61</v>
      </c>
      <c r="Q272" s="116">
        <v>60.6</v>
      </c>
      <c r="R272">
        <v>3874248</v>
      </c>
    </row>
    <row r="273" spans="1:18" x14ac:dyDescent="0.25">
      <c r="A273" s="170">
        <v>42402</v>
      </c>
      <c r="B273" s="116">
        <v>60.9</v>
      </c>
      <c r="C273" s="116">
        <v>58.95</v>
      </c>
      <c r="D273" s="116">
        <v>58.6</v>
      </c>
      <c r="E273" s="116">
        <v>60.9</v>
      </c>
      <c r="F273" s="116">
        <v>58.95</v>
      </c>
      <c r="G273">
        <v>340789</v>
      </c>
      <c r="H273" s="116"/>
      <c r="I273" s="116"/>
      <c r="L273" s="170">
        <v>42402</v>
      </c>
      <c r="M273" s="116">
        <v>58.75</v>
      </c>
      <c r="N273" s="116">
        <v>60.85</v>
      </c>
      <c r="O273" s="116">
        <v>58.4</v>
      </c>
      <c r="P273" s="116">
        <v>60.75</v>
      </c>
      <c r="Q273" s="116">
        <v>58.75</v>
      </c>
      <c r="R273">
        <v>4705494</v>
      </c>
    </row>
    <row r="274" spans="1:18" x14ac:dyDescent="0.25">
      <c r="A274" s="170">
        <v>42403</v>
      </c>
      <c r="B274" s="116">
        <v>58.4</v>
      </c>
      <c r="C274" s="116">
        <v>57.1</v>
      </c>
      <c r="D274" s="116">
        <v>56.55</v>
      </c>
      <c r="E274" s="116">
        <v>58</v>
      </c>
      <c r="F274" s="116">
        <v>57.1</v>
      </c>
      <c r="G274">
        <v>619300</v>
      </c>
      <c r="H274" s="116"/>
      <c r="I274" s="116"/>
      <c r="L274" s="170">
        <v>42403</v>
      </c>
      <c r="M274" s="116">
        <v>57.05</v>
      </c>
      <c r="N274" s="116">
        <v>58.5</v>
      </c>
      <c r="O274" s="116">
        <v>56.5</v>
      </c>
      <c r="P274" s="116">
        <v>58.5</v>
      </c>
      <c r="Q274" s="116">
        <v>57.05</v>
      </c>
      <c r="R274">
        <v>3077309</v>
      </c>
    </row>
    <row r="275" spans="1:18" x14ac:dyDescent="0.25">
      <c r="A275" s="170">
        <v>42404</v>
      </c>
      <c r="B275" s="116">
        <v>59.7</v>
      </c>
      <c r="C275" s="116">
        <v>59.1</v>
      </c>
      <c r="D275" s="116">
        <v>57.25</v>
      </c>
      <c r="E275" s="116">
        <v>58.4</v>
      </c>
      <c r="F275" s="116">
        <v>59.1</v>
      </c>
      <c r="G275">
        <v>349721</v>
      </c>
      <c r="H275" s="116"/>
      <c r="I275" s="116"/>
      <c r="L275" s="170">
        <v>42404</v>
      </c>
      <c r="M275" s="116">
        <v>59.05</v>
      </c>
      <c r="N275" s="116">
        <v>59.85</v>
      </c>
      <c r="O275" s="116">
        <v>57.45</v>
      </c>
      <c r="P275" s="116">
        <v>57.45</v>
      </c>
      <c r="Q275" s="116">
        <v>59.05</v>
      </c>
      <c r="R275">
        <v>3734608</v>
      </c>
    </row>
    <row r="276" spans="1:18" x14ac:dyDescent="0.25">
      <c r="A276" s="170">
        <v>42405</v>
      </c>
      <c r="B276" s="116">
        <v>60.6</v>
      </c>
      <c r="C276" s="116">
        <v>60.4</v>
      </c>
      <c r="D276" s="116">
        <v>59.45</v>
      </c>
      <c r="E276" s="116">
        <v>60.15</v>
      </c>
      <c r="F276" s="116">
        <v>60.4</v>
      </c>
      <c r="G276">
        <v>574850</v>
      </c>
      <c r="H276" s="116"/>
      <c r="I276" s="116"/>
      <c r="L276" s="170">
        <v>42405</v>
      </c>
      <c r="M276" s="116">
        <v>60.25</v>
      </c>
      <c r="N276" s="116">
        <v>60.5</v>
      </c>
      <c r="O276" s="116">
        <v>59.45</v>
      </c>
      <c r="P276" s="116">
        <v>59.75</v>
      </c>
      <c r="Q276" s="116">
        <v>60.25</v>
      </c>
      <c r="R276">
        <v>4254914</v>
      </c>
    </row>
    <row r="277" spans="1:18" x14ac:dyDescent="0.25">
      <c r="A277" s="170">
        <v>42408</v>
      </c>
      <c r="B277" s="116">
        <v>60.6</v>
      </c>
      <c r="C277" s="116">
        <v>58.85</v>
      </c>
      <c r="D277" s="116">
        <v>58.65</v>
      </c>
      <c r="E277" s="116">
        <v>60</v>
      </c>
      <c r="F277" s="116">
        <v>58.85</v>
      </c>
      <c r="G277">
        <v>670444</v>
      </c>
      <c r="H277" s="116"/>
      <c r="I277" s="116"/>
      <c r="L277" s="170">
        <v>42408</v>
      </c>
      <c r="M277" s="116">
        <v>58.95</v>
      </c>
      <c r="N277" s="116">
        <v>60.8</v>
      </c>
      <c r="O277" s="116">
        <v>58.65</v>
      </c>
      <c r="P277" s="116">
        <v>60.25</v>
      </c>
      <c r="Q277" s="116">
        <v>58.95</v>
      </c>
      <c r="R277">
        <v>4217105</v>
      </c>
    </row>
    <row r="278" spans="1:18" x14ac:dyDescent="0.25">
      <c r="A278" s="170">
        <v>42409</v>
      </c>
      <c r="B278" s="116">
        <v>60</v>
      </c>
      <c r="C278" s="116">
        <v>59.6</v>
      </c>
      <c r="D278" s="116">
        <v>58.2</v>
      </c>
      <c r="E278" s="116">
        <v>59</v>
      </c>
      <c r="F278" s="116">
        <v>59.6</v>
      </c>
      <c r="G278">
        <v>339849</v>
      </c>
      <c r="H278" s="116"/>
      <c r="I278" s="116"/>
      <c r="L278" s="170">
        <v>42409</v>
      </c>
      <c r="M278" s="116">
        <v>59.7</v>
      </c>
      <c r="N278" s="116">
        <v>60</v>
      </c>
      <c r="O278" s="116">
        <v>58.3</v>
      </c>
      <c r="P278" s="116">
        <v>58.5</v>
      </c>
      <c r="Q278" s="116">
        <v>59.7</v>
      </c>
      <c r="R278">
        <v>2166595</v>
      </c>
    </row>
    <row r="279" spans="1:18" x14ac:dyDescent="0.25">
      <c r="A279" s="170">
        <v>42410</v>
      </c>
      <c r="B279" s="116">
        <v>59.75</v>
      </c>
      <c r="C279" s="116">
        <v>59.2</v>
      </c>
      <c r="D279" s="116">
        <v>57.8</v>
      </c>
      <c r="E279" s="116">
        <v>59.6</v>
      </c>
      <c r="F279" s="116">
        <v>59.2</v>
      </c>
      <c r="G279">
        <v>281607</v>
      </c>
      <c r="H279" s="116"/>
      <c r="I279" s="116"/>
      <c r="L279" s="170">
        <v>42410</v>
      </c>
      <c r="M279" s="116">
        <v>59.2</v>
      </c>
      <c r="N279" s="116">
        <v>59.8</v>
      </c>
      <c r="O279" s="116">
        <v>57.65</v>
      </c>
      <c r="P279" s="116">
        <v>59.55</v>
      </c>
      <c r="Q279" s="116">
        <v>59.2</v>
      </c>
      <c r="R279">
        <v>2181050</v>
      </c>
    </row>
    <row r="280" spans="1:18" x14ac:dyDescent="0.25">
      <c r="A280" s="170">
        <v>42411</v>
      </c>
      <c r="B280" s="116">
        <v>59.5</v>
      </c>
      <c r="C280" s="116">
        <v>56.3</v>
      </c>
      <c r="D280" s="116">
        <v>55.7</v>
      </c>
      <c r="E280" s="116">
        <v>59.2</v>
      </c>
      <c r="F280" s="116">
        <v>56.3</v>
      </c>
      <c r="G280">
        <v>479078</v>
      </c>
      <c r="H280" s="116"/>
      <c r="I280" s="116"/>
      <c r="L280" s="170">
        <v>42411</v>
      </c>
      <c r="M280" s="116">
        <v>56.3</v>
      </c>
      <c r="N280" s="116">
        <v>59.5</v>
      </c>
      <c r="O280" s="116">
        <v>55.6</v>
      </c>
      <c r="P280" s="116">
        <v>59</v>
      </c>
      <c r="Q280" s="116">
        <v>56.3</v>
      </c>
      <c r="R280">
        <v>3390846</v>
      </c>
    </row>
    <row r="281" spans="1:18" x14ac:dyDescent="0.25">
      <c r="A281" s="170">
        <v>42412</v>
      </c>
      <c r="B281" s="116">
        <v>57.7</v>
      </c>
      <c r="C281" s="116">
        <v>56.55</v>
      </c>
      <c r="D281" s="116">
        <v>55</v>
      </c>
      <c r="E281" s="116">
        <v>57</v>
      </c>
      <c r="F281" s="116">
        <v>56.55</v>
      </c>
      <c r="G281">
        <v>512206</v>
      </c>
      <c r="H281" s="116"/>
      <c r="I281" s="116"/>
      <c r="L281" s="170">
        <v>42412</v>
      </c>
      <c r="M281" s="116">
        <v>56.7</v>
      </c>
      <c r="N281" s="116">
        <v>57.9</v>
      </c>
      <c r="O281" s="116">
        <v>55</v>
      </c>
      <c r="P281" s="116">
        <v>56.55</v>
      </c>
      <c r="Q281" s="116">
        <v>56.7</v>
      </c>
      <c r="R281">
        <v>3828563</v>
      </c>
    </row>
    <row r="282" spans="1:18" x14ac:dyDescent="0.25">
      <c r="A282" s="170">
        <v>42415</v>
      </c>
      <c r="B282" s="116">
        <v>60.15</v>
      </c>
      <c r="C282" s="116">
        <v>59.7</v>
      </c>
      <c r="D282" s="116">
        <v>56.75</v>
      </c>
      <c r="E282" s="116">
        <v>56.75</v>
      </c>
      <c r="F282" s="116">
        <v>59.7</v>
      </c>
      <c r="G282">
        <v>706686</v>
      </c>
      <c r="H282" s="116"/>
      <c r="I282" s="116"/>
      <c r="L282" s="170">
        <v>42415</v>
      </c>
      <c r="M282" s="116">
        <v>59.55</v>
      </c>
      <c r="N282" s="116">
        <v>60.25</v>
      </c>
      <c r="O282" s="116">
        <v>57.15</v>
      </c>
      <c r="P282" s="116">
        <v>57.2</v>
      </c>
      <c r="Q282" s="116">
        <v>59.55</v>
      </c>
      <c r="R282">
        <v>11819297</v>
      </c>
    </row>
    <row r="283" spans="1:18" x14ac:dyDescent="0.25">
      <c r="A283" s="170">
        <v>42416</v>
      </c>
      <c r="B283" s="116">
        <v>61.9</v>
      </c>
      <c r="C283" s="116">
        <v>58.6</v>
      </c>
      <c r="D283" s="116">
        <v>58.05</v>
      </c>
      <c r="E283" s="116">
        <v>60.3</v>
      </c>
      <c r="F283" s="116">
        <v>58.6</v>
      </c>
      <c r="G283">
        <v>851659</v>
      </c>
      <c r="H283" s="116"/>
      <c r="I283" s="116"/>
      <c r="L283" s="170">
        <v>42416</v>
      </c>
      <c r="M283" s="116">
        <v>58.55</v>
      </c>
      <c r="N283" s="116">
        <v>61.9</v>
      </c>
      <c r="O283" s="116">
        <v>58.05</v>
      </c>
      <c r="P283" s="116">
        <v>60.8</v>
      </c>
      <c r="Q283" s="116">
        <v>58.55</v>
      </c>
      <c r="R283">
        <v>6203807</v>
      </c>
    </row>
    <row r="284" spans="1:18" x14ac:dyDescent="0.25">
      <c r="A284" s="170">
        <v>42417</v>
      </c>
      <c r="B284" s="116">
        <v>59</v>
      </c>
      <c r="C284" s="116">
        <v>58.8</v>
      </c>
      <c r="D284" s="116">
        <v>57.05</v>
      </c>
      <c r="E284" s="116">
        <v>59</v>
      </c>
      <c r="F284" s="116">
        <v>58.8</v>
      </c>
      <c r="G284">
        <v>259368</v>
      </c>
      <c r="H284" s="116"/>
      <c r="I284" s="116"/>
      <c r="L284" s="170">
        <v>42417</v>
      </c>
      <c r="M284" s="116">
        <v>58.7</v>
      </c>
      <c r="N284" s="116">
        <v>59.45</v>
      </c>
      <c r="O284" s="116">
        <v>57</v>
      </c>
      <c r="P284" s="116">
        <v>58.9</v>
      </c>
      <c r="Q284" s="116">
        <v>58.7</v>
      </c>
      <c r="R284">
        <v>5755969</v>
      </c>
    </row>
    <row r="285" spans="1:18" x14ac:dyDescent="0.25">
      <c r="A285" s="170">
        <v>42418</v>
      </c>
      <c r="B285" s="116">
        <v>59.7</v>
      </c>
      <c r="C285" s="116">
        <v>59.1</v>
      </c>
      <c r="D285" s="116">
        <v>58.5</v>
      </c>
      <c r="E285" s="116">
        <v>59</v>
      </c>
      <c r="F285" s="116">
        <v>59.1</v>
      </c>
      <c r="G285">
        <v>501204</v>
      </c>
      <c r="H285" s="116"/>
      <c r="I285" s="116"/>
      <c r="L285" s="170">
        <v>42418</v>
      </c>
      <c r="M285" s="116">
        <v>59.2</v>
      </c>
      <c r="N285" s="116">
        <v>59.7</v>
      </c>
      <c r="O285" s="116">
        <v>58.35</v>
      </c>
      <c r="P285" s="116">
        <v>59.2</v>
      </c>
      <c r="Q285" s="116">
        <v>59.2</v>
      </c>
      <c r="R285">
        <v>3013798</v>
      </c>
    </row>
    <row r="286" spans="1:18" x14ac:dyDescent="0.25">
      <c r="A286" s="170">
        <v>42419</v>
      </c>
      <c r="B286" s="116">
        <v>59.8</v>
      </c>
      <c r="C286" s="116">
        <v>58.8</v>
      </c>
      <c r="D286" s="116">
        <v>58.4</v>
      </c>
      <c r="E286" s="116">
        <v>59</v>
      </c>
      <c r="F286" s="116">
        <v>58.8</v>
      </c>
      <c r="G286">
        <v>471849</v>
      </c>
      <c r="H286" s="116"/>
      <c r="I286" s="116"/>
      <c r="L286" s="170">
        <v>42419</v>
      </c>
      <c r="M286" s="116">
        <v>58.8</v>
      </c>
      <c r="N286" s="116">
        <v>59.85</v>
      </c>
      <c r="O286" s="116">
        <v>58.3</v>
      </c>
      <c r="P286" s="116">
        <v>59.15</v>
      </c>
      <c r="Q286" s="116">
        <v>58.8</v>
      </c>
      <c r="R286">
        <v>4420717</v>
      </c>
    </row>
    <row r="287" spans="1:18" x14ac:dyDescent="0.25">
      <c r="A287" s="170">
        <v>42422</v>
      </c>
      <c r="B287" s="116">
        <v>59.4</v>
      </c>
      <c r="C287" s="116">
        <v>58.6</v>
      </c>
      <c r="D287" s="116">
        <v>58.4</v>
      </c>
      <c r="E287" s="116">
        <v>59.05</v>
      </c>
      <c r="F287" s="116">
        <v>58.6</v>
      </c>
      <c r="G287">
        <v>176495</v>
      </c>
      <c r="H287" s="116"/>
      <c r="I287" s="116"/>
      <c r="L287" s="170">
        <v>42422</v>
      </c>
      <c r="M287" s="116">
        <v>58.6</v>
      </c>
      <c r="N287" s="116">
        <v>59.45</v>
      </c>
      <c r="O287" s="116">
        <v>58.4</v>
      </c>
      <c r="P287" s="116">
        <v>59.45</v>
      </c>
      <c r="Q287" s="116">
        <v>58.6</v>
      </c>
      <c r="R287">
        <v>1875698</v>
      </c>
    </row>
    <row r="288" spans="1:18" x14ac:dyDescent="0.25">
      <c r="A288" s="170">
        <v>42423</v>
      </c>
      <c r="B288" s="116">
        <v>59</v>
      </c>
      <c r="C288" s="116">
        <v>58</v>
      </c>
      <c r="D288" s="116">
        <v>57.8</v>
      </c>
      <c r="E288" s="116">
        <v>58.65</v>
      </c>
      <c r="F288" s="116">
        <v>58</v>
      </c>
      <c r="G288">
        <v>218625</v>
      </c>
      <c r="H288" s="116"/>
      <c r="I288" s="116"/>
      <c r="L288" s="170">
        <v>42423</v>
      </c>
      <c r="M288" s="116">
        <v>58</v>
      </c>
      <c r="N288" s="116">
        <v>59.05</v>
      </c>
      <c r="O288" s="116">
        <v>57.8</v>
      </c>
      <c r="P288" s="116">
        <v>59</v>
      </c>
      <c r="Q288" s="116">
        <v>58</v>
      </c>
      <c r="R288">
        <v>1930159</v>
      </c>
    </row>
    <row r="289" spans="1:18" x14ac:dyDescent="0.25">
      <c r="A289" s="170">
        <v>42424</v>
      </c>
      <c r="B289" s="116">
        <v>58.45</v>
      </c>
      <c r="C289" s="116">
        <v>57.75</v>
      </c>
      <c r="D289" s="116">
        <v>57.55</v>
      </c>
      <c r="E289" s="116">
        <v>58</v>
      </c>
      <c r="F289" s="116">
        <v>57.75</v>
      </c>
      <c r="G289">
        <v>119299</v>
      </c>
      <c r="H289" s="116"/>
      <c r="I289" s="116"/>
      <c r="L289" s="170">
        <v>42424</v>
      </c>
      <c r="M289" s="116">
        <v>57.8</v>
      </c>
      <c r="N289" s="116">
        <v>58.6</v>
      </c>
      <c r="O289" s="116">
        <v>57.55</v>
      </c>
      <c r="P289" s="116">
        <v>57.9</v>
      </c>
      <c r="Q289" s="116">
        <v>57.8</v>
      </c>
      <c r="R289">
        <v>1459265</v>
      </c>
    </row>
    <row r="290" spans="1:18" x14ac:dyDescent="0.25">
      <c r="A290" s="170">
        <v>42425</v>
      </c>
      <c r="B290" s="116">
        <v>58.9</v>
      </c>
      <c r="C290" s="116">
        <v>57.25</v>
      </c>
      <c r="D290" s="116">
        <v>56.95</v>
      </c>
      <c r="E290" s="116">
        <v>57.9</v>
      </c>
      <c r="F290" s="116">
        <v>57.25</v>
      </c>
      <c r="G290">
        <v>354284</v>
      </c>
      <c r="H290" s="116"/>
      <c r="I290" s="116"/>
      <c r="L290" s="170">
        <v>42425</v>
      </c>
      <c r="M290" s="116">
        <v>57.05</v>
      </c>
      <c r="N290" s="116">
        <v>58.95</v>
      </c>
      <c r="O290" s="116">
        <v>56.6</v>
      </c>
      <c r="P290" s="116">
        <v>58.1</v>
      </c>
      <c r="Q290" s="116">
        <v>57.05</v>
      </c>
      <c r="R290">
        <v>5151016</v>
      </c>
    </row>
    <row r="291" spans="1:18" x14ac:dyDescent="0.25">
      <c r="A291" s="170">
        <v>42426</v>
      </c>
      <c r="B291" s="116">
        <v>58.1</v>
      </c>
      <c r="C291" s="116">
        <v>57.65</v>
      </c>
      <c r="D291" s="116">
        <v>57.15</v>
      </c>
      <c r="E291" s="116">
        <v>58</v>
      </c>
      <c r="F291" s="116">
        <v>57.65</v>
      </c>
      <c r="G291">
        <v>159690</v>
      </c>
      <c r="H291" s="116"/>
      <c r="I291" s="116"/>
      <c r="L291" s="170">
        <v>42426</v>
      </c>
      <c r="M291" s="116">
        <v>57.55</v>
      </c>
      <c r="N291" s="116">
        <v>58</v>
      </c>
      <c r="O291" s="116">
        <v>57</v>
      </c>
      <c r="P291" s="116">
        <v>57.7</v>
      </c>
      <c r="Q291" s="116">
        <v>57.55</v>
      </c>
      <c r="R291">
        <v>1469491</v>
      </c>
    </row>
    <row r="292" spans="1:18" x14ac:dyDescent="0.25">
      <c r="A292" s="170">
        <v>42429</v>
      </c>
      <c r="B292" s="116">
        <v>58.35</v>
      </c>
      <c r="C292" s="116">
        <v>57.35</v>
      </c>
      <c r="D292" s="116">
        <v>56.35</v>
      </c>
      <c r="E292" s="116">
        <v>57.9</v>
      </c>
      <c r="F292" s="116">
        <v>57.35</v>
      </c>
      <c r="G292">
        <v>297724</v>
      </c>
      <c r="H292" s="116"/>
      <c r="I292" s="116"/>
      <c r="L292" s="170">
        <v>42429</v>
      </c>
      <c r="M292" s="116">
        <v>57.3</v>
      </c>
      <c r="N292" s="116">
        <v>58.35</v>
      </c>
      <c r="O292" s="116">
        <v>56.25</v>
      </c>
      <c r="P292" s="116">
        <v>58</v>
      </c>
      <c r="Q292" s="116">
        <v>57.3</v>
      </c>
      <c r="R292">
        <v>3685533</v>
      </c>
    </row>
    <row r="293" spans="1:18" x14ac:dyDescent="0.25">
      <c r="A293" s="170">
        <v>42430</v>
      </c>
      <c r="B293" s="116">
        <v>58.6</v>
      </c>
      <c r="C293" s="116">
        <v>58.3</v>
      </c>
      <c r="D293" s="116">
        <v>56.7</v>
      </c>
      <c r="E293" s="116">
        <v>56.7</v>
      </c>
      <c r="F293" s="116">
        <v>58.3</v>
      </c>
      <c r="G293">
        <v>306081</v>
      </c>
      <c r="H293" s="116"/>
      <c r="I293" s="116"/>
      <c r="L293" s="170">
        <v>42430</v>
      </c>
      <c r="M293" s="116">
        <v>58.4</v>
      </c>
      <c r="N293" s="116">
        <v>58.8</v>
      </c>
      <c r="O293" s="116">
        <v>57.15</v>
      </c>
      <c r="P293" s="116">
        <v>57.65</v>
      </c>
      <c r="Q293" s="116">
        <v>58.4</v>
      </c>
      <c r="R293">
        <v>2593429</v>
      </c>
    </row>
    <row r="294" spans="1:18" x14ac:dyDescent="0.25">
      <c r="A294" s="170">
        <v>42431</v>
      </c>
      <c r="B294" s="116">
        <v>59.75</v>
      </c>
      <c r="C294" s="116">
        <v>58.85</v>
      </c>
      <c r="D294" s="116">
        <v>58.65</v>
      </c>
      <c r="E294" s="116">
        <v>59.4</v>
      </c>
      <c r="F294" s="116">
        <v>58.85</v>
      </c>
      <c r="G294">
        <v>446190</v>
      </c>
      <c r="H294" s="116"/>
      <c r="I294" s="116"/>
      <c r="L294" s="170">
        <v>42431</v>
      </c>
      <c r="M294" s="116">
        <v>58.9</v>
      </c>
      <c r="N294" s="116">
        <v>59.8</v>
      </c>
      <c r="O294" s="116">
        <v>58.55</v>
      </c>
      <c r="P294" s="116">
        <v>59.5</v>
      </c>
      <c r="Q294" s="116">
        <v>58.9</v>
      </c>
      <c r="R294">
        <v>4236895</v>
      </c>
    </row>
    <row r="295" spans="1:18" x14ac:dyDescent="0.25">
      <c r="A295" s="170">
        <v>42432</v>
      </c>
      <c r="B295" s="116">
        <v>59.9</v>
      </c>
      <c r="C295" s="116">
        <v>59.55</v>
      </c>
      <c r="D295" s="116">
        <v>58.5</v>
      </c>
      <c r="E295" s="116">
        <v>59.1</v>
      </c>
      <c r="F295" s="116">
        <v>59.55</v>
      </c>
      <c r="G295">
        <v>285623</v>
      </c>
      <c r="H295" s="116"/>
      <c r="I295" s="116"/>
      <c r="L295" s="170">
        <v>42432</v>
      </c>
      <c r="M295" s="116">
        <v>59.5</v>
      </c>
      <c r="N295" s="116">
        <v>59.9</v>
      </c>
      <c r="O295" s="116">
        <v>58.5</v>
      </c>
      <c r="P295" s="116">
        <v>59.3</v>
      </c>
      <c r="Q295" s="116">
        <v>59.5</v>
      </c>
      <c r="R295">
        <v>3763947</v>
      </c>
    </row>
    <row r="296" spans="1:18" x14ac:dyDescent="0.25">
      <c r="A296" s="170">
        <v>42433</v>
      </c>
      <c r="B296" s="116">
        <v>59.9</v>
      </c>
      <c r="C296" s="116">
        <v>59.2</v>
      </c>
      <c r="D296" s="116">
        <v>58.75</v>
      </c>
      <c r="E296" s="116">
        <v>59.65</v>
      </c>
      <c r="F296" s="116">
        <v>59.2</v>
      </c>
      <c r="G296">
        <v>541094</v>
      </c>
      <c r="H296" s="116"/>
      <c r="I296" s="116"/>
      <c r="L296" s="170">
        <v>42433</v>
      </c>
      <c r="M296" s="116">
        <v>59.25</v>
      </c>
      <c r="N296" s="116">
        <v>59.9</v>
      </c>
      <c r="O296" s="116">
        <v>58.8</v>
      </c>
      <c r="P296" s="116">
        <v>59.8</v>
      </c>
      <c r="Q296" s="116">
        <v>59.25</v>
      </c>
      <c r="R296">
        <v>4978583</v>
      </c>
    </row>
    <row r="297" spans="1:18" x14ac:dyDescent="0.25">
      <c r="A297" s="170">
        <v>42437</v>
      </c>
      <c r="B297" s="116">
        <v>59.9</v>
      </c>
      <c r="C297" s="116">
        <v>58.8</v>
      </c>
      <c r="D297" s="116">
        <v>58.5</v>
      </c>
      <c r="E297" s="116">
        <v>59.3</v>
      </c>
      <c r="F297" s="116">
        <v>58.8</v>
      </c>
      <c r="G297">
        <v>406457</v>
      </c>
      <c r="H297" s="116"/>
      <c r="I297" s="116"/>
      <c r="L297" s="170">
        <v>42437</v>
      </c>
      <c r="M297" s="116">
        <v>58.75</v>
      </c>
      <c r="N297" s="116">
        <v>59.8</v>
      </c>
      <c r="O297" s="116">
        <v>58.35</v>
      </c>
      <c r="P297" s="116">
        <v>59.25</v>
      </c>
      <c r="Q297" s="116">
        <v>58.75</v>
      </c>
      <c r="R297">
        <v>4639963</v>
      </c>
    </row>
    <row r="298" spans="1:18" x14ac:dyDescent="0.25">
      <c r="A298" s="170">
        <v>42438</v>
      </c>
      <c r="B298" s="116">
        <v>59.05</v>
      </c>
      <c r="C298" s="116">
        <v>58.85</v>
      </c>
      <c r="D298" s="116">
        <v>57.55</v>
      </c>
      <c r="E298" s="116">
        <v>57.9</v>
      </c>
      <c r="F298" s="116">
        <v>58.85</v>
      </c>
      <c r="G298">
        <v>343883</v>
      </c>
      <c r="H298" s="116"/>
      <c r="I298" s="116"/>
      <c r="L298" s="170">
        <v>42438</v>
      </c>
      <c r="M298" s="116">
        <v>58.65</v>
      </c>
      <c r="N298" s="116">
        <v>59.05</v>
      </c>
      <c r="O298" s="116">
        <v>57.4</v>
      </c>
      <c r="P298" s="116">
        <v>57.4</v>
      </c>
      <c r="Q298" s="116">
        <v>58.65</v>
      </c>
      <c r="R298">
        <v>5840040</v>
      </c>
    </row>
    <row r="299" spans="1:18" x14ac:dyDescent="0.25">
      <c r="A299" s="170">
        <v>42439</v>
      </c>
      <c r="B299" s="116">
        <v>59.5</v>
      </c>
      <c r="C299" s="116">
        <v>58.85</v>
      </c>
      <c r="D299" s="116">
        <v>58.65</v>
      </c>
      <c r="E299" s="116">
        <v>58.8</v>
      </c>
      <c r="F299" s="116">
        <v>58.85</v>
      </c>
      <c r="G299">
        <v>313648</v>
      </c>
      <c r="H299" s="116"/>
      <c r="I299" s="116"/>
      <c r="L299" s="170">
        <v>42439</v>
      </c>
      <c r="M299" s="116">
        <v>58.9</v>
      </c>
      <c r="N299" s="116">
        <v>59.55</v>
      </c>
      <c r="O299" s="116">
        <v>58.75</v>
      </c>
      <c r="P299" s="116">
        <v>59.15</v>
      </c>
      <c r="Q299" s="116">
        <v>58.9</v>
      </c>
      <c r="R299">
        <v>2834684</v>
      </c>
    </row>
    <row r="300" spans="1:18" x14ac:dyDescent="0.25">
      <c r="A300" s="170">
        <v>42440</v>
      </c>
      <c r="B300" s="116">
        <v>59.35</v>
      </c>
      <c r="C300" s="116">
        <v>58.8</v>
      </c>
      <c r="D300" s="116">
        <v>58.6</v>
      </c>
      <c r="E300" s="116">
        <v>58.85</v>
      </c>
      <c r="F300" s="116">
        <v>58.8</v>
      </c>
      <c r="G300">
        <v>194065</v>
      </c>
      <c r="H300" s="116"/>
      <c r="I300" s="116"/>
      <c r="L300" s="170">
        <v>42440</v>
      </c>
      <c r="M300" s="116">
        <v>59</v>
      </c>
      <c r="N300" s="116">
        <v>59.4</v>
      </c>
      <c r="O300" s="116">
        <v>58.55</v>
      </c>
      <c r="P300" s="116">
        <v>58.9</v>
      </c>
      <c r="Q300" s="116">
        <v>59</v>
      </c>
      <c r="R300">
        <v>2138542</v>
      </c>
    </row>
    <row r="301" spans="1:18" x14ac:dyDescent="0.25">
      <c r="A301" s="170">
        <v>42443</v>
      </c>
      <c r="B301" s="116">
        <v>59.75</v>
      </c>
      <c r="C301" s="116">
        <v>59.05</v>
      </c>
      <c r="D301" s="116">
        <v>58.8</v>
      </c>
      <c r="E301" s="116">
        <v>58.9</v>
      </c>
      <c r="F301" s="116">
        <v>59.05</v>
      </c>
      <c r="G301">
        <v>2523771</v>
      </c>
      <c r="H301" s="116"/>
      <c r="I301" s="116"/>
      <c r="L301" s="170">
        <v>42443</v>
      </c>
      <c r="M301" s="116">
        <v>59.2</v>
      </c>
      <c r="N301" s="116">
        <v>59.65</v>
      </c>
      <c r="O301" s="116">
        <v>59.05</v>
      </c>
      <c r="P301" s="116">
        <v>59.2</v>
      </c>
      <c r="Q301" s="116">
        <v>59.2</v>
      </c>
      <c r="R301">
        <v>1546387</v>
      </c>
    </row>
    <row r="302" spans="1:18" x14ac:dyDescent="0.25">
      <c r="A302" s="170">
        <v>42444</v>
      </c>
      <c r="B302" s="116">
        <v>59.3</v>
      </c>
      <c r="C302" s="116">
        <v>58.85</v>
      </c>
      <c r="D302" s="116">
        <v>58.75</v>
      </c>
      <c r="E302" s="116">
        <v>59</v>
      </c>
      <c r="F302" s="116">
        <v>58.85</v>
      </c>
      <c r="G302">
        <v>134353</v>
      </c>
      <c r="H302" s="116"/>
      <c r="I302" s="116"/>
      <c r="L302" s="170">
        <v>42444</v>
      </c>
      <c r="M302" s="116">
        <v>58.75</v>
      </c>
      <c r="N302" s="116">
        <v>59.45</v>
      </c>
      <c r="O302" s="116">
        <v>58.65</v>
      </c>
      <c r="P302" s="116">
        <v>59.2</v>
      </c>
      <c r="Q302" s="116">
        <v>58.75</v>
      </c>
      <c r="R302">
        <v>3150180</v>
      </c>
    </row>
    <row r="303" spans="1:18" x14ac:dyDescent="0.25">
      <c r="A303" s="170">
        <v>42445</v>
      </c>
      <c r="B303" s="116">
        <v>59</v>
      </c>
      <c r="C303" s="116">
        <v>58.65</v>
      </c>
      <c r="D303" s="116">
        <v>58.15</v>
      </c>
      <c r="E303" s="116">
        <v>58.9</v>
      </c>
      <c r="F303" s="116">
        <v>58.65</v>
      </c>
      <c r="G303">
        <v>147412</v>
      </c>
      <c r="H303" s="116"/>
      <c r="I303" s="116"/>
      <c r="L303" s="170">
        <v>42445</v>
      </c>
      <c r="M303" s="116">
        <v>58.85</v>
      </c>
      <c r="N303" s="116">
        <v>59.1</v>
      </c>
      <c r="O303" s="116">
        <v>58.1</v>
      </c>
      <c r="P303" s="116">
        <v>58.9</v>
      </c>
      <c r="Q303" s="116">
        <v>58.85</v>
      </c>
      <c r="R303">
        <v>3192053</v>
      </c>
    </row>
    <row r="304" spans="1:18" x14ac:dyDescent="0.25">
      <c r="A304" s="170">
        <v>42446</v>
      </c>
      <c r="B304" s="116">
        <v>59.35</v>
      </c>
      <c r="C304" s="116">
        <v>58.45</v>
      </c>
      <c r="D304" s="116">
        <v>58.35</v>
      </c>
      <c r="E304" s="116">
        <v>59.25</v>
      </c>
      <c r="F304" s="116">
        <v>58.45</v>
      </c>
      <c r="G304">
        <v>133161</v>
      </c>
      <c r="H304" s="116"/>
      <c r="I304" s="116"/>
      <c r="L304" s="170">
        <v>42446</v>
      </c>
      <c r="M304" s="116">
        <v>58.45</v>
      </c>
      <c r="N304" s="116">
        <v>59.35</v>
      </c>
      <c r="O304" s="116">
        <v>58.25</v>
      </c>
      <c r="P304" s="116">
        <v>59.1</v>
      </c>
      <c r="Q304" s="116">
        <v>58.45</v>
      </c>
      <c r="R304">
        <v>3314559</v>
      </c>
    </row>
    <row r="305" spans="1:18" x14ac:dyDescent="0.25">
      <c r="A305" s="170">
        <v>42447</v>
      </c>
      <c r="B305" s="116">
        <v>58.8</v>
      </c>
      <c r="C305" s="116">
        <v>58.45</v>
      </c>
      <c r="D305" s="116">
        <v>58</v>
      </c>
      <c r="E305" s="116">
        <v>58.65</v>
      </c>
      <c r="F305" s="116">
        <v>58.45</v>
      </c>
      <c r="G305">
        <v>488592</v>
      </c>
      <c r="H305" s="116"/>
      <c r="I305" s="116"/>
      <c r="L305" s="170">
        <v>42447</v>
      </c>
      <c r="M305" s="116">
        <v>58.5</v>
      </c>
      <c r="N305" s="116">
        <v>58.8</v>
      </c>
      <c r="O305" s="116">
        <v>58</v>
      </c>
      <c r="P305" s="116">
        <v>58.6</v>
      </c>
      <c r="Q305" s="116">
        <v>58.5</v>
      </c>
      <c r="R305">
        <v>3214536</v>
      </c>
    </row>
    <row r="306" spans="1:18" x14ac:dyDescent="0.25">
      <c r="A306" s="170">
        <v>42450</v>
      </c>
      <c r="B306" s="116">
        <v>59.3</v>
      </c>
      <c r="C306" s="116">
        <v>59.15</v>
      </c>
      <c r="D306" s="116">
        <v>58</v>
      </c>
      <c r="E306" s="116">
        <v>58</v>
      </c>
      <c r="F306" s="116">
        <v>59.15</v>
      </c>
      <c r="G306">
        <v>211759</v>
      </c>
      <c r="H306" s="116"/>
      <c r="I306" s="116"/>
      <c r="L306" s="170">
        <v>42450</v>
      </c>
      <c r="M306" s="116">
        <v>59.15</v>
      </c>
      <c r="N306" s="116">
        <v>59.35</v>
      </c>
      <c r="O306" s="116">
        <v>58.4</v>
      </c>
      <c r="P306" s="116">
        <v>58.5</v>
      </c>
      <c r="Q306" s="116">
        <v>59.15</v>
      </c>
      <c r="R306">
        <v>1715057</v>
      </c>
    </row>
    <row r="307" spans="1:18" x14ac:dyDescent="0.25">
      <c r="A307" s="170">
        <v>42451</v>
      </c>
      <c r="B307" s="116">
        <v>61.9</v>
      </c>
      <c r="C307" s="116">
        <v>61.75</v>
      </c>
      <c r="D307" s="116">
        <v>59.1</v>
      </c>
      <c r="E307" s="116">
        <v>59.5</v>
      </c>
      <c r="F307" s="116">
        <v>61.75</v>
      </c>
      <c r="G307">
        <v>565473</v>
      </c>
      <c r="H307" s="116"/>
      <c r="I307" s="116"/>
      <c r="L307" s="170">
        <v>42451</v>
      </c>
      <c r="M307" s="116">
        <v>61.8</v>
      </c>
      <c r="N307" s="116">
        <v>61.95</v>
      </c>
      <c r="O307" s="116">
        <v>59.15</v>
      </c>
      <c r="P307" s="116">
        <v>59.3</v>
      </c>
      <c r="Q307" s="116">
        <v>61.8</v>
      </c>
      <c r="R307">
        <v>9339334</v>
      </c>
    </row>
    <row r="308" spans="1:18" x14ac:dyDescent="0.25">
      <c r="A308" s="170">
        <v>42452</v>
      </c>
      <c r="B308" s="116">
        <v>63.3</v>
      </c>
      <c r="C308" s="116">
        <v>62.65</v>
      </c>
      <c r="D308" s="116">
        <v>62.45</v>
      </c>
      <c r="E308" s="116">
        <v>63.1</v>
      </c>
      <c r="F308" s="116">
        <v>62.65</v>
      </c>
      <c r="G308">
        <v>892415</v>
      </c>
      <c r="H308" s="116"/>
      <c r="I308" s="116"/>
      <c r="L308" s="170">
        <v>42452</v>
      </c>
      <c r="M308" s="116">
        <v>62.65</v>
      </c>
      <c r="N308" s="116">
        <v>63.4</v>
      </c>
      <c r="O308" s="116">
        <v>62.35</v>
      </c>
      <c r="P308" s="116">
        <v>63.05</v>
      </c>
      <c r="Q308" s="116">
        <v>62.65</v>
      </c>
      <c r="R308">
        <v>7172438</v>
      </c>
    </row>
    <row r="309" spans="1:18" x14ac:dyDescent="0.25">
      <c r="A309" s="170">
        <v>42457</v>
      </c>
      <c r="B309" s="116">
        <v>63.5</v>
      </c>
      <c r="C309" s="116">
        <v>60.95</v>
      </c>
      <c r="D309" s="116">
        <v>60.65</v>
      </c>
      <c r="E309" s="116">
        <v>63.5</v>
      </c>
      <c r="F309" s="116">
        <v>60.95</v>
      </c>
      <c r="G309">
        <v>371061</v>
      </c>
      <c r="H309" s="116"/>
      <c r="I309" s="116"/>
      <c r="L309" s="170">
        <v>42457</v>
      </c>
      <c r="M309" s="116">
        <v>60.95</v>
      </c>
      <c r="N309" s="116">
        <v>63.05</v>
      </c>
      <c r="O309" s="116">
        <v>60.75</v>
      </c>
      <c r="P309" s="116">
        <v>63.05</v>
      </c>
      <c r="Q309" s="116">
        <v>60.95</v>
      </c>
      <c r="R309">
        <v>3602398</v>
      </c>
    </row>
    <row r="310" spans="1:18" x14ac:dyDescent="0.25">
      <c r="A310" s="170">
        <v>42458</v>
      </c>
      <c r="B310" s="116">
        <v>62.35</v>
      </c>
      <c r="C310" s="116">
        <v>61.3</v>
      </c>
      <c r="D310" s="116">
        <v>60.35</v>
      </c>
      <c r="E310" s="116">
        <v>60.9</v>
      </c>
      <c r="F310" s="116">
        <v>61.3</v>
      </c>
      <c r="G310">
        <v>438751</v>
      </c>
      <c r="H310" s="116"/>
      <c r="I310" s="116"/>
      <c r="L310" s="170">
        <v>42458</v>
      </c>
      <c r="M310" s="116">
        <v>61.4</v>
      </c>
      <c r="N310" s="116">
        <v>62.4</v>
      </c>
      <c r="O310" s="116">
        <v>60.4</v>
      </c>
      <c r="P310" s="116">
        <v>61.25</v>
      </c>
      <c r="Q310" s="116">
        <v>61.4</v>
      </c>
      <c r="R310">
        <v>2455934</v>
      </c>
    </row>
    <row r="311" spans="1:18" x14ac:dyDescent="0.25">
      <c r="A311" s="170">
        <v>42459</v>
      </c>
      <c r="B311" s="116">
        <v>63.1</v>
      </c>
      <c r="C311" s="116">
        <v>62.6</v>
      </c>
      <c r="D311" s="116">
        <v>61.2</v>
      </c>
      <c r="E311" s="116">
        <v>61.4</v>
      </c>
      <c r="F311" s="116">
        <v>62.6</v>
      </c>
      <c r="G311">
        <v>572773</v>
      </c>
      <c r="H311" s="116"/>
      <c r="I311" s="116"/>
      <c r="L311" s="170">
        <v>42459</v>
      </c>
      <c r="M311" s="116">
        <v>62.65</v>
      </c>
      <c r="N311" s="116">
        <v>63.25</v>
      </c>
      <c r="O311" s="116">
        <v>61.15</v>
      </c>
      <c r="P311" s="116">
        <v>61.7</v>
      </c>
      <c r="Q311" s="116">
        <v>62.65</v>
      </c>
      <c r="R311">
        <v>6428062</v>
      </c>
    </row>
    <row r="312" spans="1:18" x14ac:dyDescent="0.25">
      <c r="A312" s="170">
        <v>42460</v>
      </c>
      <c r="B312" s="116">
        <v>65.05</v>
      </c>
      <c r="C312" s="116">
        <v>64.650000000000006</v>
      </c>
      <c r="D312" s="116">
        <v>63.1</v>
      </c>
      <c r="E312" s="116">
        <v>63.1</v>
      </c>
      <c r="F312" s="116">
        <v>64.650000000000006</v>
      </c>
      <c r="G312">
        <v>1483194</v>
      </c>
      <c r="H312" s="116"/>
      <c r="I312" s="116"/>
      <c r="L312" s="170">
        <v>42460</v>
      </c>
      <c r="M312" s="116">
        <v>64.650000000000006</v>
      </c>
      <c r="N312" s="116">
        <v>65.099999999999994</v>
      </c>
      <c r="O312" s="116">
        <v>63.1</v>
      </c>
      <c r="P312" s="116">
        <v>63.4</v>
      </c>
      <c r="Q312" s="116">
        <v>64.650000000000006</v>
      </c>
      <c r="R312">
        <v>16079185</v>
      </c>
    </row>
    <row r="313" spans="1:18" x14ac:dyDescent="0.25">
      <c r="A313" s="170">
        <v>42461</v>
      </c>
      <c r="B313" s="116">
        <v>65.5</v>
      </c>
      <c r="C313" s="116">
        <v>65.2</v>
      </c>
      <c r="D313" s="116">
        <v>63.75</v>
      </c>
      <c r="E313" s="116">
        <v>64.8</v>
      </c>
      <c r="F313" s="116">
        <v>65.2</v>
      </c>
      <c r="G313">
        <v>491969</v>
      </c>
      <c r="H313" s="116"/>
      <c r="I313" s="116"/>
      <c r="L313" s="170">
        <v>42461</v>
      </c>
      <c r="M313" s="116">
        <v>65.2</v>
      </c>
      <c r="N313" s="116">
        <v>65.5</v>
      </c>
      <c r="O313" s="116">
        <v>63.65</v>
      </c>
      <c r="P313" s="116">
        <v>64.95</v>
      </c>
      <c r="Q313" s="116">
        <v>65.2</v>
      </c>
      <c r="R313">
        <v>4168582</v>
      </c>
    </row>
    <row r="314" spans="1:18" x14ac:dyDescent="0.25">
      <c r="A314" s="170">
        <v>42464</v>
      </c>
      <c r="B314" s="116">
        <v>69.650000000000006</v>
      </c>
      <c r="C314" s="116">
        <v>68.2</v>
      </c>
      <c r="D314" s="116">
        <v>65.8</v>
      </c>
      <c r="E314" s="116">
        <v>65.900000000000006</v>
      </c>
      <c r="F314" s="116">
        <v>68.2</v>
      </c>
      <c r="G314">
        <v>909873</v>
      </c>
      <c r="H314" s="116"/>
      <c r="I314" s="116"/>
      <c r="L314" s="170">
        <v>42464</v>
      </c>
      <c r="M314" s="116">
        <v>68.3</v>
      </c>
      <c r="N314" s="116">
        <v>69.75</v>
      </c>
      <c r="O314" s="116">
        <v>65.7</v>
      </c>
      <c r="P314" s="116">
        <v>65.849999999999994</v>
      </c>
      <c r="Q314" s="116">
        <v>68.3</v>
      </c>
      <c r="R314">
        <v>9789614</v>
      </c>
    </row>
    <row r="315" spans="1:18" x14ac:dyDescent="0.25">
      <c r="A315" s="170">
        <v>42465</v>
      </c>
      <c r="B315" s="116">
        <v>68.5</v>
      </c>
      <c r="C315" s="116">
        <v>66.8</v>
      </c>
      <c r="D315" s="116">
        <v>66.5</v>
      </c>
      <c r="E315" s="116">
        <v>68</v>
      </c>
      <c r="F315" s="116">
        <v>66.8</v>
      </c>
      <c r="G315">
        <v>548626</v>
      </c>
      <c r="H315" s="116"/>
      <c r="I315" s="116"/>
      <c r="L315" s="170">
        <v>42465</v>
      </c>
      <c r="M315" s="116">
        <v>67</v>
      </c>
      <c r="N315" s="116">
        <v>68.150000000000006</v>
      </c>
      <c r="O315" s="116">
        <v>66.5</v>
      </c>
      <c r="P315" s="116">
        <v>68.150000000000006</v>
      </c>
      <c r="Q315" s="116">
        <v>67</v>
      </c>
      <c r="R315">
        <v>6724126</v>
      </c>
    </row>
    <row r="316" spans="1:18" x14ac:dyDescent="0.25">
      <c r="A316" s="170">
        <v>42466</v>
      </c>
      <c r="B316" s="116">
        <v>67.650000000000006</v>
      </c>
      <c r="C316" s="116">
        <v>66.650000000000006</v>
      </c>
      <c r="D316" s="116">
        <v>66.099999999999994</v>
      </c>
      <c r="E316" s="116">
        <v>67</v>
      </c>
      <c r="F316" s="116">
        <v>66.650000000000006</v>
      </c>
      <c r="G316">
        <v>348757</v>
      </c>
      <c r="H316" s="116"/>
      <c r="I316" s="116"/>
      <c r="L316" s="170">
        <v>42466</v>
      </c>
      <c r="M316" s="116">
        <v>66.5</v>
      </c>
      <c r="N316" s="116">
        <v>67.650000000000006</v>
      </c>
      <c r="O316" s="116">
        <v>66</v>
      </c>
      <c r="P316" s="116">
        <v>67.3</v>
      </c>
      <c r="Q316" s="116">
        <v>66.5</v>
      </c>
      <c r="R316">
        <v>3777207</v>
      </c>
    </row>
    <row r="317" spans="1:18" x14ac:dyDescent="0.25">
      <c r="A317" s="170">
        <v>42467</v>
      </c>
      <c r="B317" s="116">
        <v>70</v>
      </c>
      <c r="C317" s="116">
        <v>64.099999999999994</v>
      </c>
      <c r="D317" s="116">
        <v>60.6</v>
      </c>
      <c r="E317" s="116">
        <v>67.7</v>
      </c>
      <c r="F317" s="116">
        <v>64.099999999999994</v>
      </c>
      <c r="G317">
        <v>6541424</v>
      </c>
      <c r="H317" s="116"/>
      <c r="I317" s="116"/>
      <c r="L317" s="170">
        <v>42467</v>
      </c>
      <c r="M317" s="116">
        <v>63.9</v>
      </c>
      <c r="N317" s="116">
        <v>70.099999999999994</v>
      </c>
      <c r="O317" s="116">
        <v>60.55</v>
      </c>
      <c r="P317" s="116">
        <v>67.95</v>
      </c>
      <c r="Q317" s="116">
        <v>63.9</v>
      </c>
      <c r="R317">
        <v>53852649</v>
      </c>
    </row>
    <row r="318" spans="1:18" x14ac:dyDescent="0.25">
      <c r="A318" s="170">
        <v>42468</v>
      </c>
      <c r="B318" s="116">
        <v>66.099999999999994</v>
      </c>
      <c r="C318" s="116">
        <v>65.75</v>
      </c>
      <c r="D318" s="116">
        <v>64.3</v>
      </c>
      <c r="E318" s="116">
        <v>64.650000000000006</v>
      </c>
      <c r="F318" s="116">
        <v>65.75</v>
      </c>
      <c r="G318">
        <v>786869</v>
      </c>
      <c r="H318" s="116"/>
      <c r="I318" s="116"/>
      <c r="L318" s="170">
        <v>42468</v>
      </c>
      <c r="M318" s="116">
        <v>65.8</v>
      </c>
      <c r="N318" s="116">
        <v>66.150000000000006</v>
      </c>
      <c r="O318" s="116">
        <v>64.099999999999994</v>
      </c>
      <c r="P318" s="116">
        <v>65.7</v>
      </c>
      <c r="Q318" s="116">
        <v>65.8</v>
      </c>
      <c r="R318">
        <v>9017859</v>
      </c>
    </row>
    <row r="319" spans="1:18" x14ac:dyDescent="0.25">
      <c r="A319" s="170">
        <v>42471</v>
      </c>
      <c r="B319" s="116">
        <v>67.900000000000006</v>
      </c>
      <c r="C319" s="116">
        <v>67.55</v>
      </c>
      <c r="D319" s="116">
        <v>65.599999999999994</v>
      </c>
      <c r="E319" s="116">
        <v>65.95</v>
      </c>
      <c r="F319" s="116">
        <v>67.55</v>
      </c>
      <c r="G319">
        <v>676276</v>
      </c>
      <c r="H319" s="116"/>
      <c r="I319" s="116"/>
      <c r="L319" s="170">
        <v>42471</v>
      </c>
      <c r="M319" s="116">
        <v>67.7</v>
      </c>
      <c r="N319" s="116">
        <v>67.900000000000006</v>
      </c>
      <c r="O319" s="116">
        <v>65.5</v>
      </c>
      <c r="P319" s="116">
        <v>65.7</v>
      </c>
      <c r="Q319" s="116">
        <v>67.7</v>
      </c>
      <c r="R319">
        <v>6184956</v>
      </c>
    </row>
    <row r="320" spans="1:18" x14ac:dyDescent="0.25">
      <c r="A320" s="170">
        <v>42472</v>
      </c>
      <c r="B320" s="116">
        <v>69.150000000000006</v>
      </c>
      <c r="C320" s="116">
        <v>67.75</v>
      </c>
      <c r="D320" s="116">
        <v>67.5</v>
      </c>
      <c r="E320" s="116">
        <v>67.95</v>
      </c>
      <c r="F320" s="116">
        <v>67.75</v>
      </c>
      <c r="G320">
        <v>5758828</v>
      </c>
      <c r="H320" s="116"/>
      <c r="I320" s="116"/>
      <c r="L320" s="170">
        <v>42472</v>
      </c>
      <c r="M320" s="116">
        <v>67.849999999999994</v>
      </c>
      <c r="N320" s="116">
        <v>69.150000000000006</v>
      </c>
      <c r="O320" s="116">
        <v>67.5</v>
      </c>
      <c r="P320" s="116">
        <v>67.7</v>
      </c>
      <c r="Q320" s="116">
        <v>67.849999999999994</v>
      </c>
      <c r="R320">
        <v>6464234</v>
      </c>
    </row>
    <row r="321" spans="1:18" x14ac:dyDescent="0.25">
      <c r="A321" s="170">
        <v>42473</v>
      </c>
      <c r="B321" s="116">
        <v>70.150000000000006</v>
      </c>
      <c r="C321" s="116">
        <v>69.95</v>
      </c>
      <c r="D321" s="116">
        <v>68.400000000000006</v>
      </c>
      <c r="E321" s="116">
        <v>68.95</v>
      </c>
      <c r="F321" s="116">
        <v>69.95</v>
      </c>
      <c r="G321">
        <v>816006</v>
      </c>
      <c r="H321" s="116"/>
      <c r="I321" s="116"/>
      <c r="L321" s="170">
        <v>42473</v>
      </c>
      <c r="M321" s="116">
        <v>70</v>
      </c>
      <c r="N321" s="116">
        <v>70.25</v>
      </c>
      <c r="O321" s="116">
        <v>68.3</v>
      </c>
      <c r="P321" s="116">
        <v>68.5</v>
      </c>
      <c r="Q321" s="116">
        <v>70</v>
      </c>
      <c r="R321">
        <v>6604092</v>
      </c>
    </row>
    <row r="322" spans="1:18" x14ac:dyDescent="0.25">
      <c r="A322" s="170">
        <v>42478</v>
      </c>
      <c r="B322" s="116">
        <v>70.25</v>
      </c>
      <c r="C322" s="116">
        <v>69.45</v>
      </c>
      <c r="D322" s="116">
        <v>68.7</v>
      </c>
      <c r="E322" s="116">
        <v>70</v>
      </c>
      <c r="F322" s="116">
        <v>69.45</v>
      </c>
      <c r="G322">
        <v>367212</v>
      </c>
      <c r="H322" s="116"/>
      <c r="I322" s="116"/>
      <c r="L322" s="170">
        <v>42478</v>
      </c>
      <c r="M322" s="116">
        <v>69.599999999999994</v>
      </c>
      <c r="N322" s="116">
        <v>70.3</v>
      </c>
      <c r="O322" s="116">
        <v>68.7</v>
      </c>
      <c r="P322" s="116">
        <v>69.5</v>
      </c>
      <c r="Q322" s="116">
        <v>69.599999999999994</v>
      </c>
      <c r="R322">
        <v>3167747</v>
      </c>
    </row>
    <row r="323" spans="1:18" x14ac:dyDescent="0.25">
      <c r="A323" s="170">
        <v>42480</v>
      </c>
      <c r="B323" s="116">
        <v>71.45</v>
      </c>
      <c r="C323" s="116">
        <v>70.55</v>
      </c>
      <c r="D323" s="116">
        <v>69.400000000000006</v>
      </c>
      <c r="E323" s="116">
        <v>69.400000000000006</v>
      </c>
      <c r="F323" s="116">
        <v>70.55</v>
      </c>
      <c r="G323">
        <v>479592</v>
      </c>
      <c r="H323" s="116"/>
      <c r="I323" s="116"/>
      <c r="L323" s="170">
        <v>42480</v>
      </c>
      <c r="M323" s="116">
        <v>70.55</v>
      </c>
      <c r="N323" s="116">
        <v>71.5</v>
      </c>
      <c r="O323" s="116">
        <v>69.5</v>
      </c>
      <c r="P323" s="116">
        <v>69.599999999999994</v>
      </c>
      <c r="Q323" s="116">
        <v>70.55</v>
      </c>
      <c r="R323">
        <v>4163252</v>
      </c>
    </row>
    <row r="324" spans="1:18" x14ac:dyDescent="0.25">
      <c r="A324" s="170">
        <v>42481</v>
      </c>
      <c r="B324" s="116">
        <v>71.349999999999994</v>
      </c>
      <c r="C324" s="116">
        <v>69.55</v>
      </c>
      <c r="D324" s="116">
        <v>68.849999999999994</v>
      </c>
      <c r="E324" s="116">
        <v>70.599999999999994</v>
      </c>
      <c r="F324" s="116">
        <v>69.55</v>
      </c>
      <c r="G324">
        <v>288053</v>
      </c>
      <c r="H324" s="116"/>
      <c r="I324" s="116"/>
      <c r="L324" s="170">
        <v>42481</v>
      </c>
      <c r="M324" s="116">
        <v>69.7</v>
      </c>
      <c r="N324" s="116">
        <v>71.45</v>
      </c>
      <c r="O324" s="116">
        <v>68.8</v>
      </c>
      <c r="P324" s="116">
        <v>71</v>
      </c>
      <c r="Q324" s="116">
        <v>69.7</v>
      </c>
      <c r="R324">
        <v>2708771</v>
      </c>
    </row>
    <row r="325" spans="1:18" x14ac:dyDescent="0.25">
      <c r="A325" s="170">
        <v>42482</v>
      </c>
      <c r="B325" s="116">
        <v>70.900000000000006</v>
      </c>
      <c r="C325" s="116">
        <v>69.95</v>
      </c>
      <c r="D325" s="116">
        <v>69.75</v>
      </c>
      <c r="E325" s="116">
        <v>69.8</v>
      </c>
      <c r="F325" s="116">
        <v>69.95</v>
      </c>
      <c r="G325">
        <v>285784</v>
      </c>
      <c r="H325" s="116"/>
      <c r="I325" s="116"/>
      <c r="L325" s="170">
        <v>42482</v>
      </c>
      <c r="M325" s="116">
        <v>69.95</v>
      </c>
      <c r="N325" s="116">
        <v>70.900000000000006</v>
      </c>
      <c r="O325" s="116">
        <v>69.75</v>
      </c>
      <c r="P325" s="116">
        <v>69.900000000000006</v>
      </c>
      <c r="Q325" s="116">
        <v>69.95</v>
      </c>
      <c r="R325">
        <v>2624221</v>
      </c>
    </row>
    <row r="326" spans="1:18" x14ac:dyDescent="0.25">
      <c r="A326" s="170">
        <v>42485</v>
      </c>
      <c r="B326" s="116">
        <v>70.400000000000006</v>
      </c>
      <c r="C326" s="116">
        <v>69.400000000000006</v>
      </c>
      <c r="D326" s="116">
        <v>68.8</v>
      </c>
      <c r="E326" s="116">
        <v>70</v>
      </c>
      <c r="F326" s="116">
        <v>69.400000000000006</v>
      </c>
      <c r="G326">
        <v>229966</v>
      </c>
      <c r="H326" s="116"/>
      <c r="I326" s="116"/>
      <c r="L326" s="170">
        <v>42485</v>
      </c>
      <c r="M326" s="116">
        <v>69.55</v>
      </c>
      <c r="N326" s="116">
        <v>70.45</v>
      </c>
      <c r="O326" s="116">
        <v>68.75</v>
      </c>
      <c r="P326" s="116">
        <v>70.099999999999994</v>
      </c>
      <c r="Q326" s="116">
        <v>69.55</v>
      </c>
      <c r="R326">
        <v>1890213</v>
      </c>
    </row>
    <row r="327" spans="1:18" x14ac:dyDescent="0.25">
      <c r="A327" s="170">
        <v>42486</v>
      </c>
      <c r="B327" s="116">
        <v>72.2</v>
      </c>
      <c r="C327" s="116">
        <v>72</v>
      </c>
      <c r="D327" s="116">
        <v>69.45</v>
      </c>
      <c r="E327" s="116">
        <v>69.599999999999994</v>
      </c>
      <c r="F327" s="116">
        <v>72</v>
      </c>
      <c r="G327">
        <v>531200</v>
      </c>
      <c r="H327" s="116"/>
      <c r="I327" s="116"/>
      <c r="L327" s="170">
        <v>42486</v>
      </c>
      <c r="M327" s="116">
        <v>72</v>
      </c>
      <c r="N327" s="116">
        <v>72.2</v>
      </c>
      <c r="O327" s="116">
        <v>69.3</v>
      </c>
      <c r="P327" s="116">
        <v>69.55</v>
      </c>
      <c r="Q327" s="116">
        <v>72</v>
      </c>
      <c r="R327">
        <v>4028690</v>
      </c>
    </row>
    <row r="328" spans="1:18" x14ac:dyDescent="0.25">
      <c r="A328" s="170">
        <v>42487</v>
      </c>
      <c r="B328" s="116">
        <v>72.45</v>
      </c>
      <c r="C328" s="116">
        <v>70.849999999999994</v>
      </c>
      <c r="D328" s="116">
        <v>70.349999999999994</v>
      </c>
      <c r="E328" s="116">
        <v>72.45</v>
      </c>
      <c r="F328" s="116">
        <v>70.849999999999994</v>
      </c>
      <c r="G328">
        <v>332468</v>
      </c>
      <c r="H328" s="116"/>
      <c r="I328" s="116"/>
      <c r="L328" s="170">
        <v>42487</v>
      </c>
      <c r="M328" s="116">
        <v>70.75</v>
      </c>
      <c r="N328" s="116">
        <v>72.3</v>
      </c>
      <c r="O328" s="116">
        <v>70.25</v>
      </c>
      <c r="P328" s="116">
        <v>72.099999999999994</v>
      </c>
      <c r="Q328" s="116">
        <v>70.75</v>
      </c>
      <c r="R328">
        <v>3189399</v>
      </c>
    </row>
    <row r="329" spans="1:18" x14ac:dyDescent="0.25">
      <c r="A329" s="170">
        <v>42488</v>
      </c>
      <c r="B329" s="116">
        <v>70.900000000000006</v>
      </c>
      <c r="C329" s="116">
        <v>69.3</v>
      </c>
      <c r="D329" s="116">
        <v>68.900000000000006</v>
      </c>
      <c r="E329" s="116">
        <v>70.849999999999994</v>
      </c>
      <c r="F329" s="116">
        <v>69.3</v>
      </c>
      <c r="G329">
        <v>227745</v>
      </c>
      <c r="H329" s="116"/>
      <c r="I329" s="116"/>
      <c r="L329" s="170">
        <v>42488</v>
      </c>
      <c r="M329" s="116">
        <v>69.25</v>
      </c>
      <c r="N329" s="116">
        <v>71.05</v>
      </c>
      <c r="O329" s="116">
        <v>68.849999999999994</v>
      </c>
      <c r="P329" s="116">
        <v>70.95</v>
      </c>
      <c r="Q329" s="116">
        <v>69.25</v>
      </c>
      <c r="R329">
        <v>4533595</v>
      </c>
    </row>
    <row r="330" spans="1:18" x14ac:dyDescent="0.25">
      <c r="A330" s="170">
        <v>42489</v>
      </c>
      <c r="B330" s="116">
        <v>70.900000000000006</v>
      </c>
      <c r="C330" s="116">
        <v>70.55</v>
      </c>
      <c r="D330" s="116">
        <v>68.45</v>
      </c>
      <c r="E330" s="116">
        <v>69</v>
      </c>
      <c r="F330" s="116">
        <v>70.55</v>
      </c>
      <c r="G330">
        <v>450304</v>
      </c>
      <c r="H330" s="116"/>
      <c r="I330" s="116"/>
      <c r="L330" s="170">
        <v>42489</v>
      </c>
      <c r="M330" s="116">
        <v>70.5</v>
      </c>
      <c r="N330" s="116">
        <v>71</v>
      </c>
      <c r="O330" s="116">
        <v>68.3</v>
      </c>
      <c r="P330" s="116">
        <v>69.099999999999994</v>
      </c>
      <c r="Q330" s="116">
        <v>70.5</v>
      </c>
      <c r="R330">
        <v>4697803</v>
      </c>
    </row>
    <row r="331" spans="1:18" x14ac:dyDescent="0.25">
      <c r="A331" s="170">
        <v>42492</v>
      </c>
      <c r="B331" s="116">
        <v>71</v>
      </c>
      <c r="C331" s="116">
        <v>70.150000000000006</v>
      </c>
      <c r="D331" s="116">
        <v>69.400000000000006</v>
      </c>
      <c r="E331" s="116">
        <v>70.599999999999994</v>
      </c>
      <c r="F331" s="116">
        <v>70.150000000000006</v>
      </c>
      <c r="G331">
        <v>438881</v>
      </c>
      <c r="H331" s="116"/>
      <c r="I331" s="116"/>
      <c r="L331" s="170">
        <v>42492</v>
      </c>
      <c r="M331" s="116">
        <v>70.150000000000006</v>
      </c>
      <c r="N331" s="116">
        <v>71</v>
      </c>
      <c r="O331" s="116">
        <v>69.5</v>
      </c>
      <c r="P331" s="116">
        <v>70.45</v>
      </c>
      <c r="Q331" s="116">
        <v>70.150000000000006</v>
      </c>
      <c r="R331">
        <v>3813866</v>
      </c>
    </row>
    <row r="332" spans="1:18" x14ac:dyDescent="0.25">
      <c r="A332" s="170">
        <v>42493</v>
      </c>
      <c r="B332" s="116">
        <v>73.45</v>
      </c>
      <c r="C332" s="116">
        <v>71.099999999999994</v>
      </c>
      <c r="D332" s="116">
        <v>70.8</v>
      </c>
      <c r="E332" s="116">
        <v>71</v>
      </c>
      <c r="F332" s="116">
        <v>71.099999999999994</v>
      </c>
      <c r="G332">
        <v>979695</v>
      </c>
      <c r="H332" s="116"/>
      <c r="I332" s="116"/>
      <c r="L332" s="170">
        <v>42493</v>
      </c>
      <c r="M332" s="116">
        <v>71.099999999999994</v>
      </c>
      <c r="N332" s="116">
        <v>73.5</v>
      </c>
      <c r="O332" s="116">
        <v>70.650000000000006</v>
      </c>
      <c r="P332" s="116">
        <v>71.349999999999994</v>
      </c>
      <c r="Q332" s="116">
        <v>71.099999999999994</v>
      </c>
      <c r="R332">
        <v>9645821</v>
      </c>
    </row>
    <row r="333" spans="1:18" x14ac:dyDescent="0.25">
      <c r="A333" s="170">
        <v>42494</v>
      </c>
      <c r="B333" s="116">
        <v>72</v>
      </c>
      <c r="C333" s="116">
        <v>70.5</v>
      </c>
      <c r="D333" s="116">
        <v>70.150000000000006</v>
      </c>
      <c r="E333" s="116">
        <v>70.650000000000006</v>
      </c>
      <c r="F333" s="116">
        <v>70.5</v>
      </c>
      <c r="G333">
        <v>353561</v>
      </c>
      <c r="H333" s="116"/>
      <c r="I333" s="116"/>
      <c r="L333" s="170">
        <v>42494</v>
      </c>
      <c r="M333" s="116">
        <v>70.400000000000006</v>
      </c>
      <c r="N333" s="116">
        <v>72</v>
      </c>
      <c r="O333" s="116">
        <v>70.099999999999994</v>
      </c>
      <c r="P333" s="116">
        <v>70.599999999999994</v>
      </c>
      <c r="Q333" s="116">
        <v>70.400000000000006</v>
      </c>
      <c r="R333">
        <v>3527824</v>
      </c>
    </row>
    <row r="334" spans="1:18" x14ac:dyDescent="0.25">
      <c r="A334" s="170">
        <v>42495</v>
      </c>
      <c r="B334" s="116">
        <v>71.2</v>
      </c>
      <c r="C334" s="116">
        <v>70.3</v>
      </c>
      <c r="D334" s="116">
        <v>69.95</v>
      </c>
      <c r="E334" s="116">
        <v>70.8</v>
      </c>
      <c r="F334" s="116">
        <v>70.3</v>
      </c>
      <c r="G334">
        <v>233958</v>
      </c>
      <c r="H334" s="116"/>
      <c r="I334" s="116"/>
      <c r="L334" s="170">
        <v>42495</v>
      </c>
      <c r="M334" s="116">
        <v>70.3</v>
      </c>
      <c r="N334" s="116">
        <v>71.25</v>
      </c>
      <c r="O334" s="116">
        <v>69.900000000000006</v>
      </c>
      <c r="P334" s="116">
        <v>70.400000000000006</v>
      </c>
      <c r="Q334" s="116">
        <v>70.3</v>
      </c>
      <c r="R334">
        <v>2260946</v>
      </c>
    </row>
    <row r="335" spans="1:18" x14ac:dyDescent="0.25">
      <c r="A335" s="170">
        <v>42496</v>
      </c>
      <c r="B335" s="116">
        <v>72.400000000000006</v>
      </c>
      <c r="C335" s="116">
        <v>72.099999999999994</v>
      </c>
      <c r="D335" s="116">
        <v>70</v>
      </c>
      <c r="E335" s="116">
        <v>70.099999999999994</v>
      </c>
      <c r="F335" s="116">
        <v>72.099999999999994</v>
      </c>
      <c r="G335">
        <v>321678</v>
      </c>
      <c r="H335" s="116"/>
      <c r="I335" s="116"/>
      <c r="L335" s="170">
        <v>42496</v>
      </c>
      <c r="M335" s="116">
        <v>72.2</v>
      </c>
      <c r="N335" s="116">
        <v>72.5</v>
      </c>
      <c r="O335" s="116">
        <v>69.900000000000006</v>
      </c>
      <c r="P335" s="116">
        <v>70.3</v>
      </c>
      <c r="Q335" s="116">
        <v>72.2</v>
      </c>
      <c r="R335">
        <v>3358906</v>
      </c>
    </row>
    <row r="336" spans="1:18" x14ac:dyDescent="0.25">
      <c r="A336" s="170">
        <v>42499</v>
      </c>
      <c r="B336" s="116">
        <v>74</v>
      </c>
      <c r="C336" s="116">
        <v>73.25</v>
      </c>
      <c r="D336" s="116">
        <v>72.25</v>
      </c>
      <c r="E336" s="116">
        <v>72.900000000000006</v>
      </c>
      <c r="F336" s="116">
        <v>73.25</v>
      </c>
      <c r="G336">
        <v>501400</v>
      </c>
      <c r="H336" s="116"/>
      <c r="I336" s="116"/>
      <c r="L336" s="170">
        <v>42499</v>
      </c>
      <c r="M336" s="116">
        <v>73.45</v>
      </c>
      <c r="N336" s="116">
        <v>74</v>
      </c>
      <c r="O336" s="116">
        <v>72.25</v>
      </c>
      <c r="P336" s="116">
        <v>72.5</v>
      </c>
      <c r="Q336" s="116">
        <v>73.45</v>
      </c>
      <c r="R336">
        <v>4298244</v>
      </c>
    </row>
    <row r="337" spans="1:18" x14ac:dyDescent="0.25">
      <c r="A337" s="170">
        <v>42500</v>
      </c>
      <c r="B337" s="116">
        <v>73.45</v>
      </c>
      <c r="C337" s="116">
        <v>72.5</v>
      </c>
      <c r="D337" s="116">
        <v>71.849999999999994</v>
      </c>
      <c r="E337" s="116">
        <v>73.45</v>
      </c>
      <c r="F337" s="116">
        <v>72.5</v>
      </c>
      <c r="G337">
        <v>244246</v>
      </c>
      <c r="H337" s="116"/>
      <c r="I337" s="116"/>
      <c r="L337" s="170">
        <v>42500</v>
      </c>
      <c r="M337" s="116">
        <v>72.45</v>
      </c>
      <c r="N337" s="116">
        <v>73.5</v>
      </c>
      <c r="O337" s="116">
        <v>71.8</v>
      </c>
      <c r="P337" s="116">
        <v>73.400000000000006</v>
      </c>
      <c r="Q337" s="116">
        <v>72.45</v>
      </c>
      <c r="R337">
        <v>2270352</v>
      </c>
    </row>
    <row r="338" spans="1:18" x14ac:dyDescent="0.25">
      <c r="A338" s="170">
        <v>42501</v>
      </c>
      <c r="B338" s="116">
        <v>72.3</v>
      </c>
      <c r="C338" s="116">
        <v>71.05</v>
      </c>
      <c r="D338" s="116">
        <v>70.900000000000006</v>
      </c>
      <c r="E338" s="116">
        <v>71</v>
      </c>
      <c r="F338" s="116">
        <v>71.05</v>
      </c>
      <c r="G338">
        <v>196559</v>
      </c>
      <c r="H338" s="116"/>
      <c r="I338" s="116"/>
      <c r="L338" s="170">
        <v>42501</v>
      </c>
      <c r="M338" s="116">
        <v>71</v>
      </c>
      <c r="N338" s="116">
        <v>72.3</v>
      </c>
      <c r="O338" s="116">
        <v>70.849999999999994</v>
      </c>
      <c r="P338" s="116">
        <v>71.75</v>
      </c>
      <c r="Q338" s="116">
        <v>71</v>
      </c>
      <c r="R338">
        <v>2852221</v>
      </c>
    </row>
    <row r="339" spans="1:18" x14ac:dyDescent="0.25">
      <c r="A339" s="170">
        <v>42502</v>
      </c>
      <c r="B339" s="116">
        <v>72.05</v>
      </c>
      <c r="C339" s="116">
        <v>70.849999999999994</v>
      </c>
      <c r="D339" s="116">
        <v>70.599999999999994</v>
      </c>
      <c r="E339" s="116">
        <v>71.099999999999994</v>
      </c>
      <c r="F339" s="116">
        <v>70.849999999999994</v>
      </c>
      <c r="G339">
        <v>220673</v>
      </c>
      <c r="H339" s="116"/>
      <c r="I339" s="116"/>
      <c r="L339" s="170">
        <v>42502</v>
      </c>
      <c r="M339" s="116">
        <v>70.849999999999994</v>
      </c>
      <c r="N339" s="116">
        <v>72.05</v>
      </c>
      <c r="O339" s="116">
        <v>70.5</v>
      </c>
      <c r="P339" s="116">
        <v>71.150000000000006</v>
      </c>
      <c r="Q339" s="116">
        <v>70.849999999999994</v>
      </c>
      <c r="R339">
        <v>2876247</v>
      </c>
    </row>
    <row r="340" spans="1:18" x14ac:dyDescent="0.25">
      <c r="A340" s="170">
        <v>42503</v>
      </c>
      <c r="B340" s="116">
        <v>71.099999999999994</v>
      </c>
      <c r="C340" s="116">
        <v>70.3</v>
      </c>
      <c r="D340" s="116">
        <v>69.599999999999994</v>
      </c>
      <c r="E340" s="116">
        <v>70.8</v>
      </c>
      <c r="F340" s="116">
        <v>70.3</v>
      </c>
      <c r="G340">
        <v>364262</v>
      </c>
      <c r="H340" s="116"/>
      <c r="I340" s="116"/>
      <c r="L340" s="170">
        <v>42503</v>
      </c>
      <c r="M340" s="116">
        <v>70.349999999999994</v>
      </c>
      <c r="N340" s="116">
        <v>71.099999999999994</v>
      </c>
      <c r="O340" s="116">
        <v>69.599999999999994</v>
      </c>
      <c r="P340" s="116">
        <v>70.599999999999994</v>
      </c>
      <c r="Q340" s="116">
        <v>70.349999999999994</v>
      </c>
      <c r="R340">
        <v>3286426</v>
      </c>
    </row>
    <row r="341" spans="1:18" x14ac:dyDescent="0.25">
      <c r="A341" s="170">
        <v>42506</v>
      </c>
      <c r="B341" s="116">
        <v>70.8</v>
      </c>
      <c r="C341" s="116">
        <v>70.25</v>
      </c>
      <c r="D341" s="116">
        <v>69.400000000000006</v>
      </c>
      <c r="E341" s="116">
        <v>70.400000000000006</v>
      </c>
      <c r="F341" s="116">
        <v>70.25</v>
      </c>
      <c r="G341">
        <v>163180</v>
      </c>
      <c r="H341" s="116"/>
      <c r="I341" s="116"/>
      <c r="L341" s="170">
        <v>42506</v>
      </c>
      <c r="M341" s="116">
        <v>70.25</v>
      </c>
      <c r="N341" s="116">
        <v>70.900000000000006</v>
      </c>
      <c r="O341" s="116">
        <v>69.349999999999994</v>
      </c>
      <c r="P341" s="116">
        <v>70.5</v>
      </c>
      <c r="Q341" s="116">
        <v>70.25</v>
      </c>
      <c r="R341">
        <v>4503427</v>
      </c>
    </row>
    <row r="342" spans="1:18" x14ac:dyDescent="0.25">
      <c r="A342" s="170">
        <v>42507</v>
      </c>
      <c r="B342" s="116">
        <v>70.599999999999994</v>
      </c>
      <c r="C342" s="116">
        <v>69.95</v>
      </c>
      <c r="D342" s="116">
        <v>69.599999999999994</v>
      </c>
      <c r="E342" s="116">
        <v>70.3</v>
      </c>
      <c r="F342" s="116">
        <v>69.95</v>
      </c>
      <c r="G342">
        <v>221552</v>
      </c>
      <c r="H342" s="116"/>
      <c r="I342" s="116"/>
      <c r="L342" s="170">
        <v>42507</v>
      </c>
      <c r="M342" s="116">
        <v>70</v>
      </c>
      <c r="N342" s="116">
        <v>70.650000000000006</v>
      </c>
      <c r="O342" s="116">
        <v>69.5</v>
      </c>
      <c r="P342" s="116">
        <v>70.5</v>
      </c>
      <c r="Q342" s="116">
        <v>70</v>
      </c>
      <c r="R342">
        <v>3257541</v>
      </c>
    </row>
    <row r="343" spans="1:18" x14ac:dyDescent="0.25">
      <c r="A343" s="170">
        <v>42508</v>
      </c>
      <c r="B343" s="116">
        <v>70.5</v>
      </c>
      <c r="C343" s="116">
        <v>69.849999999999994</v>
      </c>
      <c r="D343" s="116">
        <v>69.3</v>
      </c>
      <c r="E343" s="116">
        <v>69.900000000000006</v>
      </c>
      <c r="F343" s="116">
        <v>69.849999999999994</v>
      </c>
      <c r="G343">
        <v>384109</v>
      </c>
      <c r="H343" s="116"/>
      <c r="I343" s="116"/>
      <c r="L343" s="170">
        <v>42508</v>
      </c>
      <c r="M343" s="116">
        <v>70</v>
      </c>
      <c r="N343" s="116">
        <v>70.45</v>
      </c>
      <c r="O343" s="116">
        <v>69.150000000000006</v>
      </c>
      <c r="P343" s="116">
        <v>69.5</v>
      </c>
      <c r="Q343" s="116">
        <v>70</v>
      </c>
      <c r="R343">
        <v>2552016</v>
      </c>
    </row>
    <row r="344" spans="1:18" x14ac:dyDescent="0.25">
      <c r="A344" s="170">
        <v>42509</v>
      </c>
      <c r="B344" s="116">
        <v>70.3</v>
      </c>
      <c r="C344" s="116">
        <v>68.400000000000006</v>
      </c>
      <c r="D344" s="116">
        <v>68.099999999999994</v>
      </c>
      <c r="E344" s="116">
        <v>70.099999999999994</v>
      </c>
      <c r="F344" s="116">
        <v>68.400000000000006</v>
      </c>
      <c r="G344">
        <v>323556</v>
      </c>
      <c r="H344" s="116"/>
      <c r="I344" s="116"/>
      <c r="L344" s="170">
        <v>42509</v>
      </c>
      <c r="M344" s="116">
        <v>68.400000000000006</v>
      </c>
      <c r="N344" s="116">
        <v>70.349999999999994</v>
      </c>
      <c r="O344" s="116">
        <v>68</v>
      </c>
      <c r="P344" s="116">
        <v>70</v>
      </c>
      <c r="Q344" s="116">
        <v>68.400000000000006</v>
      </c>
      <c r="R344">
        <v>2676759</v>
      </c>
    </row>
    <row r="345" spans="1:18" x14ac:dyDescent="0.25">
      <c r="A345" s="170">
        <v>42510</v>
      </c>
      <c r="B345" s="116">
        <v>70.099999999999994</v>
      </c>
      <c r="C345" s="116">
        <v>69.400000000000006</v>
      </c>
      <c r="D345" s="116">
        <v>68.3</v>
      </c>
      <c r="E345" s="116">
        <v>68.5</v>
      </c>
      <c r="F345" s="116">
        <v>69.400000000000006</v>
      </c>
      <c r="G345">
        <v>361166</v>
      </c>
      <c r="H345" s="116"/>
      <c r="I345" s="116"/>
      <c r="L345" s="170">
        <v>42510</v>
      </c>
      <c r="M345" s="116">
        <v>69.400000000000006</v>
      </c>
      <c r="N345" s="116">
        <v>70.150000000000006</v>
      </c>
      <c r="O345" s="116">
        <v>68.45</v>
      </c>
      <c r="P345" s="116">
        <v>68.650000000000006</v>
      </c>
      <c r="Q345" s="116">
        <v>69.400000000000006</v>
      </c>
      <c r="R345">
        <v>3274768</v>
      </c>
    </row>
    <row r="346" spans="1:18" x14ac:dyDescent="0.25">
      <c r="A346" s="170">
        <v>42513</v>
      </c>
      <c r="B346" s="116">
        <v>71.5</v>
      </c>
      <c r="C346" s="116">
        <v>70.7</v>
      </c>
      <c r="D346" s="116">
        <v>70.3</v>
      </c>
      <c r="E346" s="116">
        <v>71.2</v>
      </c>
      <c r="F346" s="116">
        <v>70.7</v>
      </c>
      <c r="G346">
        <v>400620</v>
      </c>
      <c r="H346" s="116"/>
      <c r="I346" s="116"/>
      <c r="L346" s="170">
        <v>42513</v>
      </c>
      <c r="M346" s="116">
        <v>70.650000000000006</v>
      </c>
      <c r="N346" s="116">
        <v>71.400000000000006</v>
      </c>
      <c r="O346" s="116">
        <v>70.25</v>
      </c>
      <c r="P346" s="116">
        <v>71.2</v>
      </c>
      <c r="Q346" s="116">
        <v>70.650000000000006</v>
      </c>
      <c r="R346">
        <v>4459879</v>
      </c>
    </row>
    <row r="347" spans="1:18" x14ac:dyDescent="0.25">
      <c r="A347" s="170">
        <v>42514</v>
      </c>
      <c r="B347" s="116">
        <v>72.7</v>
      </c>
      <c r="C347" s="116">
        <v>71.7</v>
      </c>
      <c r="D347" s="116">
        <v>71.3</v>
      </c>
      <c r="E347" s="116">
        <v>72.5</v>
      </c>
      <c r="F347" s="116">
        <v>71.7</v>
      </c>
      <c r="G347">
        <v>779973</v>
      </c>
      <c r="H347" s="116"/>
      <c r="I347" s="116"/>
      <c r="L347" s="170">
        <v>42514</v>
      </c>
      <c r="M347" s="116">
        <v>71.7</v>
      </c>
      <c r="N347" s="116">
        <v>72.75</v>
      </c>
      <c r="O347" s="116">
        <v>71.25</v>
      </c>
      <c r="P347" s="116">
        <v>72.2</v>
      </c>
      <c r="Q347" s="116">
        <v>71.7</v>
      </c>
      <c r="R347">
        <v>7098409</v>
      </c>
    </row>
    <row r="348" spans="1:18" x14ac:dyDescent="0.25">
      <c r="A348" s="170">
        <v>42515</v>
      </c>
      <c r="B348" s="116">
        <v>73.349999999999994</v>
      </c>
      <c r="C348" s="116">
        <v>73.099999999999994</v>
      </c>
      <c r="D348" s="116">
        <v>71.8</v>
      </c>
      <c r="E348" s="116">
        <v>72.05</v>
      </c>
      <c r="F348" s="116">
        <v>73.099999999999994</v>
      </c>
      <c r="G348">
        <v>876032</v>
      </c>
      <c r="H348" s="116"/>
      <c r="I348" s="116"/>
      <c r="L348" s="170">
        <v>42515</v>
      </c>
      <c r="M348" s="116">
        <v>73.150000000000006</v>
      </c>
      <c r="N348" s="116">
        <v>73.400000000000006</v>
      </c>
      <c r="O348" s="116">
        <v>71.8</v>
      </c>
      <c r="P348" s="116">
        <v>72.150000000000006</v>
      </c>
      <c r="Q348" s="116">
        <v>73.150000000000006</v>
      </c>
      <c r="R348">
        <v>3625265</v>
      </c>
    </row>
    <row r="349" spans="1:18" x14ac:dyDescent="0.25">
      <c r="A349" s="170">
        <v>42516</v>
      </c>
      <c r="B349" s="116">
        <v>73.8</v>
      </c>
      <c r="C349" s="116">
        <v>73.5</v>
      </c>
      <c r="D349" s="116">
        <v>72.400000000000006</v>
      </c>
      <c r="E349" s="116">
        <v>73.349999999999994</v>
      </c>
      <c r="F349" s="116">
        <v>73.5</v>
      </c>
      <c r="G349">
        <v>312661</v>
      </c>
      <c r="H349" s="116"/>
      <c r="I349" s="116"/>
      <c r="L349" s="170">
        <v>42516</v>
      </c>
      <c r="M349" s="116">
        <v>73.650000000000006</v>
      </c>
      <c r="N349" s="116">
        <v>74</v>
      </c>
      <c r="O349" s="116">
        <v>72.3</v>
      </c>
      <c r="P349" s="116">
        <v>73.5</v>
      </c>
      <c r="Q349" s="116">
        <v>73.650000000000006</v>
      </c>
      <c r="R349">
        <v>5051648</v>
      </c>
    </row>
    <row r="350" spans="1:18" x14ac:dyDescent="0.25">
      <c r="A350" s="170">
        <v>42517</v>
      </c>
      <c r="B350" s="116">
        <v>74.7</v>
      </c>
      <c r="C350" s="116">
        <v>72.7</v>
      </c>
      <c r="D350" s="116">
        <v>72.400000000000006</v>
      </c>
      <c r="E350" s="116">
        <v>73.25</v>
      </c>
      <c r="F350" s="116">
        <v>72.7</v>
      </c>
      <c r="G350">
        <v>435388</v>
      </c>
      <c r="H350" s="116"/>
      <c r="I350" s="116"/>
      <c r="L350" s="170">
        <v>42517</v>
      </c>
      <c r="M350" s="116">
        <v>72.599999999999994</v>
      </c>
      <c r="N350" s="116">
        <v>74.8</v>
      </c>
      <c r="O350" s="116">
        <v>72.400000000000006</v>
      </c>
      <c r="P350" s="116">
        <v>73.650000000000006</v>
      </c>
      <c r="Q350" s="116">
        <v>72.599999999999994</v>
      </c>
      <c r="R350">
        <v>4308396</v>
      </c>
    </row>
    <row r="351" spans="1:18" x14ac:dyDescent="0.25">
      <c r="A351" s="170">
        <v>42520</v>
      </c>
      <c r="B351" s="116">
        <v>75.900000000000006</v>
      </c>
      <c r="C351" s="116">
        <v>75.099999999999994</v>
      </c>
      <c r="D351" s="116">
        <v>72.3</v>
      </c>
      <c r="E351" s="116">
        <v>72.5</v>
      </c>
      <c r="F351" s="116">
        <v>75.099999999999994</v>
      </c>
      <c r="G351">
        <v>562027</v>
      </c>
      <c r="H351" s="116"/>
      <c r="I351" s="116"/>
      <c r="L351" s="170">
        <v>42520</v>
      </c>
      <c r="M351" s="116">
        <v>75.150000000000006</v>
      </c>
      <c r="N351" s="116">
        <v>76</v>
      </c>
      <c r="O351" s="116">
        <v>72.3</v>
      </c>
      <c r="P351" s="116">
        <v>72.900000000000006</v>
      </c>
      <c r="Q351" s="116">
        <v>75.150000000000006</v>
      </c>
      <c r="R351">
        <v>4012385</v>
      </c>
    </row>
    <row r="352" spans="1:18" x14ac:dyDescent="0.25">
      <c r="A352" s="170">
        <v>42521</v>
      </c>
      <c r="B352" s="116">
        <v>75.599999999999994</v>
      </c>
      <c r="C352" s="116">
        <v>73.849999999999994</v>
      </c>
      <c r="D352" s="116">
        <v>73.400000000000006</v>
      </c>
      <c r="E352" s="116">
        <v>75.5</v>
      </c>
      <c r="F352" s="116">
        <v>73.849999999999994</v>
      </c>
      <c r="G352">
        <v>295585</v>
      </c>
      <c r="H352" s="116"/>
      <c r="I352" s="116"/>
      <c r="L352" s="170">
        <v>42521</v>
      </c>
      <c r="M352" s="116">
        <v>73.75</v>
      </c>
      <c r="N352" s="116">
        <v>75.3</v>
      </c>
      <c r="O352" s="116">
        <v>73.3</v>
      </c>
      <c r="P352" s="116">
        <v>75</v>
      </c>
      <c r="Q352" s="116">
        <v>73.75</v>
      </c>
      <c r="R352">
        <v>6855752</v>
      </c>
    </row>
    <row r="353" spans="1:18" x14ac:dyDescent="0.25">
      <c r="A353" s="170">
        <v>42522</v>
      </c>
      <c r="B353" s="116">
        <v>74.95</v>
      </c>
      <c r="C353" s="116">
        <v>72.849999999999994</v>
      </c>
      <c r="D353" s="116">
        <v>72.5</v>
      </c>
      <c r="E353" s="116">
        <v>74.5</v>
      </c>
      <c r="F353" s="116">
        <v>72.849999999999994</v>
      </c>
      <c r="G353">
        <v>291667</v>
      </c>
      <c r="H353" s="116"/>
      <c r="I353" s="116"/>
      <c r="L353" s="170">
        <v>42522</v>
      </c>
      <c r="M353" s="116">
        <v>72.75</v>
      </c>
      <c r="N353" s="116">
        <v>74.95</v>
      </c>
      <c r="O353" s="116">
        <v>72.45</v>
      </c>
      <c r="P353" s="116">
        <v>74.95</v>
      </c>
      <c r="Q353" s="116">
        <v>72.75</v>
      </c>
      <c r="R353">
        <v>4052173</v>
      </c>
    </row>
    <row r="354" spans="1:18" x14ac:dyDescent="0.25">
      <c r="A354" s="170">
        <v>42523</v>
      </c>
      <c r="B354" s="116">
        <v>73.45</v>
      </c>
      <c r="C354" s="116">
        <v>72.099999999999994</v>
      </c>
      <c r="D354" s="116">
        <v>71.75</v>
      </c>
      <c r="E354" s="116">
        <v>72.7</v>
      </c>
      <c r="F354" s="116">
        <v>72.099999999999994</v>
      </c>
      <c r="G354">
        <v>531881</v>
      </c>
      <c r="H354" s="116"/>
      <c r="I354" s="116"/>
      <c r="L354" s="170">
        <v>42523</v>
      </c>
      <c r="M354" s="116">
        <v>72.25</v>
      </c>
      <c r="N354" s="116">
        <v>73.55</v>
      </c>
      <c r="O354" s="116">
        <v>71.900000000000006</v>
      </c>
      <c r="P354" s="116">
        <v>72.849999999999994</v>
      </c>
      <c r="Q354" s="116">
        <v>72.25</v>
      </c>
      <c r="R354">
        <v>4488291</v>
      </c>
    </row>
    <row r="355" spans="1:18" x14ac:dyDescent="0.25">
      <c r="A355" s="170">
        <v>42524</v>
      </c>
      <c r="B355" s="116">
        <v>74.349999999999994</v>
      </c>
      <c r="C355" s="116">
        <v>73.849999999999994</v>
      </c>
      <c r="D355" s="116">
        <v>72.3</v>
      </c>
      <c r="E355" s="116">
        <v>72.3</v>
      </c>
      <c r="F355" s="116">
        <v>73.849999999999994</v>
      </c>
      <c r="G355">
        <v>465625</v>
      </c>
      <c r="H355" s="116"/>
      <c r="I355" s="116"/>
      <c r="L355" s="170">
        <v>42524</v>
      </c>
      <c r="M355" s="116">
        <v>73.900000000000006</v>
      </c>
      <c r="N355" s="116">
        <v>74.45</v>
      </c>
      <c r="O355" s="116">
        <v>72.349999999999994</v>
      </c>
      <c r="P355" s="116">
        <v>72.349999999999994</v>
      </c>
      <c r="Q355" s="116">
        <v>73.900000000000006</v>
      </c>
      <c r="R355">
        <v>4785183</v>
      </c>
    </row>
    <row r="356" spans="1:18" x14ac:dyDescent="0.25">
      <c r="A356" s="170">
        <v>42527</v>
      </c>
      <c r="B356" s="116">
        <v>74.95</v>
      </c>
      <c r="C356" s="116">
        <v>74.25</v>
      </c>
      <c r="D356" s="116">
        <v>72.95</v>
      </c>
      <c r="E356" s="116">
        <v>74</v>
      </c>
      <c r="F356" s="116">
        <v>74.25</v>
      </c>
      <c r="G356">
        <v>259084</v>
      </c>
      <c r="H356" s="116"/>
      <c r="I356" s="116"/>
      <c r="L356" s="170">
        <v>42527</v>
      </c>
      <c r="M356" s="116">
        <v>74.2</v>
      </c>
      <c r="N356" s="116">
        <v>75</v>
      </c>
      <c r="O356" s="116">
        <v>72.95</v>
      </c>
      <c r="P356" s="116">
        <v>74</v>
      </c>
      <c r="Q356" s="116">
        <v>74.2</v>
      </c>
      <c r="R356">
        <v>2596711</v>
      </c>
    </row>
    <row r="357" spans="1:18" x14ac:dyDescent="0.25">
      <c r="A357" s="170">
        <v>42528</v>
      </c>
      <c r="B357" s="116">
        <v>74.650000000000006</v>
      </c>
      <c r="C357" s="116">
        <v>73.55</v>
      </c>
      <c r="D357" s="116">
        <v>73.2</v>
      </c>
      <c r="E357" s="116">
        <v>74.400000000000006</v>
      </c>
      <c r="F357" s="116">
        <v>73.55</v>
      </c>
      <c r="G357">
        <v>178697</v>
      </c>
      <c r="H357" s="116"/>
      <c r="I357" s="116"/>
      <c r="L357" s="170">
        <v>42528</v>
      </c>
      <c r="M357" s="116">
        <v>73.5</v>
      </c>
      <c r="N357" s="116">
        <v>74.7</v>
      </c>
      <c r="O357" s="116">
        <v>73</v>
      </c>
      <c r="P357" s="116">
        <v>74.5</v>
      </c>
      <c r="Q357" s="116">
        <v>73.5</v>
      </c>
      <c r="R357">
        <v>5048835</v>
      </c>
    </row>
    <row r="358" spans="1:18" x14ac:dyDescent="0.25">
      <c r="A358" s="170">
        <v>42529</v>
      </c>
      <c r="B358" s="116">
        <v>75.849999999999994</v>
      </c>
      <c r="C358" s="116">
        <v>75.55</v>
      </c>
      <c r="D358" s="116">
        <v>72.900000000000006</v>
      </c>
      <c r="E358" s="116">
        <v>73.099999999999994</v>
      </c>
      <c r="F358" s="116">
        <v>75.55</v>
      </c>
      <c r="G358">
        <v>664110</v>
      </c>
      <c r="H358" s="116"/>
      <c r="I358" s="116"/>
      <c r="L358" s="170">
        <v>42529</v>
      </c>
      <c r="M358" s="116">
        <v>75.45</v>
      </c>
      <c r="N358" s="116">
        <v>75.900000000000006</v>
      </c>
      <c r="O358" s="116">
        <v>73.150000000000006</v>
      </c>
      <c r="P358" s="116">
        <v>73.849999999999994</v>
      </c>
      <c r="Q358" s="116">
        <v>75.45</v>
      </c>
      <c r="R358">
        <v>4076787</v>
      </c>
    </row>
    <row r="359" spans="1:18" x14ac:dyDescent="0.25">
      <c r="A359" s="170">
        <v>42530</v>
      </c>
      <c r="B359" s="116">
        <v>77.150000000000006</v>
      </c>
      <c r="C359" s="116">
        <v>75.7</v>
      </c>
      <c r="D359" s="116">
        <v>75.25</v>
      </c>
      <c r="E359" s="116">
        <v>76.099999999999994</v>
      </c>
      <c r="F359" s="116">
        <v>75.7</v>
      </c>
      <c r="G359">
        <v>747387</v>
      </c>
      <c r="H359" s="116"/>
      <c r="I359" s="116"/>
      <c r="L359" s="170">
        <v>42530</v>
      </c>
      <c r="M359" s="116">
        <v>75.650000000000006</v>
      </c>
      <c r="N359" s="116">
        <v>77.2</v>
      </c>
      <c r="O359" s="116">
        <v>75.2</v>
      </c>
      <c r="P359" s="116">
        <v>76.2</v>
      </c>
      <c r="Q359" s="116">
        <v>75.650000000000006</v>
      </c>
      <c r="R359">
        <v>6019577</v>
      </c>
    </row>
    <row r="360" spans="1:18" x14ac:dyDescent="0.25">
      <c r="A360" s="170">
        <v>42531</v>
      </c>
      <c r="B360" s="116">
        <v>76.650000000000006</v>
      </c>
      <c r="C360" s="116">
        <v>76</v>
      </c>
      <c r="D360" s="116">
        <v>75.349999999999994</v>
      </c>
      <c r="E360" s="116">
        <v>75.900000000000006</v>
      </c>
      <c r="F360" s="116">
        <v>76</v>
      </c>
      <c r="G360">
        <v>480784</v>
      </c>
      <c r="H360" s="116"/>
      <c r="I360" s="116"/>
      <c r="L360" s="170">
        <v>42531</v>
      </c>
      <c r="M360" s="116">
        <v>76.2</v>
      </c>
      <c r="N360" s="116">
        <v>76.650000000000006</v>
      </c>
      <c r="O360" s="116">
        <v>75.400000000000006</v>
      </c>
      <c r="P360" s="116">
        <v>75.75</v>
      </c>
      <c r="Q360" s="116">
        <v>76.2</v>
      </c>
      <c r="R360">
        <v>2779257</v>
      </c>
    </row>
    <row r="361" spans="1:18" x14ac:dyDescent="0.25">
      <c r="A361" s="170">
        <v>42534</v>
      </c>
      <c r="B361" s="116">
        <v>77.95</v>
      </c>
      <c r="C361" s="116">
        <v>75.75</v>
      </c>
      <c r="D361" s="116">
        <v>75.150000000000006</v>
      </c>
      <c r="E361" s="116">
        <v>77.5</v>
      </c>
      <c r="F361" s="116">
        <v>75.75</v>
      </c>
      <c r="G361">
        <v>971080</v>
      </c>
      <c r="H361" s="116"/>
      <c r="I361" s="116"/>
      <c r="L361" s="170">
        <v>42534</v>
      </c>
      <c r="M361" s="116">
        <v>75.650000000000006</v>
      </c>
      <c r="N361" s="116">
        <v>77.400000000000006</v>
      </c>
      <c r="O361" s="116">
        <v>75.099999999999994</v>
      </c>
      <c r="P361" s="116">
        <v>77</v>
      </c>
      <c r="Q361" s="116">
        <v>75.650000000000006</v>
      </c>
      <c r="R361">
        <v>8139327</v>
      </c>
    </row>
    <row r="362" spans="1:18" x14ac:dyDescent="0.25">
      <c r="A362" s="170">
        <v>42535</v>
      </c>
      <c r="B362" s="116">
        <v>76.3</v>
      </c>
      <c r="C362" s="116">
        <v>75.75</v>
      </c>
      <c r="D362" s="116">
        <v>74.75</v>
      </c>
      <c r="E362" s="116">
        <v>76</v>
      </c>
      <c r="F362" s="116">
        <v>75.75</v>
      </c>
      <c r="G362">
        <v>309637</v>
      </c>
      <c r="H362" s="116"/>
      <c r="I362" s="116"/>
      <c r="L362" s="170">
        <v>42535</v>
      </c>
      <c r="M362" s="116">
        <v>75.650000000000006</v>
      </c>
      <c r="N362" s="116">
        <v>76.150000000000006</v>
      </c>
      <c r="O362" s="116">
        <v>74.55</v>
      </c>
      <c r="P362" s="116">
        <v>75.95</v>
      </c>
      <c r="Q362" s="116">
        <v>75.650000000000006</v>
      </c>
      <c r="R362">
        <v>3686745</v>
      </c>
    </row>
    <row r="363" spans="1:18" x14ac:dyDescent="0.25">
      <c r="A363" s="170">
        <v>42536</v>
      </c>
      <c r="B363" s="116">
        <v>77</v>
      </c>
      <c r="C363" s="116">
        <v>76.5</v>
      </c>
      <c r="D363" s="116">
        <v>75.650000000000006</v>
      </c>
      <c r="E363" s="116">
        <v>76</v>
      </c>
      <c r="F363" s="116">
        <v>76.5</v>
      </c>
      <c r="G363">
        <v>355775</v>
      </c>
      <c r="H363" s="116"/>
      <c r="I363" s="116"/>
      <c r="L363" s="170">
        <v>42536</v>
      </c>
      <c r="M363" s="116">
        <v>76.55</v>
      </c>
      <c r="N363" s="116">
        <v>77</v>
      </c>
      <c r="O363" s="116">
        <v>75.599999999999994</v>
      </c>
      <c r="P363" s="116">
        <v>76.349999999999994</v>
      </c>
      <c r="Q363" s="116">
        <v>76.55</v>
      </c>
      <c r="R363">
        <v>3143905</v>
      </c>
    </row>
    <row r="364" spans="1:18" x14ac:dyDescent="0.25">
      <c r="A364" s="170">
        <v>42537</v>
      </c>
      <c r="B364" s="116">
        <v>77.099999999999994</v>
      </c>
      <c r="C364" s="116">
        <v>76.25</v>
      </c>
      <c r="D364" s="116">
        <v>74.5</v>
      </c>
      <c r="E364" s="116">
        <v>77.099999999999994</v>
      </c>
      <c r="F364" s="116">
        <v>76.25</v>
      </c>
      <c r="G364">
        <v>405254</v>
      </c>
      <c r="H364" s="116"/>
      <c r="I364" s="116"/>
      <c r="L364" s="170">
        <v>42537</v>
      </c>
      <c r="M364" s="116">
        <v>76.3</v>
      </c>
      <c r="N364" s="116">
        <v>76.95</v>
      </c>
      <c r="O364" s="116">
        <v>74.45</v>
      </c>
      <c r="P364" s="116">
        <v>76.45</v>
      </c>
      <c r="Q364" s="116">
        <v>76.3</v>
      </c>
      <c r="R364">
        <v>3581801</v>
      </c>
    </row>
    <row r="365" spans="1:18" x14ac:dyDescent="0.25">
      <c r="A365" s="170">
        <v>42538</v>
      </c>
      <c r="B365" s="116">
        <v>76</v>
      </c>
      <c r="C365" s="116">
        <v>73.650000000000006</v>
      </c>
      <c r="D365" s="116">
        <v>72.45</v>
      </c>
      <c r="E365" s="116">
        <v>76</v>
      </c>
      <c r="F365" s="116">
        <v>73.650000000000006</v>
      </c>
      <c r="G365">
        <v>677173</v>
      </c>
      <c r="H365" s="116"/>
      <c r="I365" s="116"/>
      <c r="L365" s="170">
        <v>42538</v>
      </c>
      <c r="M365" s="116">
        <v>73.7</v>
      </c>
      <c r="N365" s="116">
        <v>76.150000000000006</v>
      </c>
      <c r="O365" s="116">
        <v>72.3</v>
      </c>
      <c r="P365" s="116">
        <v>76</v>
      </c>
      <c r="Q365" s="116">
        <v>73.7</v>
      </c>
      <c r="R365">
        <v>6058409</v>
      </c>
    </row>
    <row r="366" spans="1:18" x14ac:dyDescent="0.25">
      <c r="A366" s="170">
        <v>42541</v>
      </c>
      <c r="B366" s="116">
        <v>75.349999999999994</v>
      </c>
      <c r="C366" s="116">
        <v>75.150000000000006</v>
      </c>
      <c r="D366" s="116">
        <v>72.55</v>
      </c>
      <c r="E366" s="116">
        <v>73</v>
      </c>
      <c r="F366" s="116">
        <v>75.150000000000006</v>
      </c>
      <c r="G366">
        <v>295568</v>
      </c>
      <c r="H366" s="116"/>
      <c r="I366" s="116"/>
      <c r="L366" s="170">
        <v>42541</v>
      </c>
      <c r="M366" s="116">
        <v>75.05</v>
      </c>
      <c r="N366" s="116">
        <v>75.2</v>
      </c>
      <c r="O366" s="116">
        <v>72.45</v>
      </c>
      <c r="P366" s="116">
        <v>73.349999999999994</v>
      </c>
      <c r="Q366" s="116">
        <v>75.05</v>
      </c>
      <c r="R366">
        <v>2258131</v>
      </c>
    </row>
    <row r="367" spans="1:18" x14ac:dyDescent="0.25">
      <c r="A367" s="170">
        <v>42542</v>
      </c>
      <c r="B367" s="116">
        <v>75.400000000000006</v>
      </c>
      <c r="C367" s="116">
        <v>73.400000000000006</v>
      </c>
      <c r="D367" s="116">
        <v>73.2</v>
      </c>
      <c r="E367" s="116">
        <v>75.400000000000006</v>
      </c>
      <c r="F367" s="116">
        <v>73.400000000000006</v>
      </c>
      <c r="G367">
        <v>303939</v>
      </c>
      <c r="H367" s="116"/>
      <c r="I367" s="116"/>
      <c r="L367" s="170">
        <v>42542</v>
      </c>
      <c r="M367" s="116">
        <v>73.3</v>
      </c>
      <c r="N367" s="116">
        <v>75.900000000000006</v>
      </c>
      <c r="O367" s="116">
        <v>73.150000000000006</v>
      </c>
      <c r="P367" s="116">
        <v>75.349999999999994</v>
      </c>
      <c r="Q367" s="116">
        <v>73.3</v>
      </c>
      <c r="R367">
        <v>3364513</v>
      </c>
    </row>
    <row r="368" spans="1:18" x14ac:dyDescent="0.25">
      <c r="A368" s="170">
        <v>42543</v>
      </c>
      <c r="B368" s="116">
        <v>74.2</v>
      </c>
      <c r="C368" s="116">
        <v>73.650000000000006</v>
      </c>
      <c r="D368" s="116">
        <v>73.2</v>
      </c>
      <c r="E368" s="116">
        <v>73.5</v>
      </c>
      <c r="F368" s="116">
        <v>73.650000000000006</v>
      </c>
      <c r="G368">
        <v>232456</v>
      </c>
      <c r="H368" s="116"/>
      <c r="I368" s="116"/>
      <c r="L368" s="170">
        <v>42543</v>
      </c>
      <c r="M368" s="116">
        <v>73.7</v>
      </c>
      <c r="N368" s="116">
        <v>74.099999999999994</v>
      </c>
      <c r="O368" s="116">
        <v>73.05</v>
      </c>
      <c r="P368" s="116">
        <v>73.55</v>
      </c>
      <c r="Q368" s="116">
        <v>73.7</v>
      </c>
      <c r="R368">
        <v>2269167</v>
      </c>
    </row>
    <row r="369" spans="1:18" x14ac:dyDescent="0.25">
      <c r="A369" s="170">
        <v>42544</v>
      </c>
      <c r="B369" s="116">
        <v>74.650000000000006</v>
      </c>
      <c r="C369" s="116">
        <v>72.45</v>
      </c>
      <c r="D369" s="116">
        <v>71.95</v>
      </c>
      <c r="E369" s="116">
        <v>73.7</v>
      </c>
      <c r="F369" s="116">
        <v>72.45</v>
      </c>
      <c r="G369">
        <v>846538</v>
      </c>
      <c r="H369" s="116"/>
      <c r="I369" s="116"/>
      <c r="L369" s="170">
        <v>42544</v>
      </c>
      <c r="M369" s="116">
        <v>73.099999999999994</v>
      </c>
      <c r="N369" s="116">
        <v>75.099999999999994</v>
      </c>
      <c r="O369" s="116">
        <v>71.95</v>
      </c>
      <c r="P369" s="116">
        <v>73.3</v>
      </c>
      <c r="Q369" s="116">
        <v>73.099999999999994</v>
      </c>
      <c r="R369">
        <v>6538971</v>
      </c>
    </row>
    <row r="370" spans="1:18" x14ac:dyDescent="0.25">
      <c r="A370" s="170">
        <v>42545</v>
      </c>
      <c r="B370" s="116">
        <v>72.95</v>
      </c>
      <c r="C370" s="116">
        <v>72.650000000000006</v>
      </c>
      <c r="D370" s="116">
        <v>69.400000000000006</v>
      </c>
      <c r="E370" s="116">
        <v>71</v>
      </c>
      <c r="F370" s="116">
        <v>72.650000000000006</v>
      </c>
      <c r="G370">
        <v>683972</v>
      </c>
      <c r="H370" s="116"/>
      <c r="I370" s="116"/>
      <c r="L370" s="170">
        <v>42545</v>
      </c>
      <c r="M370" s="116">
        <v>72.7</v>
      </c>
      <c r="N370" s="116">
        <v>72.900000000000006</v>
      </c>
      <c r="O370" s="116">
        <v>69.3</v>
      </c>
      <c r="P370" s="116">
        <v>71.55</v>
      </c>
      <c r="Q370" s="116">
        <v>72.7</v>
      </c>
      <c r="R370">
        <v>4366513</v>
      </c>
    </row>
    <row r="371" spans="1:18" x14ac:dyDescent="0.25">
      <c r="A371" s="170">
        <v>42548</v>
      </c>
      <c r="B371" s="116">
        <v>73</v>
      </c>
      <c r="C371" s="116">
        <v>72.2</v>
      </c>
      <c r="D371" s="116">
        <v>71.75</v>
      </c>
      <c r="E371" s="116">
        <v>72.650000000000006</v>
      </c>
      <c r="F371" s="116">
        <v>72.2</v>
      </c>
      <c r="G371">
        <v>411106</v>
      </c>
      <c r="H371" s="116"/>
      <c r="I371" s="116"/>
      <c r="L371" s="170">
        <v>42548</v>
      </c>
      <c r="M371" s="116">
        <v>72.2</v>
      </c>
      <c r="N371" s="116">
        <v>72.650000000000006</v>
      </c>
      <c r="O371" s="116">
        <v>71.75</v>
      </c>
      <c r="P371" s="116">
        <v>72.5</v>
      </c>
      <c r="Q371" s="116">
        <v>72.2</v>
      </c>
      <c r="R371">
        <v>2383918</v>
      </c>
    </row>
    <row r="372" spans="1:18" x14ac:dyDescent="0.25">
      <c r="A372" s="170">
        <v>42549</v>
      </c>
      <c r="B372" s="116">
        <v>72.7</v>
      </c>
      <c r="C372" s="116">
        <v>71.849999999999994</v>
      </c>
      <c r="D372" s="116">
        <v>71.599999999999994</v>
      </c>
      <c r="E372" s="116">
        <v>72.099999999999994</v>
      </c>
      <c r="F372" s="116">
        <v>71.849999999999994</v>
      </c>
      <c r="G372">
        <v>250197</v>
      </c>
      <c r="H372" s="116"/>
      <c r="I372" s="116"/>
      <c r="L372" s="170">
        <v>42549</v>
      </c>
      <c r="M372" s="116">
        <v>72</v>
      </c>
      <c r="N372" s="116">
        <v>72.75</v>
      </c>
      <c r="O372" s="116">
        <v>71.75</v>
      </c>
      <c r="P372" s="116">
        <v>72.25</v>
      </c>
      <c r="Q372" s="116">
        <v>72</v>
      </c>
      <c r="R372">
        <v>2667445</v>
      </c>
    </row>
    <row r="373" spans="1:18" x14ac:dyDescent="0.25">
      <c r="A373" s="170">
        <v>42550</v>
      </c>
      <c r="B373" s="116">
        <v>73.2</v>
      </c>
      <c r="C373" s="116">
        <v>72.650000000000006</v>
      </c>
      <c r="D373" s="116">
        <v>72</v>
      </c>
      <c r="E373" s="116">
        <v>72</v>
      </c>
      <c r="F373" s="116">
        <v>72.650000000000006</v>
      </c>
      <c r="G373">
        <v>293773</v>
      </c>
      <c r="H373" s="116"/>
      <c r="I373" s="116"/>
      <c r="L373" s="170">
        <v>42550</v>
      </c>
      <c r="M373" s="116">
        <v>72.650000000000006</v>
      </c>
      <c r="N373" s="116">
        <v>73.2</v>
      </c>
      <c r="O373" s="116">
        <v>72</v>
      </c>
      <c r="P373" s="116">
        <v>72.349999999999994</v>
      </c>
      <c r="Q373" s="116">
        <v>72.650000000000006</v>
      </c>
      <c r="R373">
        <v>4642666</v>
      </c>
    </row>
    <row r="374" spans="1:18" x14ac:dyDescent="0.25">
      <c r="A374" s="170">
        <v>42551</v>
      </c>
      <c r="B374" s="116">
        <v>73.650000000000006</v>
      </c>
      <c r="C374" s="116">
        <v>73.45</v>
      </c>
      <c r="D374" s="116">
        <v>72.650000000000006</v>
      </c>
      <c r="E374" s="116">
        <v>72.7</v>
      </c>
      <c r="F374" s="116">
        <v>73.45</v>
      </c>
      <c r="G374">
        <v>345372</v>
      </c>
      <c r="H374" s="116"/>
      <c r="I374" s="116"/>
      <c r="L374" s="170">
        <v>42551</v>
      </c>
      <c r="M374" s="116">
        <v>73.349999999999994</v>
      </c>
      <c r="N374" s="116">
        <v>73.7</v>
      </c>
      <c r="O374" s="116">
        <v>72.599999999999994</v>
      </c>
      <c r="P374" s="116">
        <v>72.849999999999994</v>
      </c>
      <c r="Q374" s="116">
        <v>73.349999999999994</v>
      </c>
      <c r="R374">
        <v>10502775</v>
      </c>
    </row>
    <row r="375" spans="1:18" x14ac:dyDescent="0.25">
      <c r="A375" s="170">
        <v>42552</v>
      </c>
      <c r="B375" s="116">
        <v>74.95</v>
      </c>
      <c r="C375" s="116">
        <v>74.45</v>
      </c>
      <c r="D375" s="116">
        <v>73.900000000000006</v>
      </c>
      <c r="E375" s="116">
        <v>74</v>
      </c>
      <c r="F375" s="116">
        <v>74.45</v>
      </c>
      <c r="G375">
        <v>480284</v>
      </c>
      <c r="H375" s="116"/>
      <c r="I375" s="116"/>
      <c r="L375" s="170">
        <v>42552</v>
      </c>
      <c r="M375" s="116">
        <v>74.349999999999994</v>
      </c>
      <c r="N375" s="116">
        <v>74.849999999999994</v>
      </c>
      <c r="O375" s="116">
        <v>73.900000000000006</v>
      </c>
      <c r="P375" s="116">
        <v>74</v>
      </c>
      <c r="Q375" s="116">
        <v>74.349999999999994</v>
      </c>
      <c r="R375">
        <v>7839162</v>
      </c>
    </row>
    <row r="376" spans="1:18" x14ac:dyDescent="0.25">
      <c r="A376" s="170">
        <v>42555</v>
      </c>
      <c r="B376" s="116">
        <v>75.5</v>
      </c>
      <c r="C376" s="116">
        <v>74.849999999999994</v>
      </c>
      <c r="D376" s="116">
        <v>74.55</v>
      </c>
      <c r="E376" s="116">
        <v>74.650000000000006</v>
      </c>
      <c r="F376" s="116">
        <v>74.849999999999994</v>
      </c>
      <c r="G376">
        <v>362125</v>
      </c>
      <c r="H376" s="116"/>
      <c r="I376" s="116"/>
      <c r="L376" s="170">
        <v>42555</v>
      </c>
      <c r="M376" s="116">
        <v>74.900000000000006</v>
      </c>
      <c r="N376" s="116">
        <v>75.55</v>
      </c>
      <c r="O376" s="116">
        <v>74.55</v>
      </c>
      <c r="P376" s="116">
        <v>75</v>
      </c>
      <c r="Q376" s="116">
        <v>74.900000000000006</v>
      </c>
      <c r="R376">
        <v>3698418</v>
      </c>
    </row>
    <row r="377" spans="1:18" x14ac:dyDescent="0.25">
      <c r="A377" s="170">
        <v>42556</v>
      </c>
      <c r="B377" s="116">
        <v>75</v>
      </c>
      <c r="C377" s="116">
        <v>74.349999999999994</v>
      </c>
      <c r="D377" s="116">
        <v>74</v>
      </c>
      <c r="E377" s="116">
        <v>75</v>
      </c>
      <c r="F377" s="116">
        <v>74.349999999999994</v>
      </c>
      <c r="G377">
        <v>264106</v>
      </c>
      <c r="H377" s="116"/>
      <c r="I377" s="116"/>
      <c r="L377" s="170">
        <v>42556</v>
      </c>
      <c r="M377" s="116">
        <v>74.3</v>
      </c>
      <c r="N377" s="116">
        <v>74.900000000000006</v>
      </c>
      <c r="O377" s="116">
        <v>73.849999999999994</v>
      </c>
      <c r="P377" s="116">
        <v>74.900000000000006</v>
      </c>
      <c r="Q377" s="116">
        <v>74.3</v>
      </c>
      <c r="R377">
        <v>3605391</v>
      </c>
    </row>
    <row r="378" spans="1:18" x14ac:dyDescent="0.25">
      <c r="A378" s="170">
        <v>42558</v>
      </c>
      <c r="B378" s="116">
        <v>74.349999999999994</v>
      </c>
      <c r="C378" s="116">
        <v>73.55</v>
      </c>
      <c r="D378" s="116">
        <v>73.400000000000006</v>
      </c>
      <c r="E378" s="116">
        <v>74</v>
      </c>
      <c r="F378" s="116">
        <v>73.55</v>
      </c>
      <c r="G378">
        <v>221460</v>
      </c>
      <c r="H378" s="116"/>
      <c r="I378" s="116"/>
      <c r="L378" s="170">
        <v>42558</v>
      </c>
      <c r="M378" s="116">
        <v>73.55</v>
      </c>
      <c r="N378" s="116">
        <v>74.400000000000006</v>
      </c>
      <c r="O378" s="116">
        <v>73.349999999999994</v>
      </c>
      <c r="P378" s="116">
        <v>74.25</v>
      </c>
      <c r="Q378" s="116">
        <v>73.55</v>
      </c>
      <c r="R378">
        <v>3261411</v>
      </c>
    </row>
    <row r="379" spans="1:18" x14ac:dyDescent="0.25">
      <c r="A379" s="170">
        <v>42559</v>
      </c>
      <c r="B379" s="116">
        <v>74.150000000000006</v>
      </c>
      <c r="C379" s="116">
        <v>73.349999999999994</v>
      </c>
      <c r="D379" s="116">
        <v>72.900000000000006</v>
      </c>
      <c r="E379" s="116">
        <v>74</v>
      </c>
      <c r="F379" s="116">
        <v>73.349999999999994</v>
      </c>
      <c r="G379">
        <v>231016</v>
      </c>
      <c r="H379" s="116"/>
      <c r="I379" s="116"/>
      <c r="L379" s="170">
        <v>42559</v>
      </c>
      <c r="M379" s="116">
        <v>73.2</v>
      </c>
      <c r="N379" s="116">
        <v>74.099999999999994</v>
      </c>
      <c r="O379" s="116">
        <v>72.8</v>
      </c>
      <c r="P379" s="116">
        <v>73.55</v>
      </c>
      <c r="Q379" s="116">
        <v>73.2</v>
      </c>
      <c r="R379">
        <v>3813860</v>
      </c>
    </row>
    <row r="380" spans="1:18" x14ac:dyDescent="0.25">
      <c r="A380" s="170">
        <v>42562</v>
      </c>
      <c r="B380" s="116">
        <v>74.099999999999994</v>
      </c>
      <c r="C380" s="116">
        <v>73.849999999999994</v>
      </c>
      <c r="D380" s="116">
        <v>73.400000000000006</v>
      </c>
      <c r="E380" s="116">
        <v>73.5</v>
      </c>
      <c r="F380" s="116">
        <v>73.849999999999994</v>
      </c>
      <c r="G380">
        <v>474970</v>
      </c>
      <c r="H380" s="116"/>
      <c r="I380" s="116"/>
      <c r="L380" s="170">
        <v>42562</v>
      </c>
      <c r="M380" s="116">
        <v>73.95</v>
      </c>
      <c r="N380" s="116">
        <v>74.25</v>
      </c>
      <c r="O380" s="116">
        <v>73.5</v>
      </c>
      <c r="P380" s="116">
        <v>74.05</v>
      </c>
      <c r="Q380" s="116">
        <v>73.95</v>
      </c>
      <c r="R380">
        <v>4781338</v>
      </c>
    </row>
    <row r="381" spans="1:18" x14ac:dyDescent="0.25">
      <c r="A381" s="170">
        <v>42563</v>
      </c>
      <c r="B381" s="116">
        <v>74.400000000000006</v>
      </c>
      <c r="C381" s="116">
        <v>72.75</v>
      </c>
      <c r="D381" s="116">
        <v>72.599999999999994</v>
      </c>
      <c r="E381" s="116">
        <v>74.400000000000006</v>
      </c>
      <c r="F381" s="116">
        <v>72.75</v>
      </c>
      <c r="G381">
        <v>650704</v>
      </c>
      <c r="H381" s="116"/>
      <c r="I381" s="116"/>
      <c r="L381" s="170">
        <v>42563</v>
      </c>
      <c r="M381" s="116">
        <v>72.7</v>
      </c>
      <c r="N381" s="116">
        <v>74.3</v>
      </c>
      <c r="O381" s="116">
        <v>71.099999999999994</v>
      </c>
      <c r="P381" s="116">
        <v>74.05</v>
      </c>
      <c r="Q381" s="116">
        <v>72.7</v>
      </c>
      <c r="R381">
        <v>6293320</v>
      </c>
    </row>
    <row r="382" spans="1:18" x14ac:dyDescent="0.25">
      <c r="A382" s="170">
        <v>42564</v>
      </c>
      <c r="B382" s="116">
        <v>73.3</v>
      </c>
      <c r="C382" s="116">
        <v>72.05</v>
      </c>
      <c r="D382" s="116">
        <v>71.849999999999994</v>
      </c>
      <c r="E382" s="116">
        <v>72.849999999999994</v>
      </c>
      <c r="F382" s="116">
        <v>72.05</v>
      </c>
      <c r="G382">
        <v>285568</v>
      </c>
      <c r="H382" s="116"/>
      <c r="I382" s="116"/>
      <c r="L382" s="170">
        <v>42564</v>
      </c>
      <c r="M382" s="116">
        <v>72.05</v>
      </c>
      <c r="N382" s="116">
        <v>73.25</v>
      </c>
      <c r="O382" s="116">
        <v>71.900000000000006</v>
      </c>
      <c r="P382" s="116">
        <v>72.8</v>
      </c>
      <c r="Q382" s="116">
        <v>72.05</v>
      </c>
      <c r="R382">
        <v>3796673</v>
      </c>
    </row>
    <row r="383" spans="1:18" x14ac:dyDescent="0.25">
      <c r="A383" s="170">
        <v>42565</v>
      </c>
      <c r="B383" s="116">
        <v>72</v>
      </c>
      <c r="C383" s="116">
        <v>71.75</v>
      </c>
      <c r="D383" s="116">
        <v>71.099999999999994</v>
      </c>
      <c r="E383" s="116">
        <v>71.099999999999994</v>
      </c>
      <c r="F383" s="116">
        <v>71.75</v>
      </c>
      <c r="G383">
        <v>216894</v>
      </c>
      <c r="H383" s="116"/>
      <c r="I383" s="116"/>
      <c r="L383" s="170">
        <v>42565</v>
      </c>
      <c r="M383" s="116">
        <v>71.8</v>
      </c>
      <c r="N383" s="116">
        <v>72</v>
      </c>
      <c r="O383" s="116">
        <v>71.150000000000006</v>
      </c>
      <c r="P383" s="116">
        <v>71.8</v>
      </c>
      <c r="Q383" s="116">
        <v>71.8</v>
      </c>
      <c r="R383">
        <v>3847226</v>
      </c>
    </row>
    <row r="384" spans="1:18" x14ac:dyDescent="0.25">
      <c r="A384" s="170">
        <v>42566</v>
      </c>
      <c r="B384" s="116">
        <v>72.3</v>
      </c>
      <c r="C384" s="116">
        <v>71.55</v>
      </c>
      <c r="D384" s="116">
        <v>71.2</v>
      </c>
      <c r="E384" s="116">
        <v>72</v>
      </c>
      <c r="F384" s="116">
        <v>71.55</v>
      </c>
      <c r="G384">
        <v>236672</v>
      </c>
      <c r="H384" s="116"/>
      <c r="I384" s="116"/>
      <c r="L384" s="170">
        <v>42566</v>
      </c>
      <c r="M384" s="116">
        <v>71.650000000000006</v>
      </c>
      <c r="N384" s="116">
        <v>72.55</v>
      </c>
      <c r="O384" s="116">
        <v>71.2</v>
      </c>
      <c r="P384" s="116">
        <v>72.55</v>
      </c>
      <c r="Q384" s="116">
        <v>71.650000000000006</v>
      </c>
      <c r="R384">
        <v>4554188</v>
      </c>
    </row>
    <row r="385" spans="1:18" x14ac:dyDescent="0.25">
      <c r="A385" s="170">
        <v>42569</v>
      </c>
      <c r="B385" s="116">
        <v>72</v>
      </c>
      <c r="C385" s="116">
        <v>70.349999999999994</v>
      </c>
      <c r="D385" s="116">
        <v>70.05</v>
      </c>
      <c r="E385" s="116">
        <v>72</v>
      </c>
      <c r="F385" s="116">
        <v>70.349999999999994</v>
      </c>
      <c r="G385">
        <v>226818</v>
      </c>
      <c r="H385" s="116"/>
      <c r="I385" s="116"/>
      <c r="L385" s="170">
        <v>42569</v>
      </c>
      <c r="M385" s="116">
        <v>70.349999999999994</v>
      </c>
      <c r="N385" s="116">
        <v>71.900000000000006</v>
      </c>
      <c r="O385" s="116">
        <v>70.05</v>
      </c>
      <c r="P385" s="116">
        <v>71.7</v>
      </c>
      <c r="Q385" s="116">
        <v>70.349999999999994</v>
      </c>
      <c r="R385">
        <v>2888146</v>
      </c>
    </row>
    <row r="386" spans="1:18" x14ac:dyDescent="0.25">
      <c r="A386" s="170">
        <v>42570</v>
      </c>
      <c r="B386" s="116">
        <v>71</v>
      </c>
      <c r="C386" s="116">
        <v>70.400000000000006</v>
      </c>
      <c r="D386" s="116">
        <v>69.7</v>
      </c>
      <c r="E386" s="116">
        <v>70.25</v>
      </c>
      <c r="F386" s="116">
        <v>70.400000000000006</v>
      </c>
      <c r="G386">
        <v>314908</v>
      </c>
      <c r="H386" s="116"/>
      <c r="I386" s="116"/>
      <c r="L386" s="170">
        <v>42570</v>
      </c>
      <c r="M386" s="116">
        <v>70.400000000000006</v>
      </c>
      <c r="N386" s="116">
        <v>71</v>
      </c>
      <c r="O386" s="116">
        <v>69.8</v>
      </c>
      <c r="P386" s="116">
        <v>70.75</v>
      </c>
      <c r="Q386" s="116">
        <v>70.400000000000006</v>
      </c>
      <c r="R386">
        <v>4152512</v>
      </c>
    </row>
    <row r="387" spans="1:18" x14ac:dyDescent="0.25">
      <c r="A387" s="170">
        <v>42571</v>
      </c>
      <c r="B387" s="116">
        <v>72.849999999999994</v>
      </c>
      <c r="C387" s="116">
        <v>72.349999999999994</v>
      </c>
      <c r="D387" s="116">
        <v>70.650000000000006</v>
      </c>
      <c r="E387" s="116">
        <v>70.8</v>
      </c>
      <c r="F387" s="116">
        <v>72.349999999999994</v>
      </c>
      <c r="G387">
        <v>374689</v>
      </c>
      <c r="H387" s="116"/>
      <c r="I387" s="116"/>
      <c r="L387" s="170">
        <v>42571</v>
      </c>
      <c r="M387" s="116">
        <v>72.349999999999994</v>
      </c>
      <c r="N387" s="116">
        <v>72.95</v>
      </c>
      <c r="O387" s="116">
        <v>70.400000000000006</v>
      </c>
      <c r="P387" s="116">
        <v>70.45</v>
      </c>
      <c r="Q387" s="116">
        <v>72.349999999999994</v>
      </c>
      <c r="R387">
        <v>6920848</v>
      </c>
    </row>
    <row r="388" spans="1:18" x14ac:dyDescent="0.25">
      <c r="A388" s="170">
        <v>42572</v>
      </c>
      <c r="B388" s="116">
        <v>73.05</v>
      </c>
      <c r="C388" s="116">
        <v>70.8</v>
      </c>
      <c r="D388" s="116">
        <v>70.599999999999994</v>
      </c>
      <c r="E388" s="116">
        <v>73</v>
      </c>
      <c r="F388" s="116">
        <v>70.8</v>
      </c>
      <c r="G388">
        <v>358966</v>
      </c>
      <c r="H388" s="116"/>
      <c r="I388" s="116"/>
      <c r="L388" s="170">
        <v>42572</v>
      </c>
      <c r="M388" s="116">
        <v>70.75</v>
      </c>
      <c r="N388" s="116">
        <v>73.150000000000006</v>
      </c>
      <c r="O388" s="116">
        <v>70.5</v>
      </c>
      <c r="P388" s="116">
        <v>73</v>
      </c>
      <c r="Q388" s="116">
        <v>70.75</v>
      </c>
      <c r="R388">
        <v>5259727</v>
      </c>
    </row>
    <row r="389" spans="1:18" x14ac:dyDescent="0.25">
      <c r="A389" s="170">
        <v>42573</v>
      </c>
      <c r="B389" s="116">
        <v>72.349999999999994</v>
      </c>
      <c r="C389" s="116">
        <v>72.05</v>
      </c>
      <c r="D389" s="116">
        <v>71.099999999999994</v>
      </c>
      <c r="E389" s="116">
        <v>71.5</v>
      </c>
      <c r="F389" s="116">
        <v>72.05</v>
      </c>
      <c r="G389">
        <v>211628</v>
      </c>
      <c r="H389" s="116"/>
      <c r="I389" s="116"/>
      <c r="L389" s="170">
        <v>42573</v>
      </c>
      <c r="M389" s="116">
        <v>72.05</v>
      </c>
      <c r="N389" s="116">
        <v>72.45</v>
      </c>
      <c r="O389" s="116">
        <v>71.05</v>
      </c>
      <c r="P389" s="116">
        <v>71.5</v>
      </c>
      <c r="Q389" s="116">
        <v>72.05</v>
      </c>
      <c r="R389">
        <v>3320745</v>
      </c>
    </row>
    <row r="390" spans="1:18" x14ac:dyDescent="0.25">
      <c r="A390" s="170">
        <v>42576</v>
      </c>
      <c r="B390" s="116">
        <v>72.5</v>
      </c>
      <c r="C390" s="116">
        <v>71.95</v>
      </c>
      <c r="D390" s="116">
        <v>71.3</v>
      </c>
      <c r="E390" s="116">
        <v>72.5</v>
      </c>
      <c r="F390" s="116">
        <v>71.95</v>
      </c>
      <c r="G390">
        <v>207927</v>
      </c>
      <c r="H390" s="116"/>
      <c r="I390" s="116"/>
      <c r="L390" s="170">
        <v>42576</v>
      </c>
      <c r="M390" s="116">
        <v>72</v>
      </c>
      <c r="N390" s="116">
        <v>72.400000000000006</v>
      </c>
      <c r="O390" s="116">
        <v>71.3</v>
      </c>
      <c r="P390" s="116">
        <v>72.150000000000006</v>
      </c>
      <c r="Q390" s="116">
        <v>72</v>
      </c>
      <c r="R390">
        <v>2470483</v>
      </c>
    </row>
    <row r="391" spans="1:18" x14ac:dyDescent="0.25">
      <c r="A391" s="170">
        <v>42577</v>
      </c>
      <c r="B391" s="116">
        <v>73</v>
      </c>
      <c r="C391" s="116">
        <v>71.5</v>
      </c>
      <c r="D391" s="116">
        <v>71.150000000000006</v>
      </c>
      <c r="E391" s="116">
        <v>72.3</v>
      </c>
      <c r="F391" s="116">
        <v>71.5</v>
      </c>
      <c r="G391">
        <v>377700</v>
      </c>
      <c r="H391" s="116"/>
      <c r="I391" s="116"/>
      <c r="L391" s="170">
        <v>42577</v>
      </c>
      <c r="M391" s="116">
        <v>71.349999999999994</v>
      </c>
      <c r="N391" s="116">
        <v>73</v>
      </c>
      <c r="O391" s="116">
        <v>71.05</v>
      </c>
      <c r="P391" s="116">
        <v>72.5</v>
      </c>
      <c r="Q391" s="116">
        <v>71.349999999999994</v>
      </c>
      <c r="R391">
        <v>4026980</v>
      </c>
    </row>
    <row r="392" spans="1:18" x14ac:dyDescent="0.25">
      <c r="A392" s="170">
        <v>42578</v>
      </c>
      <c r="B392" s="116">
        <v>71.8</v>
      </c>
      <c r="C392" s="116">
        <v>71.099999999999994</v>
      </c>
      <c r="D392" s="116">
        <v>70.75</v>
      </c>
      <c r="E392" s="116">
        <v>71.3</v>
      </c>
      <c r="F392" s="116">
        <v>71.099999999999994</v>
      </c>
      <c r="G392">
        <v>237938</v>
      </c>
      <c r="H392" s="116"/>
      <c r="I392" s="116"/>
      <c r="L392" s="170">
        <v>42578</v>
      </c>
      <c r="M392" s="116">
        <v>71.05</v>
      </c>
      <c r="N392" s="116">
        <v>71.75</v>
      </c>
      <c r="O392" s="116">
        <v>70.599999999999994</v>
      </c>
      <c r="P392" s="116">
        <v>71.2</v>
      </c>
      <c r="Q392" s="116">
        <v>71.05</v>
      </c>
      <c r="R392">
        <v>3949676</v>
      </c>
    </row>
    <row r="393" spans="1:18" x14ac:dyDescent="0.25">
      <c r="A393" s="170">
        <v>42579</v>
      </c>
      <c r="B393" s="116">
        <v>71.400000000000006</v>
      </c>
      <c r="C393" s="116">
        <v>70.75</v>
      </c>
      <c r="D393" s="116">
        <v>70.5</v>
      </c>
      <c r="E393" s="116">
        <v>71.05</v>
      </c>
      <c r="F393" s="116">
        <v>70.75</v>
      </c>
      <c r="G393">
        <v>374058</v>
      </c>
      <c r="H393" s="116"/>
      <c r="I393" s="116"/>
      <c r="L393" s="170">
        <v>42579</v>
      </c>
      <c r="M393" s="116">
        <v>70.7</v>
      </c>
      <c r="N393" s="116">
        <v>71.45</v>
      </c>
      <c r="O393" s="116">
        <v>70.349999999999994</v>
      </c>
      <c r="P393" s="116">
        <v>71.150000000000006</v>
      </c>
      <c r="Q393" s="116">
        <v>70.7</v>
      </c>
      <c r="R393">
        <v>5838516</v>
      </c>
    </row>
    <row r="394" spans="1:18" x14ac:dyDescent="0.25">
      <c r="A394" s="170">
        <v>42580</v>
      </c>
      <c r="B394" s="116">
        <v>72.45</v>
      </c>
      <c r="C394" s="116">
        <v>72</v>
      </c>
      <c r="D394" s="116">
        <v>70.75</v>
      </c>
      <c r="E394" s="116">
        <v>70.8</v>
      </c>
      <c r="F394" s="116">
        <v>72</v>
      </c>
      <c r="G394">
        <v>356285</v>
      </c>
      <c r="H394" s="116"/>
      <c r="I394" s="116"/>
      <c r="L394" s="170">
        <v>42580</v>
      </c>
      <c r="M394" s="116">
        <v>72</v>
      </c>
      <c r="N394" s="116">
        <v>72.5</v>
      </c>
      <c r="O394" s="116">
        <v>70.599999999999994</v>
      </c>
      <c r="P394" s="116">
        <v>70.95</v>
      </c>
      <c r="Q394" s="116">
        <v>72</v>
      </c>
      <c r="R394">
        <v>6171422</v>
      </c>
    </row>
    <row r="395" spans="1:18" x14ac:dyDescent="0.25">
      <c r="A395" s="170">
        <v>42583</v>
      </c>
      <c r="B395" s="116">
        <v>73.099999999999994</v>
      </c>
      <c r="C395" s="116">
        <v>72.05</v>
      </c>
      <c r="D395" s="116">
        <v>71.099999999999994</v>
      </c>
      <c r="E395" s="116">
        <v>72.150000000000006</v>
      </c>
      <c r="F395" s="116">
        <v>72.05</v>
      </c>
      <c r="G395">
        <v>354934</v>
      </c>
      <c r="H395" s="116"/>
      <c r="I395" s="116"/>
      <c r="L395" s="170">
        <v>42583</v>
      </c>
      <c r="M395" s="116">
        <v>72</v>
      </c>
      <c r="N395" s="116">
        <v>73.05</v>
      </c>
      <c r="O395" s="116">
        <v>71.099999999999994</v>
      </c>
      <c r="P395" s="116">
        <v>72.55</v>
      </c>
      <c r="Q395" s="116">
        <v>72</v>
      </c>
      <c r="R395">
        <v>4255363</v>
      </c>
    </row>
    <row r="396" spans="1:18" x14ac:dyDescent="0.25">
      <c r="A396" s="170">
        <v>42584</v>
      </c>
      <c r="B396" s="116">
        <v>72.75</v>
      </c>
      <c r="C396" s="116">
        <v>71.900000000000006</v>
      </c>
      <c r="D396" s="116">
        <v>71.650000000000006</v>
      </c>
      <c r="E396" s="116">
        <v>71.650000000000006</v>
      </c>
      <c r="F396" s="116">
        <v>71.900000000000006</v>
      </c>
      <c r="G396">
        <v>481952</v>
      </c>
      <c r="H396" s="116"/>
      <c r="I396" s="116"/>
      <c r="L396" s="170">
        <v>42584</v>
      </c>
      <c r="M396" s="116">
        <v>71.7</v>
      </c>
      <c r="N396" s="116">
        <v>72.7</v>
      </c>
      <c r="O396" s="116">
        <v>71.45</v>
      </c>
      <c r="P396" s="116">
        <v>72.349999999999994</v>
      </c>
      <c r="Q396" s="116">
        <v>71.7</v>
      </c>
      <c r="R396">
        <v>2909215</v>
      </c>
    </row>
    <row r="397" spans="1:18" x14ac:dyDescent="0.25">
      <c r="A397" s="170">
        <v>42585</v>
      </c>
      <c r="B397" s="116">
        <v>73</v>
      </c>
      <c r="C397" s="116">
        <v>71.5</v>
      </c>
      <c r="D397" s="116">
        <v>71.150000000000006</v>
      </c>
      <c r="E397" s="116">
        <v>72.900000000000006</v>
      </c>
      <c r="F397" s="116">
        <v>71.5</v>
      </c>
      <c r="G397">
        <v>679959</v>
      </c>
      <c r="H397" s="116"/>
      <c r="I397" s="116"/>
      <c r="L397" s="170">
        <v>42585</v>
      </c>
      <c r="M397" s="116">
        <v>71.25</v>
      </c>
      <c r="N397" s="116">
        <v>72.5</v>
      </c>
      <c r="O397" s="116">
        <v>70.8</v>
      </c>
      <c r="P397" s="116">
        <v>72.25</v>
      </c>
      <c r="Q397" s="116">
        <v>71.25</v>
      </c>
      <c r="R397">
        <v>5023751</v>
      </c>
    </row>
    <row r="398" spans="1:18" x14ac:dyDescent="0.25">
      <c r="A398" s="170">
        <v>42586</v>
      </c>
      <c r="B398" s="116">
        <v>71.849999999999994</v>
      </c>
      <c r="C398" s="116">
        <v>70.849999999999994</v>
      </c>
      <c r="D398" s="116">
        <v>70.650000000000006</v>
      </c>
      <c r="E398" s="116">
        <v>71.55</v>
      </c>
      <c r="F398" s="116">
        <v>70.849999999999994</v>
      </c>
      <c r="G398">
        <v>315429</v>
      </c>
      <c r="H398" s="116"/>
      <c r="I398" s="116"/>
      <c r="L398" s="170">
        <v>42586</v>
      </c>
      <c r="M398" s="116">
        <v>70.8</v>
      </c>
      <c r="N398" s="116">
        <v>71.8</v>
      </c>
      <c r="O398" s="116">
        <v>70.5</v>
      </c>
      <c r="P398" s="116">
        <v>71.55</v>
      </c>
      <c r="Q398" s="116">
        <v>70.8</v>
      </c>
      <c r="R398">
        <v>4065811</v>
      </c>
    </row>
    <row r="399" spans="1:18" x14ac:dyDescent="0.25">
      <c r="A399" s="170">
        <v>42587</v>
      </c>
      <c r="B399" s="116">
        <v>71.5</v>
      </c>
      <c r="C399" s="116">
        <v>71.099999999999994</v>
      </c>
      <c r="D399" s="116">
        <v>70.849999999999994</v>
      </c>
      <c r="E399" s="116">
        <v>71</v>
      </c>
      <c r="F399" s="116">
        <v>71.099999999999994</v>
      </c>
      <c r="G399">
        <v>231073</v>
      </c>
      <c r="H399" s="116"/>
      <c r="I399" s="116"/>
      <c r="L399" s="170">
        <v>42587</v>
      </c>
      <c r="M399" s="116">
        <v>71.099999999999994</v>
      </c>
      <c r="N399" s="116">
        <v>71.5</v>
      </c>
      <c r="O399" s="116">
        <v>70.849999999999994</v>
      </c>
      <c r="P399" s="116">
        <v>71.150000000000006</v>
      </c>
      <c r="Q399" s="116">
        <v>71.099999999999994</v>
      </c>
      <c r="R399">
        <v>7685151</v>
      </c>
    </row>
    <row r="400" spans="1:18" x14ac:dyDescent="0.25">
      <c r="A400" s="170">
        <v>42590</v>
      </c>
      <c r="B400" s="116">
        <v>73.3</v>
      </c>
      <c r="C400" s="116">
        <v>72.849999999999994</v>
      </c>
      <c r="D400" s="116">
        <v>71.099999999999994</v>
      </c>
      <c r="E400" s="116">
        <v>71.900000000000006</v>
      </c>
      <c r="F400" s="116">
        <v>72.849999999999994</v>
      </c>
      <c r="G400">
        <v>421940</v>
      </c>
      <c r="H400" s="116"/>
      <c r="I400" s="116"/>
      <c r="L400" s="170">
        <v>42590</v>
      </c>
      <c r="M400" s="116">
        <v>72.75</v>
      </c>
      <c r="N400" s="116">
        <v>73.3</v>
      </c>
      <c r="O400" s="116">
        <v>71.05</v>
      </c>
      <c r="P400" s="116">
        <v>71.45</v>
      </c>
      <c r="Q400" s="116">
        <v>72.75</v>
      </c>
      <c r="R400">
        <v>14343063</v>
      </c>
    </row>
    <row r="401" spans="1:18" x14ac:dyDescent="0.25">
      <c r="A401" s="170">
        <v>42591</v>
      </c>
      <c r="B401" s="116">
        <v>76.3</v>
      </c>
      <c r="C401" s="116">
        <v>75.150000000000006</v>
      </c>
      <c r="D401" s="116">
        <v>73.099999999999994</v>
      </c>
      <c r="E401" s="116">
        <v>73.099999999999994</v>
      </c>
      <c r="F401" s="116">
        <v>75.150000000000006</v>
      </c>
      <c r="G401">
        <v>1910578</v>
      </c>
      <c r="H401" s="116"/>
      <c r="I401" s="116"/>
      <c r="L401" s="170">
        <v>42591</v>
      </c>
      <c r="M401" s="116">
        <v>75.400000000000006</v>
      </c>
      <c r="N401" s="116">
        <v>76.400000000000006</v>
      </c>
      <c r="O401" s="116">
        <v>73.25</v>
      </c>
      <c r="P401" s="116">
        <v>73.25</v>
      </c>
      <c r="Q401" s="116">
        <v>75.400000000000006</v>
      </c>
      <c r="R401">
        <v>14218653</v>
      </c>
    </row>
    <row r="402" spans="1:18" x14ac:dyDescent="0.25">
      <c r="A402" s="170">
        <v>42592</v>
      </c>
      <c r="B402" s="116">
        <v>76</v>
      </c>
      <c r="C402" s="116">
        <v>74</v>
      </c>
      <c r="D402" s="116">
        <v>73.5</v>
      </c>
      <c r="E402" s="116">
        <v>75.95</v>
      </c>
      <c r="F402" s="116">
        <v>74</v>
      </c>
      <c r="G402">
        <v>682235</v>
      </c>
      <c r="H402" s="116"/>
      <c r="I402" s="116"/>
      <c r="L402" s="170">
        <v>42592</v>
      </c>
      <c r="M402" s="116">
        <v>74</v>
      </c>
      <c r="N402" s="116">
        <v>75.900000000000006</v>
      </c>
      <c r="O402" s="116">
        <v>73.599999999999994</v>
      </c>
      <c r="P402" s="116">
        <v>75.900000000000006</v>
      </c>
      <c r="Q402" s="116">
        <v>74</v>
      </c>
      <c r="R402">
        <v>4373197</v>
      </c>
    </row>
    <row r="403" spans="1:18" x14ac:dyDescent="0.25">
      <c r="A403" s="170">
        <v>42593</v>
      </c>
      <c r="B403" s="116">
        <v>75.900000000000006</v>
      </c>
      <c r="C403" s="116">
        <v>74.45</v>
      </c>
      <c r="D403" s="116">
        <v>73.3</v>
      </c>
      <c r="E403" s="116">
        <v>74.05</v>
      </c>
      <c r="F403" s="116">
        <v>74.45</v>
      </c>
      <c r="G403">
        <v>539948</v>
      </c>
      <c r="H403" s="116"/>
      <c r="I403" s="116"/>
      <c r="L403" s="170">
        <v>42593</v>
      </c>
      <c r="M403" s="116">
        <v>74.650000000000006</v>
      </c>
      <c r="N403" s="116">
        <v>76</v>
      </c>
      <c r="O403" s="116">
        <v>73.3</v>
      </c>
      <c r="P403" s="116">
        <v>74.2</v>
      </c>
      <c r="Q403" s="116">
        <v>74.650000000000006</v>
      </c>
      <c r="R403">
        <v>3901357</v>
      </c>
    </row>
    <row r="404" spans="1:18" x14ac:dyDescent="0.25">
      <c r="A404" s="170">
        <v>42594</v>
      </c>
      <c r="B404" s="116">
        <v>76</v>
      </c>
      <c r="C404" s="116">
        <v>74.95</v>
      </c>
      <c r="D404" s="116">
        <v>73.75</v>
      </c>
      <c r="E404" s="116">
        <v>75</v>
      </c>
      <c r="F404" s="116">
        <v>74.95</v>
      </c>
      <c r="G404">
        <v>769616</v>
      </c>
      <c r="H404" s="116"/>
      <c r="I404" s="116"/>
      <c r="L404" s="170">
        <v>42594</v>
      </c>
      <c r="M404" s="116">
        <v>75.2</v>
      </c>
      <c r="N404" s="116">
        <v>76.150000000000006</v>
      </c>
      <c r="O404" s="116">
        <v>73.599999999999994</v>
      </c>
      <c r="P404" s="116">
        <v>74.849999999999994</v>
      </c>
      <c r="Q404" s="116">
        <v>75.2</v>
      </c>
      <c r="R404">
        <v>5276189</v>
      </c>
    </row>
    <row r="405" spans="1:18" x14ac:dyDescent="0.25">
      <c r="A405" s="170">
        <v>42598</v>
      </c>
      <c r="B405" s="116">
        <v>77</v>
      </c>
      <c r="C405" s="116">
        <v>76.5</v>
      </c>
      <c r="D405" s="116">
        <v>75</v>
      </c>
      <c r="E405" s="116">
        <v>75</v>
      </c>
      <c r="F405" s="116">
        <v>76.5</v>
      </c>
      <c r="G405">
        <v>827837</v>
      </c>
      <c r="H405" s="116"/>
      <c r="I405" s="116"/>
      <c r="L405" s="170">
        <v>42598</v>
      </c>
      <c r="M405" s="116">
        <v>76.55</v>
      </c>
      <c r="N405" s="116">
        <v>77.25</v>
      </c>
      <c r="O405" s="116">
        <v>75</v>
      </c>
      <c r="P405" s="116">
        <v>75</v>
      </c>
      <c r="Q405" s="116">
        <v>76.55</v>
      </c>
      <c r="R405">
        <v>8040643</v>
      </c>
    </row>
    <row r="406" spans="1:18" x14ac:dyDescent="0.25">
      <c r="A406" s="170">
        <v>42599</v>
      </c>
      <c r="B406" s="116">
        <v>78.3</v>
      </c>
      <c r="C406" s="116">
        <v>77.599999999999994</v>
      </c>
      <c r="D406" s="116">
        <v>75.900000000000006</v>
      </c>
      <c r="E406" s="116">
        <v>76.900000000000006</v>
      </c>
      <c r="F406" s="116">
        <v>77.599999999999994</v>
      </c>
      <c r="G406">
        <v>939602</v>
      </c>
      <c r="H406" s="116"/>
      <c r="I406" s="116"/>
      <c r="L406" s="170">
        <v>42599</v>
      </c>
      <c r="M406" s="116">
        <v>77.95</v>
      </c>
      <c r="N406" s="116">
        <v>78.599999999999994</v>
      </c>
      <c r="O406" s="116">
        <v>75.900000000000006</v>
      </c>
      <c r="P406" s="116">
        <v>76.650000000000006</v>
      </c>
      <c r="Q406" s="116">
        <v>77.95</v>
      </c>
      <c r="R406">
        <v>8821668</v>
      </c>
    </row>
    <row r="407" spans="1:18" x14ac:dyDescent="0.25">
      <c r="A407" s="170">
        <v>42600</v>
      </c>
      <c r="B407" s="116">
        <v>78.45</v>
      </c>
      <c r="C407" s="116">
        <v>76.900000000000006</v>
      </c>
      <c r="D407" s="116">
        <v>76.400000000000006</v>
      </c>
      <c r="E407" s="116">
        <v>78.25</v>
      </c>
      <c r="F407" s="116">
        <v>76.900000000000006</v>
      </c>
      <c r="G407">
        <v>566581</v>
      </c>
      <c r="H407" s="116"/>
      <c r="I407" s="116"/>
      <c r="L407" s="170">
        <v>42600</v>
      </c>
      <c r="M407" s="116">
        <v>76.900000000000006</v>
      </c>
      <c r="N407" s="116">
        <v>78.55</v>
      </c>
      <c r="O407" s="116">
        <v>76.400000000000006</v>
      </c>
      <c r="P407" s="116">
        <v>78</v>
      </c>
      <c r="Q407" s="116">
        <v>76.900000000000006</v>
      </c>
      <c r="R407">
        <v>5317797</v>
      </c>
    </row>
    <row r="408" spans="1:18" x14ac:dyDescent="0.25">
      <c r="A408" s="170">
        <v>42601</v>
      </c>
      <c r="B408" s="116">
        <v>78.45</v>
      </c>
      <c r="C408" s="116">
        <v>77.95</v>
      </c>
      <c r="D408" s="116">
        <v>76.7</v>
      </c>
      <c r="E408" s="116">
        <v>77.599999999999994</v>
      </c>
      <c r="F408" s="116">
        <v>77.95</v>
      </c>
      <c r="G408">
        <v>431358</v>
      </c>
      <c r="H408" s="116"/>
      <c r="I408" s="116"/>
      <c r="L408" s="170">
        <v>42601</v>
      </c>
      <c r="M408" s="116">
        <v>78.05</v>
      </c>
      <c r="N408" s="116">
        <v>78.5</v>
      </c>
      <c r="O408" s="116">
        <v>76.55</v>
      </c>
      <c r="P408" s="116">
        <v>77</v>
      </c>
      <c r="Q408" s="116">
        <v>78.05</v>
      </c>
      <c r="R408">
        <v>3821975</v>
      </c>
    </row>
    <row r="409" spans="1:18" x14ac:dyDescent="0.25">
      <c r="A409" s="170">
        <v>42604</v>
      </c>
      <c r="B409" s="116">
        <v>79.2</v>
      </c>
      <c r="C409" s="116">
        <v>77.25</v>
      </c>
      <c r="D409" s="116">
        <v>76.900000000000006</v>
      </c>
      <c r="E409" s="116">
        <v>78.400000000000006</v>
      </c>
      <c r="F409" s="116">
        <v>77.25</v>
      </c>
      <c r="G409">
        <v>652146</v>
      </c>
      <c r="H409" s="116"/>
      <c r="I409" s="116"/>
      <c r="L409" s="170">
        <v>42604</v>
      </c>
      <c r="M409" s="116">
        <v>77.05</v>
      </c>
      <c r="N409" s="116">
        <v>79.150000000000006</v>
      </c>
      <c r="O409" s="116">
        <v>76.849999999999994</v>
      </c>
      <c r="P409" s="116">
        <v>78.400000000000006</v>
      </c>
      <c r="Q409" s="116">
        <v>77.05</v>
      </c>
      <c r="R409">
        <v>4454151</v>
      </c>
    </row>
    <row r="410" spans="1:18" x14ac:dyDescent="0.25">
      <c r="A410" s="170">
        <v>42605</v>
      </c>
      <c r="B410" s="116">
        <v>78.3</v>
      </c>
      <c r="C410" s="116">
        <v>74.75</v>
      </c>
      <c r="D410" s="116">
        <v>73.8</v>
      </c>
      <c r="E410" s="116">
        <v>77.150000000000006</v>
      </c>
      <c r="F410" s="116">
        <v>74.75</v>
      </c>
      <c r="G410">
        <v>1974040</v>
      </c>
      <c r="H410" s="116"/>
      <c r="I410" s="116"/>
      <c r="L410" s="170">
        <v>42605</v>
      </c>
      <c r="M410" s="116">
        <v>74.8</v>
      </c>
      <c r="N410" s="116">
        <v>78.3</v>
      </c>
      <c r="O410" s="116">
        <v>73.8</v>
      </c>
      <c r="P410" s="116">
        <v>77.900000000000006</v>
      </c>
      <c r="Q410" s="116">
        <v>74.8</v>
      </c>
      <c r="R410">
        <v>16453253</v>
      </c>
    </row>
    <row r="411" spans="1:18" x14ac:dyDescent="0.25">
      <c r="A411" s="170">
        <v>42606</v>
      </c>
      <c r="B411" s="116">
        <v>76.7</v>
      </c>
      <c r="C411" s="116">
        <v>76.45</v>
      </c>
      <c r="D411" s="116">
        <v>74</v>
      </c>
      <c r="E411" s="116">
        <v>74.25</v>
      </c>
      <c r="F411" s="116">
        <v>76.45</v>
      </c>
      <c r="G411">
        <v>798192</v>
      </c>
      <c r="H411" s="116"/>
      <c r="I411" s="116"/>
      <c r="L411" s="170">
        <v>42606</v>
      </c>
      <c r="M411" s="116">
        <v>76.45</v>
      </c>
      <c r="N411" s="116">
        <v>76.75</v>
      </c>
      <c r="O411" s="116">
        <v>73.8</v>
      </c>
      <c r="P411" s="116">
        <v>74.05</v>
      </c>
      <c r="Q411" s="116">
        <v>76.45</v>
      </c>
      <c r="R411">
        <v>10358139</v>
      </c>
    </row>
    <row r="412" spans="1:18" x14ac:dyDescent="0.25">
      <c r="A412" s="170">
        <v>42607</v>
      </c>
      <c r="B412" s="116">
        <v>77</v>
      </c>
      <c r="C412" s="116">
        <v>75.7</v>
      </c>
      <c r="D412" s="116">
        <v>75.25</v>
      </c>
      <c r="E412" s="116">
        <v>76.45</v>
      </c>
      <c r="F412" s="116">
        <v>75.7</v>
      </c>
      <c r="G412">
        <v>352470</v>
      </c>
      <c r="H412" s="116"/>
      <c r="I412" s="116"/>
      <c r="L412" s="170">
        <v>42607</v>
      </c>
      <c r="M412" s="116">
        <v>75.650000000000006</v>
      </c>
      <c r="N412" s="116">
        <v>77</v>
      </c>
      <c r="O412" s="116">
        <v>75.5</v>
      </c>
      <c r="P412" s="116">
        <v>77</v>
      </c>
      <c r="Q412" s="116">
        <v>75.650000000000006</v>
      </c>
      <c r="R412">
        <v>4536646</v>
      </c>
    </row>
    <row r="413" spans="1:18" x14ac:dyDescent="0.25">
      <c r="A413" s="170">
        <v>42608</v>
      </c>
      <c r="B413" s="116">
        <v>76.25</v>
      </c>
      <c r="C413" s="116">
        <v>75.7</v>
      </c>
      <c r="D413" s="116">
        <v>75</v>
      </c>
      <c r="E413" s="116">
        <v>75.849999999999994</v>
      </c>
      <c r="F413" s="116">
        <v>75.7</v>
      </c>
      <c r="G413">
        <v>368537</v>
      </c>
      <c r="H413" s="116"/>
      <c r="I413" s="116"/>
      <c r="L413" s="170">
        <v>42608</v>
      </c>
      <c r="M413" s="116">
        <v>75.75</v>
      </c>
      <c r="N413" s="116">
        <v>76.3</v>
      </c>
      <c r="O413" s="116">
        <v>75</v>
      </c>
      <c r="P413" s="116">
        <v>75.75</v>
      </c>
      <c r="Q413" s="116">
        <v>75.75</v>
      </c>
      <c r="R413">
        <v>4446656</v>
      </c>
    </row>
    <row r="414" spans="1:18" x14ac:dyDescent="0.25">
      <c r="A414" s="170">
        <v>42611</v>
      </c>
      <c r="B414" s="116">
        <v>76.2</v>
      </c>
      <c r="C414" s="116">
        <v>75.900000000000006</v>
      </c>
      <c r="D414" s="116">
        <v>75.150000000000006</v>
      </c>
      <c r="E414" s="116">
        <v>75.3</v>
      </c>
      <c r="F414" s="116">
        <v>75.900000000000006</v>
      </c>
      <c r="G414">
        <v>252129</v>
      </c>
      <c r="H414" s="116"/>
      <c r="I414" s="116"/>
      <c r="L414" s="170">
        <v>42611</v>
      </c>
      <c r="M414" s="116">
        <v>75.95</v>
      </c>
      <c r="N414" s="116">
        <v>76.25</v>
      </c>
      <c r="O414" s="116">
        <v>75.150000000000006</v>
      </c>
      <c r="P414" s="116">
        <v>75.900000000000006</v>
      </c>
      <c r="Q414" s="116">
        <v>75.95</v>
      </c>
      <c r="R414">
        <v>2310645</v>
      </c>
    </row>
    <row r="415" spans="1:18" x14ac:dyDescent="0.25">
      <c r="A415" s="170">
        <v>42612</v>
      </c>
      <c r="B415" s="116">
        <v>77.400000000000006</v>
      </c>
      <c r="C415" s="116">
        <v>76.849999999999994</v>
      </c>
      <c r="D415" s="116">
        <v>76</v>
      </c>
      <c r="E415" s="116">
        <v>76</v>
      </c>
      <c r="F415" s="116">
        <v>76.849999999999994</v>
      </c>
      <c r="G415">
        <v>550826</v>
      </c>
      <c r="H415" s="116"/>
      <c r="I415" s="116"/>
      <c r="L415" s="170">
        <v>42612</v>
      </c>
      <c r="M415" s="116">
        <v>77.099999999999994</v>
      </c>
      <c r="N415" s="116">
        <v>77.8</v>
      </c>
      <c r="O415" s="116">
        <v>75.95</v>
      </c>
      <c r="P415" s="116">
        <v>76.05</v>
      </c>
      <c r="Q415" s="116">
        <v>77.099999999999994</v>
      </c>
      <c r="R415">
        <v>3920589</v>
      </c>
    </row>
    <row r="416" spans="1:18" x14ac:dyDescent="0.25">
      <c r="A416" s="170">
        <v>42613</v>
      </c>
      <c r="B416" s="116">
        <v>78.900000000000006</v>
      </c>
      <c r="C416" s="116">
        <v>78.25</v>
      </c>
      <c r="D416" s="116">
        <v>76.5</v>
      </c>
      <c r="E416" s="116">
        <v>77.400000000000006</v>
      </c>
      <c r="F416" s="116">
        <v>78.25</v>
      </c>
      <c r="G416">
        <v>812545</v>
      </c>
      <c r="H416" s="116"/>
      <c r="I416" s="116"/>
      <c r="L416" s="170">
        <v>42613</v>
      </c>
      <c r="M416" s="116">
        <v>78.5</v>
      </c>
      <c r="N416" s="116">
        <v>79</v>
      </c>
      <c r="O416" s="116">
        <v>76.55</v>
      </c>
      <c r="P416" s="116">
        <v>77.349999999999994</v>
      </c>
      <c r="Q416" s="116">
        <v>78.5</v>
      </c>
      <c r="R416">
        <v>7628462</v>
      </c>
    </row>
    <row r="417" spans="1:18" x14ac:dyDescent="0.25">
      <c r="A417" s="170">
        <v>42614</v>
      </c>
      <c r="B417" s="116">
        <v>80.349999999999994</v>
      </c>
      <c r="C417" s="116">
        <v>77.95</v>
      </c>
      <c r="D417" s="116">
        <v>77.45</v>
      </c>
      <c r="E417" s="116">
        <v>79.900000000000006</v>
      </c>
      <c r="F417" s="116">
        <v>77.95</v>
      </c>
      <c r="G417">
        <v>1003911</v>
      </c>
      <c r="H417" s="116"/>
      <c r="I417" s="116"/>
      <c r="L417" s="170">
        <v>42614</v>
      </c>
      <c r="M417" s="116">
        <v>78.150000000000006</v>
      </c>
      <c r="N417" s="116">
        <v>80.349999999999994</v>
      </c>
      <c r="O417" s="116">
        <v>77.5</v>
      </c>
      <c r="P417" s="116">
        <v>79.8</v>
      </c>
      <c r="Q417" s="116">
        <v>78.150000000000006</v>
      </c>
      <c r="R417">
        <v>7490214</v>
      </c>
    </row>
    <row r="418" spans="1:18" x14ac:dyDescent="0.25">
      <c r="A418" s="170">
        <v>42615</v>
      </c>
      <c r="B418" s="116">
        <v>79.2</v>
      </c>
      <c r="C418" s="116">
        <v>78.650000000000006</v>
      </c>
      <c r="D418" s="116">
        <v>77.400000000000006</v>
      </c>
      <c r="E418" s="116">
        <v>78.5</v>
      </c>
      <c r="F418" s="116">
        <v>78.650000000000006</v>
      </c>
      <c r="G418">
        <v>478049</v>
      </c>
      <c r="H418" s="116"/>
      <c r="I418" s="116"/>
      <c r="L418" s="170">
        <v>42615</v>
      </c>
      <c r="M418" s="116">
        <v>79</v>
      </c>
      <c r="N418" s="116">
        <v>79.349999999999994</v>
      </c>
      <c r="O418" s="116">
        <v>77.349999999999994</v>
      </c>
      <c r="P418" s="116">
        <v>78.099999999999994</v>
      </c>
      <c r="Q418" s="116">
        <v>79</v>
      </c>
      <c r="R418">
        <v>3402719</v>
      </c>
    </row>
    <row r="419" spans="1:18" x14ac:dyDescent="0.25">
      <c r="A419" s="170">
        <v>42619</v>
      </c>
      <c r="B419" s="116">
        <v>79.5</v>
      </c>
      <c r="C419" s="116">
        <v>78.400000000000006</v>
      </c>
      <c r="D419" s="116">
        <v>78.099999999999994</v>
      </c>
      <c r="E419" s="116">
        <v>78.900000000000006</v>
      </c>
      <c r="F419" s="116">
        <v>78.400000000000006</v>
      </c>
      <c r="G419">
        <v>709421</v>
      </c>
      <c r="H419" s="116"/>
      <c r="I419" s="116"/>
      <c r="L419" s="170">
        <v>42619</v>
      </c>
      <c r="M419" s="116">
        <v>78.5</v>
      </c>
      <c r="N419" s="116">
        <v>79.5</v>
      </c>
      <c r="O419" s="116">
        <v>78.05</v>
      </c>
      <c r="P419" s="116">
        <v>79.3</v>
      </c>
      <c r="Q419" s="116">
        <v>78.5</v>
      </c>
      <c r="R419">
        <v>3986718</v>
      </c>
    </row>
    <row r="420" spans="1:18" x14ac:dyDescent="0.25">
      <c r="A420" s="170">
        <v>42620</v>
      </c>
      <c r="B420" s="116">
        <v>78.099999999999994</v>
      </c>
      <c r="C420" s="116">
        <v>76.55</v>
      </c>
      <c r="D420" s="116">
        <v>76.25</v>
      </c>
      <c r="E420" s="116">
        <v>78.099999999999994</v>
      </c>
      <c r="F420" s="116">
        <v>76.55</v>
      </c>
      <c r="G420">
        <v>656908</v>
      </c>
      <c r="H420" s="116"/>
      <c r="I420" s="116"/>
      <c r="L420" s="170">
        <v>42620</v>
      </c>
      <c r="M420" s="116">
        <v>76.7</v>
      </c>
      <c r="N420" s="116">
        <v>77.8</v>
      </c>
      <c r="O420" s="116">
        <v>76.150000000000006</v>
      </c>
      <c r="P420" s="116">
        <v>77.349999999999994</v>
      </c>
      <c r="Q420" s="116">
        <v>76.7</v>
      </c>
      <c r="R420">
        <v>4132449</v>
      </c>
    </row>
    <row r="421" spans="1:18" x14ac:dyDescent="0.25">
      <c r="A421" s="170">
        <v>42621</v>
      </c>
      <c r="B421" s="116">
        <v>77.849999999999994</v>
      </c>
      <c r="C421" s="116">
        <v>77.5</v>
      </c>
      <c r="D421" s="116">
        <v>76.55</v>
      </c>
      <c r="E421" s="116">
        <v>76.55</v>
      </c>
      <c r="F421" s="116">
        <v>77.5</v>
      </c>
      <c r="G421">
        <v>305076</v>
      </c>
      <c r="H421" s="116"/>
      <c r="I421" s="116"/>
      <c r="L421" s="170">
        <v>42621</v>
      </c>
      <c r="M421" s="116">
        <v>77.55</v>
      </c>
      <c r="N421" s="116">
        <v>77.849999999999994</v>
      </c>
      <c r="O421" s="116">
        <v>76.8</v>
      </c>
      <c r="P421" s="116">
        <v>76.8</v>
      </c>
      <c r="Q421" s="116">
        <v>77.55</v>
      </c>
      <c r="R421">
        <v>5396824</v>
      </c>
    </row>
    <row r="422" spans="1:18" x14ac:dyDescent="0.25">
      <c r="A422" s="170">
        <v>42622</v>
      </c>
      <c r="B422" s="116">
        <v>78.45</v>
      </c>
      <c r="C422" s="116">
        <v>77.099999999999994</v>
      </c>
      <c r="D422" s="116">
        <v>76.849999999999994</v>
      </c>
      <c r="E422" s="116">
        <v>77.5</v>
      </c>
      <c r="F422" s="116">
        <v>77.099999999999994</v>
      </c>
      <c r="G422">
        <v>1382375</v>
      </c>
      <c r="H422" s="116"/>
      <c r="I422" s="116"/>
      <c r="L422" s="170">
        <v>42622</v>
      </c>
      <c r="M422" s="116">
        <v>77.2</v>
      </c>
      <c r="N422" s="116">
        <v>78.5</v>
      </c>
      <c r="O422" s="116">
        <v>76.900000000000006</v>
      </c>
      <c r="P422" s="116">
        <v>77.5</v>
      </c>
      <c r="Q422" s="116">
        <v>77.2</v>
      </c>
      <c r="R422">
        <v>3383997</v>
      </c>
    </row>
    <row r="423" spans="1:18" x14ac:dyDescent="0.25">
      <c r="A423" s="170">
        <v>42625</v>
      </c>
      <c r="B423" s="116">
        <v>76.2</v>
      </c>
      <c r="C423" s="116">
        <v>74.400000000000006</v>
      </c>
      <c r="D423" s="116">
        <v>73.599999999999994</v>
      </c>
      <c r="E423" s="116">
        <v>76.099999999999994</v>
      </c>
      <c r="F423" s="116">
        <v>74.400000000000006</v>
      </c>
      <c r="G423">
        <v>784998</v>
      </c>
      <c r="H423" s="116"/>
      <c r="I423" s="116"/>
      <c r="L423" s="170">
        <v>42625</v>
      </c>
      <c r="M423" s="116">
        <v>74.3</v>
      </c>
      <c r="N423" s="116">
        <v>76.5</v>
      </c>
      <c r="O423" s="116">
        <v>73.55</v>
      </c>
      <c r="P423" s="116">
        <v>76.5</v>
      </c>
      <c r="Q423" s="116">
        <v>74.3</v>
      </c>
      <c r="R423">
        <v>3976891</v>
      </c>
    </row>
    <row r="424" spans="1:18" x14ac:dyDescent="0.25">
      <c r="A424" s="170">
        <v>42627</v>
      </c>
      <c r="B424" s="116">
        <v>76.05</v>
      </c>
      <c r="C424" s="116">
        <v>75.25</v>
      </c>
      <c r="D424" s="116">
        <v>73.8</v>
      </c>
      <c r="E424" s="116">
        <v>73.8</v>
      </c>
      <c r="F424" s="116">
        <v>75.25</v>
      </c>
      <c r="G424">
        <v>381309</v>
      </c>
      <c r="H424" s="116"/>
      <c r="I424" s="116"/>
      <c r="L424" s="170">
        <v>42627</v>
      </c>
      <c r="M424" s="116">
        <v>75.349999999999994</v>
      </c>
      <c r="N424" s="116">
        <v>76.25</v>
      </c>
      <c r="O424" s="116">
        <v>73.599999999999994</v>
      </c>
      <c r="P424" s="116">
        <v>73.95</v>
      </c>
      <c r="Q424" s="116">
        <v>75.349999999999994</v>
      </c>
      <c r="R424">
        <v>4303082</v>
      </c>
    </row>
    <row r="425" spans="1:18" x14ac:dyDescent="0.25">
      <c r="A425" s="170">
        <v>42628</v>
      </c>
      <c r="B425" s="116">
        <v>76.95</v>
      </c>
      <c r="C425" s="116">
        <v>74.75</v>
      </c>
      <c r="D425" s="116">
        <v>74.5</v>
      </c>
      <c r="E425" s="116">
        <v>76.2</v>
      </c>
      <c r="F425" s="116">
        <v>74.75</v>
      </c>
      <c r="G425">
        <v>482793</v>
      </c>
      <c r="H425" s="116"/>
      <c r="I425" s="116"/>
      <c r="L425" s="170">
        <v>42628</v>
      </c>
      <c r="M425" s="116">
        <v>74.8</v>
      </c>
      <c r="N425" s="116">
        <v>76.95</v>
      </c>
      <c r="O425" s="116">
        <v>74.55</v>
      </c>
      <c r="P425" s="116">
        <v>76.349999999999994</v>
      </c>
      <c r="Q425" s="116">
        <v>74.8</v>
      </c>
      <c r="R425">
        <v>4190124</v>
      </c>
    </row>
    <row r="426" spans="1:18" x14ac:dyDescent="0.25">
      <c r="A426" s="170">
        <v>42629</v>
      </c>
      <c r="B426" s="116">
        <v>75.900000000000006</v>
      </c>
      <c r="C426" s="116">
        <v>75.2</v>
      </c>
      <c r="D426" s="116">
        <v>74.599999999999994</v>
      </c>
      <c r="E426" s="116">
        <v>74.8</v>
      </c>
      <c r="F426" s="116">
        <v>75.2</v>
      </c>
      <c r="G426">
        <v>423854</v>
      </c>
      <c r="H426" s="116"/>
      <c r="I426" s="116"/>
      <c r="L426" s="170">
        <v>42629</v>
      </c>
      <c r="M426" s="116">
        <v>75.45</v>
      </c>
      <c r="N426" s="116">
        <v>75.900000000000006</v>
      </c>
      <c r="O426" s="116">
        <v>74.650000000000006</v>
      </c>
      <c r="P426" s="116">
        <v>75.099999999999994</v>
      </c>
      <c r="Q426" s="116">
        <v>75.45</v>
      </c>
      <c r="R426">
        <v>5836470</v>
      </c>
    </row>
    <row r="427" spans="1:18" x14ac:dyDescent="0.25">
      <c r="A427" s="170">
        <v>42632</v>
      </c>
      <c r="B427" s="116">
        <v>76.900000000000006</v>
      </c>
      <c r="C427" s="116">
        <v>76.599999999999994</v>
      </c>
      <c r="D427" s="116">
        <v>74.150000000000006</v>
      </c>
      <c r="E427" s="116">
        <v>75</v>
      </c>
      <c r="F427" s="116">
        <v>76.599999999999994</v>
      </c>
      <c r="G427">
        <v>436651</v>
      </c>
      <c r="H427" s="116"/>
      <c r="I427" s="116"/>
      <c r="L427" s="170">
        <v>42632</v>
      </c>
      <c r="M427" s="116">
        <v>76.849999999999994</v>
      </c>
      <c r="N427" s="116">
        <v>77.3</v>
      </c>
      <c r="O427" s="116">
        <v>74.05</v>
      </c>
      <c r="P427" s="116">
        <v>75.7</v>
      </c>
      <c r="Q427" s="116">
        <v>76.849999999999994</v>
      </c>
      <c r="R427">
        <v>5397880</v>
      </c>
    </row>
    <row r="428" spans="1:18" x14ac:dyDescent="0.25">
      <c r="A428" s="170">
        <v>42633</v>
      </c>
      <c r="B428" s="116">
        <v>77.349999999999994</v>
      </c>
      <c r="C428" s="116">
        <v>75.7</v>
      </c>
      <c r="D428" s="116">
        <v>75.3</v>
      </c>
      <c r="E428" s="116">
        <v>76.900000000000006</v>
      </c>
      <c r="F428" s="116">
        <v>75.7</v>
      </c>
      <c r="G428">
        <v>341769</v>
      </c>
      <c r="H428" s="116"/>
      <c r="I428" s="116"/>
      <c r="L428" s="170">
        <v>42633</v>
      </c>
      <c r="M428" s="116">
        <v>75.75</v>
      </c>
      <c r="N428" s="116">
        <v>77.45</v>
      </c>
      <c r="O428" s="116">
        <v>75.3</v>
      </c>
      <c r="P428" s="116">
        <v>77.400000000000006</v>
      </c>
      <c r="Q428" s="116">
        <v>75.75</v>
      </c>
      <c r="R428">
        <v>4918419</v>
      </c>
    </row>
    <row r="429" spans="1:18" x14ac:dyDescent="0.25">
      <c r="A429" s="170">
        <v>42634</v>
      </c>
      <c r="B429" s="116">
        <v>76.7</v>
      </c>
      <c r="C429" s="116">
        <v>76.25</v>
      </c>
      <c r="D429" s="116">
        <v>75.650000000000006</v>
      </c>
      <c r="E429" s="116">
        <v>75.7</v>
      </c>
      <c r="F429" s="116">
        <v>76.25</v>
      </c>
      <c r="G429">
        <v>423477</v>
      </c>
      <c r="H429" s="116"/>
      <c r="I429" s="116"/>
      <c r="L429" s="170">
        <v>42634</v>
      </c>
      <c r="M429" s="116">
        <v>76.25</v>
      </c>
      <c r="N429" s="116">
        <v>76.7</v>
      </c>
      <c r="O429" s="116">
        <v>75.5</v>
      </c>
      <c r="P429" s="116">
        <v>75.75</v>
      </c>
      <c r="Q429" s="116">
        <v>76.25</v>
      </c>
      <c r="R429">
        <v>5084986</v>
      </c>
    </row>
    <row r="430" spans="1:18" x14ac:dyDescent="0.25">
      <c r="A430" s="170">
        <v>42635</v>
      </c>
      <c r="B430" s="116">
        <v>76.599999999999994</v>
      </c>
      <c r="C430" s="116">
        <v>76</v>
      </c>
      <c r="D430" s="116">
        <v>75.75</v>
      </c>
      <c r="E430" s="116">
        <v>76.5</v>
      </c>
      <c r="F430" s="116">
        <v>76</v>
      </c>
      <c r="G430">
        <v>223395</v>
      </c>
      <c r="H430" s="116"/>
      <c r="I430" s="116"/>
      <c r="L430" s="170">
        <v>42635</v>
      </c>
      <c r="M430" s="116">
        <v>75.95</v>
      </c>
      <c r="N430" s="116">
        <v>76.8</v>
      </c>
      <c r="O430" s="116">
        <v>75.7</v>
      </c>
      <c r="P430" s="116">
        <v>76.8</v>
      </c>
      <c r="Q430" s="116">
        <v>75.95</v>
      </c>
      <c r="R430">
        <v>2402809</v>
      </c>
    </row>
    <row r="431" spans="1:18" x14ac:dyDescent="0.25">
      <c r="A431" s="170">
        <v>42636</v>
      </c>
      <c r="B431" s="116">
        <v>76.05</v>
      </c>
      <c r="C431" s="116">
        <v>75.599999999999994</v>
      </c>
      <c r="D431" s="116">
        <v>75.349999999999994</v>
      </c>
      <c r="E431" s="116">
        <v>76</v>
      </c>
      <c r="F431" s="116">
        <v>75.599999999999994</v>
      </c>
      <c r="G431">
        <v>214236</v>
      </c>
      <c r="H431" s="116"/>
      <c r="I431" s="116"/>
      <c r="L431" s="170">
        <v>42636</v>
      </c>
      <c r="M431" s="116">
        <v>75.599999999999994</v>
      </c>
      <c r="N431" s="116">
        <v>76.25</v>
      </c>
      <c r="O431" s="116">
        <v>75.2</v>
      </c>
      <c r="P431" s="116">
        <v>76.2</v>
      </c>
      <c r="Q431" s="116">
        <v>75.599999999999994</v>
      </c>
      <c r="R431">
        <v>4724644</v>
      </c>
    </row>
    <row r="432" spans="1:18" x14ac:dyDescent="0.25">
      <c r="A432" s="170">
        <v>42639</v>
      </c>
      <c r="B432" s="116">
        <v>76.599999999999994</v>
      </c>
      <c r="C432" s="116">
        <v>75.8</v>
      </c>
      <c r="D432" s="116">
        <v>75.5</v>
      </c>
      <c r="E432" s="116">
        <v>75.650000000000006</v>
      </c>
      <c r="F432" s="116">
        <v>75.8</v>
      </c>
      <c r="G432">
        <v>181655</v>
      </c>
      <c r="H432" s="116"/>
      <c r="I432" s="116"/>
      <c r="L432" s="170">
        <v>42639</v>
      </c>
      <c r="M432" s="116">
        <v>75.849999999999994</v>
      </c>
      <c r="N432" s="116">
        <v>76.650000000000006</v>
      </c>
      <c r="O432" s="116">
        <v>75.3</v>
      </c>
      <c r="P432" s="116">
        <v>75.400000000000006</v>
      </c>
      <c r="Q432" s="116">
        <v>75.849999999999994</v>
      </c>
      <c r="R432">
        <v>4237303</v>
      </c>
    </row>
    <row r="433" spans="1:18" x14ac:dyDescent="0.25">
      <c r="A433" s="170">
        <v>42640</v>
      </c>
      <c r="B433" s="116">
        <v>75.900000000000006</v>
      </c>
      <c r="C433" s="116">
        <v>75.05</v>
      </c>
      <c r="D433" s="116">
        <v>74.2</v>
      </c>
      <c r="E433" s="116">
        <v>75.900000000000006</v>
      </c>
      <c r="F433" s="116">
        <v>75.05</v>
      </c>
      <c r="G433">
        <v>2806534</v>
      </c>
      <c r="H433" s="116"/>
      <c r="I433" s="116"/>
      <c r="L433" s="170">
        <v>42640</v>
      </c>
      <c r="M433" s="116">
        <v>74.900000000000006</v>
      </c>
      <c r="N433" s="116">
        <v>75.95</v>
      </c>
      <c r="O433" s="116">
        <v>74.05</v>
      </c>
      <c r="P433" s="116">
        <v>75.75</v>
      </c>
      <c r="Q433" s="116">
        <v>74.900000000000006</v>
      </c>
      <c r="R433">
        <v>6149199</v>
      </c>
    </row>
    <row r="434" spans="1:18" x14ac:dyDescent="0.25">
      <c r="A434" s="170">
        <v>42641</v>
      </c>
      <c r="B434" s="116">
        <v>76.05</v>
      </c>
      <c r="C434" s="116">
        <v>75.849999999999994</v>
      </c>
      <c r="D434" s="116">
        <v>74.75</v>
      </c>
      <c r="E434" s="116">
        <v>74.75</v>
      </c>
      <c r="F434" s="116">
        <v>75.849999999999994</v>
      </c>
      <c r="G434">
        <v>245136</v>
      </c>
      <c r="H434" s="116"/>
      <c r="I434" s="116"/>
      <c r="L434" s="170">
        <v>42641</v>
      </c>
      <c r="M434" s="116">
        <v>76.099999999999994</v>
      </c>
      <c r="N434" s="116">
        <v>76.3</v>
      </c>
      <c r="O434" s="116">
        <v>74.900000000000006</v>
      </c>
      <c r="P434" s="116">
        <v>75</v>
      </c>
      <c r="Q434" s="116">
        <v>76.099999999999994</v>
      </c>
      <c r="R434">
        <v>4637687</v>
      </c>
    </row>
    <row r="435" spans="1:18" x14ac:dyDescent="0.25">
      <c r="A435" s="170">
        <v>42642</v>
      </c>
      <c r="B435" s="116">
        <v>76.2</v>
      </c>
      <c r="C435" s="116">
        <v>73.45</v>
      </c>
      <c r="D435" s="116">
        <v>71.8</v>
      </c>
      <c r="E435" s="116">
        <v>76.2</v>
      </c>
      <c r="F435" s="116">
        <v>73.45</v>
      </c>
      <c r="G435">
        <v>1901892</v>
      </c>
      <c r="H435" s="116"/>
      <c r="I435" s="116"/>
      <c r="L435" s="170">
        <v>42642</v>
      </c>
      <c r="M435" s="116">
        <v>73.650000000000006</v>
      </c>
      <c r="N435" s="116">
        <v>76.55</v>
      </c>
      <c r="O435" s="116">
        <v>71.75</v>
      </c>
      <c r="P435" s="116">
        <v>76.5</v>
      </c>
      <c r="Q435" s="116">
        <v>73.650000000000006</v>
      </c>
      <c r="R435">
        <v>11226254</v>
      </c>
    </row>
    <row r="436" spans="1:18" x14ac:dyDescent="0.25">
      <c r="A436" s="170">
        <v>42643</v>
      </c>
      <c r="B436" s="116">
        <v>75.650000000000006</v>
      </c>
      <c r="C436" s="116">
        <v>75.3</v>
      </c>
      <c r="D436" s="116">
        <v>72.8</v>
      </c>
      <c r="E436" s="116">
        <v>73</v>
      </c>
      <c r="F436" s="116">
        <v>75.3</v>
      </c>
      <c r="G436">
        <v>492900</v>
      </c>
      <c r="H436" s="116"/>
      <c r="I436" s="116"/>
      <c r="L436" s="170">
        <v>42643</v>
      </c>
      <c r="M436" s="116">
        <v>75.400000000000006</v>
      </c>
      <c r="N436" s="116">
        <v>75.849999999999994</v>
      </c>
      <c r="O436" s="116">
        <v>72.599999999999994</v>
      </c>
      <c r="P436" s="116">
        <v>72.7</v>
      </c>
      <c r="Q436" s="116">
        <v>75.400000000000006</v>
      </c>
      <c r="R436">
        <v>5403340</v>
      </c>
    </row>
    <row r="437" spans="1:18" x14ac:dyDescent="0.25">
      <c r="A437" s="170">
        <v>42646</v>
      </c>
      <c r="B437" s="116">
        <v>76.75</v>
      </c>
      <c r="C437" s="116">
        <v>76.400000000000006</v>
      </c>
      <c r="D437" s="116">
        <v>75.45</v>
      </c>
      <c r="E437" s="116">
        <v>75.45</v>
      </c>
      <c r="F437" s="116">
        <v>76.400000000000006</v>
      </c>
      <c r="G437">
        <v>404802</v>
      </c>
      <c r="H437" s="116"/>
      <c r="I437" s="116"/>
      <c r="L437" s="170">
        <v>42646</v>
      </c>
      <c r="M437" s="116">
        <v>76.45</v>
      </c>
      <c r="N437" s="116">
        <v>76.8</v>
      </c>
      <c r="O437" s="116">
        <v>75.400000000000006</v>
      </c>
      <c r="P437" s="116">
        <v>75.5</v>
      </c>
      <c r="Q437" s="116">
        <v>76.45</v>
      </c>
      <c r="R437">
        <v>2908866</v>
      </c>
    </row>
    <row r="438" spans="1:18" x14ac:dyDescent="0.25">
      <c r="A438" s="170">
        <v>42647</v>
      </c>
      <c r="B438" s="116">
        <v>78.2</v>
      </c>
      <c r="C438" s="116">
        <v>77.2</v>
      </c>
      <c r="D438" s="116">
        <v>76.5</v>
      </c>
      <c r="E438" s="116">
        <v>76.5</v>
      </c>
      <c r="F438" s="116">
        <v>77.2</v>
      </c>
      <c r="G438">
        <v>1033947</v>
      </c>
      <c r="H438" s="116"/>
      <c r="I438" s="116"/>
      <c r="L438" s="170">
        <v>42647</v>
      </c>
      <c r="M438" s="116">
        <v>77.45</v>
      </c>
      <c r="N438" s="116">
        <v>78.2</v>
      </c>
      <c r="O438" s="116">
        <v>76.5</v>
      </c>
      <c r="P438" s="116">
        <v>76.900000000000006</v>
      </c>
      <c r="Q438" s="116">
        <v>77.45</v>
      </c>
      <c r="R438">
        <v>4695492</v>
      </c>
    </row>
    <row r="439" spans="1:18" x14ac:dyDescent="0.25">
      <c r="A439" s="170">
        <v>42648</v>
      </c>
      <c r="B439" s="116">
        <v>78.75</v>
      </c>
      <c r="C439" s="116">
        <v>78.2</v>
      </c>
      <c r="D439" s="116">
        <v>77.599999999999994</v>
      </c>
      <c r="E439" s="116">
        <v>77.599999999999994</v>
      </c>
      <c r="F439" s="116">
        <v>78.2</v>
      </c>
      <c r="G439">
        <v>462252</v>
      </c>
      <c r="H439" s="116"/>
      <c r="I439" s="116"/>
      <c r="L439" s="170">
        <v>42648</v>
      </c>
      <c r="M439" s="116">
        <v>78.3</v>
      </c>
      <c r="N439" s="116">
        <v>79</v>
      </c>
      <c r="O439" s="116">
        <v>77.55</v>
      </c>
      <c r="P439" s="116">
        <v>77.7</v>
      </c>
      <c r="Q439" s="116">
        <v>78.3</v>
      </c>
      <c r="R439">
        <v>6805356</v>
      </c>
    </row>
    <row r="440" spans="1:18" x14ac:dyDescent="0.25">
      <c r="A440" s="170">
        <v>42649</v>
      </c>
      <c r="B440" s="116">
        <v>80.650000000000006</v>
      </c>
      <c r="C440" s="116">
        <v>78.8</v>
      </c>
      <c r="D440" s="116">
        <v>77.95</v>
      </c>
      <c r="E440" s="116">
        <v>78.2</v>
      </c>
      <c r="F440" s="116">
        <v>78.8</v>
      </c>
      <c r="G440">
        <v>713648</v>
      </c>
      <c r="H440" s="116"/>
      <c r="I440" s="116"/>
      <c r="L440" s="170">
        <v>42649</v>
      </c>
      <c r="M440" s="116">
        <v>79.05</v>
      </c>
      <c r="N440" s="116">
        <v>80.75</v>
      </c>
      <c r="O440" s="116">
        <v>77.900000000000006</v>
      </c>
      <c r="P440" s="116">
        <v>78.150000000000006</v>
      </c>
      <c r="Q440" s="116">
        <v>79.05</v>
      </c>
      <c r="R440">
        <v>5917911</v>
      </c>
    </row>
    <row r="441" spans="1:18" x14ac:dyDescent="0.25">
      <c r="A441" s="170">
        <v>42650</v>
      </c>
      <c r="B441" s="116">
        <v>81</v>
      </c>
      <c r="C441" s="116">
        <v>80.5</v>
      </c>
      <c r="D441" s="116">
        <v>78.25</v>
      </c>
      <c r="E441" s="116">
        <v>79.55</v>
      </c>
      <c r="F441" s="116">
        <v>80.5</v>
      </c>
      <c r="G441">
        <v>477881</v>
      </c>
      <c r="H441" s="116"/>
      <c r="I441" s="116"/>
      <c r="L441" s="170">
        <v>42650</v>
      </c>
      <c r="M441" s="116">
        <v>80.7</v>
      </c>
      <c r="N441" s="116">
        <v>81.099999999999994</v>
      </c>
      <c r="O441" s="116">
        <v>78.25</v>
      </c>
      <c r="P441" s="116">
        <v>79</v>
      </c>
      <c r="Q441" s="116">
        <v>80.7</v>
      </c>
      <c r="R441">
        <v>4301610</v>
      </c>
    </row>
    <row r="442" spans="1:18" x14ac:dyDescent="0.25">
      <c r="A442" s="170">
        <v>42653</v>
      </c>
      <c r="B442" s="116">
        <v>82</v>
      </c>
      <c r="C442" s="116">
        <v>80.900000000000006</v>
      </c>
      <c r="D442" s="116">
        <v>80.599999999999994</v>
      </c>
      <c r="E442" s="116">
        <v>81.05</v>
      </c>
      <c r="F442" s="116">
        <v>80.900000000000006</v>
      </c>
      <c r="G442">
        <v>315068</v>
      </c>
      <c r="H442" s="116"/>
      <c r="I442" s="116"/>
      <c r="L442" s="170">
        <v>42653</v>
      </c>
      <c r="M442" s="116">
        <v>80.849999999999994</v>
      </c>
      <c r="N442" s="116">
        <v>82</v>
      </c>
      <c r="O442" s="116">
        <v>80.7</v>
      </c>
      <c r="P442" s="116">
        <v>81</v>
      </c>
      <c r="Q442" s="116">
        <v>80.849999999999994</v>
      </c>
      <c r="R442">
        <v>3776119</v>
      </c>
    </row>
    <row r="443" spans="1:18" x14ac:dyDescent="0.25">
      <c r="A443" s="170">
        <v>42656</v>
      </c>
      <c r="B443" s="116">
        <v>80.900000000000006</v>
      </c>
      <c r="C443" s="116">
        <v>77.95</v>
      </c>
      <c r="D443" s="116">
        <v>77.55</v>
      </c>
      <c r="E443" s="116">
        <v>80.900000000000006</v>
      </c>
      <c r="F443" s="116">
        <v>77.95</v>
      </c>
      <c r="G443">
        <v>227020</v>
      </c>
      <c r="H443" s="116"/>
      <c r="I443" s="116"/>
      <c r="L443" s="170">
        <v>42656</v>
      </c>
      <c r="M443" s="116">
        <v>77.7</v>
      </c>
      <c r="N443" s="116">
        <v>80.95</v>
      </c>
      <c r="O443" s="116">
        <v>77.3</v>
      </c>
      <c r="P443" s="116">
        <v>80.95</v>
      </c>
      <c r="Q443" s="116">
        <v>77.7</v>
      </c>
      <c r="R443">
        <v>3527748</v>
      </c>
    </row>
    <row r="444" spans="1:18" x14ac:dyDescent="0.25">
      <c r="A444" s="170">
        <v>42657</v>
      </c>
      <c r="B444" s="116">
        <v>78.849999999999994</v>
      </c>
      <c r="C444" s="116">
        <v>78.45</v>
      </c>
      <c r="D444" s="116">
        <v>77.7</v>
      </c>
      <c r="E444" s="116">
        <v>78.5</v>
      </c>
      <c r="F444" s="116">
        <v>78.45</v>
      </c>
      <c r="G444">
        <v>123344</v>
      </c>
      <c r="H444" s="116"/>
      <c r="I444" s="116"/>
      <c r="L444" s="170">
        <v>42657</v>
      </c>
      <c r="M444" s="116">
        <v>78.400000000000006</v>
      </c>
      <c r="N444" s="116">
        <v>78.849999999999994</v>
      </c>
      <c r="O444" s="116">
        <v>77.7</v>
      </c>
      <c r="P444" s="116">
        <v>77.8</v>
      </c>
      <c r="Q444" s="116">
        <v>78.400000000000006</v>
      </c>
      <c r="R444">
        <v>2071637</v>
      </c>
    </row>
    <row r="445" spans="1:18" x14ac:dyDescent="0.25">
      <c r="A445" s="170">
        <v>42660</v>
      </c>
      <c r="B445" s="116">
        <v>79</v>
      </c>
      <c r="C445" s="116">
        <v>77.55</v>
      </c>
      <c r="D445" s="116">
        <v>77.400000000000006</v>
      </c>
      <c r="E445" s="116">
        <v>79</v>
      </c>
      <c r="F445" s="116">
        <v>77.55</v>
      </c>
      <c r="G445">
        <v>169950</v>
      </c>
      <c r="H445" s="116"/>
      <c r="I445" s="116"/>
      <c r="L445" s="170">
        <v>42660</v>
      </c>
      <c r="M445" s="116">
        <v>77.55</v>
      </c>
      <c r="N445" s="116">
        <v>78.75</v>
      </c>
      <c r="O445" s="116">
        <v>77.400000000000006</v>
      </c>
      <c r="P445" s="116">
        <v>78.150000000000006</v>
      </c>
      <c r="Q445" s="116">
        <v>77.55</v>
      </c>
      <c r="R445">
        <v>2024554</v>
      </c>
    </row>
    <row r="446" spans="1:18" x14ac:dyDescent="0.25">
      <c r="A446" s="170">
        <v>42661</v>
      </c>
      <c r="B446" s="116">
        <v>78.8</v>
      </c>
      <c r="C446" s="116">
        <v>78.400000000000006</v>
      </c>
      <c r="D446" s="116">
        <v>77.900000000000006</v>
      </c>
      <c r="E446" s="116">
        <v>77.900000000000006</v>
      </c>
      <c r="F446" s="116">
        <v>78.400000000000006</v>
      </c>
      <c r="G446">
        <v>210153</v>
      </c>
      <c r="H446" s="116"/>
      <c r="I446" s="116"/>
      <c r="L446" s="170">
        <v>42661</v>
      </c>
      <c r="M446" s="116">
        <v>78.75</v>
      </c>
      <c r="N446" s="116">
        <v>78.95</v>
      </c>
      <c r="O446" s="116">
        <v>77.650000000000006</v>
      </c>
      <c r="P446" s="116">
        <v>77.650000000000006</v>
      </c>
      <c r="Q446" s="116">
        <v>78.75</v>
      </c>
      <c r="R446">
        <v>2658639</v>
      </c>
    </row>
    <row r="447" spans="1:18" x14ac:dyDescent="0.25">
      <c r="A447" s="170">
        <v>42662</v>
      </c>
      <c r="B447" s="116">
        <v>81.55</v>
      </c>
      <c r="C447" s="116">
        <v>81.150000000000006</v>
      </c>
      <c r="D447" s="116">
        <v>77.599999999999994</v>
      </c>
      <c r="E447" s="116">
        <v>77.599999999999994</v>
      </c>
      <c r="F447" s="116">
        <v>81.150000000000006</v>
      </c>
      <c r="G447">
        <v>460938</v>
      </c>
      <c r="H447" s="116"/>
      <c r="I447" s="116"/>
      <c r="L447" s="170">
        <v>42662</v>
      </c>
      <c r="M447" s="116">
        <v>81.25</v>
      </c>
      <c r="N447" s="116">
        <v>81.8</v>
      </c>
      <c r="O447" s="116">
        <v>78.650000000000006</v>
      </c>
      <c r="P447" s="116">
        <v>78.849999999999994</v>
      </c>
      <c r="Q447" s="116">
        <v>81.25</v>
      </c>
      <c r="R447">
        <v>3816188</v>
      </c>
    </row>
    <row r="448" spans="1:18" x14ac:dyDescent="0.25">
      <c r="A448" s="170">
        <v>42663</v>
      </c>
      <c r="B448" s="116">
        <v>83.35</v>
      </c>
      <c r="C448" s="116">
        <v>81.849999999999994</v>
      </c>
      <c r="D448" s="116">
        <v>80.8</v>
      </c>
      <c r="E448" s="116">
        <v>80.8</v>
      </c>
      <c r="F448" s="116">
        <v>81.849999999999994</v>
      </c>
      <c r="G448">
        <v>454081</v>
      </c>
      <c r="H448" s="116"/>
      <c r="I448" s="116"/>
      <c r="L448" s="170">
        <v>42663</v>
      </c>
      <c r="M448" s="116">
        <v>81.95</v>
      </c>
      <c r="N448" s="116">
        <v>83.5</v>
      </c>
      <c r="O448" s="116">
        <v>80.849999999999994</v>
      </c>
      <c r="P448" s="116">
        <v>81</v>
      </c>
      <c r="Q448" s="116">
        <v>81.95</v>
      </c>
      <c r="R448">
        <v>4880194</v>
      </c>
    </row>
    <row r="449" spans="1:18" x14ac:dyDescent="0.25">
      <c r="A449" s="170">
        <v>42664</v>
      </c>
      <c r="B449" s="116">
        <v>83.8</v>
      </c>
      <c r="C449" s="116">
        <v>83.55</v>
      </c>
      <c r="D449" s="116">
        <v>81.5</v>
      </c>
      <c r="E449" s="116">
        <v>82.2</v>
      </c>
      <c r="F449" s="116">
        <v>83.55</v>
      </c>
      <c r="G449">
        <v>879042</v>
      </c>
      <c r="H449" s="116"/>
      <c r="I449" s="116"/>
      <c r="L449" s="170">
        <v>42664</v>
      </c>
      <c r="M449" s="116">
        <v>83.6</v>
      </c>
      <c r="N449" s="116">
        <v>84</v>
      </c>
      <c r="O449" s="116">
        <v>81.5</v>
      </c>
      <c r="P449" s="116">
        <v>82</v>
      </c>
      <c r="Q449" s="116">
        <v>83.6</v>
      </c>
      <c r="R449">
        <v>4707277</v>
      </c>
    </row>
    <row r="450" spans="1:18" x14ac:dyDescent="0.25">
      <c r="A450" s="170">
        <v>42667</v>
      </c>
      <c r="B450" s="116">
        <v>84.45</v>
      </c>
      <c r="C450" s="116">
        <v>83.6</v>
      </c>
      <c r="D450" s="116">
        <v>83.35</v>
      </c>
      <c r="E450" s="116">
        <v>84.05</v>
      </c>
      <c r="F450" s="116">
        <v>83.6</v>
      </c>
      <c r="G450">
        <v>270949</v>
      </c>
      <c r="H450" s="116"/>
      <c r="I450" s="116"/>
      <c r="L450" s="170">
        <v>42667</v>
      </c>
      <c r="M450" s="116">
        <v>83.65</v>
      </c>
      <c r="N450" s="116">
        <v>84.4</v>
      </c>
      <c r="O450" s="116">
        <v>83.4</v>
      </c>
      <c r="P450" s="116">
        <v>83.65</v>
      </c>
      <c r="Q450" s="116">
        <v>83.65</v>
      </c>
      <c r="R450">
        <v>4203588</v>
      </c>
    </row>
    <row r="451" spans="1:18" x14ac:dyDescent="0.25">
      <c r="A451" s="170">
        <v>42668</v>
      </c>
      <c r="B451" s="116">
        <v>83.25</v>
      </c>
      <c r="C451" s="116">
        <v>82.35</v>
      </c>
      <c r="D451" s="116">
        <v>81</v>
      </c>
      <c r="E451" s="116">
        <v>82</v>
      </c>
      <c r="F451" s="116">
        <v>82.35</v>
      </c>
      <c r="G451">
        <v>417074</v>
      </c>
      <c r="H451" s="116"/>
      <c r="I451" s="116"/>
      <c r="L451" s="170">
        <v>42668</v>
      </c>
      <c r="M451" s="116">
        <v>82.4</v>
      </c>
      <c r="N451" s="116">
        <v>83.3</v>
      </c>
      <c r="O451" s="116">
        <v>81.2</v>
      </c>
      <c r="P451" s="116">
        <v>82</v>
      </c>
      <c r="Q451" s="116">
        <v>82.4</v>
      </c>
      <c r="R451">
        <v>3720701</v>
      </c>
    </row>
    <row r="452" spans="1:18" x14ac:dyDescent="0.25">
      <c r="A452" s="170">
        <v>42669</v>
      </c>
      <c r="B452" s="116">
        <v>82.9</v>
      </c>
      <c r="C452" s="116">
        <v>80.650000000000006</v>
      </c>
      <c r="D452" s="116">
        <v>80</v>
      </c>
      <c r="E452" s="116">
        <v>81.5</v>
      </c>
      <c r="F452" s="116">
        <v>80.650000000000006</v>
      </c>
      <c r="G452">
        <v>212831</v>
      </c>
      <c r="H452" s="116"/>
      <c r="I452" s="116"/>
      <c r="L452" s="170">
        <v>42669</v>
      </c>
      <c r="M452" s="116">
        <v>80.849999999999994</v>
      </c>
      <c r="N452" s="116">
        <v>82.1</v>
      </c>
      <c r="O452" s="116">
        <v>80</v>
      </c>
      <c r="P452" s="116">
        <v>82</v>
      </c>
      <c r="Q452" s="116">
        <v>80.849999999999994</v>
      </c>
      <c r="R452">
        <v>4997075</v>
      </c>
    </row>
    <row r="453" spans="1:18" x14ac:dyDescent="0.25">
      <c r="A453" s="170">
        <v>42670</v>
      </c>
      <c r="B453" s="116">
        <v>80</v>
      </c>
      <c r="C453" s="116">
        <v>79.55</v>
      </c>
      <c r="D453" s="116">
        <v>76.05</v>
      </c>
      <c r="E453" s="116">
        <v>76.05</v>
      </c>
      <c r="F453" s="116">
        <v>79.55</v>
      </c>
      <c r="G453">
        <v>709455</v>
      </c>
      <c r="H453" s="116"/>
      <c r="I453" s="116"/>
      <c r="L453" s="170">
        <v>42670</v>
      </c>
      <c r="M453" s="116">
        <v>79.55</v>
      </c>
      <c r="N453" s="116">
        <v>80</v>
      </c>
      <c r="O453" s="116">
        <v>77.45</v>
      </c>
      <c r="P453" s="116">
        <v>77.45</v>
      </c>
      <c r="Q453" s="116">
        <v>79.55</v>
      </c>
      <c r="R453">
        <v>10205441</v>
      </c>
    </row>
    <row r="454" spans="1:18" x14ac:dyDescent="0.25">
      <c r="A454" s="170">
        <v>42671</v>
      </c>
      <c r="B454" s="116">
        <v>81.2</v>
      </c>
      <c r="C454" s="116">
        <v>78.45</v>
      </c>
      <c r="D454" s="116">
        <v>78.349999999999994</v>
      </c>
      <c r="E454" s="116">
        <v>79.650000000000006</v>
      </c>
      <c r="F454" s="116">
        <v>78.45</v>
      </c>
      <c r="G454">
        <v>355666</v>
      </c>
      <c r="H454" s="116"/>
      <c r="I454" s="116"/>
      <c r="L454" s="170">
        <v>42671</v>
      </c>
      <c r="M454" s="116">
        <v>78.3</v>
      </c>
      <c r="N454" s="116">
        <v>81.400000000000006</v>
      </c>
      <c r="O454" s="116">
        <v>78.150000000000006</v>
      </c>
      <c r="P454" s="116">
        <v>79.2</v>
      </c>
      <c r="Q454" s="116">
        <v>78.3</v>
      </c>
      <c r="R454">
        <v>8118517</v>
      </c>
    </row>
    <row r="455" spans="1:18" x14ac:dyDescent="0.25">
      <c r="A455" s="170">
        <v>42673</v>
      </c>
      <c r="B455" s="116">
        <v>79.25</v>
      </c>
      <c r="C455" s="116">
        <v>78.150000000000006</v>
      </c>
      <c r="D455" s="116">
        <v>77.849999999999994</v>
      </c>
      <c r="E455" s="116">
        <v>79</v>
      </c>
      <c r="F455" s="116">
        <v>78.150000000000006</v>
      </c>
      <c r="G455">
        <v>71509</v>
      </c>
      <c r="H455" s="116"/>
      <c r="I455" s="116"/>
      <c r="L455" s="170">
        <v>42673</v>
      </c>
      <c r="M455" s="116">
        <v>78.099999999999994</v>
      </c>
      <c r="N455" s="116">
        <v>79.349999999999994</v>
      </c>
      <c r="O455" s="116">
        <v>77.849999999999994</v>
      </c>
      <c r="P455" s="116">
        <v>78.8</v>
      </c>
      <c r="Q455" s="116">
        <v>78.099999999999994</v>
      </c>
      <c r="R455">
        <v>495146</v>
      </c>
    </row>
    <row r="456" spans="1:18" x14ac:dyDescent="0.25">
      <c r="A456" s="170">
        <v>42675</v>
      </c>
      <c r="B456" s="116">
        <v>79.5</v>
      </c>
      <c r="C456" s="116">
        <v>78.150000000000006</v>
      </c>
      <c r="D456" s="116">
        <v>76.75</v>
      </c>
      <c r="E456" s="116">
        <v>78.25</v>
      </c>
      <c r="F456" s="116">
        <v>78.150000000000006</v>
      </c>
      <c r="G456">
        <v>296801</v>
      </c>
      <c r="H456" s="116"/>
      <c r="I456" s="116"/>
      <c r="L456" s="170">
        <v>42675</v>
      </c>
      <c r="M456" s="116">
        <v>78.150000000000006</v>
      </c>
      <c r="N456" s="116">
        <v>79.5</v>
      </c>
      <c r="O456" s="116">
        <v>76.55</v>
      </c>
      <c r="P456" s="116">
        <v>78</v>
      </c>
      <c r="Q456" s="116">
        <v>78.150000000000006</v>
      </c>
      <c r="R456">
        <v>6868528</v>
      </c>
    </row>
    <row r="457" spans="1:18" x14ac:dyDescent="0.25">
      <c r="A457" s="170">
        <v>42676</v>
      </c>
      <c r="B457" s="116">
        <v>78.099999999999994</v>
      </c>
      <c r="C457" s="116">
        <v>77.05</v>
      </c>
      <c r="D457" s="116">
        <v>76.849999999999994</v>
      </c>
      <c r="E457" s="116">
        <v>78.099999999999994</v>
      </c>
      <c r="F457" s="116">
        <v>77.05</v>
      </c>
      <c r="G457">
        <v>173982</v>
      </c>
      <c r="H457" s="116"/>
      <c r="I457" s="116"/>
      <c r="L457" s="170">
        <v>42676</v>
      </c>
      <c r="M457" s="116">
        <v>77.05</v>
      </c>
      <c r="N457" s="116">
        <v>78.099999999999994</v>
      </c>
      <c r="O457" s="116">
        <v>76.8</v>
      </c>
      <c r="P457" s="116">
        <v>77.5</v>
      </c>
      <c r="Q457" s="116">
        <v>77.05</v>
      </c>
      <c r="R457">
        <v>2066811</v>
      </c>
    </row>
    <row r="458" spans="1:18" x14ac:dyDescent="0.25">
      <c r="A458" s="170">
        <v>42677</v>
      </c>
      <c r="B458" s="116">
        <v>78.5</v>
      </c>
      <c r="C458" s="116">
        <v>76.75</v>
      </c>
      <c r="D458" s="116">
        <v>76.099999999999994</v>
      </c>
      <c r="E458" s="116">
        <v>77</v>
      </c>
      <c r="F458" s="116">
        <v>76.75</v>
      </c>
      <c r="G458">
        <v>403814</v>
      </c>
      <c r="H458" s="116"/>
      <c r="I458" s="116"/>
      <c r="L458" s="170">
        <v>42677</v>
      </c>
      <c r="M458" s="116">
        <v>76.7</v>
      </c>
      <c r="N458" s="116">
        <v>78.5</v>
      </c>
      <c r="O458" s="116">
        <v>76.150000000000006</v>
      </c>
      <c r="P458" s="116">
        <v>76.95</v>
      </c>
      <c r="Q458" s="116">
        <v>76.7</v>
      </c>
      <c r="R458">
        <v>2997405</v>
      </c>
    </row>
    <row r="459" spans="1:18" x14ac:dyDescent="0.25">
      <c r="A459" s="170">
        <v>42678</v>
      </c>
      <c r="B459" s="116">
        <v>77.400000000000006</v>
      </c>
      <c r="C459" s="116">
        <v>74.650000000000006</v>
      </c>
      <c r="D459" s="116">
        <v>74.150000000000006</v>
      </c>
      <c r="E459" s="116">
        <v>76.7</v>
      </c>
      <c r="F459" s="116">
        <v>74.650000000000006</v>
      </c>
      <c r="G459">
        <v>287403</v>
      </c>
      <c r="H459" s="116"/>
      <c r="I459" s="116"/>
      <c r="L459" s="170">
        <v>42678</v>
      </c>
      <c r="M459" s="116">
        <v>74.599999999999994</v>
      </c>
      <c r="N459" s="116">
        <v>77.349999999999994</v>
      </c>
      <c r="O459" s="116">
        <v>74</v>
      </c>
      <c r="P459" s="116">
        <v>76.400000000000006</v>
      </c>
      <c r="Q459" s="116">
        <v>74.599999999999994</v>
      </c>
      <c r="R459">
        <v>3582019</v>
      </c>
    </row>
    <row r="460" spans="1:18" x14ac:dyDescent="0.25">
      <c r="A460" s="170">
        <v>42681</v>
      </c>
      <c r="B460" s="116">
        <v>76.400000000000006</v>
      </c>
      <c r="C460" s="116">
        <v>75.400000000000006</v>
      </c>
      <c r="D460" s="116">
        <v>74.599999999999994</v>
      </c>
      <c r="E460" s="116">
        <v>74.650000000000006</v>
      </c>
      <c r="F460" s="116">
        <v>75.400000000000006</v>
      </c>
      <c r="G460">
        <v>218517</v>
      </c>
      <c r="H460" s="116"/>
      <c r="I460" s="116"/>
      <c r="L460" s="170">
        <v>42681</v>
      </c>
      <c r="M460" s="116">
        <v>75.349999999999994</v>
      </c>
      <c r="N460" s="116">
        <v>76.400000000000006</v>
      </c>
      <c r="O460" s="116">
        <v>74.95</v>
      </c>
      <c r="P460" s="116">
        <v>75.25</v>
      </c>
      <c r="Q460" s="116">
        <v>75.349999999999994</v>
      </c>
      <c r="R460">
        <v>2464750</v>
      </c>
    </row>
    <row r="461" spans="1:18" x14ac:dyDescent="0.25">
      <c r="A461" s="170">
        <v>42682</v>
      </c>
      <c r="B461" s="116">
        <v>75.599999999999994</v>
      </c>
      <c r="C461" s="116">
        <v>74.45</v>
      </c>
      <c r="D461" s="116">
        <v>74.25</v>
      </c>
      <c r="E461" s="116">
        <v>75.5</v>
      </c>
      <c r="F461" s="116">
        <v>74.45</v>
      </c>
      <c r="G461">
        <v>182492</v>
      </c>
      <c r="H461" s="116"/>
      <c r="I461" s="116"/>
      <c r="L461" s="170">
        <v>42682</v>
      </c>
      <c r="M461" s="116">
        <v>74.400000000000006</v>
      </c>
      <c r="N461" s="116">
        <v>77.25</v>
      </c>
      <c r="O461" s="116">
        <v>74.099999999999994</v>
      </c>
      <c r="P461" s="116">
        <v>75.7</v>
      </c>
      <c r="Q461" s="116">
        <v>74.400000000000006</v>
      </c>
      <c r="R461">
        <v>2120863</v>
      </c>
    </row>
    <row r="462" spans="1:18" x14ac:dyDescent="0.25">
      <c r="A462" s="170">
        <v>42683</v>
      </c>
      <c r="B462" s="116">
        <v>73.8</v>
      </c>
      <c r="C462" s="116">
        <v>71.650000000000006</v>
      </c>
      <c r="D462" s="116">
        <v>67.099999999999994</v>
      </c>
      <c r="E462" s="116">
        <v>73.8</v>
      </c>
      <c r="F462" s="116">
        <v>71.650000000000006</v>
      </c>
      <c r="G462">
        <v>883983</v>
      </c>
      <c r="H462" s="116"/>
      <c r="I462" s="116"/>
      <c r="L462" s="170">
        <v>42683</v>
      </c>
      <c r="M462" s="116">
        <v>71.7</v>
      </c>
      <c r="N462" s="116">
        <v>72.75</v>
      </c>
      <c r="O462" s="116">
        <v>67</v>
      </c>
      <c r="P462" s="116">
        <v>71</v>
      </c>
      <c r="Q462" s="116">
        <v>71.7</v>
      </c>
      <c r="R462">
        <v>4934441</v>
      </c>
    </row>
    <row r="463" spans="1:18" x14ac:dyDescent="0.25">
      <c r="A463" s="170">
        <v>42684</v>
      </c>
      <c r="B463" s="116">
        <v>77</v>
      </c>
      <c r="C463" s="116">
        <v>75.099999999999994</v>
      </c>
      <c r="D463" s="116">
        <v>71.7</v>
      </c>
      <c r="E463" s="116">
        <v>71.7</v>
      </c>
      <c r="F463" s="116">
        <v>75.099999999999994</v>
      </c>
      <c r="G463">
        <v>359460</v>
      </c>
      <c r="H463" s="116"/>
      <c r="I463" s="116"/>
      <c r="L463" s="170">
        <v>42684</v>
      </c>
      <c r="M463" s="116">
        <v>74.45</v>
      </c>
      <c r="N463" s="116">
        <v>75.349999999999994</v>
      </c>
      <c r="O463" s="116">
        <v>72.400000000000006</v>
      </c>
      <c r="P463" s="116">
        <v>72.900000000000006</v>
      </c>
      <c r="Q463" s="116">
        <v>74.45</v>
      </c>
      <c r="R463">
        <v>4391024</v>
      </c>
    </row>
    <row r="464" spans="1:18" x14ac:dyDescent="0.25">
      <c r="A464" s="170">
        <v>42685</v>
      </c>
      <c r="B464" s="116">
        <v>74.599999999999994</v>
      </c>
      <c r="C464" s="116">
        <v>72.05</v>
      </c>
      <c r="D464" s="116">
        <v>71.599999999999994</v>
      </c>
      <c r="E464" s="116">
        <v>74.599999999999994</v>
      </c>
      <c r="F464" s="116">
        <v>72.05</v>
      </c>
      <c r="G464">
        <v>323376</v>
      </c>
      <c r="H464" s="116"/>
      <c r="I464" s="116"/>
      <c r="L464" s="170">
        <v>42685</v>
      </c>
      <c r="M464" s="116">
        <v>72.099999999999994</v>
      </c>
      <c r="N464" s="116">
        <v>74.75</v>
      </c>
      <c r="O464" s="116">
        <v>71.599999999999994</v>
      </c>
      <c r="P464" s="116">
        <v>74.75</v>
      </c>
      <c r="Q464" s="116">
        <v>72.099999999999994</v>
      </c>
      <c r="R464">
        <v>3712989</v>
      </c>
    </row>
    <row r="465" spans="1:18" x14ac:dyDescent="0.25">
      <c r="A465" s="170">
        <v>42689</v>
      </c>
      <c r="B465" s="116">
        <v>72.5</v>
      </c>
      <c r="C465" s="116">
        <v>69.45</v>
      </c>
      <c r="D465" s="116">
        <v>68.599999999999994</v>
      </c>
      <c r="E465" s="116">
        <v>72.400000000000006</v>
      </c>
      <c r="F465" s="116">
        <v>69.45</v>
      </c>
      <c r="G465">
        <v>424660</v>
      </c>
      <c r="H465" s="116"/>
      <c r="I465" s="116"/>
      <c r="L465" s="170">
        <v>42689</v>
      </c>
      <c r="M465" s="116">
        <v>69.25</v>
      </c>
      <c r="N465" s="116">
        <v>72.5</v>
      </c>
      <c r="O465" s="116">
        <v>68.599999999999994</v>
      </c>
      <c r="P465" s="116">
        <v>72.5</v>
      </c>
      <c r="Q465" s="116">
        <v>69.25</v>
      </c>
      <c r="R465">
        <v>4954987</v>
      </c>
    </row>
    <row r="466" spans="1:18" x14ac:dyDescent="0.25">
      <c r="A466" s="170">
        <v>42690</v>
      </c>
      <c r="B466" s="116">
        <v>71.400000000000006</v>
      </c>
      <c r="C466" s="116">
        <v>70.7</v>
      </c>
      <c r="D466" s="116">
        <v>69.2</v>
      </c>
      <c r="E466" s="116">
        <v>69.2</v>
      </c>
      <c r="F466" s="116">
        <v>70.7</v>
      </c>
      <c r="G466">
        <v>420737</v>
      </c>
      <c r="H466" s="116"/>
      <c r="I466" s="116"/>
      <c r="L466" s="170">
        <v>42690</v>
      </c>
      <c r="M466" s="116">
        <v>70.7</v>
      </c>
      <c r="N466" s="116">
        <v>71.349999999999994</v>
      </c>
      <c r="O466" s="116">
        <v>69.3</v>
      </c>
      <c r="P466" s="116">
        <v>69.7</v>
      </c>
      <c r="Q466" s="116">
        <v>70.7</v>
      </c>
      <c r="R466">
        <v>4243025</v>
      </c>
    </row>
    <row r="467" spans="1:18" x14ac:dyDescent="0.25">
      <c r="A467" s="170">
        <v>42691</v>
      </c>
      <c r="B467" s="116">
        <v>72.5</v>
      </c>
      <c r="C467" s="116">
        <v>70.05</v>
      </c>
      <c r="D467" s="116">
        <v>69.7</v>
      </c>
      <c r="E467" s="116">
        <v>71</v>
      </c>
      <c r="F467" s="116">
        <v>70.05</v>
      </c>
      <c r="G467">
        <v>254198</v>
      </c>
      <c r="H467" s="116"/>
      <c r="I467" s="116"/>
      <c r="L467" s="170">
        <v>42691</v>
      </c>
      <c r="M467" s="116">
        <v>70.150000000000006</v>
      </c>
      <c r="N467" s="116">
        <v>72.55</v>
      </c>
      <c r="O467" s="116">
        <v>69.95</v>
      </c>
      <c r="P467" s="116">
        <v>71.5</v>
      </c>
      <c r="Q467" s="116">
        <v>70.150000000000006</v>
      </c>
      <c r="R467">
        <v>3410138</v>
      </c>
    </row>
    <row r="468" spans="1:18" x14ac:dyDescent="0.25">
      <c r="A468" s="170">
        <v>42692</v>
      </c>
      <c r="B468" s="116">
        <v>70.849999999999994</v>
      </c>
      <c r="C468" s="116">
        <v>70.05</v>
      </c>
      <c r="D468" s="116">
        <v>69.599999999999994</v>
      </c>
      <c r="E468" s="116">
        <v>70.5</v>
      </c>
      <c r="F468" s="116">
        <v>70.05</v>
      </c>
      <c r="G468">
        <v>416905</v>
      </c>
      <c r="H468" s="116"/>
      <c r="I468" s="116"/>
      <c r="L468" s="170">
        <v>42692</v>
      </c>
      <c r="M468" s="116">
        <v>70.05</v>
      </c>
      <c r="N468" s="116">
        <v>70.95</v>
      </c>
      <c r="O468" s="116">
        <v>69.45</v>
      </c>
      <c r="P468" s="116">
        <v>70.599999999999994</v>
      </c>
      <c r="Q468" s="116">
        <v>70.05</v>
      </c>
      <c r="R468">
        <v>4256768</v>
      </c>
    </row>
    <row r="469" spans="1:18" x14ac:dyDescent="0.25">
      <c r="A469" s="170">
        <v>42695</v>
      </c>
      <c r="B469" s="116">
        <v>70.45</v>
      </c>
      <c r="C469" s="116">
        <v>68.55</v>
      </c>
      <c r="D469" s="116">
        <v>68</v>
      </c>
      <c r="E469" s="116">
        <v>70.2</v>
      </c>
      <c r="F469" s="116">
        <v>68.55</v>
      </c>
      <c r="G469">
        <v>249286</v>
      </c>
      <c r="H469" s="116"/>
      <c r="I469" s="116"/>
      <c r="L469" s="170">
        <v>42695</v>
      </c>
      <c r="M469" s="116">
        <v>68.599999999999994</v>
      </c>
      <c r="N469" s="116">
        <v>70.5</v>
      </c>
      <c r="O469" s="116">
        <v>68.05</v>
      </c>
      <c r="P469" s="116">
        <v>70.150000000000006</v>
      </c>
      <c r="Q469" s="116">
        <v>68.599999999999994</v>
      </c>
      <c r="R469">
        <v>6898248</v>
      </c>
    </row>
    <row r="470" spans="1:18" x14ac:dyDescent="0.25">
      <c r="A470" s="170">
        <v>42696</v>
      </c>
      <c r="B470" s="116">
        <v>69.650000000000006</v>
      </c>
      <c r="C470" s="116">
        <v>68.849999999999994</v>
      </c>
      <c r="D470" s="116">
        <v>68.400000000000006</v>
      </c>
      <c r="E470" s="116">
        <v>68.5</v>
      </c>
      <c r="F470" s="116">
        <v>68.849999999999994</v>
      </c>
      <c r="G470">
        <v>167268</v>
      </c>
      <c r="H470" s="116"/>
      <c r="I470" s="116"/>
      <c r="L470" s="170">
        <v>42696</v>
      </c>
      <c r="M470" s="116">
        <v>68.95</v>
      </c>
      <c r="N470" s="116">
        <v>69.7</v>
      </c>
      <c r="O470" s="116">
        <v>68.400000000000006</v>
      </c>
      <c r="P470" s="116">
        <v>69.099999999999994</v>
      </c>
      <c r="Q470" s="116">
        <v>68.95</v>
      </c>
      <c r="R470">
        <v>3736671</v>
      </c>
    </row>
    <row r="471" spans="1:18" x14ac:dyDescent="0.25">
      <c r="A471" s="170">
        <v>42697</v>
      </c>
      <c r="B471" s="116">
        <v>69.849999999999994</v>
      </c>
      <c r="C471" s="116">
        <v>69.25</v>
      </c>
      <c r="D471" s="116">
        <v>68.7</v>
      </c>
      <c r="E471" s="116">
        <v>69.7</v>
      </c>
      <c r="F471" s="116">
        <v>69.25</v>
      </c>
      <c r="G471">
        <v>265921</v>
      </c>
      <c r="H471" s="116"/>
      <c r="I471" s="116"/>
      <c r="L471" s="170">
        <v>42697</v>
      </c>
      <c r="M471" s="116">
        <v>69.3</v>
      </c>
      <c r="N471" s="116">
        <v>69.849999999999994</v>
      </c>
      <c r="O471" s="116">
        <v>68.75</v>
      </c>
      <c r="P471" s="116">
        <v>69.7</v>
      </c>
      <c r="Q471" s="116">
        <v>69.3</v>
      </c>
      <c r="R471">
        <v>3746416</v>
      </c>
    </row>
    <row r="472" spans="1:18" x14ac:dyDescent="0.25">
      <c r="A472" s="170">
        <v>42698</v>
      </c>
      <c r="B472" s="116">
        <v>69.900000000000006</v>
      </c>
      <c r="C472" s="116">
        <v>69.25</v>
      </c>
      <c r="D472" s="116">
        <v>68.599999999999994</v>
      </c>
      <c r="E472" s="116">
        <v>69.3</v>
      </c>
      <c r="F472" s="116">
        <v>69.25</v>
      </c>
      <c r="G472">
        <v>118329</v>
      </c>
      <c r="H472" s="116"/>
      <c r="I472" s="116"/>
      <c r="L472" s="170">
        <v>42698</v>
      </c>
      <c r="M472" s="116">
        <v>69.400000000000006</v>
      </c>
      <c r="N472" s="116">
        <v>70.05</v>
      </c>
      <c r="O472" s="116">
        <v>68.5</v>
      </c>
      <c r="P472" s="116">
        <v>69</v>
      </c>
      <c r="Q472" s="116">
        <v>69.400000000000006</v>
      </c>
      <c r="R472">
        <v>7541314</v>
      </c>
    </row>
    <row r="473" spans="1:18" x14ac:dyDescent="0.25">
      <c r="A473" s="170">
        <v>42699</v>
      </c>
      <c r="B473" s="116">
        <v>70.650000000000006</v>
      </c>
      <c r="C473" s="116">
        <v>69.95</v>
      </c>
      <c r="D473" s="116">
        <v>69.400000000000006</v>
      </c>
      <c r="E473" s="116">
        <v>69.45</v>
      </c>
      <c r="F473" s="116">
        <v>69.95</v>
      </c>
      <c r="G473">
        <v>108270</v>
      </c>
      <c r="H473" s="116"/>
      <c r="I473" s="116"/>
      <c r="L473" s="170">
        <v>42699</v>
      </c>
      <c r="M473" s="116">
        <v>70.05</v>
      </c>
      <c r="N473" s="116">
        <v>70.8</v>
      </c>
      <c r="O473" s="116">
        <v>69.3</v>
      </c>
      <c r="P473" s="116">
        <v>69.55</v>
      </c>
      <c r="Q473" s="116">
        <v>70.05</v>
      </c>
      <c r="R473">
        <v>1479482</v>
      </c>
    </row>
    <row r="474" spans="1:18" x14ac:dyDescent="0.25">
      <c r="A474" s="170">
        <v>42702</v>
      </c>
      <c r="B474" s="116">
        <v>73.150000000000006</v>
      </c>
      <c r="C474" s="116">
        <v>72.75</v>
      </c>
      <c r="D474" s="116">
        <v>70</v>
      </c>
      <c r="E474" s="116">
        <v>70</v>
      </c>
      <c r="F474" s="116">
        <v>72.75</v>
      </c>
      <c r="G474">
        <v>299455</v>
      </c>
      <c r="H474" s="116"/>
      <c r="I474" s="116"/>
      <c r="L474" s="170">
        <v>42702</v>
      </c>
      <c r="M474" s="116">
        <v>72.7</v>
      </c>
      <c r="N474" s="116">
        <v>73.2</v>
      </c>
      <c r="O474" s="116">
        <v>70.099999999999994</v>
      </c>
      <c r="P474" s="116">
        <v>70.5</v>
      </c>
      <c r="Q474" s="116">
        <v>72.7</v>
      </c>
      <c r="R474">
        <v>4400662</v>
      </c>
    </row>
    <row r="475" spans="1:18" x14ac:dyDescent="0.25">
      <c r="A475" s="170">
        <v>42703</v>
      </c>
      <c r="B475" s="116">
        <v>73.75</v>
      </c>
      <c r="C475" s="116">
        <v>72.2</v>
      </c>
      <c r="D475" s="116">
        <v>72</v>
      </c>
      <c r="E475" s="116">
        <v>73.75</v>
      </c>
      <c r="F475" s="116">
        <v>72.2</v>
      </c>
      <c r="G475">
        <v>351617</v>
      </c>
      <c r="H475" s="116"/>
      <c r="I475" s="116"/>
      <c r="L475" s="170">
        <v>42703</v>
      </c>
      <c r="M475" s="116">
        <v>72.25</v>
      </c>
      <c r="N475" s="116">
        <v>73.45</v>
      </c>
      <c r="O475" s="116">
        <v>72</v>
      </c>
      <c r="P475" s="116">
        <v>73.349999999999994</v>
      </c>
      <c r="Q475" s="116">
        <v>72.25</v>
      </c>
      <c r="R475">
        <v>4671961</v>
      </c>
    </row>
    <row r="476" spans="1:18" x14ac:dyDescent="0.25">
      <c r="A476" s="170">
        <v>42704</v>
      </c>
      <c r="B476" s="116">
        <v>74.349999999999994</v>
      </c>
      <c r="C476" s="116">
        <v>73.900000000000006</v>
      </c>
      <c r="D476" s="116">
        <v>71.05</v>
      </c>
      <c r="E476" s="116">
        <v>72.75</v>
      </c>
      <c r="F476" s="116">
        <v>73.900000000000006</v>
      </c>
      <c r="G476">
        <v>759459</v>
      </c>
      <c r="H476" s="116"/>
      <c r="I476" s="116"/>
      <c r="L476" s="170">
        <v>42704</v>
      </c>
      <c r="M476" s="116">
        <v>74.05</v>
      </c>
      <c r="N476" s="116">
        <v>74.5</v>
      </c>
      <c r="O476" s="116">
        <v>70.900000000000006</v>
      </c>
      <c r="P476" s="116">
        <v>72.2</v>
      </c>
      <c r="Q476" s="116">
        <v>74.05</v>
      </c>
      <c r="R476">
        <v>10053588</v>
      </c>
    </row>
    <row r="477" spans="1:18" x14ac:dyDescent="0.25">
      <c r="A477" s="170">
        <v>42705</v>
      </c>
      <c r="B477" s="116">
        <v>75.150000000000006</v>
      </c>
      <c r="C477" s="116">
        <v>72.849999999999994</v>
      </c>
      <c r="D477" s="116">
        <v>72.55</v>
      </c>
      <c r="E477" s="116">
        <v>75</v>
      </c>
      <c r="F477" s="116">
        <v>72.849999999999994</v>
      </c>
      <c r="G477">
        <v>529517</v>
      </c>
      <c r="H477" s="116"/>
      <c r="I477" s="116"/>
      <c r="L477" s="170">
        <v>42705</v>
      </c>
      <c r="M477" s="116">
        <v>72.849999999999994</v>
      </c>
      <c r="N477" s="116">
        <v>75.099999999999994</v>
      </c>
      <c r="O477" s="116">
        <v>72.5</v>
      </c>
      <c r="P477" s="116">
        <v>74.8</v>
      </c>
      <c r="Q477" s="116">
        <v>72.849999999999994</v>
      </c>
      <c r="R477">
        <v>4458587</v>
      </c>
    </row>
    <row r="478" spans="1:18" x14ac:dyDescent="0.25">
      <c r="A478" s="170">
        <v>42706</v>
      </c>
      <c r="B478" s="116">
        <v>74.7</v>
      </c>
      <c r="C478" s="116">
        <v>73.599999999999994</v>
      </c>
      <c r="D478" s="116">
        <v>72.5</v>
      </c>
      <c r="E478" s="116">
        <v>72.8</v>
      </c>
      <c r="F478" s="116">
        <v>73.599999999999994</v>
      </c>
      <c r="G478">
        <v>542113</v>
      </c>
      <c r="H478" s="116"/>
      <c r="I478" s="116"/>
      <c r="L478" s="170">
        <v>42706</v>
      </c>
      <c r="M478" s="116">
        <v>73.45</v>
      </c>
      <c r="N478" s="116">
        <v>74.650000000000006</v>
      </c>
      <c r="O478" s="116">
        <v>72.3</v>
      </c>
      <c r="P478" s="116">
        <v>72.650000000000006</v>
      </c>
      <c r="Q478" s="116">
        <v>73.45</v>
      </c>
      <c r="R478">
        <v>6273560</v>
      </c>
    </row>
    <row r="479" spans="1:18" x14ac:dyDescent="0.25">
      <c r="A479" s="170">
        <v>42709</v>
      </c>
      <c r="B479" s="116">
        <v>74.5</v>
      </c>
      <c r="C479" s="116">
        <v>73.25</v>
      </c>
      <c r="D479" s="116">
        <v>72.900000000000006</v>
      </c>
      <c r="E479" s="116">
        <v>73.5</v>
      </c>
      <c r="F479" s="116">
        <v>73.25</v>
      </c>
      <c r="G479">
        <v>291803</v>
      </c>
      <c r="H479" s="116"/>
      <c r="I479" s="116"/>
      <c r="L479" s="170">
        <v>42709</v>
      </c>
      <c r="M479" s="116">
        <v>73.150000000000006</v>
      </c>
      <c r="N479" s="116">
        <v>74.349999999999994</v>
      </c>
      <c r="O479" s="116">
        <v>72.75</v>
      </c>
      <c r="P479" s="116">
        <v>73.45</v>
      </c>
      <c r="Q479" s="116">
        <v>73.150000000000006</v>
      </c>
      <c r="R479">
        <v>3703955</v>
      </c>
    </row>
    <row r="480" spans="1:18" x14ac:dyDescent="0.25">
      <c r="A480" s="170">
        <v>42710</v>
      </c>
      <c r="B480" s="116">
        <v>75.95</v>
      </c>
      <c r="C480" s="116">
        <v>75.25</v>
      </c>
      <c r="D480" s="116">
        <v>74.5</v>
      </c>
      <c r="E480" s="116">
        <v>74.5</v>
      </c>
      <c r="F480" s="116">
        <v>75.25</v>
      </c>
      <c r="G480">
        <v>884523</v>
      </c>
      <c r="H480" s="116"/>
      <c r="I480" s="116"/>
      <c r="L480" s="170">
        <v>42710</v>
      </c>
      <c r="M480" s="116">
        <v>75.2</v>
      </c>
      <c r="N480" s="116">
        <v>75.8</v>
      </c>
      <c r="O480" s="116">
        <v>74.349999999999994</v>
      </c>
      <c r="P480" s="116">
        <v>74.900000000000006</v>
      </c>
      <c r="Q480" s="116">
        <v>75.2</v>
      </c>
      <c r="R480">
        <v>8017447</v>
      </c>
    </row>
    <row r="481" spans="1:18" x14ac:dyDescent="0.25">
      <c r="A481" s="170">
        <v>42711</v>
      </c>
      <c r="B481" s="116">
        <v>77.900000000000006</v>
      </c>
      <c r="C481" s="116">
        <v>74.400000000000006</v>
      </c>
      <c r="D481" s="116">
        <v>74</v>
      </c>
      <c r="E481" s="116">
        <v>75.3</v>
      </c>
      <c r="F481" s="116">
        <v>74.400000000000006</v>
      </c>
      <c r="G481">
        <v>910741</v>
      </c>
      <c r="H481" s="116"/>
      <c r="I481" s="116"/>
      <c r="L481" s="170">
        <v>42711</v>
      </c>
      <c r="M481" s="116">
        <v>74.3</v>
      </c>
      <c r="N481" s="116">
        <v>78</v>
      </c>
      <c r="O481" s="116">
        <v>73.900000000000006</v>
      </c>
      <c r="P481" s="116">
        <v>75.3</v>
      </c>
      <c r="Q481" s="116">
        <v>74.3</v>
      </c>
      <c r="R481">
        <v>14527202</v>
      </c>
    </row>
    <row r="482" spans="1:18" x14ac:dyDescent="0.25">
      <c r="A482" s="170">
        <v>42712</v>
      </c>
      <c r="B482" s="116">
        <v>75.849999999999994</v>
      </c>
      <c r="C482" s="116">
        <v>75.55</v>
      </c>
      <c r="D482" s="116">
        <v>74.8</v>
      </c>
      <c r="E482" s="116">
        <v>75.099999999999994</v>
      </c>
      <c r="F482" s="116">
        <v>75.55</v>
      </c>
      <c r="G482">
        <v>236250</v>
      </c>
      <c r="H482" s="116"/>
      <c r="I482" s="116"/>
      <c r="L482" s="170">
        <v>42712</v>
      </c>
      <c r="M482" s="116">
        <v>75.55</v>
      </c>
      <c r="N482" s="116">
        <v>75.8</v>
      </c>
      <c r="O482" s="116">
        <v>74.8</v>
      </c>
      <c r="P482" s="116">
        <v>75</v>
      </c>
      <c r="Q482" s="116">
        <v>75.55</v>
      </c>
      <c r="R482">
        <v>3878732</v>
      </c>
    </row>
    <row r="483" spans="1:18" x14ac:dyDescent="0.25">
      <c r="A483" s="170">
        <v>42713</v>
      </c>
      <c r="B483" s="116">
        <v>77.5</v>
      </c>
      <c r="C483" s="116">
        <v>77.150000000000006</v>
      </c>
      <c r="D483" s="116">
        <v>75.150000000000006</v>
      </c>
      <c r="E483" s="116">
        <v>76</v>
      </c>
      <c r="F483" s="116">
        <v>77.150000000000006</v>
      </c>
      <c r="G483">
        <v>464638</v>
      </c>
      <c r="H483" s="116"/>
      <c r="I483" s="116"/>
      <c r="L483" s="170">
        <v>42713</v>
      </c>
      <c r="M483" s="116">
        <v>77.05</v>
      </c>
      <c r="N483" s="116">
        <v>77.5</v>
      </c>
      <c r="O483" s="116">
        <v>75.150000000000006</v>
      </c>
      <c r="P483" s="116">
        <v>75.7</v>
      </c>
      <c r="Q483" s="116">
        <v>77.05</v>
      </c>
      <c r="R483">
        <v>9503932</v>
      </c>
    </row>
    <row r="484" spans="1:18" x14ac:dyDescent="0.25">
      <c r="A484" s="170">
        <v>42716</v>
      </c>
      <c r="B484" s="116">
        <v>76.95</v>
      </c>
      <c r="C484" s="116">
        <v>76.55</v>
      </c>
      <c r="D484" s="116">
        <v>75.8</v>
      </c>
      <c r="E484" s="116">
        <v>76.95</v>
      </c>
      <c r="F484" s="116">
        <v>76.55</v>
      </c>
      <c r="G484">
        <v>137468</v>
      </c>
      <c r="H484" s="116"/>
      <c r="I484" s="116"/>
      <c r="L484" s="170">
        <v>42716</v>
      </c>
      <c r="M484" s="116">
        <v>76.650000000000006</v>
      </c>
      <c r="N484" s="116">
        <v>77</v>
      </c>
      <c r="O484" s="116">
        <v>75.650000000000006</v>
      </c>
      <c r="P484" s="116">
        <v>76.849999999999994</v>
      </c>
      <c r="Q484" s="116">
        <v>76.650000000000006</v>
      </c>
      <c r="R484">
        <v>4574949</v>
      </c>
    </row>
    <row r="485" spans="1:18" x14ac:dyDescent="0.25">
      <c r="A485" s="170">
        <v>42717</v>
      </c>
      <c r="B485" s="116">
        <v>77.7</v>
      </c>
      <c r="C485" s="116">
        <v>77.400000000000006</v>
      </c>
      <c r="D485" s="116">
        <v>76.599999999999994</v>
      </c>
      <c r="E485" s="116">
        <v>77.150000000000006</v>
      </c>
      <c r="F485" s="116">
        <v>77.400000000000006</v>
      </c>
      <c r="G485">
        <v>227290</v>
      </c>
      <c r="H485" s="116"/>
      <c r="I485" s="116"/>
      <c r="L485" s="170">
        <v>42717</v>
      </c>
      <c r="M485" s="116">
        <v>77.599999999999994</v>
      </c>
      <c r="N485" s="116">
        <v>78</v>
      </c>
      <c r="O485" s="116">
        <v>76.599999999999994</v>
      </c>
      <c r="P485" s="116">
        <v>77.95</v>
      </c>
      <c r="Q485" s="116">
        <v>77.599999999999994</v>
      </c>
      <c r="R485">
        <v>3380691</v>
      </c>
    </row>
    <row r="486" spans="1:18" x14ac:dyDescent="0.25">
      <c r="A486" s="170">
        <v>42718</v>
      </c>
      <c r="B486" s="116">
        <v>78.75</v>
      </c>
      <c r="C486" s="116">
        <v>78.45</v>
      </c>
      <c r="D486" s="116">
        <v>77.25</v>
      </c>
      <c r="E486" s="116">
        <v>77.25</v>
      </c>
      <c r="F486" s="116">
        <v>78.45</v>
      </c>
      <c r="G486">
        <v>394006</v>
      </c>
      <c r="H486" s="116"/>
      <c r="I486" s="116"/>
      <c r="L486" s="170">
        <v>42718</v>
      </c>
      <c r="M486" s="116">
        <v>78.7</v>
      </c>
      <c r="N486" s="116">
        <v>78.900000000000006</v>
      </c>
      <c r="O486" s="116">
        <v>77.349999999999994</v>
      </c>
      <c r="P486" s="116">
        <v>77.900000000000006</v>
      </c>
      <c r="Q486" s="116">
        <v>78.7</v>
      </c>
      <c r="R486">
        <v>8826457</v>
      </c>
    </row>
    <row r="487" spans="1:18" x14ac:dyDescent="0.25">
      <c r="A487" s="170">
        <v>42719</v>
      </c>
      <c r="B487" s="116">
        <v>80.2</v>
      </c>
      <c r="C487" s="116">
        <v>78.25</v>
      </c>
      <c r="D487" s="116">
        <v>77.650000000000006</v>
      </c>
      <c r="E487" s="116">
        <v>78.5</v>
      </c>
      <c r="F487" s="116">
        <v>78.25</v>
      </c>
      <c r="G487">
        <v>743102</v>
      </c>
      <c r="H487" s="116"/>
      <c r="I487" s="116"/>
      <c r="L487" s="170">
        <v>42719</v>
      </c>
      <c r="M487" s="116">
        <v>78.150000000000006</v>
      </c>
      <c r="N487" s="116">
        <v>80.25</v>
      </c>
      <c r="O487" s="116">
        <v>77.650000000000006</v>
      </c>
      <c r="P487" s="116">
        <v>78</v>
      </c>
      <c r="Q487" s="116">
        <v>78.150000000000006</v>
      </c>
      <c r="R487">
        <v>18054475</v>
      </c>
    </row>
    <row r="488" spans="1:18" x14ac:dyDescent="0.25">
      <c r="A488" s="170">
        <v>42720</v>
      </c>
      <c r="B488" s="116">
        <v>78.400000000000006</v>
      </c>
      <c r="C488" s="116">
        <v>76.55</v>
      </c>
      <c r="D488" s="116">
        <v>76.3</v>
      </c>
      <c r="E488" s="116">
        <v>78.2</v>
      </c>
      <c r="F488" s="116">
        <v>76.55</v>
      </c>
      <c r="G488">
        <v>222079</v>
      </c>
      <c r="H488" s="116"/>
      <c r="I488" s="116"/>
      <c r="L488" s="170">
        <v>42720</v>
      </c>
      <c r="M488" s="116">
        <v>76.599999999999994</v>
      </c>
      <c r="N488" s="116">
        <v>78.45</v>
      </c>
      <c r="O488" s="116">
        <v>76.3</v>
      </c>
      <c r="P488" s="116">
        <v>78.400000000000006</v>
      </c>
      <c r="Q488" s="116">
        <v>76.599999999999994</v>
      </c>
      <c r="R488">
        <v>3776059</v>
      </c>
    </row>
    <row r="489" spans="1:18" x14ac:dyDescent="0.25">
      <c r="A489" s="170">
        <v>42723</v>
      </c>
      <c r="B489" s="116">
        <v>78</v>
      </c>
      <c r="C489" s="116">
        <v>77.25</v>
      </c>
      <c r="D489" s="116">
        <v>76.599999999999994</v>
      </c>
      <c r="E489" s="116">
        <v>76.599999999999994</v>
      </c>
      <c r="F489" s="116">
        <v>77.25</v>
      </c>
      <c r="G489">
        <v>122112</v>
      </c>
      <c r="H489" s="116"/>
      <c r="I489" s="116"/>
      <c r="L489" s="170">
        <v>42723</v>
      </c>
      <c r="M489" s="116">
        <v>77.150000000000006</v>
      </c>
      <c r="N489" s="116">
        <v>78</v>
      </c>
      <c r="O489" s="116">
        <v>76.55</v>
      </c>
      <c r="P489" s="116">
        <v>76.599999999999994</v>
      </c>
      <c r="Q489" s="116">
        <v>77.150000000000006</v>
      </c>
      <c r="R489">
        <v>2739927</v>
      </c>
    </row>
    <row r="490" spans="1:18" x14ac:dyDescent="0.25">
      <c r="A490" s="170">
        <v>42724</v>
      </c>
      <c r="B490" s="116">
        <v>79.349999999999994</v>
      </c>
      <c r="C490" s="116">
        <v>76.599999999999994</v>
      </c>
      <c r="D490" s="116">
        <v>76.400000000000006</v>
      </c>
      <c r="E490" s="116">
        <v>77.5</v>
      </c>
      <c r="F490" s="116">
        <v>76.599999999999994</v>
      </c>
      <c r="G490">
        <v>413241</v>
      </c>
      <c r="H490" s="116"/>
      <c r="I490" s="116"/>
      <c r="L490" s="170">
        <v>42724</v>
      </c>
      <c r="M490" s="116">
        <v>76.55</v>
      </c>
      <c r="N490" s="116">
        <v>79.3</v>
      </c>
      <c r="O490" s="116">
        <v>76.3</v>
      </c>
      <c r="P490" s="116">
        <v>77.7</v>
      </c>
      <c r="Q490" s="116">
        <v>76.55</v>
      </c>
      <c r="R490">
        <v>4427929</v>
      </c>
    </row>
    <row r="491" spans="1:18" x14ac:dyDescent="0.25">
      <c r="A491" s="170">
        <v>42725</v>
      </c>
      <c r="B491" s="116">
        <v>77.25</v>
      </c>
      <c r="C491" s="116">
        <v>76.099999999999994</v>
      </c>
      <c r="D491" s="116">
        <v>75.849999999999994</v>
      </c>
      <c r="E491" s="116">
        <v>76.5</v>
      </c>
      <c r="F491" s="116">
        <v>76.099999999999994</v>
      </c>
      <c r="G491">
        <v>283652</v>
      </c>
      <c r="H491" s="116"/>
      <c r="I491" s="116"/>
      <c r="L491" s="170">
        <v>42725</v>
      </c>
      <c r="M491" s="116">
        <v>76.05</v>
      </c>
      <c r="N491" s="116">
        <v>77.3</v>
      </c>
      <c r="O491" s="116">
        <v>75.7</v>
      </c>
      <c r="P491" s="116">
        <v>77.05</v>
      </c>
      <c r="Q491" s="116">
        <v>76.05</v>
      </c>
      <c r="R491">
        <v>4125562</v>
      </c>
    </row>
    <row r="492" spans="1:18" x14ac:dyDescent="0.25">
      <c r="A492" s="170">
        <v>42726</v>
      </c>
      <c r="B492" s="116">
        <v>76.400000000000006</v>
      </c>
      <c r="C492" s="116">
        <v>74.75</v>
      </c>
      <c r="D492" s="116">
        <v>74.5</v>
      </c>
      <c r="E492" s="116">
        <v>75.849999999999994</v>
      </c>
      <c r="F492" s="116">
        <v>74.75</v>
      </c>
      <c r="G492">
        <v>188589</v>
      </c>
      <c r="H492" s="116"/>
      <c r="I492" s="116"/>
      <c r="L492" s="170">
        <v>42726</v>
      </c>
      <c r="M492" s="116">
        <v>74.75</v>
      </c>
      <c r="N492" s="116">
        <v>76.349999999999994</v>
      </c>
      <c r="O492" s="116">
        <v>74.400000000000006</v>
      </c>
      <c r="P492" s="116">
        <v>75.8</v>
      </c>
      <c r="Q492" s="116">
        <v>74.75</v>
      </c>
      <c r="R492">
        <v>1979396</v>
      </c>
    </row>
    <row r="493" spans="1:18" x14ac:dyDescent="0.25">
      <c r="A493" s="170">
        <v>42727</v>
      </c>
      <c r="B493" s="116">
        <v>75.2</v>
      </c>
      <c r="C493" s="116">
        <v>73.95</v>
      </c>
      <c r="D493" s="116">
        <v>72.599999999999994</v>
      </c>
      <c r="E493" s="116">
        <v>74.8</v>
      </c>
      <c r="F493" s="116">
        <v>73.95</v>
      </c>
      <c r="G493">
        <v>257383</v>
      </c>
      <c r="H493" s="116"/>
      <c r="I493" s="116"/>
      <c r="L493" s="170">
        <v>42727</v>
      </c>
      <c r="M493" s="116">
        <v>73.95</v>
      </c>
      <c r="N493" s="116">
        <v>75.5</v>
      </c>
      <c r="O493" s="116">
        <v>72.55</v>
      </c>
      <c r="P493" s="116">
        <v>75.5</v>
      </c>
      <c r="Q493" s="116">
        <v>73.95</v>
      </c>
      <c r="R493">
        <v>3375465</v>
      </c>
    </row>
    <row r="494" spans="1:18" x14ac:dyDescent="0.25">
      <c r="A494" s="170">
        <v>42730</v>
      </c>
      <c r="B494" s="116">
        <v>74.2</v>
      </c>
      <c r="C494" s="116">
        <v>73.45</v>
      </c>
      <c r="D494" s="116">
        <v>73.2</v>
      </c>
      <c r="E494" s="116">
        <v>74</v>
      </c>
      <c r="F494" s="116">
        <v>73.45</v>
      </c>
      <c r="G494">
        <v>143142</v>
      </c>
      <c r="H494" s="116"/>
      <c r="I494" s="116"/>
      <c r="L494" s="170">
        <v>42730</v>
      </c>
      <c r="M494" s="116">
        <v>73.5</v>
      </c>
      <c r="N494" s="116">
        <v>74.25</v>
      </c>
      <c r="O494" s="116">
        <v>73.3</v>
      </c>
      <c r="P494" s="116">
        <v>73.8</v>
      </c>
      <c r="Q494" s="116">
        <v>73.5</v>
      </c>
      <c r="R494">
        <v>2706384</v>
      </c>
    </row>
    <row r="495" spans="1:18" x14ac:dyDescent="0.25">
      <c r="A495" s="170">
        <v>42731</v>
      </c>
      <c r="B495" s="116">
        <v>73.849999999999994</v>
      </c>
      <c r="C495" s="116">
        <v>73.5</v>
      </c>
      <c r="D495" s="116">
        <v>72.900000000000006</v>
      </c>
      <c r="E495" s="116">
        <v>73</v>
      </c>
      <c r="F495" s="116">
        <v>73.5</v>
      </c>
      <c r="G495">
        <v>188837</v>
      </c>
      <c r="H495" s="116"/>
      <c r="I495" s="116"/>
      <c r="L495" s="170">
        <v>42731</v>
      </c>
      <c r="M495" s="116">
        <v>73.599999999999994</v>
      </c>
      <c r="N495" s="116">
        <v>73.900000000000006</v>
      </c>
      <c r="O495" s="116">
        <v>72.849999999999994</v>
      </c>
      <c r="P495" s="116">
        <v>73.5</v>
      </c>
      <c r="Q495" s="116">
        <v>73.599999999999994</v>
      </c>
      <c r="R495">
        <v>1190912</v>
      </c>
    </row>
    <row r="496" spans="1:18" x14ac:dyDescent="0.25">
      <c r="A496" s="170">
        <v>42732</v>
      </c>
      <c r="B496" s="116">
        <v>74.900000000000006</v>
      </c>
      <c r="C496" s="116">
        <v>73.95</v>
      </c>
      <c r="D496" s="116">
        <v>73.599999999999994</v>
      </c>
      <c r="E496" s="116">
        <v>73.599999999999994</v>
      </c>
      <c r="F496" s="116">
        <v>73.95</v>
      </c>
      <c r="G496">
        <v>121988</v>
      </c>
      <c r="H496" s="116"/>
      <c r="I496" s="116"/>
      <c r="L496" s="170">
        <v>42732</v>
      </c>
      <c r="M496" s="116">
        <v>73.900000000000006</v>
      </c>
      <c r="N496" s="116">
        <v>74.95</v>
      </c>
      <c r="O496" s="116">
        <v>73.650000000000006</v>
      </c>
      <c r="P496" s="116">
        <v>73.7</v>
      </c>
      <c r="Q496" s="116">
        <v>73.900000000000006</v>
      </c>
      <c r="R496">
        <v>1410555</v>
      </c>
    </row>
    <row r="497" spans="1:18" x14ac:dyDescent="0.25">
      <c r="A497" s="170">
        <v>42733</v>
      </c>
      <c r="B497" s="116">
        <v>75.8</v>
      </c>
      <c r="C497" s="116">
        <v>74.95</v>
      </c>
      <c r="D497" s="116">
        <v>73.55</v>
      </c>
      <c r="E497" s="116">
        <v>73.95</v>
      </c>
      <c r="F497" s="116">
        <v>74.95</v>
      </c>
      <c r="G497">
        <v>155385</v>
      </c>
      <c r="H497" s="116"/>
      <c r="I497" s="116"/>
      <c r="L497" s="170">
        <v>42733</v>
      </c>
      <c r="M497" s="116">
        <v>75.150000000000006</v>
      </c>
      <c r="N497" s="116">
        <v>75.95</v>
      </c>
      <c r="O497" s="116">
        <v>73.5</v>
      </c>
      <c r="P497" s="116">
        <v>73.95</v>
      </c>
      <c r="Q497" s="116">
        <v>75.150000000000006</v>
      </c>
      <c r="R497">
        <v>2634432</v>
      </c>
    </row>
    <row r="498" spans="1:18" x14ac:dyDescent="0.25">
      <c r="A498" s="170">
        <v>42734</v>
      </c>
      <c r="B498" s="116">
        <v>77.95</v>
      </c>
      <c r="C498" s="116">
        <v>75.7</v>
      </c>
      <c r="D498" s="116">
        <v>75</v>
      </c>
      <c r="E498" s="116">
        <v>75.599999999999994</v>
      </c>
      <c r="F498" s="116">
        <v>75.7</v>
      </c>
      <c r="G498">
        <v>474492</v>
      </c>
      <c r="H498" s="116"/>
      <c r="I498" s="116"/>
      <c r="L498" s="170">
        <v>42734</v>
      </c>
      <c r="M498" s="116">
        <v>75.900000000000006</v>
      </c>
      <c r="N498" s="116">
        <v>78.05</v>
      </c>
      <c r="O498" s="116">
        <v>75</v>
      </c>
      <c r="P498" s="116">
        <v>76.2</v>
      </c>
      <c r="Q498" s="116">
        <v>75.900000000000006</v>
      </c>
      <c r="R498">
        <v>5312629</v>
      </c>
    </row>
    <row r="499" spans="1:18" x14ac:dyDescent="0.25">
      <c r="A499" s="170">
        <v>42737</v>
      </c>
      <c r="B499" s="116">
        <v>76.5</v>
      </c>
      <c r="C499" s="116">
        <v>75.400000000000006</v>
      </c>
      <c r="D499" s="116">
        <v>75.25</v>
      </c>
      <c r="E499" s="116">
        <v>76.5</v>
      </c>
      <c r="F499" s="116">
        <v>75.400000000000006</v>
      </c>
      <c r="G499">
        <v>176852</v>
      </c>
      <c r="H499" s="116"/>
      <c r="I499" s="116"/>
      <c r="L499" s="170">
        <v>42737</v>
      </c>
      <c r="M499" s="116">
        <v>75.400000000000006</v>
      </c>
      <c r="N499" s="116">
        <v>76.3</v>
      </c>
      <c r="O499" s="116">
        <v>75.2</v>
      </c>
      <c r="P499" s="116">
        <v>75.900000000000006</v>
      </c>
      <c r="Q499" s="116">
        <v>75.400000000000006</v>
      </c>
      <c r="R499">
        <v>2053581</v>
      </c>
    </row>
    <row r="500" spans="1:18" x14ac:dyDescent="0.25">
      <c r="A500" s="170">
        <v>42738</v>
      </c>
      <c r="B500" s="116">
        <v>76.25</v>
      </c>
      <c r="C500" s="116">
        <v>75.7</v>
      </c>
      <c r="D500" s="116">
        <v>75.099999999999994</v>
      </c>
      <c r="E500" s="116">
        <v>75.8</v>
      </c>
      <c r="F500" s="116">
        <v>75.7</v>
      </c>
      <c r="G500">
        <v>165184</v>
      </c>
      <c r="H500" s="116"/>
      <c r="I500" s="116"/>
      <c r="L500" s="170">
        <v>42738</v>
      </c>
      <c r="M500" s="116">
        <v>75.650000000000006</v>
      </c>
      <c r="N500" s="116">
        <v>76.349999999999994</v>
      </c>
      <c r="O500" s="116">
        <v>75.05</v>
      </c>
      <c r="P500" s="116">
        <v>75.8</v>
      </c>
      <c r="Q500" s="116">
        <v>75.650000000000006</v>
      </c>
      <c r="R500">
        <v>2334237</v>
      </c>
    </row>
    <row r="501" spans="1:18" x14ac:dyDescent="0.25">
      <c r="A501" s="170">
        <v>42739</v>
      </c>
      <c r="B501" s="116">
        <v>76.7</v>
      </c>
      <c r="C501" s="116">
        <v>75.849999999999994</v>
      </c>
      <c r="D501" s="116">
        <v>75.45</v>
      </c>
      <c r="E501" s="116">
        <v>75.8</v>
      </c>
      <c r="F501" s="116">
        <v>75.849999999999994</v>
      </c>
      <c r="G501">
        <v>149782</v>
      </c>
      <c r="H501" s="116"/>
      <c r="I501" s="116"/>
      <c r="L501" s="170">
        <v>42739</v>
      </c>
      <c r="M501" s="116">
        <v>75.8</v>
      </c>
      <c r="N501" s="116">
        <v>76.7</v>
      </c>
      <c r="O501" s="116">
        <v>75.349999999999994</v>
      </c>
      <c r="P501" s="116">
        <v>75.8</v>
      </c>
      <c r="Q501" s="116">
        <v>75.8</v>
      </c>
      <c r="R501">
        <v>2803996</v>
      </c>
    </row>
    <row r="502" spans="1:18" x14ac:dyDescent="0.25">
      <c r="A502" s="170">
        <v>42740</v>
      </c>
      <c r="B502" s="116">
        <v>77.05</v>
      </c>
      <c r="C502" s="116">
        <v>76.849999999999994</v>
      </c>
      <c r="D502" s="116">
        <v>75.900000000000006</v>
      </c>
      <c r="E502" s="116">
        <v>75.900000000000006</v>
      </c>
      <c r="F502" s="116">
        <v>76.849999999999994</v>
      </c>
      <c r="G502">
        <v>213644</v>
      </c>
      <c r="H502" s="116"/>
      <c r="I502" s="116"/>
      <c r="L502" s="170">
        <v>42740</v>
      </c>
      <c r="M502" s="116">
        <v>76.849999999999994</v>
      </c>
      <c r="N502" s="116">
        <v>77</v>
      </c>
      <c r="O502" s="116">
        <v>76</v>
      </c>
      <c r="P502" s="116">
        <v>76.099999999999994</v>
      </c>
      <c r="Q502" s="116">
        <v>76.849999999999994</v>
      </c>
      <c r="R502">
        <v>2567580</v>
      </c>
    </row>
    <row r="503" spans="1:18" x14ac:dyDescent="0.25">
      <c r="A503" s="170">
        <v>42741</v>
      </c>
      <c r="B503" s="116">
        <v>77.599999999999994</v>
      </c>
      <c r="C503" s="116">
        <v>77.150000000000006</v>
      </c>
      <c r="D503" s="116">
        <v>76.8</v>
      </c>
      <c r="E503" s="116">
        <v>76.8</v>
      </c>
      <c r="F503" s="116">
        <v>77.150000000000006</v>
      </c>
      <c r="G503">
        <v>220545</v>
      </c>
      <c r="H503" s="116"/>
      <c r="I503" s="116"/>
      <c r="L503" s="170">
        <v>42741</v>
      </c>
      <c r="M503" s="116">
        <v>77.099999999999994</v>
      </c>
      <c r="N503" s="116">
        <v>77.8</v>
      </c>
      <c r="O503" s="116">
        <v>76.8</v>
      </c>
      <c r="P503" s="116">
        <v>77.400000000000006</v>
      </c>
      <c r="Q503" s="116">
        <v>77.099999999999994</v>
      </c>
      <c r="R503">
        <v>2891404</v>
      </c>
    </row>
    <row r="504" spans="1:18" x14ac:dyDescent="0.25">
      <c r="A504" s="170">
        <v>42744</v>
      </c>
      <c r="B504" s="116">
        <v>77.2</v>
      </c>
      <c r="C504" s="116">
        <v>76.400000000000006</v>
      </c>
      <c r="D504" s="116">
        <v>76.2</v>
      </c>
      <c r="E504" s="116">
        <v>77.05</v>
      </c>
      <c r="F504" s="116">
        <v>76.400000000000006</v>
      </c>
      <c r="G504">
        <v>91523</v>
      </c>
      <c r="H504" s="116"/>
      <c r="I504" s="116"/>
      <c r="L504" s="170">
        <v>42744</v>
      </c>
      <c r="M504" s="116">
        <v>76.400000000000006</v>
      </c>
      <c r="N504" s="116">
        <v>77.400000000000006</v>
      </c>
      <c r="O504" s="116">
        <v>76.25</v>
      </c>
      <c r="P504" s="116">
        <v>77.400000000000006</v>
      </c>
      <c r="Q504" s="116">
        <v>76.400000000000006</v>
      </c>
      <c r="R504">
        <v>1185572</v>
      </c>
    </row>
    <row r="505" spans="1:18" x14ac:dyDescent="0.25">
      <c r="A505" s="170">
        <v>42745</v>
      </c>
      <c r="B505" s="116">
        <v>77.349999999999994</v>
      </c>
      <c r="C505" s="116">
        <v>77.150000000000006</v>
      </c>
      <c r="D505" s="116">
        <v>76.45</v>
      </c>
      <c r="E505" s="116">
        <v>76.45</v>
      </c>
      <c r="F505" s="116">
        <v>77.150000000000006</v>
      </c>
      <c r="G505">
        <v>173825</v>
      </c>
      <c r="H505" s="116"/>
      <c r="I505" s="116"/>
      <c r="L505" s="170">
        <v>42745</v>
      </c>
      <c r="M505" s="116">
        <v>77.099999999999994</v>
      </c>
      <c r="N505" s="116">
        <v>77.349999999999994</v>
      </c>
      <c r="O505" s="116">
        <v>76.3</v>
      </c>
      <c r="P505" s="116">
        <v>76.3</v>
      </c>
      <c r="Q505" s="116">
        <v>77.099999999999994</v>
      </c>
      <c r="R505">
        <v>2121660</v>
      </c>
    </row>
    <row r="506" spans="1:18" x14ac:dyDescent="0.25">
      <c r="A506" s="170">
        <v>42746</v>
      </c>
      <c r="B506" s="116">
        <v>77.900000000000006</v>
      </c>
      <c r="C506" s="116">
        <v>77.05</v>
      </c>
      <c r="D506" s="116">
        <v>76.900000000000006</v>
      </c>
      <c r="E506" s="116">
        <v>77.25</v>
      </c>
      <c r="F506" s="116">
        <v>77.05</v>
      </c>
      <c r="G506">
        <v>206448</v>
      </c>
      <c r="H506" s="116"/>
      <c r="I506" s="116"/>
      <c r="L506" s="170">
        <v>42746</v>
      </c>
      <c r="M506" s="116">
        <v>76.849999999999994</v>
      </c>
      <c r="N506" s="116">
        <v>77.95</v>
      </c>
      <c r="O506" s="116">
        <v>76.7</v>
      </c>
      <c r="P506" s="116">
        <v>77.900000000000006</v>
      </c>
      <c r="Q506" s="116">
        <v>76.849999999999994</v>
      </c>
      <c r="R506">
        <v>2098665</v>
      </c>
    </row>
    <row r="507" spans="1:18" x14ac:dyDescent="0.25">
      <c r="A507" s="170">
        <v>42747</v>
      </c>
      <c r="B507" s="116">
        <v>80.2</v>
      </c>
      <c r="C507" s="116">
        <v>79.349999999999994</v>
      </c>
      <c r="D507" s="116">
        <v>77.05</v>
      </c>
      <c r="E507" s="116">
        <v>77.05</v>
      </c>
      <c r="F507" s="116">
        <v>79.349999999999994</v>
      </c>
      <c r="G507">
        <v>770184</v>
      </c>
      <c r="H507" s="116"/>
      <c r="I507" s="116"/>
      <c r="L507" s="170">
        <v>42747</v>
      </c>
      <c r="M507" s="116">
        <v>79.3</v>
      </c>
      <c r="N507" s="116">
        <v>80.25</v>
      </c>
      <c r="O507" s="116">
        <v>77</v>
      </c>
      <c r="P507" s="116">
        <v>77</v>
      </c>
      <c r="Q507" s="116">
        <v>79.3</v>
      </c>
      <c r="R507">
        <v>10133269</v>
      </c>
    </row>
    <row r="508" spans="1:18" x14ac:dyDescent="0.25">
      <c r="A508" s="170">
        <v>42748</v>
      </c>
      <c r="B508" s="116">
        <v>80.25</v>
      </c>
      <c r="C508" s="116">
        <v>79.3</v>
      </c>
      <c r="D508" s="116">
        <v>78.650000000000006</v>
      </c>
      <c r="E508" s="116">
        <v>80</v>
      </c>
      <c r="F508" s="116">
        <v>79.3</v>
      </c>
      <c r="G508">
        <v>431109</v>
      </c>
      <c r="H508" s="116"/>
      <c r="I508" s="116"/>
      <c r="L508" s="170">
        <v>42748</v>
      </c>
      <c r="M508" s="116">
        <v>79.3</v>
      </c>
      <c r="N508" s="116">
        <v>80.2</v>
      </c>
      <c r="O508" s="116">
        <v>78.650000000000006</v>
      </c>
      <c r="P508" s="116">
        <v>80</v>
      </c>
      <c r="Q508" s="116">
        <v>79.3</v>
      </c>
      <c r="R508">
        <v>4239234</v>
      </c>
    </row>
    <row r="509" spans="1:18" x14ac:dyDescent="0.25">
      <c r="A509" s="170">
        <v>42751</v>
      </c>
      <c r="B509" s="116">
        <v>79.55</v>
      </c>
      <c r="C509" s="116">
        <v>77.849999999999994</v>
      </c>
      <c r="D509" s="116">
        <v>77.55</v>
      </c>
      <c r="E509" s="116">
        <v>79</v>
      </c>
      <c r="F509" s="116">
        <v>77.849999999999994</v>
      </c>
      <c r="G509">
        <v>1624438</v>
      </c>
      <c r="H509" s="116"/>
      <c r="I509" s="116"/>
      <c r="L509" s="170">
        <v>42751</v>
      </c>
      <c r="M509" s="116">
        <v>77.75</v>
      </c>
      <c r="N509" s="116">
        <v>79.650000000000006</v>
      </c>
      <c r="O509" s="116">
        <v>77.55</v>
      </c>
      <c r="P509" s="116">
        <v>79.5</v>
      </c>
      <c r="Q509" s="116">
        <v>77.75</v>
      </c>
      <c r="R509">
        <v>2584541</v>
      </c>
    </row>
    <row r="510" spans="1:18" x14ac:dyDescent="0.25">
      <c r="A510" s="170">
        <v>42752</v>
      </c>
      <c r="B510" s="116">
        <v>78.400000000000006</v>
      </c>
      <c r="C510" s="116">
        <v>77.55</v>
      </c>
      <c r="D510" s="116">
        <v>77.5</v>
      </c>
      <c r="E510" s="116">
        <v>78</v>
      </c>
      <c r="F510" s="116">
        <v>77.55</v>
      </c>
      <c r="G510">
        <v>2015127</v>
      </c>
      <c r="H510" s="116"/>
      <c r="I510" s="116"/>
      <c r="L510" s="170">
        <v>42752</v>
      </c>
      <c r="M510" s="116">
        <v>77.849999999999994</v>
      </c>
      <c r="N510" s="116">
        <v>78.5</v>
      </c>
      <c r="O510" s="116">
        <v>77.45</v>
      </c>
      <c r="P510" s="116">
        <v>78.150000000000006</v>
      </c>
      <c r="Q510" s="116">
        <v>77.849999999999994</v>
      </c>
      <c r="R510">
        <v>1536443</v>
      </c>
    </row>
    <row r="511" spans="1:18" x14ac:dyDescent="0.25">
      <c r="A511" s="170">
        <v>42753</v>
      </c>
      <c r="B511" s="116">
        <v>79.05</v>
      </c>
      <c r="C511" s="116">
        <v>78.650000000000006</v>
      </c>
      <c r="D511" s="116">
        <v>77.8</v>
      </c>
      <c r="E511" s="116">
        <v>77.8</v>
      </c>
      <c r="F511" s="116">
        <v>78.650000000000006</v>
      </c>
      <c r="G511">
        <v>188630</v>
      </c>
      <c r="H511" s="116"/>
      <c r="I511" s="116"/>
      <c r="L511" s="170">
        <v>42753</v>
      </c>
      <c r="M511" s="116">
        <v>78.650000000000006</v>
      </c>
      <c r="N511" s="116">
        <v>79.150000000000006</v>
      </c>
      <c r="O511" s="116">
        <v>77.900000000000006</v>
      </c>
      <c r="P511" s="116">
        <v>78.05</v>
      </c>
      <c r="Q511" s="116">
        <v>78.650000000000006</v>
      </c>
      <c r="R511">
        <v>2845239</v>
      </c>
    </row>
    <row r="512" spans="1:18" x14ac:dyDescent="0.25">
      <c r="A512" s="170">
        <v>42754</v>
      </c>
      <c r="B512" s="116">
        <v>79.7</v>
      </c>
      <c r="C512" s="116">
        <v>79.3</v>
      </c>
      <c r="D512" s="116">
        <v>78.599999999999994</v>
      </c>
      <c r="E512" s="116">
        <v>78.650000000000006</v>
      </c>
      <c r="F512" s="116">
        <v>79.3</v>
      </c>
      <c r="G512">
        <v>182450</v>
      </c>
      <c r="H512" s="116"/>
      <c r="I512" s="116"/>
      <c r="L512" s="170">
        <v>42754</v>
      </c>
      <c r="M512" s="116">
        <v>79.3</v>
      </c>
      <c r="N512" s="116">
        <v>79.55</v>
      </c>
      <c r="O512" s="116">
        <v>78.5</v>
      </c>
      <c r="P512" s="116">
        <v>79.25</v>
      </c>
      <c r="Q512" s="116">
        <v>79.3</v>
      </c>
      <c r="R512">
        <v>4536872</v>
      </c>
    </row>
    <row r="513" spans="1:18" x14ac:dyDescent="0.25">
      <c r="A513" s="170">
        <v>42755</v>
      </c>
      <c r="B513" s="116">
        <v>79.599999999999994</v>
      </c>
      <c r="C513" s="116">
        <v>77.400000000000006</v>
      </c>
      <c r="D513" s="116">
        <v>77.2</v>
      </c>
      <c r="E513" s="116">
        <v>79.599999999999994</v>
      </c>
      <c r="F513" s="116">
        <v>77.400000000000006</v>
      </c>
      <c r="G513">
        <v>213843</v>
      </c>
      <c r="H513" s="116"/>
      <c r="I513" s="116"/>
      <c r="L513" s="170">
        <v>42755</v>
      </c>
      <c r="M513" s="116">
        <v>77.55</v>
      </c>
      <c r="N513" s="116">
        <v>79.349999999999994</v>
      </c>
      <c r="O513" s="116">
        <v>77.150000000000006</v>
      </c>
      <c r="P513" s="116">
        <v>79</v>
      </c>
      <c r="Q513" s="116">
        <v>77.55</v>
      </c>
      <c r="R513">
        <v>2916442</v>
      </c>
    </row>
    <row r="514" spans="1:18" x14ac:dyDescent="0.25">
      <c r="A514" s="170">
        <v>42758</v>
      </c>
      <c r="B514" s="116">
        <v>78.55</v>
      </c>
      <c r="C514" s="116">
        <v>77.400000000000006</v>
      </c>
      <c r="D514" s="116">
        <v>77.3</v>
      </c>
      <c r="E514" s="116">
        <v>77.7</v>
      </c>
      <c r="F514" s="116">
        <v>77.400000000000006</v>
      </c>
      <c r="G514">
        <v>155085</v>
      </c>
      <c r="H514" s="116"/>
      <c r="I514" s="116"/>
      <c r="L514" s="170">
        <v>42758</v>
      </c>
      <c r="M514" s="116">
        <v>77.55</v>
      </c>
      <c r="N514" s="116">
        <v>78.55</v>
      </c>
      <c r="O514" s="116">
        <v>77.3</v>
      </c>
      <c r="P514" s="116">
        <v>77.5</v>
      </c>
      <c r="Q514" s="116">
        <v>77.55</v>
      </c>
      <c r="R514">
        <v>4403351</v>
      </c>
    </row>
    <row r="515" spans="1:18" x14ac:dyDescent="0.25">
      <c r="A515" s="170">
        <v>42759</v>
      </c>
      <c r="B515" s="116">
        <v>80.2</v>
      </c>
      <c r="C515" s="116">
        <v>79.849999999999994</v>
      </c>
      <c r="D515" s="116">
        <v>77.5</v>
      </c>
      <c r="E515" s="116">
        <v>77.5</v>
      </c>
      <c r="F515" s="116">
        <v>79.849999999999994</v>
      </c>
      <c r="G515">
        <v>224989</v>
      </c>
      <c r="H515" s="116"/>
      <c r="I515" s="116"/>
      <c r="L515" s="170">
        <v>42759</v>
      </c>
      <c r="M515" s="116">
        <v>79.900000000000006</v>
      </c>
      <c r="N515" s="116">
        <v>80.400000000000006</v>
      </c>
      <c r="O515" s="116">
        <v>77.599999999999994</v>
      </c>
      <c r="P515" s="116">
        <v>77.650000000000006</v>
      </c>
      <c r="Q515" s="116">
        <v>79.900000000000006</v>
      </c>
      <c r="R515">
        <v>2965222</v>
      </c>
    </row>
    <row r="516" spans="1:18" x14ac:dyDescent="0.25">
      <c r="A516" s="170">
        <v>42760</v>
      </c>
      <c r="B516" s="116">
        <v>81.3</v>
      </c>
      <c r="C516" s="116">
        <v>79.95</v>
      </c>
      <c r="D516" s="116">
        <v>79.2</v>
      </c>
      <c r="E516" s="116">
        <v>79.849999999999994</v>
      </c>
      <c r="F516" s="116">
        <v>79.95</v>
      </c>
      <c r="G516">
        <v>453556</v>
      </c>
      <c r="H516" s="116"/>
      <c r="I516" s="116"/>
      <c r="L516" s="170">
        <v>42760</v>
      </c>
      <c r="M516" s="116">
        <v>80.099999999999994</v>
      </c>
      <c r="N516" s="116">
        <v>81.3</v>
      </c>
      <c r="O516" s="116">
        <v>79.3</v>
      </c>
      <c r="P516" s="116">
        <v>80.05</v>
      </c>
      <c r="Q516" s="116">
        <v>80.099999999999994</v>
      </c>
      <c r="R516">
        <v>5123965</v>
      </c>
    </row>
    <row r="517" spans="1:18" x14ac:dyDescent="0.25">
      <c r="A517" s="170">
        <v>42762</v>
      </c>
      <c r="B517" s="116">
        <v>81.5</v>
      </c>
      <c r="C517" s="116">
        <v>81</v>
      </c>
      <c r="D517" s="116">
        <v>80.2</v>
      </c>
      <c r="E517" s="116">
        <v>80.2</v>
      </c>
      <c r="F517" s="116">
        <v>81</v>
      </c>
      <c r="G517">
        <v>333898</v>
      </c>
      <c r="H517" s="116"/>
      <c r="I517" s="116"/>
      <c r="L517" s="170">
        <v>42762</v>
      </c>
      <c r="M517" s="116">
        <v>81</v>
      </c>
      <c r="N517" s="116">
        <v>81.5</v>
      </c>
      <c r="O517" s="116">
        <v>80.099999999999994</v>
      </c>
      <c r="P517" s="116">
        <v>80.2</v>
      </c>
      <c r="Q517" s="116">
        <v>81</v>
      </c>
      <c r="R517">
        <v>2690791</v>
      </c>
    </row>
    <row r="518" spans="1:18" x14ac:dyDescent="0.25">
      <c r="A518" s="170">
        <v>42765</v>
      </c>
      <c r="B518" s="116">
        <v>81.75</v>
      </c>
      <c r="C518" s="116">
        <v>80.5</v>
      </c>
      <c r="D518" s="116">
        <v>80.3</v>
      </c>
      <c r="E518" s="116">
        <v>81</v>
      </c>
      <c r="F518" s="116">
        <v>80.5</v>
      </c>
      <c r="G518">
        <v>257391</v>
      </c>
      <c r="H518" s="116"/>
      <c r="I518" s="116"/>
      <c r="L518" s="170">
        <v>42765</v>
      </c>
      <c r="M518" s="116">
        <v>80.55</v>
      </c>
      <c r="N518" s="116">
        <v>81.8</v>
      </c>
      <c r="O518" s="116">
        <v>80.25</v>
      </c>
      <c r="P518" s="116">
        <v>81</v>
      </c>
      <c r="Q518" s="116">
        <v>80.55</v>
      </c>
      <c r="R518">
        <v>1829020</v>
      </c>
    </row>
    <row r="519" spans="1:18" x14ac:dyDescent="0.25">
      <c r="A519" s="170">
        <v>42766</v>
      </c>
      <c r="B519" s="116">
        <v>82.7</v>
      </c>
      <c r="C519" s="116">
        <v>79.900000000000006</v>
      </c>
      <c r="D519" s="116">
        <v>79.400000000000006</v>
      </c>
      <c r="E519" s="116">
        <v>80.5</v>
      </c>
      <c r="F519" s="116">
        <v>79.900000000000006</v>
      </c>
      <c r="G519">
        <v>684326</v>
      </c>
      <c r="H519" s="116"/>
      <c r="I519" s="116"/>
      <c r="L519" s="170">
        <v>42766</v>
      </c>
      <c r="M519" s="116">
        <v>79.8</v>
      </c>
      <c r="N519" s="116">
        <v>82.75</v>
      </c>
      <c r="O519" s="116">
        <v>79.400000000000006</v>
      </c>
      <c r="P519" s="116">
        <v>80.5</v>
      </c>
      <c r="Q519" s="116">
        <v>79.8</v>
      </c>
      <c r="R519">
        <v>5627724</v>
      </c>
    </row>
    <row r="520" spans="1:18" x14ac:dyDescent="0.25">
      <c r="A520" s="170">
        <v>42767</v>
      </c>
      <c r="B520" s="116">
        <v>80.75</v>
      </c>
      <c r="C520" s="116">
        <v>80.45</v>
      </c>
      <c r="D520" s="116">
        <v>79</v>
      </c>
      <c r="E520" s="116">
        <v>80.099999999999994</v>
      </c>
      <c r="F520" s="116">
        <v>80.45</v>
      </c>
      <c r="G520">
        <v>291767</v>
      </c>
      <c r="H520" s="116"/>
      <c r="I520" s="116"/>
      <c r="L520" s="170">
        <v>42767</v>
      </c>
      <c r="M520" s="116">
        <v>80.5</v>
      </c>
      <c r="N520" s="116">
        <v>80.8</v>
      </c>
      <c r="O520" s="116">
        <v>79</v>
      </c>
      <c r="P520" s="116">
        <v>80.099999999999994</v>
      </c>
      <c r="Q520" s="116">
        <v>80.5</v>
      </c>
      <c r="R520">
        <v>2843799</v>
      </c>
    </row>
    <row r="521" spans="1:18" x14ac:dyDescent="0.25">
      <c r="A521" s="170">
        <v>42768</v>
      </c>
      <c r="B521" s="116">
        <v>81.900000000000006</v>
      </c>
      <c r="C521" s="116">
        <v>80.5</v>
      </c>
      <c r="D521" s="116">
        <v>79.7</v>
      </c>
      <c r="E521" s="116">
        <v>80.05</v>
      </c>
      <c r="F521" s="116">
        <v>80.5</v>
      </c>
      <c r="G521">
        <v>274629</v>
      </c>
      <c r="H521" s="116"/>
      <c r="I521" s="116"/>
      <c r="L521" s="170">
        <v>42768</v>
      </c>
      <c r="M521" s="116">
        <v>80.45</v>
      </c>
      <c r="N521" s="116">
        <v>82</v>
      </c>
      <c r="O521" s="116">
        <v>79.45</v>
      </c>
      <c r="P521" s="116">
        <v>80.7</v>
      </c>
      <c r="Q521" s="116">
        <v>80.45</v>
      </c>
      <c r="R521">
        <v>2895268</v>
      </c>
    </row>
    <row r="522" spans="1:18" x14ac:dyDescent="0.25">
      <c r="A522" s="170">
        <v>42769</v>
      </c>
      <c r="B522" s="116">
        <v>83.4</v>
      </c>
      <c r="C522" s="116">
        <v>80.45</v>
      </c>
      <c r="D522" s="116">
        <v>80.2</v>
      </c>
      <c r="E522" s="116">
        <v>83.4</v>
      </c>
      <c r="F522" s="116">
        <v>80.45</v>
      </c>
      <c r="G522">
        <v>374134</v>
      </c>
      <c r="H522" s="116"/>
      <c r="I522" s="116"/>
      <c r="L522" s="170">
        <v>42769</v>
      </c>
      <c r="M522" s="116">
        <v>80.650000000000006</v>
      </c>
      <c r="N522" s="116">
        <v>82</v>
      </c>
      <c r="O522" s="116">
        <v>80.25</v>
      </c>
      <c r="P522" s="116">
        <v>81.05</v>
      </c>
      <c r="Q522" s="116">
        <v>80.650000000000006</v>
      </c>
      <c r="R522">
        <v>2963991</v>
      </c>
    </row>
    <row r="523" spans="1:18" x14ac:dyDescent="0.25">
      <c r="A523" s="170">
        <v>42772</v>
      </c>
      <c r="B523" s="116">
        <v>82.35</v>
      </c>
      <c r="C523" s="116">
        <v>82.1</v>
      </c>
      <c r="D523" s="116">
        <v>80.599999999999994</v>
      </c>
      <c r="E523" s="116">
        <v>81.3</v>
      </c>
      <c r="F523" s="116">
        <v>82.1</v>
      </c>
      <c r="G523">
        <v>278693</v>
      </c>
      <c r="H523" s="116"/>
      <c r="I523" s="116"/>
      <c r="L523" s="170">
        <v>42772</v>
      </c>
      <c r="M523" s="116">
        <v>82.25</v>
      </c>
      <c r="N523" s="116">
        <v>82.5</v>
      </c>
      <c r="O523" s="116">
        <v>80.849999999999994</v>
      </c>
      <c r="P523" s="116">
        <v>81.05</v>
      </c>
      <c r="Q523" s="116">
        <v>82.25</v>
      </c>
      <c r="R523">
        <v>2498815</v>
      </c>
    </row>
    <row r="524" spans="1:18" x14ac:dyDescent="0.25">
      <c r="A524" s="170">
        <v>42773</v>
      </c>
      <c r="B524" s="116">
        <v>82.55</v>
      </c>
      <c r="C524" s="116">
        <v>81.3</v>
      </c>
      <c r="D524" s="116">
        <v>80.849999999999994</v>
      </c>
      <c r="E524" s="116">
        <v>82</v>
      </c>
      <c r="F524" s="116">
        <v>81.3</v>
      </c>
      <c r="G524">
        <v>369658</v>
      </c>
      <c r="H524" s="116"/>
      <c r="I524" s="116"/>
      <c r="L524" s="170">
        <v>42773</v>
      </c>
      <c r="M524" s="116">
        <v>81.2</v>
      </c>
      <c r="N524" s="116">
        <v>82.6</v>
      </c>
      <c r="O524" s="116">
        <v>80.7</v>
      </c>
      <c r="P524" s="116">
        <v>82.45</v>
      </c>
      <c r="Q524" s="116">
        <v>81.2</v>
      </c>
      <c r="R524">
        <v>2860747</v>
      </c>
    </row>
    <row r="525" spans="1:18" x14ac:dyDescent="0.25">
      <c r="A525" s="170">
        <v>42774</v>
      </c>
      <c r="B525" s="116">
        <v>82.4</v>
      </c>
      <c r="C525" s="116">
        <v>81.55</v>
      </c>
      <c r="D525" s="116">
        <v>81.099999999999994</v>
      </c>
      <c r="E525" s="116">
        <v>82</v>
      </c>
      <c r="F525" s="116">
        <v>81.55</v>
      </c>
      <c r="G525">
        <v>135462</v>
      </c>
      <c r="H525" s="116"/>
      <c r="I525" s="116"/>
      <c r="L525" s="170">
        <v>42774</v>
      </c>
      <c r="M525" s="116">
        <v>81.650000000000006</v>
      </c>
      <c r="N525" s="116">
        <v>82.4</v>
      </c>
      <c r="O525" s="116">
        <v>81</v>
      </c>
      <c r="P525" s="116">
        <v>81.3</v>
      </c>
      <c r="Q525" s="116">
        <v>81.650000000000006</v>
      </c>
      <c r="R525">
        <v>3418339</v>
      </c>
    </row>
    <row r="526" spans="1:18" x14ac:dyDescent="0.25">
      <c r="A526" s="170">
        <v>42775</v>
      </c>
      <c r="B526" s="116">
        <v>82.5</v>
      </c>
      <c r="C526" s="116">
        <v>81.55</v>
      </c>
      <c r="D526" s="116">
        <v>80.599999999999994</v>
      </c>
      <c r="E526" s="116">
        <v>81.599999999999994</v>
      </c>
      <c r="F526" s="116">
        <v>81.55</v>
      </c>
      <c r="G526">
        <v>208757</v>
      </c>
      <c r="H526" s="116"/>
      <c r="I526" s="116"/>
      <c r="L526" s="170">
        <v>42775</v>
      </c>
      <c r="M526" s="116">
        <v>81.599999999999994</v>
      </c>
      <c r="N526" s="116">
        <v>82.5</v>
      </c>
      <c r="O526" s="116">
        <v>80.55</v>
      </c>
      <c r="P526" s="116">
        <v>82</v>
      </c>
      <c r="Q526" s="116">
        <v>81.599999999999994</v>
      </c>
      <c r="R526">
        <v>3367729</v>
      </c>
    </row>
    <row r="527" spans="1:18" x14ac:dyDescent="0.25">
      <c r="A527" s="170">
        <v>42776</v>
      </c>
      <c r="B527" s="116">
        <v>82.95</v>
      </c>
      <c r="C527" s="116">
        <v>81.55</v>
      </c>
      <c r="D527" s="116">
        <v>81.099999999999994</v>
      </c>
      <c r="E527" s="116">
        <v>81.8</v>
      </c>
      <c r="F527" s="116">
        <v>81.55</v>
      </c>
      <c r="G527">
        <v>668617</v>
      </c>
      <c r="H527" s="116"/>
      <c r="I527" s="116"/>
      <c r="L527" s="170">
        <v>42776</v>
      </c>
      <c r="M527" s="116">
        <v>81.599999999999994</v>
      </c>
      <c r="N527" s="116">
        <v>83</v>
      </c>
      <c r="O527" s="116">
        <v>81</v>
      </c>
      <c r="P527" s="116">
        <v>82</v>
      </c>
      <c r="Q527" s="116">
        <v>81.599999999999994</v>
      </c>
      <c r="R527">
        <v>7624409</v>
      </c>
    </row>
    <row r="528" spans="1:18" x14ac:dyDescent="0.25">
      <c r="A528" s="170">
        <v>42779</v>
      </c>
      <c r="B528" s="116">
        <v>83.5</v>
      </c>
      <c r="C528" s="116">
        <v>83.3</v>
      </c>
      <c r="D528" s="116">
        <v>81.55</v>
      </c>
      <c r="E528" s="116">
        <v>82.5</v>
      </c>
      <c r="F528" s="116">
        <v>83.3</v>
      </c>
      <c r="G528">
        <v>373181</v>
      </c>
      <c r="H528" s="116"/>
      <c r="I528" s="116"/>
      <c r="L528" s="170">
        <v>42779</v>
      </c>
      <c r="M528" s="116">
        <v>83.4</v>
      </c>
      <c r="N528" s="116">
        <v>83.65</v>
      </c>
      <c r="O528" s="116">
        <v>81.5</v>
      </c>
      <c r="P528" s="116">
        <v>82</v>
      </c>
      <c r="Q528" s="116">
        <v>83.4</v>
      </c>
      <c r="R528">
        <v>3417059</v>
      </c>
    </row>
    <row r="529" spans="1:18" x14ac:dyDescent="0.25">
      <c r="A529" s="170">
        <v>42780</v>
      </c>
      <c r="B529" s="116">
        <v>83.9</v>
      </c>
      <c r="C529" s="116">
        <v>83.4</v>
      </c>
      <c r="D529" s="116">
        <v>82.7</v>
      </c>
      <c r="E529" s="116">
        <v>83.3</v>
      </c>
      <c r="F529" s="116">
        <v>83.4</v>
      </c>
      <c r="G529">
        <v>324723</v>
      </c>
      <c r="H529" s="116"/>
      <c r="I529" s="116"/>
      <c r="L529" s="170">
        <v>42780</v>
      </c>
      <c r="M529" s="116">
        <v>83.5</v>
      </c>
      <c r="N529" s="116">
        <v>84.15</v>
      </c>
      <c r="O529" s="116">
        <v>82.65</v>
      </c>
      <c r="P529" s="116">
        <v>83.7</v>
      </c>
      <c r="Q529" s="116">
        <v>83.5</v>
      </c>
      <c r="R529">
        <v>3619668</v>
      </c>
    </row>
    <row r="530" spans="1:18" x14ac:dyDescent="0.25">
      <c r="A530" s="170">
        <v>42781</v>
      </c>
      <c r="B530" s="116">
        <v>84</v>
      </c>
      <c r="C530" s="116">
        <v>81.650000000000006</v>
      </c>
      <c r="D530" s="116">
        <v>81.400000000000006</v>
      </c>
      <c r="E530" s="116">
        <v>82.8</v>
      </c>
      <c r="F530" s="116">
        <v>81.650000000000006</v>
      </c>
      <c r="G530">
        <v>281241</v>
      </c>
      <c r="H530" s="116"/>
      <c r="I530" s="116"/>
      <c r="L530" s="170">
        <v>42781</v>
      </c>
      <c r="M530" s="116">
        <v>81.7</v>
      </c>
      <c r="N530" s="116">
        <v>84.15</v>
      </c>
      <c r="O530" s="116">
        <v>81.25</v>
      </c>
      <c r="P530" s="116">
        <v>83.5</v>
      </c>
      <c r="Q530" s="116">
        <v>81.7</v>
      </c>
      <c r="R530">
        <v>2627363</v>
      </c>
    </row>
    <row r="531" spans="1:18" x14ac:dyDescent="0.25">
      <c r="A531" s="170">
        <v>42782</v>
      </c>
      <c r="B531" s="116">
        <v>83.3</v>
      </c>
      <c r="C531" s="116">
        <v>83.05</v>
      </c>
      <c r="D531" s="116">
        <v>81.400000000000006</v>
      </c>
      <c r="E531" s="116">
        <v>82</v>
      </c>
      <c r="F531" s="116">
        <v>83.05</v>
      </c>
      <c r="G531">
        <v>178571</v>
      </c>
      <c r="H531" s="116"/>
      <c r="I531" s="116"/>
      <c r="L531" s="170">
        <v>42782</v>
      </c>
      <c r="M531" s="116">
        <v>83.15</v>
      </c>
      <c r="N531" s="116">
        <v>83.45</v>
      </c>
      <c r="O531" s="116">
        <v>81.099999999999994</v>
      </c>
      <c r="P531" s="116">
        <v>82</v>
      </c>
      <c r="Q531" s="116">
        <v>83.15</v>
      </c>
      <c r="R531">
        <v>2925775</v>
      </c>
    </row>
    <row r="532" spans="1:18" x14ac:dyDescent="0.25">
      <c r="A532" s="170">
        <v>42783</v>
      </c>
      <c r="B532" s="116">
        <v>84.8</v>
      </c>
      <c r="C532" s="116">
        <v>84.15</v>
      </c>
      <c r="D532" s="116">
        <v>82.75</v>
      </c>
      <c r="E532" s="116">
        <v>83</v>
      </c>
      <c r="F532" s="116">
        <v>84.15</v>
      </c>
      <c r="G532">
        <v>459632</v>
      </c>
      <c r="H532" s="116"/>
      <c r="I532" s="116"/>
      <c r="L532" s="170">
        <v>42783</v>
      </c>
      <c r="M532" s="116">
        <v>84.1</v>
      </c>
      <c r="N532" s="116">
        <v>85</v>
      </c>
      <c r="O532" s="116">
        <v>82.7</v>
      </c>
      <c r="P532" s="116">
        <v>83.7</v>
      </c>
      <c r="Q532" s="116">
        <v>84.1</v>
      </c>
      <c r="R532">
        <v>4841292</v>
      </c>
    </row>
    <row r="533" spans="1:18" x14ac:dyDescent="0.25">
      <c r="A533" s="170">
        <v>42786</v>
      </c>
      <c r="B533" s="116">
        <v>85.8</v>
      </c>
      <c r="C533" s="116">
        <v>84.95</v>
      </c>
      <c r="D533" s="116">
        <v>84.15</v>
      </c>
      <c r="E533" s="116">
        <v>84.15</v>
      </c>
      <c r="F533" s="116">
        <v>84.95</v>
      </c>
      <c r="G533">
        <v>1997440</v>
      </c>
      <c r="H533" s="116"/>
      <c r="I533" s="116"/>
      <c r="L533" s="170">
        <v>42786</v>
      </c>
      <c r="M533" s="116">
        <v>85.35</v>
      </c>
      <c r="N533" s="116">
        <v>86</v>
      </c>
      <c r="O533" s="116">
        <v>84.15</v>
      </c>
      <c r="P533" s="116">
        <v>84.45</v>
      </c>
      <c r="Q533" s="116">
        <v>85.35</v>
      </c>
      <c r="R533">
        <v>4558887</v>
      </c>
    </row>
    <row r="534" spans="1:18" x14ac:dyDescent="0.25">
      <c r="A534" s="170">
        <v>42787</v>
      </c>
      <c r="B534" s="116">
        <v>86</v>
      </c>
      <c r="C534" s="116">
        <v>84.1</v>
      </c>
      <c r="D534" s="116">
        <v>83.8</v>
      </c>
      <c r="E534" s="116">
        <v>86</v>
      </c>
      <c r="F534" s="116">
        <v>84.1</v>
      </c>
      <c r="G534">
        <v>309126</v>
      </c>
      <c r="H534" s="116"/>
      <c r="I534" s="116"/>
      <c r="L534" s="170">
        <v>42787</v>
      </c>
      <c r="M534" s="116">
        <v>84.25</v>
      </c>
      <c r="N534" s="116">
        <v>85.95</v>
      </c>
      <c r="O534" s="116">
        <v>83.8</v>
      </c>
      <c r="P534" s="116">
        <v>85.95</v>
      </c>
      <c r="Q534" s="116">
        <v>84.25</v>
      </c>
      <c r="R534">
        <v>3393310</v>
      </c>
    </row>
    <row r="535" spans="1:18" x14ac:dyDescent="0.25">
      <c r="A535" s="170">
        <v>42788</v>
      </c>
      <c r="B535" s="116">
        <v>85.7</v>
      </c>
      <c r="C535" s="116">
        <v>84.05</v>
      </c>
      <c r="D535" s="116">
        <v>83.45</v>
      </c>
      <c r="E535" s="116">
        <v>84.7</v>
      </c>
      <c r="F535" s="116">
        <v>84.05</v>
      </c>
      <c r="G535">
        <v>1096802</v>
      </c>
      <c r="H535" s="116"/>
      <c r="I535" s="116"/>
      <c r="L535" s="170">
        <v>42788</v>
      </c>
      <c r="M535" s="116">
        <v>84.15</v>
      </c>
      <c r="N535" s="116">
        <v>85.8</v>
      </c>
      <c r="O535" s="116">
        <v>83.4</v>
      </c>
      <c r="P535" s="116">
        <v>84.2</v>
      </c>
      <c r="Q535" s="116">
        <v>84.15</v>
      </c>
      <c r="R535">
        <v>3266659</v>
      </c>
    </row>
    <row r="536" spans="1:18" x14ac:dyDescent="0.25">
      <c r="A536" s="170">
        <v>42789</v>
      </c>
      <c r="B536" s="116">
        <v>85.3</v>
      </c>
      <c r="C536" s="116">
        <v>83.5</v>
      </c>
      <c r="D536" s="116">
        <v>83.1</v>
      </c>
      <c r="E536" s="116">
        <v>84.1</v>
      </c>
      <c r="F536" s="116">
        <v>83.5</v>
      </c>
      <c r="G536">
        <v>1033161</v>
      </c>
      <c r="H536" s="116"/>
      <c r="I536" s="116"/>
      <c r="L536" s="170">
        <v>42789</v>
      </c>
      <c r="M536" s="116">
        <v>83.45</v>
      </c>
      <c r="N536" s="116">
        <v>85.5</v>
      </c>
      <c r="O536" s="116">
        <v>83</v>
      </c>
      <c r="P536" s="116">
        <v>84.05</v>
      </c>
      <c r="Q536" s="116">
        <v>83.45</v>
      </c>
      <c r="R536">
        <v>5234969</v>
      </c>
    </row>
    <row r="537" spans="1:18" x14ac:dyDescent="0.25">
      <c r="A537" s="170">
        <v>42793</v>
      </c>
      <c r="B537" s="116">
        <v>83.95</v>
      </c>
      <c r="C537" s="116">
        <v>82.8</v>
      </c>
      <c r="D537" s="116">
        <v>82.55</v>
      </c>
      <c r="E537" s="116">
        <v>83.5</v>
      </c>
      <c r="F537" s="116">
        <v>82.8</v>
      </c>
      <c r="G537">
        <v>639223</v>
      </c>
      <c r="H537" s="116"/>
      <c r="I537" s="116"/>
      <c r="L537" s="170">
        <v>42793</v>
      </c>
      <c r="M537" s="116">
        <v>82.7</v>
      </c>
      <c r="N537" s="116">
        <v>84</v>
      </c>
      <c r="O537" s="116">
        <v>82.45</v>
      </c>
      <c r="P537" s="116">
        <v>83.8</v>
      </c>
      <c r="Q537" s="116">
        <v>82.7</v>
      </c>
      <c r="R537">
        <v>2257546</v>
      </c>
    </row>
    <row r="538" spans="1:18" x14ac:dyDescent="0.25">
      <c r="A538" s="170">
        <v>42794</v>
      </c>
      <c r="B538" s="116">
        <v>84.55</v>
      </c>
      <c r="C538" s="116">
        <v>82.6</v>
      </c>
      <c r="D538" s="116">
        <v>82.3</v>
      </c>
      <c r="E538" s="116">
        <v>82.8</v>
      </c>
      <c r="F538" s="116">
        <v>82.6</v>
      </c>
      <c r="G538">
        <v>1069759</v>
      </c>
      <c r="H538" s="116"/>
      <c r="I538" s="116"/>
      <c r="L538" s="170">
        <v>42794</v>
      </c>
      <c r="M538" s="116">
        <v>82.6</v>
      </c>
      <c r="N538" s="116">
        <v>84.6</v>
      </c>
      <c r="O538" s="116">
        <v>82.35</v>
      </c>
      <c r="P538" s="116">
        <v>82.85</v>
      </c>
      <c r="Q538" s="116">
        <v>82.6</v>
      </c>
      <c r="R538">
        <v>4371200</v>
      </c>
    </row>
    <row r="539" spans="1:18" x14ac:dyDescent="0.25">
      <c r="A539" s="170">
        <v>42795</v>
      </c>
      <c r="B539" s="116">
        <v>83.35</v>
      </c>
      <c r="C539" s="116">
        <v>81.849999999999994</v>
      </c>
      <c r="D539" s="116">
        <v>81.7</v>
      </c>
      <c r="E539" s="116">
        <v>82.65</v>
      </c>
      <c r="F539" s="116">
        <v>81.849999999999994</v>
      </c>
      <c r="G539">
        <v>474649</v>
      </c>
      <c r="H539" s="116"/>
      <c r="I539" s="116"/>
      <c r="L539" s="170">
        <v>42795</v>
      </c>
      <c r="M539" s="116">
        <v>81.95</v>
      </c>
      <c r="N539" s="116">
        <v>83.3</v>
      </c>
      <c r="O539" s="116">
        <v>81.650000000000006</v>
      </c>
      <c r="P539" s="116">
        <v>82.75</v>
      </c>
      <c r="Q539" s="116">
        <v>81.95</v>
      </c>
      <c r="R539">
        <v>3931679</v>
      </c>
    </row>
    <row r="540" spans="1:18" x14ac:dyDescent="0.25">
      <c r="A540" s="170">
        <v>42796</v>
      </c>
      <c r="B540" s="116">
        <v>82.7</v>
      </c>
      <c r="C540" s="116">
        <v>81</v>
      </c>
      <c r="D540" s="116">
        <v>80.75</v>
      </c>
      <c r="E540" s="116">
        <v>82.05</v>
      </c>
      <c r="F540" s="116">
        <v>81</v>
      </c>
      <c r="G540">
        <v>261735</v>
      </c>
      <c r="H540" s="116"/>
      <c r="I540" s="116"/>
      <c r="L540" s="170">
        <v>42796</v>
      </c>
      <c r="M540" s="116">
        <v>81.05</v>
      </c>
      <c r="N540" s="116">
        <v>82.7</v>
      </c>
      <c r="O540" s="116">
        <v>80.75</v>
      </c>
      <c r="P540" s="116">
        <v>82.35</v>
      </c>
      <c r="Q540" s="116">
        <v>81.05</v>
      </c>
      <c r="R540">
        <v>2051192</v>
      </c>
    </row>
    <row r="541" spans="1:18" x14ac:dyDescent="0.25">
      <c r="A541" s="170">
        <v>42797</v>
      </c>
      <c r="B541" s="116">
        <v>82.8</v>
      </c>
      <c r="C541" s="116">
        <v>81.95</v>
      </c>
      <c r="D541" s="116">
        <v>80.849999999999994</v>
      </c>
      <c r="E541" s="116">
        <v>81</v>
      </c>
      <c r="F541" s="116">
        <v>81.95</v>
      </c>
      <c r="G541">
        <v>280278</v>
      </c>
      <c r="H541" s="116"/>
      <c r="I541" s="116"/>
      <c r="L541" s="170">
        <v>42797</v>
      </c>
      <c r="M541" s="116">
        <v>81.900000000000006</v>
      </c>
      <c r="N541" s="116">
        <v>82.95</v>
      </c>
      <c r="O541" s="116">
        <v>80.8</v>
      </c>
      <c r="P541" s="116">
        <v>80.95</v>
      </c>
      <c r="Q541" s="116">
        <v>81.900000000000006</v>
      </c>
      <c r="R541">
        <v>5871263</v>
      </c>
    </row>
    <row r="542" spans="1:18" x14ac:dyDescent="0.25">
      <c r="A542" s="170">
        <v>42800</v>
      </c>
      <c r="B542" s="116">
        <v>82.8</v>
      </c>
      <c r="C542" s="116">
        <v>82.05</v>
      </c>
      <c r="D542" s="116">
        <v>81.849999999999994</v>
      </c>
      <c r="E542" s="116">
        <v>81.95</v>
      </c>
      <c r="F542" s="116">
        <v>82.05</v>
      </c>
      <c r="G542">
        <v>1057910</v>
      </c>
      <c r="H542" s="116"/>
      <c r="I542" s="116"/>
      <c r="L542" s="170">
        <v>42800</v>
      </c>
      <c r="M542" s="116">
        <v>82.45</v>
      </c>
      <c r="N542" s="116">
        <v>82.75</v>
      </c>
      <c r="O542" s="116">
        <v>81.900000000000006</v>
      </c>
      <c r="P542" s="116">
        <v>82</v>
      </c>
      <c r="Q542" s="116">
        <v>82.45</v>
      </c>
      <c r="R542">
        <v>4706563</v>
      </c>
    </row>
    <row r="543" spans="1:18" x14ac:dyDescent="0.25">
      <c r="A543" s="170">
        <v>42801</v>
      </c>
      <c r="B543" s="116">
        <v>83.8</v>
      </c>
      <c r="C543" s="116">
        <v>83</v>
      </c>
      <c r="D543" s="116">
        <v>82.7</v>
      </c>
      <c r="E543" s="116">
        <v>82.7</v>
      </c>
      <c r="F543" s="116">
        <v>83</v>
      </c>
      <c r="G543">
        <v>332695</v>
      </c>
      <c r="H543" s="116"/>
      <c r="I543" s="116"/>
      <c r="L543" s="170">
        <v>42801</v>
      </c>
      <c r="M543" s="116">
        <v>83</v>
      </c>
      <c r="N543" s="116">
        <v>83.75</v>
      </c>
      <c r="O543" s="116">
        <v>82.7</v>
      </c>
      <c r="P543" s="116">
        <v>82.9</v>
      </c>
      <c r="Q543" s="116">
        <v>83</v>
      </c>
      <c r="R543">
        <v>7309780</v>
      </c>
    </row>
    <row r="544" spans="1:18" x14ac:dyDescent="0.25">
      <c r="A544" s="170">
        <v>42802</v>
      </c>
      <c r="B544" s="116">
        <v>83.3</v>
      </c>
      <c r="C544" s="116">
        <v>82.15</v>
      </c>
      <c r="D544" s="116">
        <v>81.95</v>
      </c>
      <c r="E544" s="116">
        <v>83.15</v>
      </c>
      <c r="F544" s="116">
        <v>82.15</v>
      </c>
      <c r="G544">
        <v>168792</v>
      </c>
      <c r="H544" s="116"/>
      <c r="I544" s="116"/>
      <c r="L544" s="170">
        <v>42802</v>
      </c>
      <c r="M544" s="116">
        <v>82.1</v>
      </c>
      <c r="N544" s="116">
        <v>83.35</v>
      </c>
      <c r="O544" s="116">
        <v>81.95</v>
      </c>
      <c r="P544" s="116">
        <v>83.25</v>
      </c>
      <c r="Q544" s="116">
        <v>82.1</v>
      </c>
      <c r="R544">
        <v>3008752</v>
      </c>
    </row>
    <row r="545" spans="1:18" x14ac:dyDescent="0.25">
      <c r="A545" s="170">
        <v>42803</v>
      </c>
      <c r="B545" s="116">
        <v>82.8</v>
      </c>
      <c r="C545" s="116">
        <v>82.15</v>
      </c>
      <c r="D545" s="116">
        <v>81.5</v>
      </c>
      <c r="E545" s="116">
        <v>82</v>
      </c>
      <c r="F545" s="116">
        <v>82.15</v>
      </c>
      <c r="G545">
        <v>206237</v>
      </c>
      <c r="H545" s="116"/>
      <c r="I545" s="116"/>
      <c r="L545" s="170">
        <v>42803</v>
      </c>
      <c r="M545" s="116">
        <v>82.2</v>
      </c>
      <c r="N545" s="116">
        <v>82.65</v>
      </c>
      <c r="O545" s="116">
        <v>81.5</v>
      </c>
      <c r="P545" s="116">
        <v>82</v>
      </c>
      <c r="Q545" s="116">
        <v>82.2</v>
      </c>
      <c r="R545">
        <v>4968194</v>
      </c>
    </row>
    <row r="546" spans="1:18" x14ac:dyDescent="0.25">
      <c r="A546" s="170">
        <v>42804</v>
      </c>
      <c r="B546" s="116">
        <v>83.1</v>
      </c>
      <c r="C546" s="116">
        <v>81.95</v>
      </c>
      <c r="D546" s="116">
        <v>81.3</v>
      </c>
      <c r="E546" s="116">
        <v>82</v>
      </c>
      <c r="F546" s="116">
        <v>81.95</v>
      </c>
      <c r="G546">
        <v>206265</v>
      </c>
      <c r="H546" s="116"/>
      <c r="I546" s="116"/>
      <c r="L546" s="170">
        <v>42804</v>
      </c>
      <c r="M546" s="116">
        <v>81.95</v>
      </c>
      <c r="N546" s="116">
        <v>83.2</v>
      </c>
      <c r="O546" s="116">
        <v>81.3</v>
      </c>
      <c r="P546" s="116">
        <v>82.3</v>
      </c>
      <c r="Q546" s="116">
        <v>81.95</v>
      </c>
      <c r="R546">
        <v>1925931</v>
      </c>
    </row>
    <row r="547" spans="1:18" x14ac:dyDescent="0.25">
      <c r="A547" s="170">
        <v>42808</v>
      </c>
      <c r="B547" s="116">
        <v>83.8</v>
      </c>
      <c r="C547" s="116">
        <v>83.4</v>
      </c>
      <c r="D547" s="116">
        <v>82.35</v>
      </c>
      <c r="E547" s="116">
        <v>83.8</v>
      </c>
      <c r="F547" s="116">
        <v>83.4</v>
      </c>
      <c r="G547">
        <v>746741</v>
      </c>
      <c r="H547" s="116"/>
      <c r="I547" s="116"/>
      <c r="L547" s="170">
        <v>42808</v>
      </c>
      <c r="M547" s="116">
        <v>83.65</v>
      </c>
      <c r="N547" s="116">
        <v>84</v>
      </c>
      <c r="O547" s="116">
        <v>82.4</v>
      </c>
      <c r="P547" s="116">
        <v>84</v>
      </c>
      <c r="Q547" s="116">
        <v>83.65</v>
      </c>
      <c r="R547">
        <v>3935493</v>
      </c>
    </row>
    <row r="548" spans="1:18" x14ac:dyDescent="0.25">
      <c r="A548" s="170">
        <v>42809</v>
      </c>
      <c r="B548" s="116">
        <v>85.6</v>
      </c>
      <c r="C548" s="116">
        <v>84.8</v>
      </c>
      <c r="D548" s="116">
        <v>83.4</v>
      </c>
      <c r="E548" s="116">
        <v>83.4</v>
      </c>
      <c r="F548" s="116">
        <v>84.8</v>
      </c>
      <c r="G548">
        <v>380419</v>
      </c>
      <c r="H548" s="116"/>
      <c r="I548" s="116"/>
      <c r="L548" s="170">
        <v>42809</v>
      </c>
      <c r="M548" s="116">
        <v>85.05</v>
      </c>
      <c r="N548" s="116">
        <v>85.75</v>
      </c>
      <c r="O548" s="116">
        <v>83.45</v>
      </c>
      <c r="P548" s="116">
        <v>84</v>
      </c>
      <c r="Q548" s="116">
        <v>85.05</v>
      </c>
      <c r="R548">
        <v>6653375</v>
      </c>
    </row>
    <row r="549" spans="1:18" x14ac:dyDescent="0.25">
      <c r="A549" s="170">
        <v>42810</v>
      </c>
      <c r="B549" s="116">
        <v>86.4</v>
      </c>
      <c r="C549" s="116">
        <v>86</v>
      </c>
      <c r="D549" s="116">
        <v>85.1</v>
      </c>
      <c r="E549" s="116">
        <v>85.25</v>
      </c>
      <c r="F549" s="116">
        <v>86</v>
      </c>
      <c r="G549">
        <v>817904</v>
      </c>
      <c r="H549" s="116"/>
      <c r="I549" s="116"/>
      <c r="L549" s="170">
        <v>42810</v>
      </c>
      <c r="M549" s="116">
        <v>86.2</v>
      </c>
      <c r="N549" s="116">
        <v>86.65</v>
      </c>
      <c r="O549" s="116">
        <v>84</v>
      </c>
      <c r="P549" s="116">
        <v>85.5</v>
      </c>
      <c r="Q549" s="116">
        <v>86.2</v>
      </c>
      <c r="R549">
        <v>3900973</v>
      </c>
    </row>
    <row r="550" spans="1:18" x14ac:dyDescent="0.25">
      <c r="A550" s="170">
        <v>42811</v>
      </c>
      <c r="B550" s="116">
        <v>87.15</v>
      </c>
      <c r="C550" s="116">
        <v>86.1</v>
      </c>
      <c r="D550" s="116">
        <v>85.65</v>
      </c>
      <c r="E550" s="116">
        <v>86.8</v>
      </c>
      <c r="F550" s="116">
        <v>86.1</v>
      </c>
      <c r="G550">
        <v>1638576</v>
      </c>
      <c r="H550" s="116"/>
      <c r="I550" s="116"/>
      <c r="L550" s="170">
        <v>42811</v>
      </c>
      <c r="M550" s="116">
        <v>86.35</v>
      </c>
      <c r="N550" s="116">
        <v>87.2</v>
      </c>
      <c r="O550" s="116">
        <v>85.7</v>
      </c>
      <c r="P550" s="116">
        <v>87</v>
      </c>
      <c r="Q550" s="116">
        <v>86.35</v>
      </c>
      <c r="R550">
        <v>5676646</v>
      </c>
    </row>
    <row r="551" spans="1:18" x14ac:dyDescent="0.25">
      <c r="A551" s="170">
        <v>42814</v>
      </c>
      <c r="B551" s="116">
        <v>87.7</v>
      </c>
      <c r="C551" s="116">
        <v>86.8</v>
      </c>
      <c r="D551" s="116">
        <v>86.1</v>
      </c>
      <c r="E551" s="116">
        <v>86.35</v>
      </c>
      <c r="F551" s="116">
        <v>86.8</v>
      </c>
      <c r="G551">
        <v>509174</v>
      </c>
      <c r="H551" s="116"/>
      <c r="I551" s="116"/>
      <c r="L551" s="170">
        <v>42814</v>
      </c>
      <c r="M551" s="116">
        <v>87.15</v>
      </c>
      <c r="N551" s="116">
        <v>87.9</v>
      </c>
      <c r="O551" s="116">
        <v>86.3</v>
      </c>
      <c r="P551" s="116">
        <v>86.5</v>
      </c>
      <c r="Q551" s="116">
        <v>87.15</v>
      </c>
      <c r="R551">
        <v>4079021</v>
      </c>
    </row>
    <row r="552" spans="1:18" x14ac:dyDescent="0.25">
      <c r="A552" s="170">
        <v>42815</v>
      </c>
      <c r="B552" s="116">
        <v>88</v>
      </c>
      <c r="C552" s="116">
        <v>87.65</v>
      </c>
      <c r="D552" s="116">
        <v>86.45</v>
      </c>
      <c r="E552" s="116">
        <v>87.5</v>
      </c>
      <c r="F552" s="116">
        <v>87.65</v>
      </c>
      <c r="G552">
        <v>1031534</v>
      </c>
      <c r="H552" s="116"/>
      <c r="I552" s="116"/>
      <c r="L552" s="170">
        <v>42815</v>
      </c>
      <c r="M552" s="116">
        <v>87.65</v>
      </c>
      <c r="N552" s="116">
        <v>87.9</v>
      </c>
      <c r="O552" s="116">
        <v>86.5</v>
      </c>
      <c r="P552" s="116">
        <v>87.8</v>
      </c>
      <c r="Q552" s="116">
        <v>87.65</v>
      </c>
      <c r="R552">
        <v>3260875</v>
      </c>
    </row>
    <row r="553" spans="1:18" x14ac:dyDescent="0.25">
      <c r="A553" s="170">
        <v>42816</v>
      </c>
      <c r="B553" s="116">
        <v>87.5</v>
      </c>
      <c r="C553" s="116">
        <v>86.8</v>
      </c>
      <c r="D553" s="116">
        <v>86.3</v>
      </c>
      <c r="E553" s="116">
        <v>87.5</v>
      </c>
      <c r="F553" s="116">
        <v>86.8</v>
      </c>
      <c r="G553">
        <v>462250</v>
      </c>
      <c r="H553" s="116"/>
      <c r="I553" s="116"/>
      <c r="L553" s="170">
        <v>42816</v>
      </c>
      <c r="M553" s="116">
        <v>86.95</v>
      </c>
      <c r="N553" s="116">
        <v>87.5</v>
      </c>
      <c r="O553" s="116">
        <v>86.3</v>
      </c>
      <c r="P553" s="116">
        <v>87</v>
      </c>
      <c r="Q553" s="116">
        <v>86.95</v>
      </c>
      <c r="R553">
        <v>3390664</v>
      </c>
    </row>
    <row r="554" spans="1:18" x14ac:dyDescent="0.25">
      <c r="A554" s="170">
        <v>42817</v>
      </c>
      <c r="B554" s="116">
        <v>87.65</v>
      </c>
      <c r="C554" s="116">
        <v>87</v>
      </c>
      <c r="D554" s="116">
        <v>86.75</v>
      </c>
      <c r="E554" s="116">
        <v>87</v>
      </c>
      <c r="F554" s="116">
        <v>87</v>
      </c>
      <c r="G554">
        <v>705994</v>
      </c>
      <c r="H554" s="116"/>
      <c r="I554" s="116"/>
      <c r="L554" s="170">
        <v>42817</v>
      </c>
      <c r="M554" s="116">
        <v>87.1</v>
      </c>
      <c r="N554" s="116">
        <v>87.7</v>
      </c>
      <c r="O554" s="116">
        <v>86.7</v>
      </c>
      <c r="P554" s="116">
        <v>87.05</v>
      </c>
      <c r="Q554" s="116">
        <v>87.1</v>
      </c>
      <c r="R554">
        <v>4769669</v>
      </c>
    </row>
    <row r="555" spans="1:18" x14ac:dyDescent="0.25">
      <c r="A555" s="170">
        <v>42818</v>
      </c>
      <c r="B555" s="116">
        <v>87.95</v>
      </c>
      <c r="C555" s="116">
        <v>86.5</v>
      </c>
      <c r="D555" s="116">
        <v>86.15</v>
      </c>
      <c r="E555" s="116">
        <v>87.4</v>
      </c>
      <c r="F555" s="116">
        <v>86.5</v>
      </c>
      <c r="G555">
        <v>262034</v>
      </c>
      <c r="H555" s="116"/>
      <c r="I555" s="116"/>
      <c r="L555" s="170">
        <v>42818</v>
      </c>
      <c r="M555" s="116">
        <v>86.55</v>
      </c>
      <c r="N555" s="116">
        <v>88.1</v>
      </c>
      <c r="O555" s="116">
        <v>86.05</v>
      </c>
      <c r="P555" s="116">
        <v>87.65</v>
      </c>
      <c r="Q555" s="116">
        <v>86.55</v>
      </c>
      <c r="R555">
        <v>4159127</v>
      </c>
    </row>
    <row r="556" spans="1:18" x14ac:dyDescent="0.25">
      <c r="A556" s="170">
        <v>42821</v>
      </c>
      <c r="B556" s="116">
        <v>87.4</v>
      </c>
      <c r="C556" s="116">
        <v>87.05</v>
      </c>
      <c r="D556" s="116">
        <v>85.6</v>
      </c>
      <c r="E556" s="116">
        <v>87</v>
      </c>
      <c r="F556" s="116">
        <v>87.05</v>
      </c>
      <c r="G556">
        <v>354970</v>
      </c>
      <c r="H556" s="116"/>
      <c r="I556" s="116"/>
      <c r="L556" s="170">
        <v>42821</v>
      </c>
      <c r="M556" s="116">
        <v>87.3</v>
      </c>
      <c r="N556" s="116">
        <v>87.6</v>
      </c>
      <c r="O556" s="116">
        <v>85.55</v>
      </c>
      <c r="P556" s="116">
        <v>86.65</v>
      </c>
      <c r="Q556" s="116">
        <v>87.3</v>
      </c>
      <c r="R556">
        <v>5247392</v>
      </c>
    </row>
    <row r="557" spans="1:18" x14ac:dyDescent="0.25">
      <c r="A557" s="170">
        <v>42822</v>
      </c>
      <c r="B557" s="116">
        <v>89.45</v>
      </c>
      <c r="C557" s="116">
        <v>88.8</v>
      </c>
      <c r="D557" s="116">
        <v>86.6</v>
      </c>
      <c r="E557" s="116">
        <v>87.3</v>
      </c>
      <c r="F557" s="116">
        <v>88.8</v>
      </c>
      <c r="G557">
        <v>353766</v>
      </c>
      <c r="H557" s="116"/>
      <c r="I557" s="116"/>
      <c r="L557" s="170">
        <v>42822</v>
      </c>
      <c r="M557" s="116">
        <v>88.8</v>
      </c>
      <c r="N557" s="116">
        <v>89.2</v>
      </c>
      <c r="O557" s="116">
        <v>86.65</v>
      </c>
      <c r="P557" s="116">
        <v>87.3</v>
      </c>
      <c r="Q557" s="116">
        <v>88.8</v>
      </c>
      <c r="R557">
        <v>6485431</v>
      </c>
    </row>
    <row r="558" spans="1:18" x14ac:dyDescent="0.25">
      <c r="A558" s="170">
        <v>42823</v>
      </c>
      <c r="B558" s="116">
        <v>91.1</v>
      </c>
      <c r="C558" s="116">
        <v>89.8</v>
      </c>
      <c r="D558" s="116">
        <v>89.55</v>
      </c>
      <c r="E558" s="116">
        <v>90</v>
      </c>
      <c r="F558" s="116">
        <v>89.8</v>
      </c>
      <c r="G558">
        <v>619932</v>
      </c>
      <c r="H558" s="116"/>
      <c r="I558" s="116"/>
      <c r="L558" s="170">
        <v>42823</v>
      </c>
      <c r="M558" s="116">
        <v>90</v>
      </c>
      <c r="N558" s="116">
        <v>91.15</v>
      </c>
      <c r="O558" s="116">
        <v>89.8</v>
      </c>
      <c r="P558" s="116">
        <v>90</v>
      </c>
      <c r="Q558" s="116">
        <v>90</v>
      </c>
      <c r="R558">
        <v>8268726</v>
      </c>
    </row>
    <row r="559" spans="1:18" x14ac:dyDescent="0.25">
      <c r="A559" s="170">
        <v>42824</v>
      </c>
      <c r="B559" s="116">
        <v>90.55</v>
      </c>
      <c r="C559" s="116">
        <v>89.6</v>
      </c>
      <c r="D559" s="116">
        <v>89.2</v>
      </c>
      <c r="E559" s="116">
        <v>90.15</v>
      </c>
      <c r="F559" s="116">
        <v>89.6</v>
      </c>
      <c r="G559">
        <v>339945</v>
      </c>
      <c r="H559" s="116"/>
      <c r="I559" s="116"/>
      <c r="L559" s="170">
        <v>42824</v>
      </c>
      <c r="M559" s="116">
        <v>89.9</v>
      </c>
      <c r="N559" s="116">
        <v>90.9</v>
      </c>
      <c r="O559" s="116">
        <v>89.4</v>
      </c>
      <c r="P559" s="116">
        <v>90</v>
      </c>
      <c r="Q559" s="116">
        <v>89.9</v>
      </c>
      <c r="R559">
        <v>9240905</v>
      </c>
    </row>
    <row r="560" spans="1:18" x14ac:dyDescent="0.25">
      <c r="A560" s="170">
        <v>42825</v>
      </c>
      <c r="B560" s="116">
        <v>91.1</v>
      </c>
      <c r="C560" s="116">
        <v>90.5</v>
      </c>
      <c r="D560" s="116">
        <v>89.15</v>
      </c>
      <c r="E560" s="116">
        <v>90.8</v>
      </c>
      <c r="F560" s="116">
        <v>90.5</v>
      </c>
      <c r="G560">
        <v>344474</v>
      </c>
      <c r="H560" s="116"/>
      <c r="I560" s="116"/>
      <c r="L560" s="170">
        <v>42825</v>
      </c>
      <c r="M560" s="116">
        <v>90.35</v>
      </c>
      <c r="N560" s="116">
        <v>91</v>
      </c>
      <c r="O560" s="116">
        <v>88.55</v>
      </c>
      <c r="P560" s="116">
        <v>90.5</v>
      </c>
      <c r="Q560" s="116">
        <v>90.35</v>
      </c>
      <c r="R560">
        <v>5424608</v>
      </c>
    </row>
    <row r="561" spans="1:18" x14ac:dyDescent="0.25">
      <c r="A561" s="170">
        <v>42828</v>
      </c>
      <c r="B561" s="116">
        <v>91.25</v>
      </c>
      <c r="C561" s="116">
        <v>89.15</v>
      </c>
      <c r="D561" s="116">
        <v>88.95</v>
      </c>
      <c r="E561" s="116">
        <v>91.25</v>
      </c>
      <c r="F561" s="116">
        <v>89.15</v>
      </c>
      <c r="G561">
        <v>330964</v>
      </c>
      <c r="H561" s="116"/>
      <c r="I561" s="116"/>
      <c r="L561" s="170">
        <v>42828</v>
      </c>
      <c r="M561" s="116">
        <v>89.2</v>
      </c>
      <c r="N561" s="116">
        <v>90.7</v>
      </c>
      <c r="O561" s="116">
        <v>88.95</v>
      </c>
      <c r="P561" s="116">
        <v>90.7</v>
      </c>
      <c r="Q561" s="116">
        <v>89.2</v>
      </c>
      <c r="R561">
        <v>3693246</v>
      </c>
    </row>
    <row r="562" spans="1:18" x14ac:dyDescent="0.25">
      <c r="A562" s="170">
        <v>42830</v>
      </c>
      <c r="B562" s="116">
        <v>89.7</v>
      </c>
      <c r="C562" s="116">
        <v>88.1</v>
      </c>
      <c r="D562" s="116">
        <v>87.9</v>
      </c>
      <c r="E562" s="116">
        <v>89</v>
      </c>
      <c r="F562" s="116">
        <v>88.1</v>
      </c>
      <c r="G562">
        <v>463006</v>
      </c>
      <c r="H562" s="116"/>
      <c r="I562" s="116"/>
      <c r="L562" s="170">
        <v>42830</v>
      </c>
      <c r="M562" s="116">
        <v>88.2</v>
      </c>
      <c r="N562" s="116">
        <v>89.7</v>
      </c>
      <c r="O562" s="116">
        <v>87.85</v>
      </c>
      <c r="P562" s="116">
        <v>89.25</v>
      </c>
      <c r="Q562" s="116">
        <v>88.2</v>
      </c>
      <c r="R562">
        <v>6266078</v>
      </c>
    </row>
    <row r="563" spans="1:18" x14ac:dyDescent="0.25">
      <c r="A563" s="170">
        <v>42831</v>
      </c>
      <c r="B563" s="116">
        <v>88.2</v>
      </c>
      <c r="C563" s="116">
        <v>87.25</v>
      </c>
      <c r="D563" s="116">
        <v>86.7</v>
      </c>
      <c r="E563" s="116">
        <v>88.05</v>
      </c>
      <c r="F563" s="116">
        <v>87.25</v>
      </c>
      <c r="G563">
        <v>236275</v>
      </c>
      <c r="H563" s="116"/>
      <c r="I563" s="116"/>
      <c r="L563" s="170">
        <v>42831</v>
      </c>
      <c r="M563" s="116">
        <v>87.3</v>
      </c>
      <c r="N563" s="116">
        <v>88.2</v>
      </c>
      <c r="O563" s="116">
        <v>86.65</v>
      </c>
      <c r="P563" s="116">
        <v>88.1</v>
      </c>
      <c r="Q563" s="116">
        <v>87.3</v>
      </c>
      <c r="R563">
        <v>4469693</v>
      </c>
    </row>
    <row r="564" spans="1:18" x14ac:dyDescent="0.25">
      <c r="A564" s="170">
        <v>42832</v>
      </c>
      <c r="B564" s="116">
        <v>87.75</v>
      </c>
      <c r="C564" s="116">
        <v>87.2</v>
      </c>
      <c r="D564" s="116">
        <v>86.35</v>
      </c>
      <c r="E564" s="116">
        <v>87.1</v>
      </c>
      <c r="F564" s="116">
        <v>87.2</v>
      </c>
      <c r="G564">
        <v>247629</v>
      </c>
      <c r="H564" s="116"/>
      <c r="I564" s="116"/>
      <c r="L564" s="170">
        <v>42832</v>
      </c>
      <c r="M564" s="116">
        <v>87.5</v>
      </c>
      <c r="N564" s="116">
        <v>88.15</v>
      </c>
      <c r="O564" s="116">
        <v>86.2</v>
      </c>
      <c r="P564" s="116">
        <v>87</v>
      </c>
      <c r="Q564" s="116">
        <v>87.5</v>
      </c>
      <c r="R564">
        <v>5373922</v>
      </c>
    </row>
    <row r="565" spans="1:18" x14ac:dyDescent="0.25">
      <c r="A565" s="170">
        <v>42835</v>
      </c>
      <c r="B565" s="116">
        <v>89.5</v>
      </c>
      <c r="C565" s="116">
        <v>87.1</v>
      </c>
      <c r="D565" s="116">
        <v>86.95</v>
      </c>
      <c r="E565" s="116">
        <v>87.3</v>
      </c>
      <c r="F565" s="116">
        <v>87.1</v>
      </c>
      <c r="G565">
        <v>185809</v>
      </c>
      <c r="H565" s="116"/>
      <c r="I565" s="116"/>
      <c r="L565" s="170">
        <v>42835</v>
      </c>
      <c r="M565" s="116">
        <v>87.05</v>
      </c>
      <c r="N565" s="116">
        <v>87.85</v>
      </c>
      <c r="O565" s="116">
        <v>86.85</v>
      </c>
      <c r="P565" s="116">
        <v>87.8</v>
      </c>
      <c r="Q565" s="116">
        <v>87.05</v>
      </c>
      <c r="R565">
        <v>5509757</v>
      </c>
    </row>
    <row r="566" spans="1:18" x14ac:dyDescent="0.25">
      <c r="A566" s="170">
        <v>42836</v>
      </c>
      <c r="B566" s="116">
        <v>90.2</v>
      </c>
      <c r="C566" s="116">
        <v>85.4</v>
      </c>
      <c r="D566" s="116">
        <v>81.3</v>
      </c>
      <c r="E566" s="116">
        <v>87.1</v>
      </c>
      <c r="F566" s="116">
        <v>85.4</v>
      </c>
      <c r="G566">
        <v>2962081</v>
      </c>
      <c r="H566" s="116"/>
      <c r="I566" s="116"/>
      <c r="L566" s="170">
        <v>42836</v>
      </c>
      <c r="M566" s="116">
        <v>85.45</v>
      </c>
      <c r="N566" s="116">
        <v>90.15</v>
      </c>
      <c r="O566" s="116">
        <v>81.150000000000006</v>
      </c>
      <c r="P566" s="116">
        <v>87.45</v>
      </c>
      <c r="Q566" s="116">
        <v>85.45</v>
      </c>
      <c r="R566">
        <v>32224697</v>
      </c>
    </row>
    <row r="567" spans="1:18" x14ac:dyDescent="0.25">
      <c r="A567" s="170">
        <v>42837</v>
      </c>
      <c r="B567" s="116">
        <v>85.8</v>
      </c>
      <c r="C567" s="116">
        <v>85.45</v>
      </c>
      <c r="D567" s="116">
        <v>83.9</v>
      </c>
      <c r="E567" s="116">
        <v>85.25</v>
      </c>
      <c r="F567" s="116">
        <v>85.45</v>
      </c>
      <c r="G567">
        <v>645503</v>
      </c>
      <c r="H567" s="116"/>
      <c r="I567" s="116"/>
      <c r="L567" s="170">
        <v>42837</v>
      </c>
      <c r="M567" s="116">
        <v>85.55</v>
      </c>
      <c r="N567" s="116">
        <v>86.3</v>
      </c>
      <c r="O567" s="116">
        <v>84.1</v>
      </c>
      <c r="P567" s="116">
        <v>85.05</v>
      </c>
      <c r="Q567" s="116">
        <v>85.55</v>
      </c>
      <c r="R567">
        <v>7643076</v>
      </c>
    </row>
    <row r="568" spans="1:18" x14ac:dyDescent="0.25">
      <c r="A568" s="170">
        <v>42838</v>
      </c>
      <c r="B568" s="116">
        <v>85.2</v>
      </c>
      <c r="C568" s="116">
        <v>84.35</v>
      </c>
      <c r="D568" s="116">
        <v>84.05</v>
      </c>
      <c r="E568" s="116">
        <v>85</v>
      </c>
      <c r="F568" s="116">
        <v>84.35</v>
      </c>
      <c r="G568">
        <v>243438</v>
      </c>
      <c r="H568" s="116"/>
      <c r="I568" s="116"/>
      <c r="L568" s="170">
        <v>42838</v>
      </c>
      <c r="M568" s="116">
        <v>84.7</v>
      </c>
      <c r="N568" s="116">
        <v>85.2</v>
      </c>
      <c r="O568" s="116">
        <v>83.9</v>
      </c>
      <c r="P568" s="116">
        <v>84.7</v>
      </c>
      <c r="Q568" s="116">
        <v>84.7</v>
      </c>
      <c r="R568">
        <v>4775644</v>
      </c>
    </row>
    <row r="569" spans="1:18" x14ac:dyDescent="0.25">
      <c r="A569" s="170">
        <v>42842</v>
      </c>
      <c r="B569" s="116">
        <v>84.9</v>
      </c>
      <c r="C569" s="116">
        <v>83.9</v>
      </c>
      <c r="D569" s="116">
        <v>83.7</v>
      </c>
      <c r="E569" s="116">
        <v>84.2</v>
      </c>
      <c r="F569" s="116">
        <v>83.9</v>
      </c>
      <c r="G569">
        <v>190723</v>
      </c>
      <c r="H569" s="116"/>
      <c r="I569" s="116"/>
      <c r="L569" s="170">
        <v>42842</v>
      </c>
      <c r="M569" s="116">
        <v>84.05</v>
      </c>
      <c r="N569" s="116">
        <v>84.9</v>
      </c>
      <c r="O569" s="116">
        <v>83.7</v>
      </c>
      <c r="P569" s="116">
        <v>84.9</v>
      </c>
      <c r="Q569" s="116">
        <v>84.05</v>
      </c>
      <c r="R569">
        <v>6224581</v>
      </c>
    </row>
    <row r="570" spans="1:18" x14ac:dyDescent="0.25">
      <c r="A570" s="170">
        <v>42843</v>
      </c>
      <c r="B570" s="116">
        <v>84.5</v>
      </c>
      <c r="C570" s="116">
        <v>83.4</v>
      </c>
      <c r="D570" s="116">
        <v>83.2</v>
      </c>
      <c r="E570" s="116">
        <v>84.3</v>
      </c>
      <c r="F570" s="116">
        <v>83.4</v>
      </c>
      <c r="G570">
        <v>321974</v>
      </c>
      <c r="H570" s="116"/>
      <c r="I570" s="116"/>
      <c r="L570" s="170">
        <v>42843</v>
      </c>
      <c r="M570" s="116">
        <v>83.55</v>
      </c>
      <c r="N570" s="116">
        <v>84.55</v>
      </c>
      <c r="O570" s="116">
        <v>83.35</v>
      </c>
      <c r="P570" s="116">
        <v>84.15</v>
      </c>
      <c r="Q570" s="116">
        <v>83.55</v>
      </c>
      <c r="R570">
        <v>4184680</v>
      </c>
    </row>
    <row r="571" spans="1:18" x14ac:dyDescent="0.25">
      <c r="A571" s="170">
        <v>42844</v>
      </c>
      <c r="B571" s="116">
        <v>86.6</v>
      </c>
      <c r="C571" s="116">
        <v>85.3</v>
      </c>
      <c r="D571" s="116">
        <v>83.75</v>
      </c>
      <c r="E571" s="116">
        <v>83.75</v>
      </c>
      <c r="F571" s="116">
        <v>85.3</v>
      </c>
      <c r="G571">
        <v>441056</v>
      </c>
      <c r="H571" s="116"/>
      <c r="I571" s="116"/>
      <c r="L571" s="170">
        <v>42844</v>
      </c>
      <c r="M571" s="116">
        <v>85.65</v>
      </c>
      <c r="N571" s="116">
        <v>86.65</v>
      </c>
      <c r="O571" s="116">
        <v>84.1</v>
      </c>
      <c r="P571" s="116">
        <v>84.15</v>
      </c>
      <c r="Q571" s="116">
        <v>85.65</v>
      </c>
      <c r="R571">
        <v>7511675</v>
      </c>
    </row>
    <row r="572" spans="1:18" x14ac:dyDescent="0.25">
      <c r="A572" s="170">
        <v>42845</v>
      </c>
      <c r="B572" s="116">
        <v>86.4</v>
      </c>
      <c r="C572" s="116">
        <v>84.15</v>
      </c>
      <c r="D572" s="116">
        <v>83.95</v>
      </c>
      <c r="E572" s="116">
        <v>86.4</v>
      </c>
      <c r="F572" s="116">
        <v>84.15</v>
      </c>
      <c r="G572">
        <v>202741</v>
      </c>
      <c r="H572" s="116"/>
      <c r="I572" s="116"/>
      <c r="L572" s="170">
        <v>42845</v>
      </c>
      <c r="M572" s="116">
        <v>84.15</v>
      </c>
      <c r="N572" s="116">
        <v>86.25</v>
      </c>
      <c r="O572" s="116">
        <v>83.95</v>
      </c>
      <c r="P572" s="116">
        <v>86.2</v>
      </c>
      <c r="Q572" s="116">
        <v>84.15</v>
      </c>
      <c r="R572">
        <v>3216298</v>
      </c>
    </row>
    <row r="573" spans="1:18" x14ac:dyDescent="0.25">
      <c r="A573" s="170">
        <v>42846</v>
      </c>
      <c r="B573" s="116">
        <v>85.3</v>
      </c>
      <c r="C573" s="116">
        <v>83.95</v>
      </c>
      <c r="D573" s="116">
        <v>83.65</v>
      </c>
      <c r="E573" s="116">
        <v>85.3</v>
      </c>
      <c r="F573" s="116">
        <v>83.95</v>
      </c>
      <c r="G573">
        <v>222651</v>
      </c>
      <c r="H573" s="116"/>
      <c r="I573" s="116"/>
      <c r="L573" s="170">
        <v>42846</v>
      </c>
      <c r="M573" s="116">
        <v>84.15</v>
      </c>
      <c r="N573" s="116">
        <v>85.35</v>
      </c>
      <c r="O573" s="116">
        <v>83.7</v>
      </c>
      <c r="P573" s="116">
        <v>85.35</v>
      </c>
      <c r="Q573" s="116">
        <v>84.15</v>
      </c>
      <c r="R573">
        <v>3326507</v>
      </c>
    </row>
    <row r="574" spans="1:18" x14ac:dyDescent="0.25">
      <c r="A574" s="170">
        <v>42849</v>
      </c>
      <c r="B574" s="116">
        <v>86.2</v>
      </c>
      <c r="C574" s="116">
        <v>85.95</v>
      </c>
      <c r="D574" s="116">
        <v>84.25</v>
      </c>
      <c r="E574" s="116">
        <v>84.5</v>
      </c>
      <c r="F574" s="116">
        <v>85.95</v>
      </c>
      <c r="G574">
        <v>221518</v>
      </c>
      <c r="H574" s="116"/>
      <c r="I574" s="116"/>
      <c r="L574" s="170">
        <v>42849</v>
      </c>
      <c r="M574" s="116">
        <v>86</v>
      </c>
      <c r="N574" s="116">
        <v>86.3</v>
      </c>
      <c r="O574" s="116">
        <v>84.2</v>
      </c>
      <c r="P574" s="116">
        <v>84.45</v>
      </c>
      <c r="Q574" s="116">
        <v>86</v>
      </c>
      <c r="R574">
        <v>2678461</v>
      </c>
    </row>
    <row r="575" spans="1:18" x14ac:dyDescent="0.25">
      <c r="A575" s="170">
        <v>42850</v>
      </c>
      <c r="B575" s="116">
        <v>86.85</v>
      </c>
      <c r="C575" s="116">
        <v>85.15</v>
      </c>
      <c r="D575" s="116">
        <v>85</v>
      </c>
      <c r="E575" s="116">
        <v>86.8</v>
      </c>
      <c r="F575" s="116">
        <v>85.15</v>
      </c>
      <c r="G575">
        <v>212174</v>
      </c>
      <c r="H575" s="116"/>
      <c r="I575" s="116"/>
      <c r="L575" s="170">
        <v>42850</v>
      </c>
      <c r="M575" s="116">
        <v>85.2</v>
      </c>
      <c r="N575" s="116">
        <v>86.85</v>
      </c>
      <c r="O575" s="116">
        <v>84.95</v>
      </c>
      <c r="P575" s="116">
        <v>86.75</v>
      </c>
      <c r="Q575" s="116">
        <v>85.2</v>
      </c>
      <c r="R575">
        <v>4439588</v>
      </c>
    </row>
    <row r="576" spans="1:18" x14ac:dyDescent="0.25">
      <c r="A576" s="170">
        <v>42851</v>
      </c>
      <c r="B576" s="116">
        <v>85.55</v>
      </c>
      <c r="C576" s="116">
        <v>84.8</v>
      </c>
      <c r="D576" s="116">
        <v>84.55</v>
      </c>
      <c r="E576" s="116">
        <v>85.2</v>
      </c>
      <c r="F576" s="116">
        <v>84.8</v>
      </c>
      <c r="G576">
        <v>159998</v>
      </c>
      <c r="H576" s="116"/>
      <c r="I576" s="116"/>
      <c r="L576" s="170">
        <v>42851</v>
      </c>
      <c r="M576" s="116">
        <v>85</v>
      </c>
      <c r="N576" s="116">
        <v>85.6</v>
      </c>
      <c r="O576" s="116">
        <v>84.8</v>
      </c>
      <c r="P576" s="116">
        <v>85.2</v>
      </c>
      <c r="Q576" s="116">
        <v>85</v>
      </c>
      <c r="R576">
        <v>3153522</v>
      </c>
    </row>
    <row r="577" spans="1:18" x14ac:dyDescent="0.25">
      <c r="A577" s="170">
        <v>42852</v>
      </c>
      <c r="B577" s="116">
        <v>85.8</v>
      </c>
      <c r="C577" s="116">
        <v>84.6</v>
      </c>
      <c r="D577" s="116">
        <v>84</v>
      </c>
      <c r="E577" s="116">
        <v>85</v>
      </c>
      <c r="F577" s="116">
        <v>84.6</v>
      </c>
      <c r="G577">
        <v>162310</v>
      </c>
      <c r="H577" s="116"/>
      <c r="I577" s="116"/>
      <c r="L577" s="170">
        <v>42852</v>
      </c>
      <c r="M577" s="116">
        <v>84.65</v>
      </c>
      <c r="N577" s="116">
        <v>85.5</v>
      </c>
      <c r="O577" s="116">
        <v>83.9</v>
      </c>
      <c r="P577" s="116">
        <v>85.05</v>
      </c>
      <c r="Q577" s="116">
        <v>84.65</v>
      </c>
      <c r="R577">
        <v>4571169</v>
      </c>
    </row>
    <row r="578" spans="1:18" x14ac:dyDescent="0.25">
      <c r="A578" s="170">
        <v>42853</v>
      </c>
      <c r="B578" s="116">
        <v>84.7</v>
      </c>
      <c r="C578" s="116">
        <v>84.15</v>
      </c>
      <c r="D578" s="116">
        <v>82.75</v>
      </c>
      <c r="E578" s="116">
        <v>84.25</v>
      </c>
      <c r="F578" s="116">
        <v>84.15</v>
      </c>
      <c r="G578">
        <v>304749</v>
      </c>
      <c r="H578" s="116"/>
      <c r="I578" s="116"/>
      <c r="L578" s="170">
        <v>42853</v>
      </c>
      <c r="M578" s="116">
        <v>84.3</v>
      </c>
      <c r="N578" s="116">
        <v>85</v>
      </c>
      <c r="O578" s="116">
        <v>83.9</v>
      </c>
      <c r="P578" s="116">
        <v>84.3</v>
      </c>
      <c r="Q578" s="116">
        <v>84.3</v>
      </c>
      <c r="R578">
        <v>2302640</v>
      </c>
    </row>
    <row r="579" spans="1:18" x14ac:dyDescent="0.25">
      <c r="A579" s="170">
        <v>42857</v>
      </c>
      <c r="B579" s="116">
        <v>84.5</v>
      </c>
      <c r="C579" s="116">
        <v>83.3</v>
      </c>
      <c r="D579" s="116">
        <v>83.05</v>
      </c>
      <c r="E579" s="116">
        <v>84</v>
      </c>
      <c r="F579" s="116">
        <v>83.3</v>
      </c>
      <c r="G579">
        <v>224086</v>
      </c>
      <c r="H579" s="116"/>
      <c r="I579" s="116"/>
      <c r="L579" s="170">
        <v>42857</v>
      </c>
      <c r="M579" s="116">
        <v>83.7</v>
      </c>
      <c r="N579" s="116">
        <v>84.65</v>
      </c>
      <c r="O579" s="116">
        <v>83.4</v>
      </c>
      <c r="P579" s="116">
        <v>84.35</v>
      </c>
      <c r="Q579" s="116">
        <v>83.7</v>
      </c>
      <c r="R579">
        <v>1944305</v>
      </c>
    </row>
    <row r="580" spans="1:18" x14ac:dyDescent="0.25">
      <c r="A580" s="170">
        <v>42858</v>
      </c>
      <c r="B580" s="116">
        <v>83.95</v>
      </c>
      <c r="C580" s="116">
        <v>82.15</v>
      </c>
      <c r="D580" s="116">
        <v>82</v>
      </c>
      <c r="E580" s="116">
        <v>83.35</v>
      </c>
      <c r="F580" s="116">
        <v>82.15</v>
      </c>
      <c r="G580">
        <v>201354</v>
      </c>
      <c r="H580" s="116"/>
      <c r="I580" s="116"/>
      <c r="L580" s="170">
        <v>42858</v>
      </c>
      <c r="M580" s="116">
        <v>82.2</v>
      </c>
      <c r="N580" s="116">
        <v>84.05</v>
      </c>
      <c r="O580" s="116">
        <v>82.05</v>
      </c>
      <c r="P580" s="116">
        <v>84</v>
      </c>
      <c r="Q580" s="116">
        <v>82.2</v>
      </c>
      <c r="R580">
        <v>2287917</v>
      </c>
    </row>
    <row r="581" spans="1:18" x14ac:dyDescent="0.25">
      <c r="A581" s="170">
        <v>42859</v>
      </c>
      <c r="B581" s="116">
        <v>83.25</v>
      </c>
      <c r="C581" s="116">
        <v>82.85</v>
      </c>
      <c r="D581" s="116">
        <v>81.900000000000006</v>
      </c>
      <c r="E581" s="116">
        <v>82.25</v>
      </c>
      <c r="F581" s="116">
        <v>82.85</v>
      </c>
      <c r="G581">
        <v>293385</v>
      </c>
      <c r="H581" s="116"/>
      <c r="I581" s="116"/>
      <c r="L581" s="170">
        <v>42859</v>
      </c>
      <c r="M581" s="116">
        <v>83</v>
      </c>
      <c r="N581" s="116">
        <v>83.3</v>
      </c>
      <c r="O581" s="116">
        <v>81.75</v>
      </c>
      <c r="P581" s="116">
        <v>82.2</v>
      </c>
      <c r="Q581" s="116">
        <v>83</v>
      </c>
      <c r="R581">
        <v>3787868</v>
      </c>
    </row>
    <row r="582" spans="1:18" x14ac:dyDescent="0.25">
      <c r="A582" s="170">
        <v>42860</v>
      </c>
      <c r="B582" s="116">
        <v>83.85</v>
      </c>
      <c r="C582" s="116">
        <v>83.15</v>
      </c>
      <c r="D582" s="116">
        <v>82.45</v>
      </c>
      <c r="E582" s="116">
        <v>83.25</v>
      </c>
      <c r="F582" s="116">
        <v>83.15</v>
      </c>
      <c r="G582">
        <v>249091</v>
      </c>
      <c r="H582" s="116"/>
      <c r="I582" s="116"/>
      <c r="L582" s="170">
        <v>42860</v>
      </c>
      <c r="M582" s="116">
        <v>83.4</v>
      </c>
      <c r="N582" s="116">
        <v>84.15</v>
      </c>
      <c r="O582" s="116">
        <v>82.5</v>
      </c>
      <c r="P582" s="116">
        <v>82.75</v>
      </c>
      <c r="Q582" s="116">
        <v>83.4</v>
      </c>
      <c r="R582">
        <v>2399071</v>
      </c>
    </row>
    <row r="583" spans="1:18" x14ac:dyDescent="0.25">
      <c r="A583" s="170">
        <v>42863</v>
      </c>
      <c r="B583" s="116">
        <v>83.45</v>
      </c>
      <c r="C583" s="116">
        <v>82.85</v>
      </c>
      <c r="D583" s="116">
        <v>82.5</v>
      </c>
      <c r="E583" s="116">
        <v>83.05</v>
      </c>
      <c r="F583" s="116">
        <v>82.85</v>
      </c>
      <c r="G583">
        <v>154828</v>
      </c>
      <c r="H583" s="116"/>
      <c r="I583" s="116"/>
      <c r="L583" s="170">
        <v>42863</v>
      </c>
      <c r="M583" s="116">
        <v>83.1</v>
      </c>
      <c r="N583" s="116">
        <v>83.5</v>
      </c>
      <c r="O583" s="116">
        <v>82.5</v>
      </c>
      <c r="P583" s="116">
        <v>83.2</v>
      </c>
      <c r="Q583" s="116">
        <v>83.1</v>
      </c>
      <c r="R583">
        <v>2569523</v>
      </c>
    </row>
    <row r="584" spans="1:18" x14ac:dyDescent="0.25">
      <c r="A584" s="170">
        <v>42864</v>
      </c>
      <c r="B584" s="116">
        <v>83.3</v>
      </c>
      <c r="C584" s="116">
        <v>83</v>
      </c>
      <c r="D584" s="116">
        <v>82.75</v>
      </c>
      <c r="E584" s="116">
        <v>83.2</v>
      </c>
      <c r="F584" s="116">
        <v>83</v>
      </c>
      <c r="G584">
        <v>89535</v>
      </c>
      <c r="H584" s="116"/>
      <c r="I584" s="116"/>
      <c r="L584" s="170">
        <v>42864</v>
      </c>
      <c r="M584" s="116">
        <v>83.1</v>
      </c>
      <c r="N584" s="116">
        <v>83.35</v>
      </c>
      <c r="O584" s="116">
        <v>82.7</v>
      </c>
      <c r="P584" s="116">
        <v>83.3</v>
      </c>
      <c r="Q584" s="116">
        <v>83.1</v>
      </c>
      <c r="R584">
        <v>1743406</v>
      </c>
    </row>
    <row r="585" spans="1:18" x14ac:dyDescent="0.25">
      <c r="A585" s="170">
        <v>42865</v>
      </c>
      <c r="B585" s="116">
        <v>83.5</v>
      </c>
      <c r="C585" s="116">
        <v>81.7</v>
      </c>
      <c r="D585" s="116">
        <v>81.5</v>
      </c>
      <c r="E585" s="116">
        <v>83.1</v>
      </c>
      <c r="F585" s="116">
        <v>81.7</v>
      </c>
      <c r="G585">
        <v>1748339</v>
      </c>
      <c r="H585" s="116"/>
      <c r="I585" s="116"/>
      <c r="L585" s="170">
        <v>42865</v>
      </c>
      <c r="M585" s="116">
        <v>81.55</v>
      </c>
      <c r="N585" s="116">
        <v>83.55</v>
      </c>
      <c r="O585" s="116">
        <v>81.400000000000006</v>
      </c>
      <c r="P585" s="116">
        <v>83.3</v>
      </c>
      <c r="Q585" s="116">
        <v>81.55</v>
      </c>
      <c r="R585">
        <v>5865523</v>
      </c>
    </row>
    <row r="586" spans="1:18" x14ac:dyDescent="0.25">
      <c r="A586" s="170">
        <v>42866</v>
      </c>
      <c r="B586" s="116">
        <v>82.65</v>
      </c>
      <c r="C586" s="116">
        <v>82.45</v>
      </c>
      <c r="D586" s="116">
        <v>81.7</v>
      </c>
      <c r="E586" s="116">
        <v>82.05</v>
      </c>
      <c r="F586" s="116">
        <v>82.45</v>
      </c>
      <c r="G586">
        <v>200317</v>
      </c>
      <c r="H586" s="116"/>
      <c r="I586" s="116"/>
      <c r="L586" s="170">
        <v>42866</v>
      </c>
      <c r="M586" s="116">
        <v>82.6</v>
      </c>
      <c r="N586" s="116">
        <v>83.05</v>
      </c>
      <c r="O586" s="116">
        <v>81.599999999999994</v>
      </c>
      <c r="P586" s="116">
        <v>82</v>
      </c>
      <c r="Q586" s="116">
        <v>82.6</v>
      </c>
      <c r="R586">
        <v>2866991</v>
      </c>
    </row>
    <row r="587" spans="1:18" x14ac:dyDescent="0.25">
      <c r="A587" s="170">
        <v>42867</v>
      </c>
      <c r="B587" s="116">
        <v>83.25</v>
      </c>
      <c r="C587" s="116">
        <v>82.1</v>
      </c>
      <c r="D587" s="116">
        <v>81.900000000000006</v>
      </c>
      <c r="E587" s="116">
        <v>82.6</v>
      </c>
      <c r="F587" s="116">
        <v>82.1</v>
      </c>
      <c r="G587">
        <v>119965</v>
      </c>
      <c r="H587" s="116"/>
      <c r="I587" s="116"/>
      <c r="L587" s="170">
        <v>42867</v>
      </c>
      <c r="M587" s="116">
        <v>82.3</v>
      </c>
      <c r="N587" s="116">
        <v>82.85</v>
      </c>
      <c r="O587" s="116">
        <v>82</v>
      </c>
      <c r="P587" s="116">
        <v>82.6</v>
      </c>
      <c r="Q587" s="116">
        <v>82.3</v>
      </c>
      <c r="R587">
        <v>1575436</v>
      </c>
    </row>
    <row r="588" spans="1:18" x14ac:dyDescent="0.25">
      <c r="A588" s="170">
        <v>42870</v>
      </c>
      <c r="B588" s="116">
        <v>83.65</v>
      </c>
      <c r="C588" s="116">
        <v>83.3</v>
      </c>
      <c r="D588" s="116">
        <v>82.1</v>
      </c>
      <c r="E588" s="116">
        <v>82.1</v>
      </c>
      <c r="F588" s="116">
        <v>83.3</v>
      </c>
      <c r="G588">
        <v>317164</v>
      </c>
      <c r="H588" s="116"/>
      <c r="I588" s="116"/>
      <c r="L588" s="170">
        <v>42870</v>
      </c>
      <c r="M588" s="116">
        <v>83.55</v>
      </c>
      <c r="N588" s="116">
        <v>83.8</v>
      </c>
      <c r="O588" s="116">
        <v>82.15</v>
      </c>
      <c r="P588" s="116">
        <v>82.55</v>
      </c>
      <c r="Q588" s="116">
        <v>83.55</v>
      </c>
      <c r="R588">
        <v>2007841</v>
      </c>
    </row>
    <row r="589" spans="1:18" x14ac:dyDescent="0.25">
      <c r="A589" s="170">
        <v>42871</v>
      </c>
      <c r="B589" s="116">
        <v>85.9</v>
      </c>
      <c r="C589" s="116">
        <v>83.85</v>
      </c>
      <c r="D589" s="116">
        <v>83.5</v>
      </c>
      <c r="E589" s="116">
        <v>83.5</v>
      </c>
      <c r="F589" s="116">
        <v>83.85</v>
      </c>
      <c r="G589">
        <v>659785</v>
      </c>
      <c r="H589" s="116"/>
      <c r="I589" s="116"/>
      <c r="L589" s="170">
        <v>42871</v>
      </c>
      <c r="M589" s="116">
        <v>83.85</v>
      </c>
      <c r="N589" s="116">
        <v>85.95</v>
      </c>
      <c r="O589" s="116">
        <v>83.4</v>
      </c>
      <c r="P589" s="116">
        <v>83.9</v>
      </c>
      <c r="Q589" s="116">
        <v>83.85</v>
      </c>
      <c r="R589">
        <v>5141578</v>
      </c>
    </row>
    <row r="590" spans="1:18" x14ac:dyDescent="0.25">
      <c r="A590" s="170">
        <v>42872</v>
      </c>
      <c r="B590" s="116">
        <v>86.05</v>
      </c>
      <c r="C590" s="116">
        <v>85.35</v>
      </c>
      <c r="D590" s="116">
        <v>83.7</v>
      </c>
      <c r="E590" s="116">
        <v>84.7</v>
      </c>
      <c r="F590" s="116">
        <v>85.35</v>
      </c>
      <c r="G590">
        <v>662248</v>
      </c>
      <c r="H590" s="116"/>
      <c r="I590" s="116"/>
      <c r="L590" s="170">
        <v>42872</v>
      </c>
      <c r="M590" s="116">
        <v>85.35</v>
      </c>
      <c r="N590" s="116">
        <v>86</v>
      </c>
      <c r="O590" s="116">
        <v>83.6</v>
      </c>
      <c r="P590" s="116">
        <v>84</v>
      </c>
      <c r="Q590" s="116">
        <v>85.35</v>
      </c>
      <c r="R590">
        <v>5499293</v>
      </c>
    </row>
    <row r="591" spans="1:18" x14ac:dyDescent="0.25">
      <c r="A591" s="170">
        <v>42873</v>
      </c>
      <c r="B591" s="116">
        <v>85.65</v>
      </c>
      <c r="C591" s="116">
        <v>83.7</v>
      </c>
      <c r="D591" s="116">
        <v>83.5</v>
      </c>
      <c r="E591" s="116">
        <v>84.8</v>
      </c>
      <c r="F591" s="116">
        <v>83.7</v>
      </c>
      <c r="G591">
        <v>171186</v>
      </c>
      <c r="H591" s="116"/>
      <c r="I591" s="116"/>
      <c r="L591" s="170">
        <v>42873</v>
      </c>
      <c r="M591" s="116">
        <v>83.75</v>
      </c>
      <c r="N591" s="116">
        <v>85.6</v>
      </c>
      <c r="O591" s="116">
        <v>83.5</v>
      </c>
      <c r="P591" s="116">
        <v>84.75</v>
      </c>
      <c r="Q591" s="116">
        <v>83.75</v>
      </c>
      <c r="R591">
        <v>2296399</v>
      </c>
    </row>
    <row r="592" spans="1:18" x14ac:dyDescent="0.25">
      <c r="A592" s="170">
        <v>42874</v>
      </c>
      <c r="B592" s="116">
        <v>86.4</v>
      </c>
      <c r="C592" s="116">
        <v>84.2</v>
      </c>
      <c r="D592" s="116">
        <v>83.1</v>
      </c>
      <c r="E592" s="116">
        <v>86.4</v>
      </c>
      <c r="F592" s="116">
        <v>84.2</v>
      </c>
      <c r="G592">
        <v>596158</v>
      </c>
      <c r="H592" s="116"/>
      <c r="I592" s="116"/>
      <c r="L592" s="170">
        <v>42874</v>
      </c>
      <c r="M592" s="116">
        <v>84.15</v>
      </c>
      <c r="N592" s="116">
        <v>85.45</v>
      </c>
      <c r="O592" s="116">
        <v>83.05</v>
      </c>
      <c r="P592" s="116">
        <v>84.4</v>
      </c>
      <c r="Q592" s="116">
        <v>84.15</v>
      </c>
      <c r="R592">
        <v>6222693</v>
      </c>
    </row>
    <row r="593" spans="1:18" x14ac:dyDescent="0.25">
      <c r="A593" s="170">
        <v>42877</v>
      </c>
      <c r="B593" s="116">
        <v>84.9</v>
      </c>
      <c r="C593" s="116">
        <v>82.05</v>
      </c>
      <c r="D593" s="116">
        <v>80.650000000000006</v>
      </c>
      <c r="E593" s="116">
        <v>84.9</v>
      </c>
      <c r="F593" s="116">
        <v>82.05</v>
      </c>
      <c r="G593">
        <v>546229</v>
      </c>
      <c r="H593" s="116"/>
      <c r="I593" s="116"/>
      <c r="L593" s="170">
        <v>42877</v>
      </c>
      <c r="M593" s="116">
        <v>82.05</v>
      </c>
      <c r="N593" s="116">
        <v>84.5</v>
      </c>
      <c r="O593" s="116">
        <v>80.55</v>
      </c>
      <c r="P593" s="116">
        <v>84.25</v>
      </c>
      <c r="Q593" s="116">
        <v>82.05</v>
      </c>
      <c r="R593">
        <v>5011530</v>
      </c>
    </row>
    <row r="594" spans="1:18" x14ac:dyDescent="0.25">
      <c r="A594" s="170">
        <v>42878</v>
      </c>
      <c r="B594" s="116">
        <v>82.7</v>
      </c>
      <c r="C594" s="116">
        <v>80.349999999999994</v>
      </c>
      <c r="D594" s="116">
        <v>80</v>
      </c>
      <c r="E594" s="116">
        <v>82.7</v>
      </c>
      <c r="F594" s="116">
        <v>80.349999999999994</v>
      </c>
      <c r="G594">
        <v>195237</v>
      </c>
      <c r="H594" s="116"/>
      <c r="I594" s="116"/>
      <c r="L594" s="170">
        <v>42878</v>
      </c>
      <c r="M594" s="116">
        <v>80.5</v>
      </c>
      <c r="N594" s="116">
        <v>82.25</v>
      </c>
      <c r="O594" s="116">
        <v>80</v>
      </c>
      <c r="P594" s="116">
        <v>82.05</v>
      </c>
      <c r="Q594" s="116">
        <v>80.5</v>
      </c>
      <c r="R594">
        <v>5940971</v>
      </c>
    </row>
    <row r="595" spans="1:18" x14ac:dyDescent="0.25">
      <c r="A595" s="170">
        <v>42879</v>
      </c>
      <c r="B595" s="116">
        <v>81.650000000000006</v>
      </c>
      <c r="C595" s="116">
        <v>80.05</v>
      </c>
      <c r="D595" s="116">
        <v>79.900000000000006</v>
      </c>
      <c r="E595" s="116">
        <v>81.45</v>
      </c>
      <c r="F595" s="116">
        <v>80.05</v>
      </c>
      <c r="G595">
        <v>274980</v>
      </c>
      <c r="H595" s="116"/>
      <c r="I595" s="116"/>
      <c r="L595" s="170">
        <v>42879</v>
      </c>
      <c r="M595" s="116">
        <v>80.25</v>
      </c>
      <c r="N595" s="116">
        <v>81.75</v>
      </c>
      <c r="O595" s="116">
        <v>80.05</v>
      </c>
      <c r="P595" s="116">
        <v>80.650000000000006</v>
      </c>
      <c r="Q595" s="116">
        <v>80.25</v>
      </c>
      <c r="R595">
        <v>4879178</v>
      </c>
    </row>
    <row r="596" spans="1:18" x14ac:dyDescent="0.25">
      <c r="A596" s="170">
        <v>42880</v>
      </c>
      <c r="B596" s="116">
        <v>81.5</v>
      </c>
      <c r="C596" s="116">
        <v>80.349999999999994</v>
      </c>
      <c r="D596" s="116">
        <v>79.8</v>
      </c>
      <c r="E596" s="116">
        <v>81.5</v>
      </c>
      <c r="F596" s="116">
        <v>80.349999999999994</v>
      </c>
      <c r="G596">
        <v>186724</v>
      </c>
      <c r="H596" s="116"/>
      <c r="I596" s="116"/>
      <c r="L596" s="170">
        <v>42880</v>
      </c>
      <c r="M596" s="116">
        <v>80.400000000000006</v>
      </c>
      <c r="N596" s="116">
        <v>81.25</v>
      </c>
      <c r="O596" s="116">
        <v>79.849999999999994</v>
      </c>
      <c r="P596" s="116">
        <v>80.349999999999994</v>
      </c>
      <c r="Q596" s="116">
        <v>80.400000000000006</v>
      </c>
      <c r="R596">
        <v>8911228</v>
      </c>
    </row>
    <row r="597" spans="1:18" x14ac:dyDescent="0.25">
      <c r="A597" s="170">
        <v>42881</v>
      </c>
      <c r="B597" s="116">
        <v>81.3</v>
      </c>
      <c r="C597" s="116">
        <v>80.95</v>
      </c>
      <c r="D597" s="116">
        <v>79.5</v>
      </c>
      <c r="E597" s="116">
        <v>80.349999999999994</v>
      </c>
      <c r="F597" s="116">
        <v>80.95</v>
      </c>
      <c r="G597">
        <v>206337</v>
      </c>
      <c r="H597" s="116"/>
      <c r="I597" s="116"/>
      <c r="L597" s="170">
        <v>42881</v>
      </c>
      <c r="M597" s="116">
        <v>81.05</v>
      </c>
      <c r="N597" s="116">
        <v>81.25</v>
      </c>
      <c r="O597" s="116">
        <v>79.55</v>
      </c>
      <c r="P597" s="116">
        <v>80.400000000000006</v>
      </c>
      <c r="Q597" s="116">
        <v>81.05</v>
      </c>
      <c r="R597">
        <v>2377593</v>
      </c>
    </row>
    <row r="598" spans="1:18" x14ac:dyDescent="0.25">
      <c r="A598" s="170">
        <v>42884</v>
      </c>
      <c r="B598" s="116">
        <v>81.5</v>
      </c>
      <c r="C598" s="116">
        <v>81.05</v>
      </c>
      <c r="D598" s="116">
        <v>79.8</v>
      </c>
      <c r="E598" s="116">
        <v>81.5</v>
      </c>
      <c r="F598" s="116">
        <v>81.05</v>
      </c>
      <c r="G598">
        <v>258773</v>
      </c>
      <c r="H598" s="116"/>
      <c r="I598" s="116"/>
      <c r="L598" s="170">
        <v>42884</v>
      </c>
      <c r="M598" s="116">
        <v>81.150000000000006</v>
      </c>
      <c r="N598" s="116">
        <v>81.400000000000006</v>
      </c>
      <c r="O598" s="116">
        <v>79.8</v>
      </c>
      <c r="P598" s="116">
        <v>81.400000000000006</v>
      </c>
      <c r="Q598" s="116">
        <v>81.150000000000006</v>
      </c>
      <c r="R598">
        <v>1724129</v>
      </c>
    </row>
    <row r="599" spans="1:18" x14ac:dyDescent="0.25">
      <c r="A599" s="170">
        <v>42885</v>
      </c>
      <c r="B599" s="116">
        <v>82.7</v>
      </c>
      <c r="C599" s="116">
        <v>82.35</v>
      </c>
      <c r="D599" s="116">
        <v>80.849999999999994</v>
      </c>
      <c r="E599" s="116">
        <v>81.75</v>
      </c>
      <c r="F599" s="116">
        <v>82.35</v>
      </c>
      <c r="G599">
        <v>201251</v>
      </c>
      <c r="H599" s="116"/>
      <c r="I599" s="116"/>
      <c r="L599" s="170">
        <v>42885</v>
      </c>
      <c r="M599" s="116">
        <v>82.4</v>
      </c>
      <c r="N599" s="116">
        <v>82.8</v>
      </c>
      <c r="O599" s="116">
        <v>80.849999999999994</v>
      </c>
      <c r="P599" s="116">
        <v>81.2</v>
      </c>
      <c r="Q599" s="116">
        <v>82.4</v>
      </c>
      <c r="R599">
        <v>1879356</v>
      </c>
    </row>
    <row r="600" spans="1:18" x14ac:dyDescent="0.25">
      <c r="A600" s="170">
        <v>42886</v>
      </c>
      <c r="B600" s="116">
        <v>82.3</v>
      </c>
      <c r="C600" s="116">
        <v>81</v>
      </c>
      <c r="D600" s="116">
        <v>80.7</v>
      </c>
      <c r="E600" s="116">
        <v>82.2</v>
      </c>
      <c r="F600" s="116">
        <v>81</v>
      </c>
      <c r="G600">
        <v>199352</v>
      </c>
      <c r="H600" s="116"/>
      <c r="I600" s="116"/>
      <c r="L600" s="170">
        <v>42886</v>
      </c>
      <c r="M600" s="116">
        <v>81</v>
      </c>
      <c r="N600" s="116">
        <v>82.6</v>
      </c>
      <c r="O600" s="116">
        <v>80.599999999999994</v>
      </c>
      <c r="P600" s="116">
        <v>82.6</v>
      </c>
      <c r="Q600" s="116">
        <v>81</v>
      </c>
      <c r="R600">
        <v>5984254</v>
      </c>
    </row>
    <row r="601" spans="1:18" x14ac:dyDescent="0.25">
      <c r="A601" s="170">
        <v>42887</v>
      </c>
      <c r="B601" s="116">
        <v>81.349999999999994</v>
      </c>
      <c r="C601" s="116">
        <v>80.55</v>
      </c>
      <c r="D601" s="116">
        <v>80.099999999999994</v>
      </c>
      <c r="E601" s="116">
        <v>81.349999999999994</v>
      </c>
      <c r="F601" s="116">
        <v>80.55</v>
      </c>
      <c r="G601">
        <v>196774</v>
      </c>
      <c r="H601" s="116"/>
      <c r="I601" s="116"/>
      <c r="L601" s="170">
        <v>42887</v>
      </c>
      <c r="M601" s="116">
        <v>80.7</v>
      </c>
      <c r="N601" s="116">
        <v>81.349999999999994</v>
      </c>
      <c r="O601" s="116">
        <v>80.05</v>
      </c>
      <c r="P601" s="116">
        <v>81.3</v>
      </c>
      <c r="Q601" s="116">
        <v>80.7</v>
      </c>
      <c r="R601">
        <v>2767159</v>
      </c>
    </row>
    <row r="602" spans="1:18" x14ac:dyDescent="0.25">
      <c r="A602" s="170">
        <v>42888</v>
      </c>
      <c r="B602" s="116">
        <v>82</v>
      </c>
      <c r="C602" s="116">
        <v>80.849999999999994</v>
      </c>
      <c r="D602" s="116">
        <v>80.7</v>
      </c>
      <c r="E602" s="116">
        <v>82</v>
      </c>
      <c r="F602" s="116">
        <v>80.849999999999994</v>
      </c>
      <c r="G602">
        <v>132109</v>
      </c>
      <c r="H602" s="116"/>
      <c r="I602" s="116"/>
      <c r="L602" s="170">
        <v>42888</v>
      </c>
      <c r="M602" s="116">
        <v>81.05</v>
      </c>
      <c r="N602" s="116">
        <v>81.7</v>
      </c>
      <c r="O602" s="116">
        <v>80.849999999999994</v>
      </c>
      <c r="P602" s="116">
        <v>81</v>
      </c>
      <c r="Q602" s="116">
        <v>81.05</v>
      </c>
      <c r="R602">
        <v>1447974</v>
      </c>
    </row>
    <row r="603" spans="1:18" x14ac:dyDescent="0.25">
      <c r="A603" s="170">
        <v>42891</v>
      </c>
      <c r="B603" s="116">
        <v>81.25</v>
      </c>
      <c r="C603" s="116">
        <v>80.8</v>
      </c>
      <c r="D603" s="116">
        <v>80.55</v>
      </c>
      <c r="E603" s="116">
        <v>81.25</v>
      </c>
      <c r="F603" s="116">
        <v>80.8</v>
      </c>
      <c r="G603">
        <v>161254</v>
      </c>
      <c r="H603" s="116"/>
      <c r="I603" s="116"/>
      <c r="L603" s="170">
        <v>42891</v>
      </c>
      <c r="M603" s="116">
        <v>81</v>
      </c>
      <c r="N603" s="116">
        <v>81.55</v>
      </c>
      <c r="O603" s="116">
        <v>80.55</v>
      </c>
      <c r="P603" s="116">
        <v>81.45</v>
      </c>
      <c r="Q603" s="116">
        <v>81</v>
      </c>
      <c r="R603">
        <v>2458920</v>
      </c>
    </row>
    <row r="604" spans="1:18" x14ac:dyDescent="0.25">
      <c r="A604" s="170">
        <v>42892</v>
      </c>
      <c r="B604" s="116">
        <v>81.599999999999994</v>
      </c>
      <c r="C604" s="116">
        <v>79.349999999999994</v>
      </c>
      <c r="D604" s="116">
        <v>79.150000000000006</v>
      </c>
      <c r="E604" s="116">
        <v>81.599999999999994</v>
      </c>
      <c r="F604" s="116">
        <v>79.349999999999994</v>
      </c>
      <c r="G604">
        <v>166218</v>
      </c>
      <c r="H604" s="116"/>
      <c r="I604" s="116"/>
      <c r="L604" s="170">
        <v>42892</v>
      </c>
      <c r="M604" s="116">
        <v>79.599999999999994</v>
      </c>
      <c r="N604" s="116">
        <v>81.05</v>
      </c>
      <c r="O604" s="116">
        <v>79.25</v>
      </c>
      <c r="P604" s="116">
        <v>81</v>
      </c>
      <c r="Q604" s="116">
        <v>79.599999999999994</v>
      </c>
      <c r="R604">
        <v>3011010</v>
      </c>
    </row>
    <row r="605" spans="1:18" x14ac:dyDescent="0.25">
      <c r="A605" s="170">
        <v>42893</v>
      </c>
      <c r="B605" s="116">
        <v>80</v>
      </c>
      <c r="C605" s="116">
        <v>79.75</v>
      </c>
      <c r="D605" s="116">
        <v>79.2</v>
      </c>
      <c r="E605" s="116">
        <v>79.5</v>
      </c>
      <c r="F605" s="116">
        <v>79.75</v>
      </c>
      <c r="G605">
        <v>141185</v>
      </c>
      <c r="H605" s="116"/>
      <c r="I605" s="116"/>
      <c r="L605" s="170">
        <v>42893</v>
      </c>
      <c r="M605" s="116">
        <v>80</v>
      </c>
      <c r="N605" s="116">
        <v>80.2</v>
      </c>
      <c r="O605" s="116">
        <v>79.2</v>
      </c>
      <c r="P605" s="116">
        <v>79.5</v>
      </c>
      <c r="Q605" s="116">
        <v>80</v>
      </c>
      <c r="R605">
        <v>2020824</v>
      </c>
    </row>
    <row r="606" spans="1:18" x14ac:dyDescent="0.25">
      <c r="A606" s="170">
        <v>42894</v>
      </c>
      <c r="B606" s="116">
        <v>79.75</v>
      </c>
      <c r="C606" s="116">
        <v>79</v>
      </c>
      <c r="D606" s="116">
        <v>78.599999999999994</v>
      </c>
      <c r="E606" s="116">
        <v>79.2</v>
      </c>
      <c r="F606" s="116">
        <v>79</v>
      </c>
      <c r="G606">
        <v>152376</v>
      </c>
      <c r="H606" s="116"/>
      <c r="I606" s="116"/>
      <c r="L606" s="170">
        <v>42894</v>
      </c>
      <c r="M606" s="116">
        <v>79.05</v>
      </c>
      <c r="N606" s="116">
        <v>79.95</v>
      </c>
      <c r="O606" s="116">
        <v>78.55</v>
      </c>
      <c r="P606" s="116">
        <v>79.7</v>
      </c>
      <c r="Q606" s="116">
        <v>79.05</v>
      </c>
      <c r="R606">
        <v>2330855</v>
      </c>
    </row>
    <row r="607" spans="1:18" x14ac:dyDescent="0.25">
      <c r="A607" s="170">
        <v>42895</v>
      </c>
      <c r="B607" s="116">
        <v>79.45</v>
      </c>
      <c r="C607" s="116">
        <v>77.7</v>
      </c>
      <c r="D607" s="116">
        <v>77.5</v>
      </c>
      <c r="E607" s="116">
        <v>79.45</v>
      </c>
      <c r="F607" s="116">
        <v>77.7</v>
      </c>
      <c r="G607">
        <v>259249</v>
      </c>
      <c r="H607" s="116"/>
      <c r="I607" s="116"/>
      <c r="L607" s="170">
        <v>42895</v>
      </c>
      <c r="M607" s="116">
        <v>77.8</v>
      </c>
      <c r="N607" s="116">
        <v>79.099999999999994</v>
      </c>
      <c r="O607" s="116">
        <v>77.55</v>
      </c>
      <c r="P607" s="116">
        <v>78.7</v>
      </c>
      <c r="Q607" s="116">
        <v>77.8</v>
      </c>
      <c r="R607">
        <v>3785162</v>
      </c>
    </row>
    <row r="608" spans="1:18" x14ac:dyDescent="0.25">
      <c r="A608" s="170">
        <v>42898</v>
      </c>
      <c r="B608" s="116">
        <v>79</v>
      </c>
      <c r="C608" s="116">
        <v>78.7</v>
      </c>
      <c r="D608" s="116">
        <v>76.7</v>
      </c>
      <c r="E608" s="116">
        <v>77.75</v>
      </c>
      <c r="F608" s="116">
        <v>78.7</v>
      </c>
      <c r="G608">
        <v>205336</v>
      </c>
      <c r="H608" s="116"/>
      <c r="I608" s="116"/>
      <c r="L608" s="170">
        <v>42898</v>
      </c>
      <c r="M608" s="116">
        <v>78.900000000000006</v>
      </c>
      <c r="N608" s="116">
        <v>79.2</v>
      </c>
      <c r="O608" s="116">
        <v>76.650000000000006</v>
      </c>
      <c r="P608" s="116">
        <v>77.5</v>
      </c>
      <c r="Q608" s="116">
        <v>78.900000000000006</v>
      </c>
      <c r="R608">
        <v>3119107</v>
      </c>
    </row>
    <row r="609" spans="1:18" x14ac:dyDescent="0.25">
      <c r="A609" s="170">
        <v>42899</v>
      </c>
      <c r="B609" s="116">
        <v>79.599999999999994</v>
      </c>
      <c r="C609" s="116">
        <v>78.099999999999994</v>
      </c>
      <c r="D609" s="116">
        <v>77.55</v>
      </c>
      <c r="E609" s="116">
        <v>79.5</v>
      </c>
      <c r="F609" s="116">
        <v>78.099999999999994</v>
      </c>
      <c r="G609">
        <v>134905</v>
      </c>
      <c r="H609" s="116"/>
      <c r="I609" s="116"/>
      <c r="L609" s="170">
        <v>42899</v>
      </c>
      <c r="M609" s="116">
        <v>78.099999999999994</v>
      </c>
      <c r="N609" s="116">
        <v>79.5</v>
      </c>
      <c r="O609" s="116">
        <v>77.650000000000006</v>
      </c>
      <c r="P609" s="116">
        <v>79</v>
      </c>
      <c r="Q609" s="116">
        <v>78.099999999999994</v>
      </c>
      <c r="R609">
        <v>2322985</v>
      </c>
    </row>
    <row r="610" spans="1:18" x14ac:dyDescent="0.25">
      <c r="A610" s="170">
        <v>42900</v>
      </c>
      <c r="B610" s="116">
        <v>78</v>
      </c>
      <c r="C610" s="116">
        <v>77.55</v>
      </c>
      <c r="D610" s="116">
        <v>76.95</v>
      </c>
      <c r="E610" s="116">
        <v>78</v>
      </c>
      <c r="F610" s="116">
        <v>77.55</v>
      </c>
      <c r="G610">
        <v>178040</v>
      </c>
      <c r="H610" s="116"/>
      <c r="I610" s="116"/>
      <c r="L610" s="170">
        <v>42900</v>
      </c>
      <c r="M610" s="116">
        <v>77.55</v>
      </c>
      <c r="N610" s="116">
        <v>77.900000000000006</v>
      </c>
      <c r="O610" s="116">
        <v>76.75</v>
      </c>
      <c r="P610" s="116">
        <v>77.849999999999994</v>
      </c>
      <c r="Q610" s="116">
        <v>77.55</v>
      </c>
      <c r="R610">
        <v>4060663</v>
      </c>
    </row>
    <row r="611" spans="1:18" x14ac:dyDescent="0.25">
      <c r="A611" s="170">
        <v>42901</v>
      </c>
      <c r="B611" s="116">
        <v>77.900000000000006</v>
      </c>
      <c r="C611" s="116">
        <v>77.05</v>
      </c>
      <c r="D611" s="116">
        <v>76.849999999999994</v>
      </c>
      <c r="E611" s="116">
        <v>77.900000000000006</v>
      </c>
      <c r="F611" s="116">
        <v>77.05</v>
      </c>
      <c r="G611">
        <v>630599</v>
      </c>
      <c r="H611" s="116"/>
      <c r="I611" s="116"/>
      <c r="L611" s="170">
        <v>42901</v>
      </c>
      <c r="M611" s="116">
        <v>77.099999999999994</v>
      </c>
      <c r="N611" s="116">
        <v>77.900000000000006</v>
      </c>
      <c r="O611" s="116">
        <v>76.8</v>
      </c>
      <c r="P611" s="116">
        <v>77.25</v>
      </c>
      <c r="Q611" s="116">
        <v>77.099999999999994</v>
      </c>
      <c r="R611">
        <v>3411180</v>
      </c>
    </row>
    <row r="612" spans="1:18" x14ac:dyDescent="0.25">
      <c r="A612" s="170">
        <v>42902</v>
      </c>
      <c r="B612" s="116">
        <v>78.400000000000006</v>
      </c>
      <c r="C612" s="116">
        <v>77.849999999999994</v>
      </c>
      <c r="D612" s="116">
        <v>76.900000000000006</v>
      </c>
      <c r="E612" s="116">
        <v>77.05</v>
      </c>
      <c r="F612" s="116">
        <v>77.849999999999994</v>
      </c>
      <c r="G612">
        <v>132190</v>
      </c>
      <c r="H612" s="116"/>
      <c r="I612" s="116"/>
      <c r="L612" s="170">
        <v>42902</v>
      </c>
      <c r="M612" s="116">
        <v>77.900000000000006</v>
      </c>
      <c r="N612" s="116">
        <v>78.400000000000006</v>
      </c>
      <c r="O612" s="116">
        <v>76.8</v>
      </c>
      <c r="P612" s="116">
        <v>77.099999999999994</v>
      </c>
      <c r="Q612" s="116">
        <v>77.900000000000006</v>
      </c>
      <c r="R612">
        <v>4329268</v>
      </c>
    </row>
    <row r="613" spans="1:18" x14ac:dyDescent="0.25">
      <c r="A613" s="170">
        <v>42905</v>
      </c>
      <c r="B613" s="116">
        <v>78.7</v>
      </c>
      <c r="C613" s="116">
        <v>78</v>
      </c>
      <c r="D613" s="116">
        <v>77.2</v>
      </c>
      <c r="E613" s="116">
        <v>78.25</v>
      </c>
      <c r="F613" s="116">
        <v>78</v>
      </c>
      <c r="G613">
        <v>183812</v>
      </c>
      <c r="H613" s="116"/>
      <c r="I613" s="116"/>
      <c r="L613" s="170">
        <v>42905</v>
      </c>
      <c r="M613" s="116">
        <v>78.05</v>
      </c>
      <c r="N613" s="116">
        <v>78.7</v>
      </c>
      <c r="O613" s="116">
        <v>77.150000000000006</v>
      </c>
      <c r="P613" s="116">
        <v>77.900000000000006</v>
      </c>
      <c r="Q613" s="116">
        <v>78.05</v>
      </c>
      <c r="R613">
        <v>2691021</v>
      </c>
    </row>
    <row r="614" spans="1:18" x14ac:dyDescent="0.25">
      <c r="A614" s="170">
        <v>42906</v>
      </c>
      <c r="B614" s="116">
        <v>82.5</v>
      </c>
      <c r="C614" s="116">
        <v>82.15</v>
      </c>
      <c r="D614" s="116">
        <v>78</v>
      </c>
      <c r="E614" s="116">
        <v>78.05</v>
      </c>
      <c r="F614" s="116">
        <v>82.15</v>
      </c>
      <c r="G614">
        <v>988549</v>
      </c>
      <c r="H614" s="116"/>
      <c r="I614" s="116"/>
      <c r="L614" s="170">
        <v>42906</v>
      </c>
      <c r="M614" s="116">
        <v>82.1</v>
      </c>
      <c r="N614" s="116">
        <v>82.45</v>
      </c>
      <c r="O614" s="116">
        <v>77.7</v>
      </c>
      <c r="P614" s="116">
        <v>77.7</v>
      </c>
      <c r="Q614" s="116">
        <v>82.1</v>
      </c>
      <c r="R614">
        <v>10963089</v>
      </c>
    </row>
    <row r="615" spans="1:18" x14ac:dyDescent="0.25">
      <c r="A615" s="170">
        <v>42907</v>
      </c>
      <c r="B615" s="116">
        <v>82.5</v>
      </c>
      <c r="C615" s="116">
        <v>81.8</v>
      </c>
      <c r="D615" s="116">
        <v>81.349999999999994</v>
      </c>
      <c r="E615" s="116">
        <v>82.35</v>
      </c>
      <c r="F615" s="116">
        <v>81.8</v>
      </c>
      <c r="G615">
        <v>360001</v>
      </c>
      <c r="H615" s="116"/>
      <c r="I615" s="116"/>
      <c r="L615" s="170">
        <v>42907</v>
      </c>
      <c r="M615" s="116">
        <v>81.75</v>
      </c>
      <c r="N615" s="116">
        <v>82.5</v>
      </c>
      <c r="O615" s="116">
        <v>81.349999999999994</v>
      </c>
      <c r="P615" s="116">
        <v>82.5</v>
      </c>
      <c r="Q615" s="116">
        <v>81.75</v>
      </c>
      <c r="R615">
        <v>5082680</v>
      </c>
    </row>
    <row r="616" spans="1:18" x14ac:dyDescent="0.25">
      <c r="A616" s="170">
        <v>42908</v>
      </c>
      <c r="B616" s="116">
        <v>83.4</v>
      </c>
      <c r="C616" s="116">
        <v>82.45</v>
      </c>
      <c r="D616" s="116">
        <v>80.8</v>
      </c>
      <c r="E616" s="116">
        <v>81.849999999999994</v>
      </c>
      <c r="F616" s="116">
        <v>82.45</v>
      </c>
      <c r="G616">
        <v>943363</v>
      </c>
      <c r="H616" s="116"/>
      <c r="I616" s="116"/>
      <c r="L616" s="170">
        <v>42908</v>
      </c>
      <c r="M616" s="116">
        <v>82.75</v>
      </c>
      <c r="N616" s="116">
        <v>83.4</v>
      </c>
      <c r="O616" s="116">
        <v>80.75</v>
      </c>
      <c r="P616" s="116">
        <v>82</v>
      </c>
      <c r="Q616" s="116">
        <v>82.75</v>
      </c>
      <c r="R616">
        <v>11286863</v>
      </c>
    </row>
    <row r="617" spans="1:18" x14ac:dyDescent="0.25">
      <c r="A617" s="170">
        <v>42909</v>
      </c>
      <c r="B617" s="116">
        <v>82.85</v>
      </c>
      <c r="C617" s="116">
        <v>81.400000000000006</v>
      </c>
      <c r="D617" s="116">
        <v>81.150000000000006</v>
      </c>
      <c r="E617" s="116">
        <v>82.65</v>
      </c>
      <c r="F617" s="116">
        <v>81.400000000000006</v>
      </c>
      <c r="G617">
        <v>291375</v>
      </c>
      <c r="H617" s="116"/>
      <c r="I617" s="116"/>
      <c r="L617" s="170">
        <v>42909</v>
      </c>
      <c r="M617" s="116">
        <v>81.5</v>
      </c>
      <c r="N617" s="116">
        <v>82.75</v>
      </c>
      <c r="O617" s="116">
        <v>81.150000000000006</v>
      </c>
      <c r="P617" s="116">
        <v>82.7</v>
      </c>
      <c r="Q617" s="116">
        <v>81.5</v>
      </c>
      <c r="R617">
        <v>3436311</v>
      </c>
    </row>
    <row r="618" spans="1:18" x14ac:dyDescent="0.25">
      <c r="A618" s="170">
        <v>42913</v>
      </c>
      <c r="B618" s="116">
        <v>83.9</v>
      </c>
      <c r="C618" s="116">
        <v>81.05</v>
      </c>
      <c r="D618" s="116">
        <v>80.849999999999994</v>
      </c>
      <c r="E618" s="116">
        <v>82</v>
      </c>
      <c r="F618" s="116">
        <v>81.05</v>
      </c>
      <c r="G618">
        <v>335243</v>
      </c>
      <c r="H618" s="116"/>
      <c r="I618" s="116"/>
      <c r="L618" s="170">
        <v>42913</v>
      </c>
      <c r="M618" s="116">
        <v>81.099999999999994</v>
      </c>
      <c r="N618" s="116">
        <v>83.8</v>
      </c>
      <c r="O618" s="116">
        <v>80.8</v>
      </c>
      <c r="P618" s="116">
        <v>81.7</v>
      </c>
      <c r="Q618" s="116">
        <v>81.099999999999994</v>
      </c>
      <c r="R618">
        <v>6031291</v>
      </c>
    </row>
    <row r="619" spans="1:18" x14ac:dyDescent="0.25">
      <c r="A619" s="170">
        <v>42914</v>
      </c>
      <c r="B619" s="116">
        <v>82</v>
      </c>
      <c r="C619" s="116">
        <v>81.599999999999994</v>
      </c>
      <c r="D619" s="116">
        <v>80.95</v>
      </c>
      <c r="E619" s="116">
        <v>82</v>
      </c>
      <c r="F619" s="116">
        <v>81.599999999999994</v>
      </c>
      <c r="G619">
        <v>242046</v>
      </c>
      <c r="H619" s="116"/>
      <c r="I619" s="116"/>
      <c r="L619" s="170">
        <v>42914</v>
      </c>
      <c r="M619" s="116">
        <v>81.650000000000006</v>
      </c>
      <c r="N619" s="116">
        <v>82</v>
      </c>
      <c r="O619" s="116">
        <v>80.849999999999994</v>
      </c>
      <c r="P619" s="116">
        <v>81.8</v>
      </c>
      <c r="Q619" s="116">
        <v>81.650000000000006</v>
      </c>
      <c r="R619">
        <v>3192237</v>
      </c>
    </row>
    <row r="620" spans="1:18" x14ac:dyDescent="0.25">
      <c r="A620" s="170">
        <v>42915</v>
      </c>
      <c r="B620" s="116">
        <v>82.6</v>
      </c>
      <c r="C620" s="116">
        <v>81.5</v>
      </c>
      <c r="D620" s="116">
        <v>80.900000000000006</v>
      </c>
      <c r="E620" s="116">
        <v>81.7</v>
      </c>
      <c r="F620" s="116">
        <v>81.5</v>
      </c>
      <c r="G620">
        <v>250874</v>
      </c>
      <c r="H620" s="116"/>
      <c r="I620" s="116"/>
      <c r="L620" s="170">
        <v>42915</v>
      </c>
      <c r="M620" s="116">
        <v>81.55</v>
      </c>
      <c r="N620" s="116">
        <v>82.7</v>
      </c>
      <c r="O620" s="116">
        <v>80.95</v>
      </c>
      <c r="P620" s="116">
        <v>82.1</v>
      </c>
      <c r="Q620" s="116">
        <v>81.55</v>
      </c>
      <c r="R620">
        <v>2374978</v>
      </c>
    </row>
    <row r="621" spans="1:18" x14ac:dyDescent="0.25">
      <c r="A621" s="170">
        <v>42916</v>
      </c>
      <c r="B621" s="116">
        <v>81.45</v>
      </c>
      <c r="C621" s="116">
        <v>80.55</v>
      </c>
      <c r="D621" s="116">
        <v>80.3</v>
      </c>
      <c r="E621" s="116">
        <v>81</v>
      </c>
      <c r="F621" s="116">
        <v>80.55</v>
      </c>
      <c r="G621">
        <v>207381</v>
      </c>
      <c r="H621" s="116"/>
      <c r="I621" s="116"/>
      <c r="L621" s="170">
        <v>42916</v>
      </c>
      <c r="M621" s="116">
        <v>80.55</v>
      </c>
      <c r="N621" s="116">
        <v>81.45</v>
      </c>
      <c r="O621" s="116">
        <v>80.5</v>
      </c>
      <c r="P621" s="116">
        <v>81.400000000000006</v>
      </c>
      <c r="Q621" s="116">
        <v>80.55</v>
      </c>
      <c r="R621">
        <v>3999194</v>
      </c>
    </row>
    <row r="622" spans="1:18" x14ac:dyDescent="0.25">
      <c r="A622" s="170">
        <v>42919</v>
      </c>
      <c r="B622" s="116">
        <v>81</v>
      </c>
      <c r="C622" s="116">
        <v>80.349999999999994</v>
      </c>
      <c r="D622" s="116">
        <v>79.900000000000006</v>
      </c>
      <c r="E622" s="116">
        <v>80.5</v>
      </c>
      <c r="F622" s="116">
        <v>80.349999999999994</v>
      </c>
      <c r="G622">
        <v>207262</v>
      </c>
      <c r="H622" s="116"/>
      <c r="I622" s="116"/>
      <c r="L622" s="170">
        <v>42919</v>
      </c>
      <c r="M622" s="116">
        <v>80.400000000000006</v>
      </c>
      <c r="N622" s="116">
        <v>81.099999999999994</v>
      </c>
      <c r="O622" s="116">
        <v>79.95</v>
      </c>
      <c r="P622" s="116">
        <v>80.25</v>
      </c>
      <c r="Q622" s="116">
        <v>80.400000000000006</v>
      </c>
      <c r="R622">
        <v>5308137</v>
      </c>
    </row>
    <row r="623" spans="1:18" x14ac:dyDescent="0.25">
      <c r="A623" s="170">
        <v>42920</v>
      </c>
      <c r="B623" s="116">
        <v>81.5</v>
      </c>
      <c r="C623" s="116">
        <v>81.099999999999994</v>
      </c>
      <c r="D623" s="116">
        <v>80.75</v>
      </c>
      <c r="E623" s="116">
        <v>80.95</v>
      </c>
      <c r="F623" s="116">
        <v>81.099999999999994</v>
      </c>
      <c r="G623">
        <v>210337</v>
      </c>
      <c r="H623" s="116"/>
      <c r="I623" s="116"/>
      <c r="L623" s="170">
        <v>42920</v>
      </c>
      <c r="M623" s="116">
        <v>81.2</v>
      </c>
      <c r="N623" s="116">
        <v>81.7</v>
      </c>
      <c r="O623" s="116">
        <v>80.55</v>
      </c>
      <c r="P623" s="116">
        <v>80.900000000000006</v>
      </c>
      <c r="Q623" s="116">
        <v>81.2</v>
      </c>
      <c r="R623">
        <v>2415946</v>
      </c>
    </row>
    <row r="624" spans="1:18" x14ac:dyDescent="0.25">
      <c r="A624" s="170">
        <v>42921</v>
      </c>
      <c r="B624" s="116">
        <v>82.3</v>
      </c>
      <c r="C624" s="116">
        <v>81.599999999999994</v>
      </c>
      <c r="D624" s="116">
        <v>81.3</v>
      </c>
      <c r="E624" s="116">
        <v>82</v>
      </c>
      <c r="F624" s="116">
        <v>81.599999999999994</v>
      </c>
      <c r="G624">
        <v>276258</v>
      </c>
      <c r="H624" s="116"/>
      <c r="I624" s="116"/>
      <c r="L624" s="170">
        <v>42921</v>
      </c>
      <c r="M624" s="116">
        <v>81.75</v>
      </c>
      <c r="N624" s="116">
        <v>82.3</v>
      </c>
      <c r="O624" s="116">
        <v>81.55</v>
      </c>
      <c r="P624" s="116">
        <v>81.8</v>
      </c>
      <c r="Q624" s="116">
        <v>81.75</v>
      </c>
      <c r="R624">
        <v>2227119</v>
      </c>
    </row>
    <row r="625" spans="1:18" x14ac:dyDescent="0.25">
      <c r="A625" s="170">
        <v>42922</v>
      </c>
      <c r="B625" s="116">
        <v>82.5</v>
      </c>
      <c r="C625" s="116">
        <v>81.95</v>
      </c>
      <c r="D625" s="116">
        <v>81.599999999999994</v>
      </c>
      <c r="E625" s="116">
        <v>81.599999999999994</v>
      </c>
      <c r="F625" s="116">
        <v>81.95</v>
      </c>
      <c r="G625">
        <v>133852</v>
      </c>
      <c r="H625" s="116"/>
      <c r="I625" s="116"/>
      <c r="L625" s="170">
        <v>42922</v>
      </c>
      <c r="M625" s="116">
        <v>81.95</v>
      </c>
      <c r="N625" s="116">
        <v>82.5</v>
      </c>
      <c r="O625" s="116">
        <v>81.849999999999994</v>
      </c>
      <c r="P625" s="116">
        <v>82.3</v>
      </c>
      <c r="Q625" s="116">
        <v>81.95</v>
      </c>
      <c r="R625">
        <v>1223744</v>
      </c>
    </row>
    <row r="626" spans="1:18" x14ac:dyDescent="0.25">
      <c r="A626" s="170">
        <v>42923</v>
      </c>
      <c r="B626" s="116">
        <v>82.9</v>
      </c>
      <c r="C626" s="116">
        <v>81.55</v>
      </c>
      <c r="D626" s="116">
        <v>81.3</v>
      </c>
      <c r="E626" s="116">
        <v>82.45</v>
      </c>
      <c r="F626" s="116">
        <v>81.55</v>
      </c>
      <c r="G626">
        <v>183153</v>
      </c>
      <c r="H626" s="116"/>
      <c r="I626" s="116"/>
      <c r="L626" s="170">
        <v>42923</v>
      </c>
      <c r="M626" s="116">
        <v>81.7</v>
      </c>
      <c r="N626" s="116">
        <v>83</v>
      </c>
      <c r="O626" s="116">
        <v>81.400000000000006</v>
      </c>
      <c r="P626" s="116">
        <v>82</v>
      </c>
      <c r="Q626" s="116">
        <v>81.7</v>
      </c>
      <c r="R626">
        <v>3227783</v>
      </c>
    </row>
    <row r="627" spans="1:18" x14ac:dyDescent="0.25">
      <c r="A627" s="170">
        <v>42926</v>
      </c>
      <c r="B627" s="116">
        <v>83.65</v>
      </c>
      <c r="C627" s="116">
        <v>83.45</v>
      </c>
      <c r="D627" s="116">
        <v>82.25</v>
      </c>
      <c r="E627" s="116">
        <v>82.25</v>
      </c>
      <c r="F627" s="116">
        <v>83.45</v>
      </c>
      <c r="G627">
        <v>1403887</v>
      </c>
      <c r="H627" s="116"/>
      <c r="I627" s="116"/>
      <c r="L627" s="170">
        <v>42926</v>
      </c>
      <c r="M627" s="116">
        <v>83.45</v>
      </c>
      <c r="N627" s="116">
        <v>89.05</v>
      </c>
      <c r="O627" s="116">
        <v>82.6</v>
      </c>
      <c r="P627" s="116">
        <v>89.05</v>
      </c>
      <c r="Q627" s="116">
        <v>83.45</v>
      </c>
      <c r="R627">
        <v>1442406</v>
      </c>
    </row>
    <row r="628" spans="1:18" x14ac:dyDescent="0.25">
      <c r="A628" s="170">
        <v>42927</v>
      </c>
      <c r="B628" s="116">
        <v>84.05</v>
      </c>
      <c r="C628" s="116">
        <v>83</v>
      </c>
      <c r="D628" s="116">
        <v>82.75</v>
      </c>
      <c r="E628" s="116">
        <v>83.65</v>
      </c>
      <c r="F628" s="116">
        <v>83</v>
      </c>
      <c r="G628">
        <v>240835</v>
      </c>
      <c r="H628" s="116"/>
      <c r="I628" s="116"/>
      <c r="L628" s="170">
        <v>42927</v>
      </c>
      <c r="M628" s="116">
        <v>83</v>
      </c>
      <c r="N628" s="116">
        <v>84.2</v>
      </c>
      <c r="O628" s="116">
        <v>82.75</v>
      </c>
      <c r="P628" s="116">
        <v>84</v>
      </c>
      <c r="Q628" s="116">
        <v>83</v>
      </c>
      <c r="R628">
        <v>4536568</v>
      </c>
    </row>
    <row r="629" spans="1:18" x14ac:dyDescent="0.25">
      <c r="A629" s="170">
        <v>42928</v>
      </c>
      <c r="B629" s="116">
        <v>83.95</v>
      </c>
      <c r="C629" s="116">
        <v>83.05</v>
      </c>
      <c r="D629" s="116">
        <v>82.8</v>
      </c>
      <c r="E629" s="116">
        <v>83.95</v>
      </c>
      <c r="F629" s="116">
        <v>83.05</v>
      </c>
      <c r="G629">
        <v>142553</v>
      </c>
      <c r="H629" s="116"/>
      <c r="I629" s="116"/>
      <c r="L629" s="170">
        <v>42928</v>
      </c>
      <c r="M629" s="116">
        <v>83.05</v>
      </c>
      <c r="N629" s="116">
        <v>84</v>
      </c>
      <c r="O629" s="116">
        <v>82.75</v>
      </c>
      <c r="P629" s="116">
        <v>83.7</v>
      </c>
      <c r="Q629" s="116">
        <v>83.05</v>
      </c>
      <c r="R629">
        <v>3279731</v>
      </c>
    </row>
    <row r="630" spans="1:18" x14ac:dyDescent="0.25">
      <c r="A630" s="170">
        <v>42929</v>
      </c>
      <c r="B630" s="116">
        <v>83.9</v>
      </c>
      <c r="C630" s="116">
        <v>83.25</v>
      </c>
      <c r="D630" s="116">
        <v>82.95</v>
      </c>
      <c r="E630" s="116">
        <v>83.9</v>
      </c>
      <c r="F630" s="116">
        <v>83.25</v>
      </c>
      <c r="G630">
        <v>149432</v>
      </c>
      <c r="H630" s="116"/>
      <c r="I630" s="116"/>
      <c r="L630" s="170">
        <v>42929</v>
      </c>
      <c r="M630" s="116">
        <v>83.25</v>
      </c>
      <c r="N630" s="116">
        <v>83.9</v>
      </c>
      <c r="O630" s="116">
        <v>82.9</v>
      </c>
      <c r="P630" s="116">
        <v>83.6</v>
      </c>
      <c r="Q630" s="116">
        <v>83.25</v>
      </c>
      <c r="R630">
        <v>1882220</v>
      </c>
    </row>
    <row r="631" spans="1:18" x14ac:dyDescent="0.25">
      <c r="A631" s="170">
        <v>42930</v>
      </c>
      <c r="B631" s="116">
        <v>83.9</v>
      </c>
      <c r="C631" s="116">
        <v>82.95</v>
      </c>
      <c r="D631" s="116">
        <v>82.75</v>
      </c>
      <c r="E631" s="116">
        <v>83.9</v>
      </c>
      <c r="F631" s="116">
        <v>82.95</v>
      </c>
      <c r="G631">
        <v>307113</v>
      </c>
      <c r="H631" s="116"/>
      <c r="I631" s="116"/>
      <c r="L631" s="170">
        <v>42930</v>
      </c>
      <c r="M631" s="116">
        <v>82.95</v>
      </c>
      <c r="N631" s="116">
        <v>83.6</v>
      </c>
      <c r="O631" s="116">
        <v>82.75</v>
      </c>
      <c r="P631" s="116">
        <v>83.35</v>
      </c>
      <c r="Q631" s="116">
        <v>82.95</v>
      </c>
      <c r="R631">
        <v>4106073</v>
      </c>
    </row>
    <row r="632" spans="1:18" x14ac:dyDescent="0.25">
      <c r="A632" s="170">
        <v>42933</v>
      </c>
      <c r="B632" s="116">
        <v>84.1</v>
      </c>
      <c r="C632" s="116">
        <v>83.3</v>
      </c>
      <c r="D632" s="116">
        <v>82.95</v>
      </c>
      <c r="E632" s="116">
        <v>82.95</v>
      </c>
      <c r="F632" s="116">
        <v>83.3</v>
      </c>
      <c r="G632">
        <v>207402</v>
      </c>
      <c r="H632" s="116"/>
      <c r="I632" s="116"/>
      <c r="L632" s="170">
        <v>42933</v>
      </c>
      <c r="M632" s="116">
        <v>83.4</v>
      </c>
      <c r="N632" s="116">
        <v>84.1</v>
      </c>
      <c r="O632" s="116">
        <v>83</v>
      </c>
      <c r="P632" s="116">
        <v>83</v>
      </c>
      <c r="Q632" s="116">
        <v>83.4</v>
      </c>
      <c r="R632">
        <v>5230073</v>
      </c>
    </row>
    <row r="633" spans="1:18" x14ac:dyDescent="0.25">
      <c r="A633" s="170">
        <v>42934</v>
      </c>
      <c r="B633" s="116">
        <v>83.95</v>
      </c>
      <c r="C633" s="116">
        <v>82.4</v>
      </c>
      <c r="D633" s="116">
        <v>82.1</v>
      </c>
      <c r="E633" s="116">
        <v>83.4</v>
      </c>
      <c r="F633" s="116">
        <v>82.4</v>
      </c>
      <c r="G633">
        <v>153145</v>
      </c>
      <c r="H633" s="116"/>
      <c r="I633" s="116"/>
      <c r="L633" s="170">
        <v>42934</v>
      </c>
      <c r="M633" s="116">
        <v>82.45</v>
      </c>
      <c r="N633" s="116">
        <v>83.9</v>
      </c>
      <c r="O633" s="116">
        <v>81.900000000000006</v>
      </c>
      <c r="P633" s="116">
        <v>83.3</v>
      </c>
      <c r="Q633" s="116">
        <v>82.45</v>
      </c>
      <c r="R633">
        <v>3271847</v>
      </c>
    </row>
    <row r="634" spans="1:18" x14ac:dyDescent="0.25">
      <c r="A634" s="170">
        <v>42935</v>
      </c>
      <c r="B634" s="116">
        <v>83.2</v>
      </c>
      <c r="C634" s="116">
        <v>82.95</v>
      </c>
      <c r="D634" s="116">
        <v>81.95</v>
      </c>
      <c r="E634" s="116">
        <v>82.4</v>
      </c>
      <c r="F634" s="116">
        <v>82.95</v>
      </c>
      <c r="G634">
        <v>250086</v>
      </c>
      <c r="H634" s="116"/>
      <c r="I634" s="116"/>
      <c r="L634" s="170">
        <v>42935</v>
      </c>
      <c r="M634" s="116">
        <v>82.95</v>
      </c>
      <c r="N634" s="116">
        <v>83.25</v>
      </c>
      <c r="O634" s="116">
        <v>81.900000000000006</v>
      </c>
      <c r="P634" s="116">
        <v>82.4</v>
      </c>
      <c r="Q634" s="116">
        <v>82.95</v>
      </c>
      <c r="R634">
        <v>3930557</v>
      </c>
    </row>
    <row r="635" spans="1:18" x14ac:dyDescent="0.25">
      <c r="A635" s="170">
        <v>42936</v>
      </c>
      <c r="B635" s="116">
        <v>83.5</v>
      </c>
      <c r="C635" s="116">
        <v>82.75</v>
      </c>
      <c r="D635" s="116">
        <v>82.5</v>
      </c>
      <c r="E635" s="116">
        <v>83.5</v>
      </c>
      <c r="F635" s="116">
        <v>82.75</v>
      </c>
      <c r="G635">
        <v>165368</v>
      </c>
      <c r="H635" s="116"/>
      <c r="I635" s="116"/>
      <c r="L635" s="170">
        <v>42936</v>
      </c>
      <c r="M635" s="116">
        <v>82.9</v>
      </c>
      <c r="N635" s="116">
        <v>83.5</v>
      </c>
      <c r="O635" s="116">
        <v>82.3</v>
      </c>
      <c r="P635" s="116">
        <v>82.95</v>
      </c>
      <c r="Q635" s="116">
        <v>82.9</v>
      </c>
      <c r="R635">
        <v>1375720</v>
      </c>
    </row>
    <row r="636" spans="1:18" x14ac:dyDescent="0.25">
      <c r="A636" s="170">
        <v>42937</v>
      </c>
      <c r="B636" s="116">
        <v>83.5</v>
      </c>
      <c r="C636" s="116">
        <v>83.3</v>
      </c>
      <c r="D636" s="116">
        <v>82.5</v>
      </c>
      <c r="E636" s="116">
        <v>83.2</v>
      </c>
      <c r="F636" s="116">
        <v>83.3</v>
      </c>
      <c r="G636">
        <v>173833</v>
      </c>
      <c r="H636" s="116"/>
      <c r="I636" s="116"/>
      <c r="L636" s="170">
        <v>42937</v>
      </c>
      <c r="M636" s="116">
        <v>83.35</v>
      </c>
      <c r="N636" s="116">
        <v>83.6</v>
      </c>
      <c r="O636" s="116">
        <v>82.5</v>
      </c>
      <c r="P636" s="116">
        <v>83.2</v>
      </c>
      <c r="Q636" s="116">
        <v>83.35</v>
      </c>
      <c r="R636">
        <v>2135714</v>
      </c>
    </row>
    <row r="637" spans="1:18" x14ac:dyDescent="0.25">
      <c r="A637" s="170">
        <v>42940</v>
      </c>
      <c r="B637" s="116">
        <v>83.5</v>
      </c>
      <c r="C637" s="116">
        <v>83</v>
      </c>
      <c r="D637" s="116">
        <v>82.75</v>
      </c>
      <c r="E637" s="116">
        <v>83</v>
      </c>
      <c r="F637" s="116">
        <v>83</v>
      </c>
      <c r="G637">
        <v>125115</v>
      </c>
      <c r="H637" s="116"/>
      <c r="I637" s="116"/>
      <c r="L637" s="170">
        <v>42940</v>
      </c>
      <c r="M637" s="116">
        <v>83.25</v>
      </c>
      <c r="N637" s="116">
        <v>83.5</v>
      </c>
      <c r="O637" s="116">
        <v>82.9</v>
      </c>
      <c r="P637" s="116">
        <v>83.35</v>
      </c>
      <c r="Q637" s="116">
        <v>83.25</v>
      </c>
      <c r="R637">
        <v>2111317</v>
      </c>
    </row>
    <row r="638" spans="1:18" x14ac:dyDescent="0.25">
      <c r="A638" s="170">
        <v>42941</v>
      </c>
      <c r="B638" s="116">
        <v>83.8</v>
      </c>
      <c r="C638" s="116">
        <v>82.8</v>
      </c>
      <c r="D638" s="116">
        <v>82.55</v>
      </c>
      <c r="E638" s="116">
        <v>83.8</v>
      </c>
      <c r="F638" s="116">
        <v>82.8</v>
      </c>
      <c r="G638">
        <v>77719</v>
      </c>
      <c r="H638" s="116"/>
      <c r="I638" s="116"/>
      <c r="L638" s="170">
        <v>42941</v>
      </c>
      <c r="M638" s="116">
        <v>83</v>
      </c>
      <c r="N638" s="116">
        <v>83.4</v>
      </c>
      <c r="O638" s="116">
        <v>82.65</v>
      </c>
      <c r="P638" s="116">
        <v>83.25</v>
      </c>
      <c r="Q638" s="116">
        <v>83</v>
      </c>
      <c r="R638">
        <v>7554662</v>
      </c>
    </row>
    <row r="639" spans="1:18" x14ac:dyDescent="0.25">
      <c r="A639" s="170">
        <v>42942</v>
      </c>
      <c r="B639" s="116">
        <v>84</v>
      </c>
      <c r="C639" s="116">
        <v>82.35</v>
      </c>
      <c r="D639" s="116">
        <v>81.8</v>
      </c>
      <c r="E639" s="116">
        <v>84</v>
      </c>
      <c r="F639" s="116">
        <v>82.35</v>
      </c>
      <c r="G639">
        <v>177767</v>
      </c>
      <c r="H639" s="116"/>
      <c r="I639" s="116"/>
      <c r="L639" s="170">
        <v>42942</v>
      </c>
      <c r="M639" s="116">
        <v>82.55</v>
      </c>
      <c r="N639" s="116">
        <v>83.45</v>
      </c>
      <c r="O639" s="116">
        <v>81.900000000000006</v>
      </c>
      <c r="P639" s="116">
        <v>83</v>
      </c>
      <c r="Q639" s="116">
        <v>82.55</v>
      </c>
      <c r="R639">
        <v>9530863</v>
      </c>
    </row>
    <row r="640" spans="1:18" x14ac:dyDescent="0.25">
      <c r="A640" s="170">
        <v>42943</v>
      </c>
      <c r="B640" s="116">
        <v>83.1</v>
      </c>
      <c r="C640" s="116">
        <v>81.95</v>
      </c>
      <c r="D640" s="116">
        <v>81.599999999999994</v>
      </c>
      <c r="E640" s="116">
        <v>83</v>
      </c>
      <c r="F640" s="116">
        <v>81.95</v>
      </c>
      <c r="G640">
        <v>130874</v>
      </c>
      <c r="H640" s="116"/>
      <c r="I640" s="116"/>
      <c r="L640" s="170">
        <v>42943</v>
      </c>
      <c r="M640" s="116">
        <v>82</v>
      </c>
      <c r="N640" s="116">
        <v>83.15</v>
      </c>
      <c r="O640" s="116">
        <v>81.849999999999994</v>
      </c>
      <c r="P640" s="116">
        <v>83</v>
      </c>
      <c r="Q640" s="116">
        <v>82</v>
      </c>
      <c r="R640">
        <v>2646710</v>
      </c>
    </row>
    <row r="641" spans="1:18" x14ac:dyDescent="0.25">
      <c r="A641" s="170">
        <v>42944</v>
      </c>
      <c r="B641" s="116">
        <v>82.5</v>
      </c>
      <c r="C641" s="116">
        <v>81.8</v>
      </c>
      <c r="D641" s="116">
        <v>81.2</v>
      </c>
      <c r="E641" s="116">
        <v>82.5</v>
      </c>
      <c r="F641" s="116">
        <v>81.8</v>
      </c>
      <c r="G641">
        <v>143445</v>
      </c>
      <c r="H641" s="116"/>
      <c r="I641" s="116"/>
      <c r="L641" s="170">
        <v>42944</v>
      </c>
      <c r="M641" s="116">
        <v>82.15</v>
      </c>
      <c r="N641" s="116">
        <v>82.9</v>
      </c>
      <c r="O641" s="116">
        <v>81.099999999999994</v>
      </c>
      <c r="P641" s="116">
        <v>82.1</v>
      </c>
      <c r="Q641" s="116">
        <v>82.15</v>
      </c>
      <c r="R641">
        <v>1689815</v>
      </c>
    </row>
    <row r="642" spans="1:18" x14ac:dyDescent="0.25">
      <c r="A642" s="170">
        <v>42947</v>
      </c>
      <c r="B642" s="116">
        <v>82.7</v>
      </c>
      <c r="C642" s="116">
        <v>81.849999999999994</v>
      </c>
      <c r="D642" s="116">
        <v>81.25</v>
      </c>
      <c r="E642" s="116">
        <v>82.5</v>
      </c>
      <c r="F642" s="116">
        <v>81.849999999999994</v>
      </c>
      <c r="G642">
        <v>198224</v>
      </c>
      <c r="H642" s="116"/>
      <c r="I642" s="116"/>
      <c r="L642" s="170">
        <v>42947</v>
      </c>
      <c r="M642" s="116">
        <v>82</v>
      </c>
      <c r="N642" s="116">
        <v>82.7</v>
      </c>
      <c r="O642" s="116">
        <v>81.099999999999994</v>
      </c>
      <c r="P642" s="116">
        <v>81.900000000000006</v>
      </c>
      <c r="Q642" s="116">
        <v>82</v>
      </c>
      <c r="R642">
        <v>2681618</v>
      </c>
    </row>
    <row r="643" spans="1:18" x14ac:dyDescent="0.25">
      <c r="A643" s="170">
        <v>42948</v>
      </c>
      <c r="B643" s="116">
        <v>83.15</v>
      </c>
      <c r="C643" s="116">
        <v>82.75</v>
      </c>
      <c r="D643" s="116">
        <v>81.75</v>
      </c>
      <c r="E643" s="116">
        <v>81.849999999999994</v>
      </c>
      <c r="F643" s="116">
        <v>82.75</v>
      </c>
      <c r="G643">
        <v>126742</v>
      </c>
      <c r="H643" s="116"/>
      <c r="I643" s="116"/>
      <c r="L643" s="170">
        <v>42948</v>
      </c>
      <c r="M643" s="116">
        <v>82.8</v>
      </c>
      <c r="N643" s="116">
        <v>83.25</v>
      </c>
      <c r="O643" s="116">
        <v>81.2</v>
      </c>
      <c r="P643" s="116">
        <v>81.2</v>
      </c>
      <c r="Q643" s="116">
        <v>82.8</v>
      </c>
      <c r="R643">
        <v>2365558</v>
      </c>
    </row>
    <row r="644" spans="1:18" x14ac:dyDescent="0.25">
      <c r="A644" s="170">
        <v>42949</v>
      </c>
      <c r="B644" s="116">
        <v>83.1</v>
      </c>
      <c r="C644" s="116">
        <v>82.6</v>
      </c>
      <c r="D644" s="116">
        <v>82.2</v>
      </c>
      <c r="E644" s="116">
        <v>83.1</v>
      </c>
      <c r="F644" s="116">
        <v>82.6</v>
      </c>
      <c r="G644">
        <v>85219</v>
      </c>
      <c r="H644" s="116"/>
      <c r="I644" s="116"/>
      <c r="L644" s="170">
        <v>42949</v>
      </c>
      <c r="M644" s="116">
        <v>82.6</v>
      </c>
      <c r="N644" s="116">
        <v>82.95</v>
      </c>
      <c r="O644" s="116">
        <v>82.1</v>
      </c>
      <c r="P644" s="116">
        <v>82.8</v>
      </c>
      <c r="Q644" s="116">
        <v>82.6</v>
      </c>
      <c r="R644">
        <v>867025</v>
      </c>
    </row>
    <row r="645" spans="1:18" x14ac:dyDescent="0.25">
      <c r="A645" s="170">
        <v>42950</v>
      </c>
      <c r="B645" s="116">
        <v>83.4</v>
      </c>
      <c r="C645" s="116">
        <v>82.6</v>
      </c>
      <c r="D645" s="116">
        <v>82</v>
      </c>
      <c r="E645" s="116">
        <v>82</v>
      </c>
      <c r="F645" s="116">
        <v>82.6</v>
      </c>
      <c r="G645">
        <v>156682</v>
      </c>
      <c r="H645" s="116"/>
      <c r="I645" s="116"/>
      <c r="L645" s="170">
        <v>42950</v>
      </c>
      <c r="M645" s="116">
        <v>82.65</v>
      </c>
      <c r="N645" s="116">
        <v>83.4</v>
      </c>
      <c r="O645" s="116">
        <v>82.2</v>
      </c>
      <c r="P645" s="116">
        <v>82.5</v>
      </c>
      <c r="Q645" s="116">
        <v>82.65</v>
      </c>
      <c r="R645">
        <v>2966583</v>
      </c>
    </row>
    <row r="646" spans="1:18" x14ac:dyDescent="0.25">
      <c r="A646" s="170">
        <v>42951</v>
      </c>
      <c r="B646" s="116">
        <v>82.65</v>
      </c>
      <c r="C646" s="116">
        <v>80.25</v>
      </c>
      <c r="D646" s="116">
        <v>79.75</v>
      </c>
      <c r="E646" s="116">
        <v>82</v>
      </c>
      <c r="F646" s="116">
        <v>80.25</v>
      </c>
      <c r="G646">
        <v>231757</v>
      </c>
      <c r="H646" s="116"/>
      <c r="I646" s="116"/>
      <c r="L646" s="170">
        <v>42951</v>
      </c>
      <c r="M646" s="116">
        <v>80.25</v>
      </c>
      <c r="N646" s="116">
        <v>82.75</v>
      </c>
      <c r="O646" s="116">
        <v>79.7</v>
      </c>
      <c r="P646" s="116">
        <v>82.55</v>
      </c>
      <c r="Q646" s="116">
        <v>80.25</v>
      </c>
      <c r="R646">
        <v>5298112</v>
      </c>
    </row>
    <row r="647" spans="1:18" x14ac:dyDescent="0.25">
      <c r="A647" s="170">
        <v>42954</v>
      </c>
      <c r="B647" s="116">
        <v>80.849999999999994</v>
      </c>
      <c r="C647" s="116">
        <v>80</v>
      </c>
      <c r="D647" s="116">
        <v>79.8</v>
      </c>
      <c r="E647" s="116">
        <v>80.25</v>
      </c>
      <c r="F647" s="116">
        <v>80</v>
      </c>
      <c r="G647">
        <v>146512</v>
      </c>
      <c r="H647" s="116"/>
      <c r="I647" s="116"/>
      <c r="L647" s="170">
        <v>42954</v>
      </c>
      <c r="M647" s="116">
        <v>80</v>
      </c>
      <c r="N647" s="116">
        <v>80.900000000000006</v>
      </c>
      <c r="O647" s="116">
        <v>79.849999999999994</v>
      </c>
      <c r="P647" s="116">
        <v>80.7</v>
      </c>
      <c r="Q647" s="116">
        <v>80</v>
      </c>
      <c r="R647">
        <v>3124773</v>
      </c>
    </row>
    <row r="648" spans="1:18" x14ac:dyDescent="0.25">
      <c r="A648" s="170">
        <v>42955</v>
      </c>
      <c r="B648" s="116">
        <v>80.849999999999994</v>
      </c>
      <c r="C648" s="116">
        <v>78.25</v>
      </c>
      <c r="D648" s="116">
        <v>78.150000000000006</v>
      </c>
      <c r="E648" s="116">
        <v>80.849999999999994</v>
      </c>
      <c r="F648" s="116">
        <v>78.25</v>
      </c>
      <c r="G648">
        <v>152651</v>
      </c>
      <c r="H648" s="116"/>
      <c r="I648" s="116"/>
      <c r="L648" s="170">
        <v>42955</v>
      </c>
      <c r="M648" s="116">
        <v>78.25</v>
      </c>
      <c r="N648" s="116">
        <v>80.400000000000006</v>
      </c>
      <c r="O648" s="116">
        <v>78.05</v>
      </c>
      <c r="P648" s="116">
        <v>80.2</v>
      </c>
      <c r="Q648" s="116">
        <v>78.25</v>
      </c>
      <c r="R648">
        <v>1840878</v>
      </c>
    </row>
    <row r="649" spans="1:18" x14ac:dyDescent="0.25">
      <c r="A649" s="170">
        <v>42956</v>
      </c>
      <c r="B649" s="116">
        <v>78.150000000000006</v>
      </c>
      <c r="C649" s="116">
        <v>77.75</v>
      </c>
      <c r="D649" s="116">
        <v>77.150000000000006</v>
      </c>
      <c r="E649" s="116">
        <v>78.05</v>
      </c>
      <c r="F649" s="116">
        <v>77.75</v>
      </c>
      <c r="G649">
        <v>190719</v>
      </c>
      <c r="H649" s="116"/>
      <c r="I649" s="116"/>
      <c r="L649" s="170">
        <v>42956</v>
      </c>
      <c r="M649" s="116">
        <v>77.8</v>
      </c>
      <c r="N649" s="116">
        <v>78.3</v>
      </c>
      <c r="O649" s="116">
        <v>77.150000000000006</v>
      </c>
      <c r="P649" s="116">
        <v>78.3</v>
      </c>
      <c r="Q649" s="116">
        <v>77.8</v>
      </c>
      <c r="R649">
        <v>2107243</v>
      </c>
    </row>
    <row r="650" spans="1:18" x14ac:dyDescent="0.25">
      <c r="A650" s="170">
        <v>42957</v>
      </c>
      <c r="B650" s="116">
        <v>77.75</v>
      </c>
      <c r="C650" s="116">
        <v>77.05</v>
      </c>
      <c r="D650" s="116">
        <v>76</v>
      </c>
      <c r="E650" s="116">
        <v>77.05</v>
      </c>
      <c r="F650" s="116">
        <v>77.05</v>
      </c>
      <c r="G650">
        <v>171211</v>
      </c>
      <c r="H650" s="116"/>
      <c r="I650" s="116"/>
      <c r="L650" s="170">
        <v>42957</v>
      </c>
      <c r="M650" s="116">
        <v>76.7</v>
      </c>
      <c r="N650" s="116">
        <v>77.8</v>
      </c>
      <c r="O650" s="116">
        <v>75.8</v>
      </c>
      <c r="P650" s="116">
        <v>77</v>
      </c>
      <c r="Q650" s="116">
        <v>76.7</v>
      </c>
      <c r="R650">
        <v>10816439</v>
      </c>
    </row>
    <row r="651" spans="1:18" x14ac:dyDescent="0.25">
      <c r="A651" s="170">
        <v>42958</v>
      </c>
      <c r="B651" s="116">
        <v>77</v>
      </c>
      <c r="C651" s="116">
        <v>76.650000000000006</v>
      </c>
      <c r="D651" s="116">
        <v>75.900000000000006</v>
      </c>
      <c r="E651" s="116">
        <v>76</v>
      </c>
      <c r="F651" s="116">
        <v>76.650000000000006</v>
      </c>
      <c r="G651">
        <v>117085</v>
      </c>
      <c r="H651" s="116"/>
      <c r="I651" s="116"/>
      <c r="L651" s="170">
        <v>42958</v>
      </c>
      <c r="M651" s="116">
        <v>76.55</v>
      </c>
      <c r="N651" s="116">
        <v>77.099999999999994</v>
      </c>
      <c r="O651" s="116">
        <v>75.849999999999994</v>
      </c>
      <c r="P651" s="116">
        <v>76.45</v>
      </c>
      <c r="Q651" s="116">
        <v>76.55</v>
      </c>
      <c r="R651">
        <v>4403984</v>
      </c>
    </row>
    <row r="652" spans="1:18" x14ac:dyDescent="0.25">
      <c r="A652" s="170">
        <v>42961</v>
      </c>
      <c r="B652" s="116">
        <v>81.150000000000006</v>
      </c>
      <c r="C652" s="116">
        <v>79.5</v>
      </c>
      <c r="D652" s="116">
        <v>76.5</v>
      </c>
      <c r="E652" s="116">
        <v>76.95</v>
      </c>
      <c r="F652" s="116">
        <v>79.5</v>
      </c>
      <c r="G652">
        <v>645453</v>
      </c>
      <c r="H652" s="116"/>
      <c r="I652" s="116"/>
      <c r="L652" s="170">
        <v>42961</v>
      </c>
      <c r="M652" s="116">
        <v>79.55</v>
      </c>
      <c r="N652" s="116">
        <v>81.150000000000006</v>
      </c>
      <c r="O652" s="116">
        <v>76.599999999999994</v>
      </c>
      <c r="P652" s="116">
        <v>77</v>
      </c>
      <c r="Q652" s="116">
        <v>79.55</v>
      </c>
      <c r="R652">
        <v>8120241</v>
      </c>
    </row>
    <row r="653" spans="1:18" x14ac:dyDescent="0.25">
      <c r="A653" s="170">
        <v>42963</v>
      </c>
      <c r="B653" s="116">
        <v>83.55</v>
      </c>
      <c r="C653" s="116">
        <v>82.15</v>
      </c>
      <c r="D653" s="116">
        <v>81.5</v>
      </c>
      <c r="E653" s="116">
        <v>81.8</v>
      </c>
      <c r="F653" s="116">
        <v>82.15</v>
      </c>
      <c r="G653">
        <v>1013775</v>
      </c>
      <c r="H653" s="116"/>
      <c r="I653" s="116"/>
      <c r="L653" s="170">
        <v>42963</v>
      </c>
      <c r="M653" s="116">
        <v>82.05</v>
      </c>
      <c r="N653" s="116">
        <v>83.45</v>
      </c>
      <c r="O653" s="116">
        <v>81.099999999999994</v>
      </c>
      <c r="P653" s="116">
        <v>81.25</v>
      </c>
      <c r="Q653" s="116">
        <v>82.05</v>
      </c>
      <c r="R653">
        <v>11428360</v>
      </c>
    </row>
    <row r="654" spans="1:18" x14ac:dyDescent="0.25">
      <c r="A654" s="170">
        <v>42964</v>
      </c>
      <c r="B654" s="116">
        <v>82.85</v>
      </c>
      <c r="C654" s="116">
        <v>81.349999999999994</v>
      </c>
      <c r="D654" s="116">
        <v>81</v>
      </c>
      <c r="E654" s="116">
        <v>82.85</v>
      </c>
      <c r="F654" s="116">
        <v>81.349999999999994</v>
      </c>
      <c r="G654">
        <v>279702</v>
      </c>
      <c r="H654" s="116"/>
      <c r="I654" s="116"/>
      <c r="L654" s="170">
        <v>42964</v>
      </c>
      <c r="M654" s="116">
        <v>81.650000000000006</v>
      </c>
      <c r="N654" s="116">
        <v>82.6</v>
      </c>
      <c r="O654" s="116">
        <v>81.349999999999994</v>
      </c>
      <c r="P654" s="116">
        <v>82.6</v>
      </c>
      <c r="Q654" s="116">
        <v>81.650000000000006</v>
      </c>
      <c r="R654">
        <v>3774599</v>
      </c>
    </row>
    <row r="655" spans="1:18" x14ac:dyDescent="0.25">
      <c r="A655" s="170">
        <v>42965</v>
      </c>
      <c r="B655" s="116">
        <v>81.2</v>
      </c>
      <c r="C655" s="116">
        <v>80.3</v>
      </c>
      <c r="D655" s="116">
        <v>80.099999999999994</v>
      </c>
      <c r="E655" s="116">
        <v>81</v>
      </c>
      <c r="F655" s="116">
        <v>80.3</v>
      </c>
      <c r="G655">
        <v>180126</v>
      </c>
      <c r="H655" s="116"/>
      <c r="I655" s="116"/>
      <c r="L655" s="170">
        <v>42965</v>
      </c>
      <c r="M655" s="116">
        <v>80.3</v>
      </c>
      <c r="N655" s="116">
        <v>81.400000000000006</v>
      </c>
      <c r="O655" s="116">
        <v>80.05</v>
      </c>
      <c r="P655" s="116">
        <v>80.400000000000006</v>
      </c>
      <c r="Q655" s="116">
        <v>80.3</v>
      </c>
      <c r="R655">
        <v>2900287</v>
      </c>
    </row>
    <row r="656" spans="1:18" x14ac:dyDescent="0.25">
      <c r="A656" s="170">
        <v>42968</v>
      </c>
      <c r="B656" s="116">
        <v>80.900000000000006</v>
      </c>
      <c r="C656" s="116">
        <v>80.099999999999994</v>
      </c>
      <c r="D656" s="116">
        <v>80</v>
      </c>
      <c r="E656" s="116">
        <v>80</v>
      </c>
      <c r="F656" s="116">
        <v>80.099999999999994</v>
      </c>
      <c r="G656">
        <v>152544</v>
      </c>
      <c r="H656" s="116"/>
      <c r="I656" s="116"/>
      <c r="L656" s="170">
        <v>42968</v>
      </c>
      <c r="M656" s="116">
        <v>80.2</v>
      </c>
      <c r="N656" s="116">
        <v>80.849999999999994</v>
      </c>
      <c r="O656" s="116">
        <v>80</v>
      </c>
      <c r="P656" s="116">
        <v>80.650000000000006</v>
      </c>
      <c r="Q656" s="116">
        <v>80.2</v>
      </c>
      <c r="R656">
        <v>2749000</v>
      </c>
    </row>
    <row r="657" spans="1:18" x14ac:dyDescent="0.25">
      <c r="A657" s="170">
        <v>42969</v>
      </c>
      <c r="B657" s="116">
        <v>81.349999999999994</v>
      </c>
      <c r="C657" s="116">
        <v>79.95</v>
      </c>
      <c r="D657" s="116">
        <v>79.55</v>
      </c>
      <c r="E657" s="116">
        <v>80.5</v>
      </c>
      <c r="F657" s="116">
        <v>79.95</v>
      </c>
      <c r="G657">
        <v>191398</v>
      </c>
      <c r="H657" s="116"/>
      <c r="I657" s="116"/>
      <c r="L657" s="170">
        <v>42969</v>
      </c>
      <c r="M657" s="116">
        <v>80.05</v>
      </c>
      <c r="N657" s="116">
        <v>81.5</v>
      </c>
      <c r="O657" s="116">
        <v>79.650000000000006</v>
      </c>
      <c r="P657" s="116">
        <v>81</v>
      </c>
      <c r="Q657" s="116">
        <v>80.05</v>
      </c>
      <c r="R657">
        <v>2316424</v>
      </c>
    </row>
    <row r="658" spans="1:18" x14ac:dyDescent="0.25">
      <c r="A658" s="170">
        <v>42970</v>
      </c>
      <c r="B658" s="116">
        <v>80.2</v>
      </c>
      <c r="C658" s="116">
        <v>78.8</v>
      </c>
      <c r="D658" s="116">
        <v>78.650000000000006</v>
      </c>
      <c r="E658" s="116">
        <v>80</v>
      </c>
      <c r="F658" s="116">
        <v>78.8</v>
      </c>
      <c r="G658">
        <v>180881</v>
      </c>
      <c r="H658" s="116"/>
      <c r="I658" s="116"/>
      <c r="L658" s="170">
        <v>42970</v>
      </c>
      <c r="M658" s="116">
        <v>78.75</v>
      </c>
      <c r="N658" s="116">
        <v>80.349999999999994</v>
      </c>
      <c r="O658" s="116">
        <v>78.599999999999994</v>
      </c>
      <c r="P658" s="116">
        <v>80.349999999999994</v>
      </c>
      <c r="Q658" s="116">
        <v>78.75</v>
      </c>
      <c r="R658">
        <v>2065914</v>
      </c>
    </row>
    <row r="659" spans="1:18" x14ac:dyDescent="0.25">
      <c r="A659" s="170">
        <v>42971</v>
      </c>
      <c r="B659" s="116">
        <v>80.849999999999994</v>
      </c>
      <c r="C659" s="116">
        <v>79.25</v>
      </c>
      <c r="D659" s="116">
        <v>78.95</v>
      </c>
      <c r="E659" s="116">
        <v>79.099999999999994</v>
      </c>
      <c r="F659" s="116">
        <v>79.25</v>
      </c>
      <c r="G659">
        <v>446137</v>
      </c>
      <c r="H659" s="116"/>
      <c r="I659" s="116"/>
      <c r="L659" s="170">
        <v>42971</v>
      </c>
      <c r="M659" s="116">
        <v>79.150000000000006</v>
      </c>
      <c r="N659" s="116">
        <v>80.8</v>
      </c>
      <c r="O659" s="116">
        <v>78.8</v>
      </c>
      <c r="P659" s="116">
        <v>79.7</v>
      </c>
      <c r="Q659" s="116">
        <v>79.150000000000006</v>
      </c>
      <c r="R659">
        <v>7107291</v>
      </c>
    </row>
    <row r="660" spans="1:18" x14ac:dyDescent="0.25">
      <c r="A660" s="170">
        <v>42975</v>
      </c>
      <c r="B660" s="116">
        <v>79.55</v>
      </c>
      <c r="C660" s="116">
        <v>78.900000000000006</v>
      </c>
      <c r="D660" s="116">
        <v>78.5</v>
      </c>
      <c r="E660" s="116">
        <v>79</v>
      </c>
      <c r="F660" s="116">
        <v>78.900000000000006</v>
      </c>
      <c r="G660">
        <v>146128</v>
      </c>
      <c r="H660" s="116"/>
      <c r="I660" s="116"/>
      <c r="L660" s="170">
        <v>42975</v>
      </c>
      <c r="M660" s="116">
        <v>78.849999999999994</v>
      </c>
      <c r="N660" s="116">
        <v>79.7</v>
      </c>
      <c r="O660" s="116">
        <v>78.45</v>
      </c>
      <c r="P660" s="116">
        <v>79.3</v>
      </c>
      <c r="Q660" s="116">
        <v>78.849999999999994</v>
      </c>
      <c r="R660">
        <v>2117665</v>
      </c>
    </row>
    <row r="661" spans="1:18" x14ac:dyDescent="0.25">
      <c r="A661" s="170">
        <v>42976</v>
      </c>
      <c r="B661" s="116">
        <v>80.7</v>
      </c>
      <c r="C661" s="116">
        <v>76.900000000000006</v>
      </c>
      <c r="D661" s="116">
        <v>76.7</v>
      </c>
      <c r="E661" s="116">
        <v>80.7</v>
      </c>
      <c r="F661" s="116">
        <v>76.900000000000006</v>
      </c>
      <c r="G661">
        <v>424843</v>
      </c>
      <c r="H661" s="116"/>
      <c r="I661" s="116"/>
      <c r="L661" s="170">
        <v>42976</v>
      </c>
      <c r="M661" s="116">
        <v>76.95</v>
      </c>
      <c r="N661" s="116">
        <v>78.400000000000006</v>
      </c>
      <c r="O661" s="116">
        <v>76.75</v>
      </c>
      <c r="P661" s="116">
        <v>78.349999999999994</v>
      </c>
      <c r="Q661" s="116">
        <v>76.95</v>
      </c>
      <c r="R661">
        <v>4659510</v>
      </c>
    </row>
    <row r="662" spans="1:18" x14ac:dyDescent="0.25">
      <c r="A662" s="170">
        <v>42977</v>
      </c>
      <c r="B662" s="116">
        <v>77.95</v>
      </c>
      <c r="C662" s="116">
        <v>77.599999999999994</v>
      </c>
      <c r="D662" s="116">
        <v>77.05</v>
      </c>
      <c r="E662" s="116">
        <v>77.2</v>
      </c>
      <c r="F662" s="116">
        <v>77.599999999999994</v>
      </c>
      <c r="G662">
        <v>157130</v>
      </c>
      <c r="H662" s="116"/>
      <c r="I662" s="116"/>
      <c r="L662" s="170">
        <v>42977</v>
      </c>
      <c r="M662" s="116">
        <v>77.650000000000006</v>
      </c>
      <c r="N662" s="116">
        <v>78</v>
      </c>
      <c r="O662" s="116">
        <v>77.05</v>
      </c>
      <c r="P662" s="116">
        <v>77.5</v>
      </c>
      <c r="Q662" s="116">
        <v>77.650000000000006</v>
      </c>
      <c r="R662">
        <v>2203355</v>
      </c>
    </row>
    <row r="663" spans="1:18" x14ac:dyDescent="0.25">
      <c r="A663" s="170">
        <v>42978</v>
      </c>
      <c r="B663" s="116">
        <v>79.45</v>
      </c>
      <c r="C663" s="116">
        <v>79.099999999999994</v>
      </c>
      <c r="D663" s="116">
        <v>77.5</v>
      </c>
      <c r="E663" s="116">
        <v>77.5</v>
      </c>
      <c r="F663" s="116">
        <v>79.099999999999994</v>
      </c>
      <c r="G663">
        <v>306294</v>
      </c>
      <c r="H663" s="116"/>
      <c r="I663" s="116"/>
      <c r="L663" s="170">
        <v>42978</v>
      </c>
      <c r="M663" s="116">
        <v>79.25</v>
      </c>
      <c r="N663" s="116">
        <v>79.75</v>
      </c>
      <c r="O663" s="116">
        <v>77.55</v>
      </c>
      <c r="P663" s="116">
        <v>77.7</v>
      </c>
      <c r="Q663" s="116">
        <v>79.25</v>
      </c>
      <c r="R663">
        <v>5439368</v>
      </c>
    </row>
    <row r="664" spans="1:18" x14ac:dyDescent="0.25">
      <c r="A664" s="170">
        <v>42979</v>
      </c>
      <c r="B664" s="116">
        <v>80.5</v>
      </c>
      <c r="C664" s="116">
        <v>79.75</v>
      </c>
      <c r="D664" s="116">
        <v>79</v>
      </c>
      <c r="E664" s="116">
        <v>79</v>
      </c>
      <c r="F664" s="116">
        <v>79.75</v>
      </c>
      <c r="G664">
        <v>340063</v>
      </c>
      <c r="H664" s="116"/>
      <c r="I664" s="116"/>
      <c r="L664" s="170">
        <v>42979</v>
      </c>
      <c r="M664" s="116">
        <v>80.099999999999994</v>
      </c>
      <c r="N664" s="116">
        <v>80.75</v>
      </c>
      <c r="O664" s="116">
        <v>78.849999999999994</v>
      </c>
      <c r="P664" s="116">
        <v>79.25</v>
      </c>
      <c r="Q664" s="116">
        <v>80.099999999999994</v>
      </c>
      <c r="R664">
        <v>7004328</v>
      </c>
    </row>
    <row r="665" spans="1:18" x14ac:dyDescent="0.25">
      <c r="A665" s="170">
        <v>42982</v>
      </c>
      <c r="B665" s="116">
        <v>80</v>
      </c>
      <c r="C665" s="116">
        <v>78.650000000000006</v>
      </c>
      <c r="D665" s="116">
        <v>78.099999999999994</v>
      </c>
      <c r="E665" s="116">
        <v>80</v>
      </c>
      <c r="F665" s="116">
        <v>78.650000000000006</v>
      </c>
      <c r="G665">
        <v>234736</v>
      </c>
      <c r="H665" s="116"/>
      <c r="I665" s="116"/>
      <c r="L665" s="170">
        <v>42982</v>
      </c>
      <c r="M665" s="116">
        <v>78.45</v>
      </c>
      <c r="N665" s="116">
        <v>80.150000000000006</v>
      </c>
      <c r="O665" s="116">
        <v>78</v>
      </c>
      <c r="P665" s="116">
        <v>79.849999999999994</v>
      </c>
      <c r="Q665" s="116">
        <v>78.45</v>
      </c>
      <c r="R665">
        <v>1847590</v>
      </c>
    </row>
    <row r="666" spans="1:18" x14ac:dyDescent="0.25">
      <c r="A666" s="170">
        <v>42983</v>
      </c>
      <c r="B666" s="116">
        <v>79</v>
      </c>
      <c r="C666" s="116">
        <v>78.3</v>
      </c>
      <c r="D666" s="116">
        <v>78.05</v>
      </c>
      <c r="E666" s="116">
        <v>78.75</v>
      </c>
      <c r="F666" s="116">
        <v>78.3</v>
      </c>
      <c r="G666">
        <v>256888</v>
      </c>
      <c r="H666" s="116"/>
      <c r="I666" s="116"/>
      <c r="L666" s="170">
        <v>42983</v>
      </c>
      <c r="M666" s="116">
        <v>78.349999999999994</v>
      </c>
      <c r="N666" s="116">
        <v>79</v>
      </c>
      <c r="O666" s="116">
        <v>78</v>
      </c>
      <c r="P666" s="116">
        <v>79</v>
      </c>
      <c r="Q666" s="116">
        <v>78.349999999999994</v>
      </c>
      <c r="R666">
        <v>1500822</v>
      </c>
    </row>
    <row r="667" spans="1:18" x14ac:dyDescent="0.25">
      <c r="A667" s="170">
        <v>42984</v>
      </c>
      <c r="B667" s="116">
        <v>78.7</v>
      </c>
      <c r="C667" s="116">
        <v>78.05</v>
      </c>
      <c r="D667" s="116">
        <v>77.900000000000006</v>
      </c>
      <c r="E667" s="116">
        <v>78</v>
      </c>
      <c r="F667" s="116">
        <v>78.05</v>
      </c>
      <c r="G667">
        <v>140692</v>
      </c>
      <c r="H667" s="116"/>
      <c r="I667" s="116"/>
      <c r="L667" s="170">
        <v>42984</v>
      </c>
      <c r="M667" s="116">
        <v>78</v>
      </c>
      <c r="N667" s="116">
        <v>78.650000000000006</v>
      </c>
      <c r="O667" s="116">
        <v>77.849999999999994</v>
      </c>
      <c r="P667" s="116">
        <v>78.3</v>
      </c>
      <c r="Q667" s="116">
        <v>78</v>
      </c>
      <c r="R667">
        <v>4084036</v>
      </c>
    </row>
    <row r="668" spans="1:18" x14ac:dyDescent="0.25">
      <c r="A668" s="170">
        <v>42985</v>
      </c>
      <c r="B668" s="116">
        <v>78.400000000000006</v>
      </c>
      <c r="C668" s="116">
        <v>77.8</v>
      </c>
      <c r="D668" s="116">
        <v>77.400000000000006</v>
      </c>
      <c r="E668" s="116">
        <v>78.05</v>
      </c>
      <c r="F668" s="116">
        <v>77.8</v>
      </c>
      <c r="G668">
        <v>375331</v>
      </c>
      <c r="H668" s="116"/>
      <c r="I668" s="116"/>
      <c r="L668" s="170">
        <v>42985</v>
      </c>
      <c r="M668" s="116">
        <v>77.349999999999994</v>
      </c>
      <c r="N668" s="116">
        <v>78.400000000000006</v>
      </c>
      <c r="O668" s="116">
        <v>77.150000000000006</v>
      </c>
      <c r="P668" s="116">
        <v>78.150000000000006</v>
      </c>
      <c r="Q668" s="116">
        <v>77.349999999999994</v>
      </c>
      <c r="R668">
        <v>2557393</v>
      </c>
    </row>
    <row r="669" spans="1:18" x14ac:dyDescent="0.25">
      <c r="A669" s="170">
        <v>42986</v>
      </c>
      <c r="B669" s="116">
        <v>78.25</v>
      </c>
      <c r="C669" s="116">
        <v>76.95</v>
      </c>
      <c r="D669" s="116">
        <v>76.8</v>
      </c>
      <c r="E669" s="116">
        <v>77.650000000000006</v>
      </c>
      <c r="F669" s="116">
        <v>76.95</v>
      </c>
      <c r="G669">
        <v>256822</v>
      </c>
      <c r="H669" s="116"/>
      <c r="I669" s="116"/>
      <c r="L669" s="170">
        <v>42986</v>
      </c>
      <c r="M669" s="116">
        <v>77</v>
      </c>
      <c r="N669" s="116">
        <v>78.3</v>
      </c>
      <c r="O669" s="116">
        <v>76.75</v>
      </c>
      <c r="P669" s="116">
        <v>77.55</v>
      </c>
      <c r="Q669" s="116">
        <v>77</v>
      </c>
      <c r="R669">
        <v>1894241</v>
      </c>
    </row>
    <row r="670" spans="1:18" x14ac:dyDescent="0.25">
      <c r="A670" s="170">
        <v>42989</v>
      </c>
      <c r="B670" s="116">
        <v>80.75</v>
      </c>
      <c r="C670" s="116">
        <v>80.45</v>
      </c>
      <c r="D670" s="116">
        <v>77.55</v>
      </c>
      <c r="E670" s="116">
        <v>77.55</v>
      </c>
      <c r="F670" s="116">
        <v>80.45</v>
      </c>
      <c r="G670">
        <v>748560</v>
      </c>
      <c r="H670" s="116"/>
      <c r="I670" s="116"/>
      <c r="L670" s="170">
        <v>42989</v>
      </c>
      <c r="M670" s="116">
        <v>80.599999999999994</v>
      </c>
      <c r="N670" s="116">
        <v>81</v>
      </c>
      <c r="O670" s="116">
        <v>77.900000000000006</v>
      </c>
      <c r="P670" s="116">
        <v>78</v>
      </c>
      <c r="Q670" s="116">
        <v>80.599999999999994</v>
      </c>
      <c r="R670">
        <v>7804066</v>
      </c>
    </row>
    <row r="671" spans="1:18" x14ac:dyDescent="0.25">
      <c r="A671" s="170">
        <v>42990</v>
      </c>
      <c r="B671" s="116">
        <v>81.8</v>
      </c>
      <c r="C671" s="116">
        <v>80.95</v>
      </c>
      <c r="D671" s="116">
        <v>80.75</v>
      </c>
      <c r="E671" s="116">
        <v>81.2</v>
      </c>
      <c r="F671" s="116">
        <v>80.95</v>
      </c>
      <c r="G671">
        <v>517102</v>
      </c>
      <c r="H671" s="116"/>
      <c r="I671" s="116"/>
      <c r="L671" s="170">
        <v>42990</v>
      </c>
      <c r="M671" s="116">
        <v>81</v>
      </c>
      <c r="N671" s="116">
        <v>81.8</v>
      </c>
      <c r="O671" s="116">
        <v>80.7</v>
      </c>
      <c r="P671" s="116">
        <v>81.2</v>
      </c>
      <c r="Q671" s="116">
        <v>81</v>
      </c>
      <c r="R671">
        <v>5963630</v>
      </c>
    </row>
    <row r="672" spans="1:18" x14ac:dyDescent="0.25">
      <c r="A672" s="170">
        <v>42991</v>
      </c>
      <c r="B672" s="116">
        <v>86.7</v>
      </c>
      <c r="C672" s="116">
        <v>84.8</v>
      </c>
      <c r="D672" s="116">
        <v>83.7</v>
      </c>
      <c r="E672" s="116">
        <v>84.9</v>
      </c>
      <c r="F672" s="116">
        <v>84.8</v>
      </c>
      <c r="G672">
        <v>3683052</v>
      </c>
      <c r="H672" s="116"/>
      <c r="I672" s="116"/>
      <c r="L672" s="170">
        <v>42991</v>
      </c>
      <c r="M672" s="116">
        <v>84.8</v>
      </c>
      <c r="N672" s="116">
        <v>86.7</v>
      </c>
      <c r="O672" s="116">
        <v>83.5</v>
      </c>
      <c r="P672" s="116">
        <v>85</v>
      </c>
      <c r="Q672" s="116">
        <v>84.8</v>
      </c>
      <c r="R672">
        <v>31484628</v>
      </c>
    </row>
    <row r="673" spans="1:18" x14ac:dyDescent="0.25">
      <c r="A673" s="170">
        <v>42992</v>
      </c>
      <c r="B673" s="116">
        <v>87.3</v>
      </c>
      <c r="C673" s="116">
        <v>85.4</v>
      </c>
      <c r="D673" s="116">
        <v>84.9</v>
      </c>
      <c r="E673" s="116">
        <v>85.2</v>
      </c>
      <c r="F673" s="116">
        <v>85.4</v>
      </c>
      <c r="G673">
        <v>1286473</v>
      </c>
      <c r="H673" s="116"/>
      <c r="I673" s="116"/>
      <c r="L673" s="170">
        <v>42992</v>
      </c>
      <c r="M673" s="116">
        <v>85.25</v>
      </c>
      <c r="N673" s="116">
        <v>87.3</v>
      </c>
      <c r="O673" s="116">
        <v>84.75</v>
      </c>
      <c r="P673" s="116">
        <v>85.05</v>
      </c>
      <c r="Q673" s="116">
        <v>85.25</v>
      </c>
      <c r="R673">
        <v>15122422</v>
      </c>
    </row>
    <row r="674" spans="1:18" x14ac:dyDescent="0.25">
      <c r="A674" s="170">
        <v>42993</v>
      </c>
      <c r="B674" s="116">
        <v>85</v>
      </c>
      <c r="C674" s="116">
        <v>84.4</v>
      </c>
      <c r="D674" s="116">
        <v>83.9</v>
      </c>
      <c r="E674" s="116">
        <v>84.9</v>
      </c>
      <c r="F674" s="116">
        <v>84.4</v>
      </c>
      <c r="G674">
        <v>632983</v>
      </c>
      <c r="H674" s="116"/>
      <c r="I674" s="116"/>
      <c r="L674" s="170">
        <v>42993</v>
      </c>
      <c r="M674" s="116">
        <v>84.3</v>
      </c>
      <c r="N674" s="116">
        <v>84.95</v>
      </c>
      <c r="O674" s="116">
        <v>83.8</v>
      </c>
      <c r="P674" s="116">
        <v>84.95</v>
      </c>
      <c r="Q674" s="116">
        <v>84.3</v>
      </c>
      <c r="R674">
        <v>6486746</v>
      </c>
    </row>
    <row r="675" spans="1:18" x14ac:dyDescent="0.25">
      <c r="A675" s="170">
        <v>42996</v>
      </c>
      <c r="B675" s="116">
        <v>85.3</v>
      </c>
      <c r="C675" s="116">
        <v>83.8</v>
      </c>
      <c r="D675" s="116">
        <v>83.5</v>
      </c>
      <c r="E675" s="116">
        <v>84.5</v>
      </c>
      <c r="F675" s="116">
        <v>83.8</v>
      </c>
      <c r="G675">
        <v>498076</v>
      </c>
      <c r="H675" s="116"/>
      <c r="I675" s="116"/>
      <c r="L675" s="170">
        <v>42996</v>
      </c>
      <c r="M675" s="116">
        <v>83.7</v>
      </c>
      <c r="N675" s="116">
        <v>85.25</v>
      </c>
      <c r="O675" s="116">
        <v>83.35</v>
      </c>
      <c r="P675" s="116">
        <v>85</v>
      </c>
      <c r="Q675" s="116">
        <v>83.7</v>
      </c>
      <c r="R675">
        <v>3959456</v>
      </c>
    </row>
    <row r="676" spans="1:18" x14ac:dyDescent="0.25">
      <c r="A676" s="170">
        <v>42997</v>
      </c>
      <c r="B676" s="116">
        <v>85.75</v>
      </c>
      <c r="C676" s="116">
        <v>84.85</v>
      </c>
      <c r="D676" s="116">
        <v>82.6</v>
      </c>
      <c r="E676" s="116">
        <v>83.55</v>
      </c>
      <c r="F676" s="116">
        <v>84.85</v>
      </c>
      <c r="G676">
        <v>740548</v>
      </c>
      <c r="H676" s="116"/>
      <c r="I676" s="116"/>
      <c r="L676" s="170">
        <v>42997</v>
      </c>
      <c r="M676" s="116">
        <v>84.6</v>
      </c>
      <c r="N676" s="116">
        <v>85.65</v>
      </c>
      <c r="O676" s="116">
        <v>82.5</v>
      </c>
      <c r="P676" s="116">
        <v>83.8</v>
      </c>
      <c r="Q676" s="116">
        <v>84.6</v>
      </c>
      <c r="R676">
        <v>6973722</v>
      </c>
    </row>
    <row r="677" spans="1:18" x14ac:dyDescent="0.25">
      <c r="A677" s="170">
        <v>42998</v>
      </c>
      <c r="B677" s="116">
        <v>86.5</v>
      </c>
      <c r="C677" s="116">
        <v>84.15</v>
      </c>
      <c r="D677" s="116">
        <v>83.9</v>
      </c>
      <c r="E677" s="116">
        <v>86.1</v>
      </c>
      <c r="F677" s="116">
        <v>84.15</v>
      </c>
      <c r="G677">
        <v>903190</v>
      </c>
      <c r="H677" s="116"/>
      <c r="I677" s="116"/>
      <c r="L677" s="170">
        <v>42998</v>
      </c>
      <c r="M677" s="116">
        <v>84</v>
      </c>
      <c r="N677" s="116">
        <v>86.2</v>
      </c>
      <c r="O677" s="116">
        <v>83.75</v>
      </c>
      <c r="P677" s="116">
        <v>86</v>
      </c>
      <c r="Q677" s="116">
        <v>84</v>
      </c>
      <c r="R677">
        <v>6704318</v>
      </c>
    </row>
    <row r="678" spans="1:18" x14ac:dyDescent="0.25">
      <c r="A678" s="170">
        <v>42999</v>
      </c>
      <c r="B678" s="116">
        <v>84.5</v>
      </c>
      <c r="C678" s="116">
        <v>83.2</v>
      </c>
      <c r="D678" s="116">
        <v>82.9</v>
      </c>
      <c r="E678" s="116">
        <v>84.5</v>
      </c>
      <c r="F678" s="116">
        <v>83.2</v>
      </c>
      <c r="G678">
        <v>375325</v>
      </c>
      <c r="H678" s="116"/>
      <c r="I678" s="116"/>
      <c r="L678" s="170">
        <v>42999</v>
      </c>
      <c r="M678" s="116">
        <v>83.1</v>
      </c>
      <c r="N678" s="116">
        <v>84.4</v>
      </c>
      <c r="O678" s="116">
        <v>82.85</v>
      </c>
      <c r="P678" s="116">
        <v>83.9</v>
      </c>
      <c r="Q678" s="116">
        <v>83.1</v>
      </c>
      <c r="R678">
        <v>3563888</v>
      </c>
    </row>
    <row r="679" spans="1:18" x14ac:dyDescent="0.25">
      <c r="A679" s="170">
        <v>43000</v>
      </c>
      <c r="B679" s="116">
        <v>83</v>
      </c>
      <c r="C679" s="116">
        <v>80.5</v>
      </c>
      <c r="D679" s="116">
        <v>80.150000000000006</v>
      </c>
      <c r="E679" s="116">
        <v>83</v>
      </c>
      <c r="F679" s="116">
        <v>80.5</v>
      </c>
      <c r="G679">
        <v>488099</v>
      </c>
      <c r="H679" s="116"/>
      <c r="I679" s="116"/>
      <c r="L679" s="170">
        <v>43000</v>
      </c>
      <c r="M679" s="116">
        <v>80.400000000000006</v>
      </c>
      <c r="N679" s="116">
        <v>82.9</v>
      </c>
      <c r="O679" s="116">
        <v>80.099999999999994</v>
      </c>
      <c r="P679" s="116">
        <v>82.9</v>
      </c>
      <c r="Q679" s="116">
        <v>80.400000000000006</v>
      </c>
      <c r="R679">
        <v>3947805</v>
      </c>
    </row>
    <row r="680" spans="1:18" x14ac:dyDescent="0.25">
      <c r="A680" s="170">
        <v>43003</v>
      </c>
      <c r="B680" s="116">
        <v>82.6</v>
      </c>
      <c r="C680" s="116">
        <v>81.95</v>
      </c>
      <c r="D680" s="116">
        <v>80.5</v>
      </c>
      <c r="E680" s="116">
        <v>81.55</v>
      </c>
      <c r="F680" s="116">
        <v>81.95</v>
      </c>
      <c r="G680">
        <v>890857</v>
      </c>
      <c r="H680" s="116"/>
      <c r="I680" s="116"/>
      <c r="L680" s="170">
        <v>43003</v>
      </c>
      <c r="M680" s="116">
        <v>81.849999999999994</v>
      </c>
      <c r="N680" s="116">
        <v>82.5</v>
      </c>
      <c r="O680" s="116">
        <v>80.349999999999994</v>
      </c>
      <c r="P680" s="116">
        <v>81.7</v>
      </c>
      <c r="Q680" s="116">
        <v>81.849999999999994</v>
      </c>
      <c r="R680">
        <v>9668182</v>
      </c>
    </row>
    <row r="681" spans="1:18" x14ac:dyDescent="0.25">
      <c r="A681" s="170">
        <v>43004</v>
      </c>
      <c r="B681" s="116">
        <v>83.5</v>
      </c>
      <c r="C681" s="116">
        <v>80.05</v>
      </c>
      <c r="D681" s="116">
        <v>79.7</v>
      </c>
      <c r="E681" s="116">
        <v>83</v>
      </c>
      <c r="F681" s="116">
        <v>80.05</v>
      </c>
      <c r="G681">
        <v>699842</v>
      </c>
      <c r="H681" s="116"/>
      <c r="I681" s="116"/>
      <c r="L681" s="170">
        <v>43004</v>
      </c>
      <c r="M681" s="116">
        <v>79.95</v>
      </c>
      <c r="N681" s="116">
        <v>82.9</v>
      </c>
      <c r="O681" s="116">
        <v>79.650000000000006</v>
      </c>
      <c r="P681" s="116">
        <v>82.9</v>
      </c>
      <c r="Q681" s="116">
        <v>79.95</v>
      </c>
      <c r="R681">
        <v>7178936</v>
      </c>
    </row>
    <row r="682" spans="1:18" x14ac:dyDescent="0.25">
      <c r="A682" s="170">
        <v>43005</v>
      </c>
      <c r="B682" s="116">
        <v>80.900000000000006</v>
      </c>
      <c r="C682" s="116">
        <v>78.349999999999994</v>
      </c>
      <c r="D682" s="116">
        <v>78</v>
      </c>
      <c r="E682" s="116">
        <v>80.599999999999994</v>
      </c>
      <c r="F682" s="116">
        <v>78.349999999999994</v>
      </c>
      <c r="G682">
        <v>560639</v>
      </c>
      <c r="H682" s="116"/>
      <c r="I682" s="116"/>
      <c r="L682" s="170">
        <v>43005</v>
      </c>
      <c r="M682" s="116">
        <v>78.150000000000006</v>
      </c>
      <c r="N682" s="116">
        <v>80.5</v>
      </c>
      <c r="O682" s="116">
        <v>77.8</v>
      </c>
      <c r="P682" s="116">
        <v>80.349999999999994</v>
      </c>
      <c r="Q682" s="116">
        <v>78.150000000000006</v>
      </c>
      <c r="R682">
        <v>5905731</v>
      </c>
    </row>
    <row r="683" spans="1:18" x14ac:dyDescent="0.25">
      <c r="A683" s="170">
        <v>43006</v>
      </c>
      <c r="B683" s="116">
        <v>78.900000000000006</v>
      </c>
      <c r="C683" s="116">
        <v>77.7</v>
      </c>
      <c r="D683" s="116">
        <v>77.349999999999994</v>
      </c>
      <c r="E683" s="116">
        <v>78.05</v>
      </c>
      <c r="F683" s="116">
        <v>77.7</v>
      </c>
      <c r="G683">
        <v>527279</v>
      </c>
      <c r="H683" s="116"/>
      <c r="I683" s="116"/>
      <c r="L683" s="170">
        <v>43006</v>
      </c>
      <c r="M683" s="116">
        <v>77.25</v>
      </c>
      <c r="N683" s="116">
        <v>78.75</v>
      </c>
      <c r="O683" s="116">
        <v>76.849999999999994</v>
      </c>
      <c r="P683" s="116">
        <v>78.5</v>
      </c>
      <c r="Q683" s="116">
        <v>77.25</v>
      </c>
      <c r="R683">
        <v>42574215</v>
      </c>
    </row>
    <row r="684" spans="1:18" x14ac:dyDescent="0.25">
      <c r="A684" s="170">
        <v>43007</v>
      </c>
      <c r="B684" s="116">
        <v>78.650000000000006</v>
      </c>
      <c r="C684" s="116">
        <v>77.75</v>
      </c>
      <c r="D684" s="116">
        <v>77.3</v>
      </c>
      <c r="E684" s="116">
        <v>77.599999999999994</v>
      </c>
      <c r="F684" s="116">
        <v>77.75</v>
      </c>
      <c r="G684">
        <v>507782</v>
      </c>
      <c r="H684" s="116"/>
      <c r="I684" s="116"/>
      <c r="L684" s="170">
        <v>43007</v>
      </c>
      <c r="M684" s="116">
        <v>77.8</v>
      </c>
      <c r="N684" s="116">
        <v>78.650000000000006</v>
      </c>
      <c r="O684" s="116">
        <v>77.150000000000006</v>
      </c>
      <c r="P684" s="116">
        <v>77.95</v>
      </c>
      <c r="Q684" s="116">
        <v>77.8</v>
      </c>
      <c r="R684">
        <v>7966435</v>
      </c>
    </row>
    <row r="685" spans="1:18" x14ac:dyDescent="0.25">
      <c r="A685" s="170">
        <v>43011</v>
      </c>
      <c r="B685" s="116">
        <v>79.5</v>
      </c>
      <c r="C685" s="116">
        <v>77.349999999999994</v>
      </c>
      <c r="D685" s="116">
        <v>77.099999999999994</v>
      </c>
      <c r="E685" s="116">
        <v>78.400000000000006</v>
      </c>
      <c r="F685" s="116">
        <v>77.349999999999994</v>
      </c>
      <c r="G685">
        <v>450602</v>
      </c>
      <c r="H685" s="116"/>
      <c r="I685" s="116"/>
      <c r="L685" s="170">
        <v>43011</v>
      </c>
      <c r="M685" s="116">
        <v>77.400000000000006</v>
      </c>
      <c r="N685" s="116">
        <v>79.55</v>
      </c>
      <c r="O685" s="116">
        <v>77.099999999999994</v>
      </c>
      <c r="P685" s="116">
        <v>79.2</v>
      </c>
      <c r="Q685" s="116">
        <v>77.400000000000006</v>
      </c>
      <c r="R685">
        <v>8461033</v>
      </c>
    </row>
    <row r="686" spans="1:18" x14ac:dyDescent="0.25">
      <c r="A686" s="170">
        <v>43012</v>
      </c>
      <c r="B686" s="116">
        <v>78.349999999999994</v>
      </c>
      <c r="C686" s="116">
        <v>78.05</v>
      </c>
      <c r="D686" s="116">
        <v>77.349999999999994</v>
      </c>
      <c r="E686" s="116">
        <v>77.349999999999994</v>
      </c>
      <c r="F686" s="116">
        <v>78.05</v>
      </c>
      <c r="G686">
        <v>279109</v>
      </c>
      <c r="H686" s="116"/>
      <c r="I686" s="116"/>
      <c r="L686" s="170">
        <v>43012</v>
      </c>
      <c r="M686" s="116">
        <v>78</v>
      </c>
      <c r="N686" s="116">
        <v>78.400000000000006</v>
      </c>
      <c r="O686" s="116">
        <v>77.349999999999994</v>
      </c>
      <c r="P686" s="116">
        <v>77.45</v>
      </c>
      <c r="Q686" s="116">
        <v>78</v>
      </c>
      <c r="R686">
        <v>4682880</v>
      </c>
    </row>
    <row r="687" spans="1:18" x14ac:dyDescent="0.25">
      <c r="A687" s="170">
        <v>43013</v>
      </c>
      <c r="B687" s="116">
        <v>79.150000000000006</v>
      </c>
      <c r="C687" s="116">
        <v>78.95</v>
      </c>
      <c r="D687" s="116">
        <v>77.8</v>
      </c>
      <c r="E687" s="116">
        <v>77.8</v>
      </c>
      <c r="F687" s="116">
        <v>78.95</v>
      </c>
      <c r="G687">
        <v>226920</v>
      </c>
      <c r="H687" s="116"/>
      <c r="I687" s="116"/>
      <c r="L687" s="170">
        <v>43013</v>
      </c>
      <c r="M687" s="116">
        <v>78.95</v>
      </c>
      <c r="N687" s="116">
        <v>79.2</v>
      </c>
      <c r="O687" s="116">
        <v>78.3</v>
      </c>
      <c r="P687" s="116">
        <v>78.400000000000006</v>
      </c>
      <c r="Q687" s="116">
        <v>78.95</v>
      </c>
      <c r="R687">
        <v>3315187</v>
      </c>
    </row>
    <row r="688" spans="1:18" x14ac:dyDescent="0.25">
      <c r="A688" s="170">
        <v>43014</v>
      </c>
      <c r="B688" s="116">
        <v>80.650000000000006</v>
      </c>
      <c r="C688" s="116">
        <v>80.45</v>
      </c>
      <c r="D688" s="116">
        <v>79.05</v>
      </c>
      <c r="E688" s="116">
        <v>79.05</v>
      </c>
      <c r="F688" s="116">
        <v>80.45</v>
      </c>
      <c r="G688">
        <v>347049</v>
      </c>
      <c r="H688" s="116"/>
      <c r="I688" s="116"/>
      <c r="L688" s="170">
        <v>43014</v>
      </c>
      <c r="M688" s="116">
        <v>80.650000000000006</v>
      </c>
      <c r="N688" s="116">
        <v>80.900000000000006</v>
      </c>
      <c r="O688" s="116">
        <v>79.400000000000006</v>
      </c>
      <c r="P688" s="116">
        <v>79.45</v>
      </c>
      <c r="Q688" s="116">
        <v>80.650000000000006</v>
      </c>
      <c r="R688">
        <v>7199557</v>
      </c>
    </row>
    <row r="689" spans="1:18" x14ac:dyDescent="0.25">
      <c r="A689" s="170">
        <v>43017</v>
      </c>
      <c r="B689" s="116">
        <v>82.1</v>
      </c>
      <c r="C689" s="116">
        <v>81.45</v>
      </c>
      <c r="D689" s="116">
        <v>80.25</v>
      </c>
      <c r="E689" s="116">
        <v>80.25</v>
      </c>
      <c r="F689" s="116">
        <v>81.45</v>
      </c>
      <c r="G689">
        <v>608900</v>
      </c>
      <c r="H689" s="116"/>
      <c r="I689" s="116"/>
      <c r="L689" s="170">
        <v>43017</v>
      </c>
      <c r="M689" s="116">
        <v>81.45</v>
      </c>
      <c r="N689" s="116">
        <v>82.05</v>
      </c>
      <c r="O689" s="116">
        <v>80.25</v>
      </c>
      <c r="P689" s="116">
        <v>80.349999999999994</v>
      </c>
      <c r="Q689" s="116">
        <v>81.45</v>
      </c>
      <c r="R689">
        <v>6239160</v>
      </c>
    </row>
    <row r="690" spans="1:18" x14ac:dyDescent="0.25">
      <c r="A690" s="170">
        <v>43018</v>
      </c>
      <c r="B690" s="116">
        <v>82.05</v>
      </c>
      <c r="C690" s="116">
        <v>81.55</v>
      </c>
      <c r="D690" s="116">
        <v>81.3</v>
      </c>
      <c r="E690" s="116">
        <v>81.599999999999994</v>
      </c>
      <c r="F690" s="116">
        <v>81.55</v>
      </c>
      <c r="G690">
        <v>373063</v>
      </c>
      <c r="H690" s="116"/>
      <c r="I690" s="116"/>
      <c r="L690" s="170">
        <v>43018</v>
      </c>
      <c r="M690" s="116">
        <v>81.55</v>
      </c>
      <c r="N690" s="116">
        <v>82.1</v>
      </c>
      <c r="O690" s="116">
        <v>81.25</v>
      </c>
      <c r="P690" s="116">
        <v>81.75</v>
      </c>
      <c r="Q690" s="116">
        <v>81.55</v>
      </c>
      <c r="R690">
        <v>3898379</v>
      </c>
    </row>
    <row r="691" spans="1:18" x14ac:dyDescent="0.25">
      <c r="A691" s="170">
        <v>43019</v>
      </c>
      <c r="B691" s="116">
        <v>82.55</v>
      </c>
      <c r="C691" s="116">
        <v>81</v>
      </c>
      <c r="D691" s="116">
        <v>80.5</v>
      </c>
      <c r="E691" s="116">
        <v>81.7</v>
      </c>
      <c r="F691" s="116">
        <v>81</v>
      </c>
      <c r="G691">
        <v>450613</v>
      </c>
      <c r="H691" s="116"/>
      <c r="I691" s="116"/>
      <c r="L691" s="170">
        <v>43019</v>
      </c>
      <c r="M691" s="116">
        <v>81</v>
      </c>
      <c r="N691" s="116">
        <v>82.55</v>
      </c>
      <c r="O691" s="116">
        <v>80.45</v>
      </c>
      <c r="P691" s="116">
        <v>81.75</v>
      </c>
      <c r="Q691" s="116">
        <v>81</v>
      </c>
      <c r="R691">
        <v>5318204</v>
      </c>
    </row>
    <row r="692" spans="1:18" x14ac:dyDescent="0.25">
      <c r="A692" s="170">
        <v>43020</v>
      </c>
      <c r="B692" s="116">
        <v>82.1</v>
      </c>
      <c r="C692" s="116">
        <v>81.7</v>
      </c>
      <c r="D692" s="116">
        <v>80.55</v>
      </c>
      <c r="E692" s="116">
        <v>81.5</v>
      </c>
      <c r="F692" s="116">
        <v>81.7</v>
      </c>
      <c r="G692">
        <v>319533</v>
      </c>
      <c r="H692" s="116"/>
      <c r="I692" s="116"/>
      <c r="L692" s="170">
        <v>43020</v>
      </c>
      <c r="M692" s="116">
        <v>81.7</v>
      </c>
      <c r="N692" s="116">
        <v>82.1</v>
      </c>
      <c r="O692" s="116">
        <v>80.45</v>
      </c>
      <c r="P692" s="116">
        <v>81</v>
      </c>
      <c r="Q692" s="116">
        <v>81.7</v>
      </c>
      <c r="R692">
        <v>4280242</v>
      </c>
    </row>
    <row r="693" spans="1:18" x14ac:dyDescent="0.25">
      <c r="A693" s="170">
        <v>43021</v>
      </c>
      <c r="B693" s="116">
        <v>82.5</v>
      </c>
      <c r="C693" s="116">
        <v>81.599999999999994</v>
      </c>
      <c r="D693" s="116">
        <v>81.45</v>
      </c>
      <c r="E693" s="116">
        <v>82.5</v>
      </c>
      <c r="F693" s="116">
        <v>81.599999999999994</v>
      </c>
      <c r="G693">
        <v>315643</v>
      </c>
      <c r="H693" s="116"/>
      <c r="I693" s="116"/>
      <c r="L693" s="170">
        <v>43021</v>
      </c>
      <c r="M693" s="116">
        <v>81.650000000000006</v>
      </c>
      <c r="N693" s="116">
        <v>82.6</v>
      </c>
      <c r="O693" s="116">
        <v>81.400000000000006</v>
      </c>
      <c r="P693" s="116">
        <v>82.6</v>
      </c>
      <c r="Q693" s="116">
        <v>81.650000000000006</v>
      </c>
      <c r="R693">
        <v>2469408</v>
      </c>
    </row>
    <row r="694" spans="1:18" x14ac:dyDescent="0.25">
      <c r="A694" s="170">
        <v>43024</v>
      </c>
      <c r="B694" s="116">
        <v>82.2</v>
      </c>
      <c r="C694" s="116">
        <v>81.75</v>
      </c>
      <c r="D694" s="116">
        <v>81.2</v>
      </c>
      <c r="E694" s="116">
        <v>81.2</v>
      </c>
      <c r="F694" s="116">
        <v>81.75</v>
      </c>
      <c r="G694">
        <v>277762</v>
      </c>
      <c r="H694" s="116"/>
      <c r="I694" s="116"/>
      <c r="L694" s="170">
        <v>43024</v>
      </c>
      <c r="M694" s="116">
        <v>81.95</v>
      </c>
      <c r="N694" s="116">
        <v>82.25</v>
      </c>
      <c r="O694" s="116">
        <v>81.349999999999994</v>
      </c>
      <c r="P694" s="116">
        <v>82</v>
      </c>
      <c r="Q694" s="116">
        <v>81.95</v>
      </c>
      <c r="R694">
        <v>2578188</v>
      </c>
    </row>
    <row r="695" spans="1:18" x14ac:dyDescent="0.25">
      <c r="A695" s="170">
        <v>43025</v>
      </c>
      <c r="B695" s="116">
        <v>82</v>
      </c>
      <c r="C695" s="116">
        <v>81.599999999999994</v>
      </c>
      <c r="D695" s="116">
        <v>81.5</v>
      </c>
      <c r="E695" s="116">
        <v>81.900000000000006</v>
      </c>
      <c r="F695" s="116">
        <v>81.599999999999994</v>
      </c>
      <c r="G695">
        <v>161916</v>
      </c>
      <c r="H695" s="116"/>
      <c r="I695" s="116"/>
      <c r="L695" s="170">
        <v>43025</v>
      </c>
      <c r="M695" s="116">
        <v>81.599999999999994</v>
      </c>
      <c r="N695" s="116">
        <v>82.1</v>
      </c>
      <c r="O695" s="116">
        <v>81.5</v>
      </c>
      <c r="P695" s="116">
        <v>81.95</v>
      </c>
      <c r="Q695" s="116">
        <v>81.599999999999994</v>
      </c>
      <c r="R695">
        <v>3977209</v>
      </c>
    </row>
    <row r="696" spans="1:18" x14ac:dyDescent="0.25">
      <c r="A696" s="170">
        <v>43026</v>
      </c>
      <c r="B696" s="116">
        <v>82.1</v>
      </c>
      <c r="C696" s="116">
        <v>81.849999999999994</v>
      </c>
      <c r="D696" s="116">
        <v>81.099999999999994</v>
      </c>
      <c r="E696" s="116">
        <v>81.099999999999994</v>
      </c>
      <c r="F696" s="116">
        <v>81.849999999999994</v>
      </c>
      <c r="G696">
        <v>226282</v>
      </c>
      <c r="H696" s="116"/>
      <c r="I696" s="116"/>
      <c r="L696" s="170">
        <v>43026</v>
      </c>
      <c r="M696" s="116">
        <v>81.900000000000006</v>
      </c>
      <c r="N696" s="116">
        <v>82.1</v>
      </c>
      <c r="O696" s="116">
        <v>81.05</v>
      </c>
      <c r="P696" s="116">
        <v>81.8</v>
      </c>
      <c r="Q696" s="116">
        <v>81.900000000000006</v>
      </c>
      <c r="R696">
        <v>3092776</v>
      </c>
    </row>
    <row r="697" spans="1:18" x14ac:dyDescent="0.25">
      <c r="A697" s="170">
        <v>43027</v>
      </c>
      <c r="B697" s="116">
        <v>82.6</v>
      </c>
      <c r="C697" s="116">
        <v>81.75</v>
      </c>
      <c r="D697" s="116">
        <v>81.099999999999994</v>
      </c>
      <c r="E697" s="116">
        <v>82.25</v>
      </c>
      <c r="F697" s="116">
        <v>81.75</v>
      </c>
      <c r="G697">
        <v>118080</v>
      </c>
      <c r="H697" s="116"/>
      <c r="I697" s="116"/>
      <c r="L697" s="170">
        <v>43027</v>
      </c>
      <c r="M697" s="116">
        <v>81.5</v>
      </c>
      <c r="N697" s="116">
        <v>82.55</v>
      </c>
      <c r="O697" s="116">
        <v>81.05</v>
      </c>
      <c r="P697" s="116">
        <v>82.55</v>
      </c>
      <c r="Q697" s="116">
        <v>81.5</v>
      </c>
      <c r="R697">
        <v>536886</v>
      </c>
    </row>
    <row r="698" spans="1:18" x14ac:dyDescent="0.25">
      <c r="A698" s="170">
        <v>43031</v>
      </c>
      <c r="B698" s="116">
        <v>82</v>
      </c>
      <c r="C698" s="116">
        <v>81.75</v>
      </c>
      <c r="D698" s="116">
        <v>81.25</v>
      </c>
      <c r="E698" s="116">
        <v>81.599999999999994</v>
      </c>
      <c r="F698" s="116">
        <v>81.75</v>
      </c>
      <c r="G698">
        <v>142549</v>
      </c>
      <c r="H698" s="116"/>
      <c r="I698" s="116"/>
      <c r="L698" s="170">
        <v>43031</v>
      </c>
      <c r="M698" s="116">
        <v>81.75</v>
      </c>
      <c r="N698" s="116">
        <v>82.05</v>
      </c>
      <c r="O698" s="116">
        <v>81.2</v>
      </c>
      <c r="P698" s="116">
        <v>82</v>
      </c>
      <c r="Q698" s="116">
        <v>81.75</v>
      </c>
      <c r="R698">
        <v>1906801</v>
      </c>
    </row>
    <row r="699" spans="1:18" x14ac:dyDescent="0.25">
      <c r="A699" s="170">
        <v>43032</v>
      </c>
      <c r="B699" s="116">
        <v>82.5</v>
      </c>
      <c r="C699" s="116">
        <v>82.1</v>
      </c>
      <c r="D699" s="116">
        <v>81.5</v>
      </c>
      <c r="E699" s="116">
        <v>81.7</v>
      </c>
      <c r="F699" s="116">
        <v>82.1</v>
      </c>
      <c r="G699">
        <v>216656</v>
      </c>
      <c r="H699" s="116"/>
      <c r="I699" s="116"/>
      <c r="L699" s="170">
        <v>43032</v>
      </c>
      <c r="M699" s="116">
        <v>82.15</v>
      </c>
      <c r="N699" s="116">
        <v>82.5</v>
      </c>
      <c r="O699" s="116">
        <v>81.55</v>
      </c>
      <c r="P699" s="116">
        <v>82</v>
      </c>
      <c r="Q699" s="116">
        <v>82.15</v>
      </c>
      <c r="R699">
        <v>1983329</v>
      </c>
    </row>
    <row r="700" spans="1:18" x14ac:dyDescent="0.25">
      <c r="A700" s="170">
        <v>43033</v>
      </c>
      <c r="B700" s="116">
        <v>83.75</v>
      </c>
      <c r="C700" s="116">
        <v>82.3</v>
      </c>
      <c r="D700" s="116">
        <v>81.900000000000006</v>
      </c>
      <c r="E700" s="116">
        <v>82.05</v>
      </c>
      <c r="F700" s="116">
        <v>82.3</v>
      </c>
      <c r="G700">
        <v>452251</v>
      </c>
      <c r="H700" s="116"/>
      <c r="I700" s="116"/>
      <c r="L700" s="170">
        <v>43033</v>
      </c>
      <c r="M700" s="116">
        <v>82.25</v>
      </c>
      <c r="N700" s="116">
        <v>83.8</v>
      </c>
      <c r="O700" s="116">
        <v>81.849999999999994</v>
      </c>
      <c r="P700" s="116">
        <v>82.5</v>
      </c>
      <c r="Q700" s="116">
        <v>82.25</v>
      </c>
      <c r="R700">
        <v>6803458</v>
      </c>
    </row>
    <row r="701" spans="1:18" x14ac:dyDescent="0.25">
      <c r="A701" s="170">
        <v>43034</v>
      </c>
      <c r="B701" s="116">
        <v>83.4</v>
      </c>
      <c r="C701" s="116">
        <v>82.35</v>
      </c>
      <c r="D701" s="116">
        <v>82</v>
      </c>
      <c r="E701" s="116">
        <v>82.5</v>
      </c>
      <c r="F701" s="116">
        <v>82.35</v>
      </c>
      <c r="G701">
        <v>305600</v>
      </c>
      <c r="H701" s="116"/>
      <c r="I701" s="116"/>
      <c r="L701" s="170">
        <v>43034</v>
      </c>
      <c r="M701" s="116">
        <v>82.15</v>
      </c>
      <c r="N701" s="116">
        <v>83.3</v>
      </c>
      <c r="O701" s="116">
        <v>82</v>
      </c>
      <c r="P701" s="116">
        <v>82.7</v>
      </c>
      <c r="Q701" s="116">
        <v>82.15</v>
      </c>
      <c r="R701">
        <v>7214920</v>
      </c>
    </row>
    <row r="702" spans="1:18" x14ac:dyDescent="0.25">
      <c r="A702" s="170">
        <v>43035</v>
      </c>
      <c r="B702" s="116">
        <v>85.75</v>
      </c>
      <c r="C702" s="116">
        <v>85.25</v>
      </c>
      <c r="D702" s="116">
        <v>82.15</v>
      </c>
      <c r="E702" s="116">
        <v>82.15</v>
      </c>
      <c r="F702" s="116">
        <v>85.25</v>
      </c>
      <c r="G702">
        <v>2054669</v>
      </c>
      <c r="H702" s="116"/>
      <c r="I702" s="116"/>
      <c r="L702" s="170">
        <v>43035</v>
      </c>
      <c r="M702" s="116">
        <v>85.1</v>
      </c>
      <c r="N702" s="116">
        <v>85.7</v>
      </c>
      <c r="O702" s="116">
        <v>82.35</v>
      </c>
      <c r="P702" s="116">
        <v>82.5</v>
      </c>
      <c r="Q702" s="116">
        <v>85.1</v>
      </c>
      <c r="R702">
        <v>7554777</v>
      </c>
    </row>
    <row r="703" spans="1:18" x14ac:dyDescent="0.25">
      <c r="A703" s="170">
        <v>43038</v>
      </c>
      <c r="B703" s="116">
        <v>87.4</v>
      </c>
      <c r="C703" s="116">
        <v>86</v>
      </c>
      <c r="D703" s="116">
        <v>85.4</v>
      </c>
      <c r="E703" s="116">
        <v>85.4</v>
      </c>
      <c r="F703" s="116">
        <v>86</v>
      </c>
      <c r="G703">
        <v>663044</v>
      </c>
      <c r="H703" s="116"/>
      <c r="I703" s="116"/>
      <c r="L703" s="170">
        <v>43038</v>
      </c>
      <c r="M703" s="116">
        <v>85.95</v>
      </c>
      <c r="N703" s="116">
        <v>87.45</v>
      </c>
      <c r="O703" s="116">
        <v>85.35</v>
      </c>
      <c r="P703" s="116">
        <v>86</v>
      </c>
      <c r="Q703" s="116">
        <v>85.95</v>
      </c>
      <c r="R703">
        <v>5887950</v>
      </c>
    </row>
    <row r="704" spans="1:18" x14ac:dyDescent="0.25">
      <c r="A704" s="170">
        <v>43039</v>
      </c>
      <c r="B704" s="116">
        <v>86.75</v>
      </c>
      <c r="C704" s="116">
        <v>84.8</v>
      </c>
      <c r="D704" s="116">
        <v>84.55</v>
      </c>
      <c r="E704" s="116">
        <v>86.75</v>
      </c>
      <c r="F704" s="116">
        <v>84.8</v>
      </c>
      <c r="G704">
        <v>482678</v>
      </c>
      <c r="H704" s="116"/>
      <c r="I704" s="116"/>
      <c r="L704" s="170">
        <v>43039</v>
      </c>
      <c r="M704" s="116">
        <v>84.9</v>
      </c>
      <c r="N704" s="116">
        <v>86.35</v>
      </c>
      <c r="O704" s="116">
        <v>84.6</v>
      </c>
      <c r="P704" s="116">
        <v>86.35</v>
      </c>
      <c r="Q704" s="116">
        <v>84.9</v>
      </c>
      <c r="R704">
        <v>3517881</v>
      </c>
    </row>
    <row r="705" spans="1:18" x14ac:dyDescent="0.25">
      <c r="A705" s="170">
        <v>43040</v>
      </c>
      <c r="B705" s="116">
        <v>86.15</v>
      </c>
      <c r="C705" s="116">
        <v>85.15</v>
      </c>
      <c r="D705" s="116">
        <v>84.45</v>
      </c>
      <c r="E705" s="116">
        <v>85.2</v>
      </c>
      <c r="F705" s="116">
        <v>85.15</v>
      </c>
      <c r="G705">
        <v>543516</v>
      </c>
      <c r="H705" s="116"/>
      <c r="I705" s="116"/>
      <c r="L705" s="170">
        <v>43040</v>
      </c>
      <c r="M705" s="116">
        <v>85.2</v>
      </c>
      <c r="N705" s="116">
        <v>86.2</v>
      </c>
      <c r="O705" s="116">
        <v>84.4</v>
      </c>
      <c r="P705" s="116">
        <v>85.7</v>
      </c>
      <c r="Q705" s="116">
        <v>85.2</v>
      </c>
      <c r="R705">
        <v>3999344</v>
      </c>
    </row>
    <row r="706" spans="1:18" x14ac:dyDescent="0.25">
      <c r="A706" s="170">
        <v>43041</v>
      </c>
      <c r="B706" s="116">
        <v>85.6</v>
      </c>
      <c r="C706" s="116">
        <v>84.75</v>
      </c>
      <c r="D706" s="116">
        <v>84.05</v>
      </c>
      <c r="E706" s="116">
        <v>85.5</v>
      </c>
      <c r="F706" s="116">
        <v>84.75</v>
      </c>
      <c r="G706">
        <v>369252</v>
      </c>
      <c r="H706" s="116"/>
      <c r="I706" s="116"/>
      <c r="L706" s="170">
        <v>43041</v>
      </c>
      <c r="M706" s="116">
        <v>84.8</v>
      </c>
      <c r="N706" s="116">
        <v>85.7</v>
      </c>
      <c r="O706" s="116">
        <v>84.05</v>
      </c>
      <c r="P706" s="116">
        <v>85.2</v>
      </c>
      <c r="Q706" s="116">
        <v>84.8</v>
      </c>
      <c r="R706">
        <v>3855149</v>
      </c>
    </row>
    <row r="707" spans="1:18" x14ac:dyDescent="0.25">
      <c r="A707" s="170">
        <v>43042</v>
      </c>
      <c r="B707" s="116">
        <v>88.4</v>
      </c>
      <c r="C707" s="116">
        <v>84.55</v>
      </c>
      <c r="D707" s="116">
        <v>83.8</v>
      </c>
      <c r="E707" s="116">
        <v>85.5</v>
      </c>
      <c r="F707" s="116">
        <v>84.55</v>
      </c>
      <c r="G707">
        <v>2714586</v>
      </c>
      <c r="H707" s="116"/>
      <c r="I707" s="116"/>
      <c r="L707" s="170">
        <v>43042</v>
      </c>
      <c r="M707" s="116">
        <v>84.5</v>
      </c>
      <c r="N707" s="116">
        <v>88.5</v>
      </c>
      <c r="O707" s="116">
        <v>83.7</v>
      </c>
      <c r="P707" s="116">
        <v>85.95</v>
      </c>
      <c r="Q707" s="116">
        <v>84.5</v>
      </c>
      <c r="R707">
        <v>23606567</v>
      </c>
    </row>
    <row r="708" spans="1:18" x14ac:dyDescent="0.25">
      <c r="A708" s="170">
        <v>43045</v>
      </c>
      <c r="B708" s="116">
        <v>86.35</v>
      </c>
      <c r="C708" s="116">
        <v>85.5</v>
      </c>
      <c r="D708" s="116">
        <v>83.7</v>
      </c>
      <c r="E708" s="116">
        <v>84.05</v>
      </c>
      <c r="F708" s="116">
        <v>85.5</v>
      </c>
      <c r="G708">
        <v>831011</v>
      </c>
      <c r="H708" s="116"/>
      <c r="I708" s="116"/>
      <c r="L708" s="170">
        <v>43045</v>
      </c>
      <c r="M708" s="116">
        <v>85.45</v>
      </c>
      <c r="N708" s="116">
        <v>86.45</v>
      </c>
      <c r="O708" s="116">
        <v>83.75</v>
      </c>
      <c r="P708" s="116">
        <v>84.45</v>
      </c>
      <c r="Q708" s="116">
        <v>85.45</v>
      </c>
      <c r="R708">
        <v>9048909</v>
      </c>
    </row>
    <row r="709" spans="1:18" x14ac:dyDescent="0.25">
      <c r="A709" s="170">
        <v>43046</v>
      </c>
      <c r="B709" s="116">
        <v>86.65</v>
      </c>
      <c r="C709" s="116">
        <v>82.95</v>
      </c>
      <c r="D709" s="116">
        <v>82.55</v>
      </c>
      <c r="E709" s="116">
        <v>85.5</v>
      </c>
      <c r="F709" s="116">
        <v>82.95</v>
      </c>
      <c r="G709">
        <v>422486</v>
      </c>
      <c r="H709" s="116"/>
      <c r="I709" s="116"/>
      <c r="L709" s="170">
        <v>43046</v>
      </c>
      <c r="M709" s="116">
        <v>83.05</v>
      </c>
      <c r="N709" s="116">
        <v>86.4</v>
      </c>
      <c r="O709" s="116">
        <v>82.45</v>
      </c>
      <c r="P709" s="116">
        <v>86</v>
      </c>
      <c r="Q709" s="116">
        <v>83.05</v>
      </c>
      <c r="R709">
        <v>8529822</v>
      </c>
    </row>
    <row r="710" spans="1:18" x14ac:dyDescent="0.25">
      <c r="A710" s="170">
        <v>43047</v>
      </c>
      <c r="B710" s="116">
        <v>84.5</v>
      </c>
      <c r="C710" s="116">
        <v>83.15</v>
      </c>
      <c r="D710" s="116">
        <v>83</v>
      </c>
      <c r="E710" s="116">
        <v>83.8</v>
      </c>
      <c r="F710" s="116">
        <v>83.15</v>
      </c>
      <c r="G710">
        <v>297250</v>
      </c>
      <c r="H710" s="116"/>
      <c r="I710" s="116"/>
      <c r="L710" s="170">
        <v>43047</v>
      </c>
      <c r="M710" s="116">
        <v>83.3</v>
      </c>
      <c r="N710" s="116">
        <v>84.55</v>
      </c>
      <c r="O710" s="116">
        <v>83</v>
      </c>
      <c r="P710" s="116">
        <v>83.45</v>
      </c>
      <c r="Q710" s="116">
        <v>83.3</v>
      </c>
      <c r="R710">
        <v>5729398</v>
      </c>
    </row>
    <row r="711" spans="1:18" x14ac:dyDescent="0.25">
      <c r="A711" s="170">
        <v>43048</v>
      </c>
      <c r="B711" s="116">
        <v>84.4</v>
      </c>
      <c r="C711" s="116">
        <v>83.65</v>
      </c>
      <c r="D711" s="116">
        <v>82.75</v>
      </c>
      <c r="E711" s="116">
        <v>83.6</v>
      </c>
      <c r="F711" s="116">
        <v>83.65</v>
      </c>
      <c r="G711">
        <v>231831</v>
      </c>
      <c r="H711" s="116"/>
      <c r="I711" s="116"/>
      <c r="L711" s="170">
        <v>43048</v>
      </c>
      <c r="M711" s="116">
        <v>83.75</v>
      </c>
      <c r="N711" s="116">
        <v>84.4</v>
      </c>
      <c r="O711" s="116">
        <v>82.7</v>
      </c>
      <c r="P711" s="116">
        <v>83.55</v>
      </c>
      <c r="Q711" s="116">
        <v>83.75</v>
      </c>
      <c r="R711">
        <v>3733865</v>
      </c>
    </row>
    <row r="712" spans="1:18" x14ac:dyDescent="0.25">
      <c r="A712" s="170">
        <v>43049</v>
      </c>
      <c r="B712" s="116">
        <v>84.1</v>
      </c>
      <c r="C712" s="116">
        <v>82.85</v>
      </c>
      <c r="D712" s="116">
        <v>82.4</v>
      </c>
      <c r="E712" s="116">
        <v>83.05</v>
      </c>
      <c r="F712" s="116">
        <v>82.85</v>
      </c>
      <c r="G712">
        <v>232583</v>
      </c>
      <c r="H712" s="116"/>
      <c r="I712" s="116"/>
      <c r="L712" s="170">
        <v>43049</v>
      </c>
      <c r="M712" s="116">
        <v>82.95</v>
      </c>
      <c r="N712" s="116">
        <v>84.25</v>
      </c>
      <c r="O712" s="116">
        <v>82.35</v>
      </c>
      <c r="P712" s="116">
        <v>83.45</v>
      </c>
      <c r="Q712" s="116">
        <v>82.95</v>
      </c>
      <c r="R712">
        <v>3201517</v>
      </c>
    </row>
    <row r="713" spans="1:18" x14ac:dyDescent="0.25">
      <c r="A713" s="170">
        <v>43052</v>
      </c>
      <c r="B713" s="116">
        <v>83.4</v>
      </c>
      <c r="C713" s="116">
        <v>82</v>
      </c>
      <c r="D713" s="116">
        <v>81.7</v>
      </c>
      <c r="E713" s="116">
        <v>83</v>
      </c>
      <c r="F713" s="116">
        <v>82</v>
      </c>
      <c r="G713">
        <v>230014</v>
      </c>
      <c r="H713" s="116"/>
      <c r="I713" s="116"/>
      <c r="L713" s="170">
        <v>43052</v>
      </c>
      <c r="M713" s="116">
        <v>82.2</v>
      </c>
      <c r="N713" s="116">
        <v>83.35</v>
      </c>
      <c r="O713" s="116">
        <v>81.75</v>
      </c>
      <c r="P713" s="116">
        <v>83.15</v>
      </c>
      <c r="Q713" s="116">
        <v>82.2</v>
      </c>
      <c r="R713">
        <v>3917398</v>
      </c>
    </row>
    <row r="714" spans="1:18" x14ac:dyDescent="0.25">
      <c r="A714" s="170">
        <v>43053</v>
      </c>
      <c r="B714" s="116">
        <v>83.9</v>
      </c>
      <c r="C714" s="116">
        <v>81.75</v>
      </c>
      <c r="D714" s="116">
        <v>81.599999999999994</v>
      </c>
      <c r="E714" s="116">
        <v>81.7</v>
      </c>
      <c r="F714" s="116">
        <v>81.75</v>
      </c>
      <c r="G714">
        <v>212565</v>
      </c>
      <c r="H714" s="116"/>
      <c r="I714" s="116"/>
      <c r="L714" s="170">
        <v>43053</v>
      </c>
      <c r="M714" s="116">
        <v>81.8</v>
      </c>
      <c r="N714" s="116">
        <v>83.2</v>
      </c>
      <c r="O714" s="116">
        <v>81.650000000000006</v>
      </c>
      <c r="P714" s="116">
        <v>82</v>
      </c>
      <c r="Q714" s="116">
        <v>81.8</v>
      </c>
      <c r="R714">
        <v>5252226</v>
      </c>
    </row>
    <row r="715" spans="1:18" x14ac:dyDescent="0.25">
      <c r="A715" s="170">
        <v>43054</v>
      </c>
      <c r="B715" s="116">
        <v>82.75</v>
      </c>
      <c r="C715" s="116">
        <v>82.05</v>
      </c>
      <c r="D715" s="116">
        <v>81.650000000000006</v>
      </c>
      <c r="E715" s="116">
        <v>82.2</v>
      </c>
      <c r="F715" s="116">
        <v>82.05</v>
      </c>
      <c r="G715">
        <v>279398</v>
      </c>
      <c r="H715" s="116"/>
      <c r="I715" s="116"/>
      <c r="L715" s="170">
        <v>43054</v>
      </c>
      <c r="M715" s="116">
        <v>82.05</v>
      </c>
      <c r="N715" s="116">
        <v>82.7</v>
      </c>
      <c r="O715" s="116">
        <v>81.650000000000006</v>
      </c>
      <c r="P715" s="116">
        <v>81.7</v>
      </c>
      <c r="Q715" s="116">
        <v>82.05</v>
      </c>
      <c r="R715">
        <v>4310040</v>
      </c>
    </row>
    <row r="716" spans="1:18" x14ac:dyDescent="0.25">
      <c r="A716" s="170">
        <v>43055</v>
      </c>
      <c r="B716" s="116">
        <v>85.2</v>
      </c>
      <c r="C716" s="116">
        <v>84.7</v>
      </c>
      <c r="D716" s="116">
        <v>82.5</v>
      </c>
      <c r="E716" s="116">
        <v>82.6</v>
      </c>
      <c r="F716" s="116">
        <v>84.7</v>
      </c>
      <c r="G716">
        <v>546853</v>
      </c>
      <c r="H716" s="116"/>
      <c r="I716" s="116"/>
      <c r="L716" s="170">
        <v>43055</v>
      </c>
      <c r="M716" s="116">
        <v>84.8</v>
      </c>
      <c r="N716" s="116">
        <v>85.25</v>
      </c>
      <c r="O716" s="116">
        <v>82.4</v>
      </c>
      <c r="P716" s="116">
        <v>82.4</v>
      </c>
      <c r="Q716" s="116">
        <v>84.8</v>
      </c>
      <c r="R716">
        <v>9687109</v>
      </c>
    </row>
    <row r="717" spans="1:18" x14ac:dyDescent="0.25">
      <c r="A717" s="170">
        <v>43056</v>
      </c>
      <c r="B717" s="116">
        <v>90.4</v>
      </c>
      <c r="C717" s="116">
        <v>88.95</v>
      </c>
      <c r="D717" s="116">
        <v>85.05</v>
      </c>
      <c r="E717" s="116">
        <v>85.05</v>
      </c>
      <c r="F717" s="116">
        <v>88.95</v>
      </c>
      <c r="G717">
        <v>1435479</v>
      </c>
      <c r="H717" s="116"/>
      <c r="I717" s="116"/>
      <c r="L717" s="170">
        <v>43056</v>
      </c>
      <c r="M717" s="116">
        <v>88.95</v>
      </c>
      <c r="N717" s="116">
        <v>90.4</v>
      </c>
      <c r="O717" s="116">
        <v>85.4</v>
      </c>
      <c r="P717" s="116">
        <v>85.5</v>
      </c>
      <c r="Q717" s="116">
        <v>88.95</v>
      </c>
      <c r="R717">
        <v>17486215</v>
      </c>
    </row>
    <row r="718" spans="1:18" x14ac:dyDescent="0.25">
      <c r="A718" s="170">
        <v>43059</v>
      </c>
      <c r="B718" s="116">
        <v>92.4</v>
      </c>
      <c r="C718" s="116">
        <v>91.75</v>
      </c>
      <c r="D718" s="116">
        <v>89.05</v>
      </c>
      <c r="E718" s="116">
        <v>89.45</v>
      </c>
      <c r="F718" s="116">
        <v>91.75</v>
      </c>
      <c r="G718">
        <v>1770479</v>
      </c>
      <c r="H718" s="116"/>
      <c r="I718" s="116"/>
      <c r="L718" s="170">
        <v>43059</v>
      </c>
      <c r="M718" s="116">
        <v>91.7</v>
      </c>
      <c r="N718" s="116">
        <v>92.4</v>
      </c>
      <c r="O718" s="116">
        <v>89</v>
      </c>
      <c r="P718" s="116">
        <v>89</v>
      </c>
      <c r="Q718" s="116">
        <v>91.7</v>
      </c>
      <c r="R718">
        <v>22268784</v>
      </c>
    </row>
    <row r="719" spans="1:18" x14ac:dyDescent="0.25">
      <c r="A719" s="170">
        <v>43060</v>
      </c>
      <c r="B719" s="116">
        <v>94.5</v>
      </c>
      <c r="C719" s="116">
        <v>92.85</v>
      </c>
      <c r="D719" s="116">
        <v>91.95</v>
      </c>
      <c r="E719" s="116">
        <v>92</v>
      </c>
      <c r="F719" s="116">
        <v>92.85</v>
      </c>
      <c r="G719">
        <v>1492718</v>
      </c>
      <c r="H719" s="116"/>
      <c r="I719" s="116"/>
      <c r="L719" s="170">
        <v>43060</v>
      </c>
      <c r="M719" s="116">
        <v>92.9</v>
      </c>
      <c r="N719" s="116">
        <v>94.6</v>
      </c>
      <c r="O719" s="116">
        <v>91.7</v>
      </c>
      <c r="P719" s="116">
        <v>92.15</v>
      </c>
      <c r="Q719" s="116">
        <v>92.9</v>
      </c>
      <c r="R719">
        <v>17274882</v>
      </c>
    </row>
    <row r="720" spans="1:18" x14ac:dyDescent="0.25">
      <c r="A720" s="170">
        <v>43061</v>
      </c>
      <c r="B720" s="116">
        <v>93.45</v>
      </c>
      <c r="C720" s="116">
        <v>93</v>
      </c>
      <c r="D720" s="116">
        <v>90.35</v>
      </c>
      <c r="E720" s="116">
        <v>92.8</v>
      </c>
      <c r="F720" s="116">
        <v>93</v>
      </c>
      <c r="G720">
        <v>953143</v>
      </c>
      <c r="H720" s="116"/>
      <c r="I720" s="116"/>
      <c r="L720" s="170">
        <v>43061</v>
      </c>
      <c r="M720" s="116">
        <v>93.05</v>
      </c>
      <c r="N720" s="116">
        <v>93.4</v>
      </c>
      <c r="O720" s="116">
        <v>90.45</v>
      </c>
      <c r="P720" s="116">
        <v>92.75</v>
      </c>
      <c r="Q720" s="116">
        <v>93.05</v>
      </c>
      <c r="R720">
        <v>10917988</v>
      </c>
    </row>
    <row r="721" spans="1:18" x14ac:dyDescent="0.25">
      <c r="A721" s="170">
        <v>43062</v>
      </c>
      <c r="B721" s="116">
        <v>94.95</v>
      </c>
      <c r="C721" s="116">
        <v>93.2</v>
      </c>
      <c r="D721" s="116">
        <v>92.2</v>
      </c>
      <c r="E721" s="116">
        <v>93.3</v>
      </c>
      <c r="F721" s="116">
        <v>93.2</v>
      </c>
      <c r="G721">
        <v>818497</v>
      </c>
      <c r="H721" s="116"/>
      <c r="I721" s="116"/>
      <c r="L721" s="170">
        <v>43062</v>
      </c>
      <c r="M721" s="116">
        <v>93.15</v>
      </c>
      <c r="N721" s="116">
        <v>94.95</v>
      </c>
      <c r="O721" s="116">
        <v>92.2</v>
      </c>
      <c r="P721" s="116">
        <v>93.4</v>
      </c>
      <c r="Q721" s="116">
        <v>93.15</v>
      </c>
      <c r="R721">
        <v>11289675</v>
      </c>
    </row>
    <row r="722" spans="1:18" x14ac:dyDescent="0.25">
      <c r="A722" s="170">
        <v>43063</v>
      </c>
      <c r="B722" s="116">
        <v>94.3</v>
      </c>
      <c r="C722" s="116">
        <v>93.8</v>
      </c>
      <c r="D722" s="116">
        <v>92.65</v>
      </c>
      <c r="E722" s="116">
        <v>93</v>
      </c>
      <c r="F722" s="116">
        <v>93.8</v>
      </c>
      <c r="G722">
        <v>645380</v>
      </c>
      <c r="H722" s="116"/>
      <c r="I722" s="116"/>
      <c r="L722" s="170">
        <v>43063</v>
      </c>
      <c r="M722" s="116">
        <v>93.65</v>
      </c>
      <c r="N722" s="116">
        <v>94.35</v>
      </c>
      <c r="O722" s="116">
        <v>92.6</v>
      </c>
      <c r="P722" s="116">
        <v>93.1</v>
      </c>
      <c r="Q722" s="116">
        <v>93.65</v>
      </c>
      <c r="R722">
        <v>6622336</v>
      </c>
    </row>
    <row r="723" spans="1:18" x14ac:dyDescent="0.25">
      <c r="A723" s="170">
        <v>43066</v>
      </c>
      <c r="B723" s="116">
        <v>95.85</v>
      </c>
      <c r="C723" s="116">
        <v>95.25</v>
      </c>
      <c r="D723" s="116">
        <v>92.5</v>
      </c>
      <c r="E723" s="116">
        <v>93.7</v>
      </c>
      <c r="F723" s="116">
        <v>95.25</v>
      </c>
      <c r="G723">
        <v>991999</v>
      </c>
      <c r="H723" s="116"/>
      <c r="I723" s="116"/>
      <c r="L723" s="170">
        <v>43066</v>
      </c>
      <c r="M723" s="116">
        <v>95.25</v>
      </c>
      <c r="N723" s="116">
        <v>95.8</v>
      </c>
      <c r="O723" s="116">
        <v>92.5</v>
      </c>
      <c r="P723" s="116">
        <v>93.4</v>
      </c>
      <c r="Q723" s="116">
        <v>95.25</v>
      </c>
      <c r="R723">
        <v>11711838</v>
      </c>
    </row>
    <row r="724" spans="1:18" x14ac:dyDescent="0.25">
      <c r="A724" s="170">
        <v>43067</v>
      </c>
      <c r="B724" s="116">
        <v>96.9</v>
      </c>
      <c r="C724" s="116">
        <v>95.9</v>
      </c>
      <c r="D724" s="116">
        <v>94.6</v>
      </c>
      <c r="E724" s="116">
        <v>95.85</v>
      </c>
      <c r="F724" s="116">
        <v>95.9</v>
      </c>
      <c r="G724">
        <v>2256181</v>
      </c>
      <c r="H724" s="116"/>
      <c r="I724" s="116"/>
      <c r="L724" s="170">
        <v>43067</v>
      </c>
      <c r="M724" s="116">
        <v>95.85</v>
      </c>
      <c r="N724" s="116">
        <v>96.9</v>
      </c>
      <c r="O724" s="116">
        <v>94.6</v>
      </c>
      <c r="P724" s="116">
        <v>95.75</v>
      </c>
      <c r="Q724" s="116">
        <v>95.85</v>
      </c>
      <c r="R724">
        <v>13765563</v>
      </c>
    </row>
    <row r="725" spans="1:18" x14ac:dyDescent="0.25">
      <c r="A725" s="170">
        <v>43068</v>
      </c>
      <c r="B725" s="116">
        <v>97.05</v>
      </c>
      <c r="C725" s="116">
        <v>94.9</v>
      </c>
      <c r="D725" s="116">
        <v>94.35</v>
      </c>
      <c r="E725" s="116">
        <v>95.75</v>
      </c>
      <c r="F725" s="116">
        <v>94.9</v>
      </c>
      <c r="G725">
        <v>742168</v>
      </c>
      <c r="H725" s="116"/>
      <c r="I725" s="116"/>
      <c r="L725" s="170">
        <v>43068</v>
      </c>
      <c r="M725" s="116">
        <v>95.05</v>
      </c>
      <c r="N725" s="116">
        <v>97.1</v>
      </c>
      <c r="O725" s="116">
        <v>94.5</v>
      </c>
      <c r="P725" s="116">
        <v>95.7</v>
      </c>
      <c r="Q725" s="116">
        <v>95.05</v>
      </c>
      <c r="R725">
        <v>12104211</v>
      </c>
    </row>
    <row r="726" spans="1:18" x14ac:dyDescent="0.25">
      <c r="A726" s="170">
        <v>43069</v>
      </c>
      <c r="B726" s="116">
        <v>95.7</v>
      </c>
      <c r="C726" s="116">
        <v>94.7</v>
      </c>
      <c r="D726" s="116">
        <v>93.7</v>
      </c>
      <c r="E726" s="116">
        <v>95</v>
      </c>
      <c r="F726" s="116">
        <v>94.7</v>
      </c>
      <c r="G726">
        <v>687404</v>
      </c>
      <c r="H726" s="116"/>
      <c r="I726" s="116"/>
      <c r="L726" s="170">
        <v>43069</v>
      </c>
      <c r="M726" s="116">
        <v>94.7</v>
      </c>
      <c r="N726" s="116">
        <v>95.75</v>
      </c>
      <c r="O726" s="116">
        <v>93.7</v>
      </c>
      <c r="P726" s="116">
        <v>94.75</v>
      </c>
      <c r="Q726" s="116">
        <v>94.7</v>
      </c>
      <c r="R726">
        <v>17098296</v>
      </c>
    </row>
    <row r="727" spans="1:18" x14ac:dyDescent="0.25">
      <c r="A727" s="170">
        <v>43070</v>
      </c>
      <c r="B727" s="116">
        <v>95.65</v>
      </c>
      <c r="C727" s="116">
        <v>90.35</v>
      </c>
      <c r="D727" s="116">
        <v>89.9</v>
      </c>
      <c r="E727" s="116">
        <v>95</v>
      </c>
      <c r="F727" s="116">
        <v>90.35</v>
      </c>
      <c r="G727">
        <v>854909</v>
      </c>
      <c r="H727" s="116"/>
      <c r="I727" s="116"/>
      <c r="L727" s="170">
        <v>43070</v>
      </c>
      <c r="M727" s="116">
        <v>90.25</v>
      </c>
      <c r="N727" s="116">
        <v>95.6</v>
      </c>
      <c r="O727" s="116">
        <v>89.7</v>
      </c>
      <c r="P727" s="116">
        <v>94.85</v>
      </c>
      <c r="Q727" s="116">
        <v>90.25</v>
      </c>
      <c r="R727">
        <v>7310376</v>
      </c>
    </row>
    <row r="728" spans="1:18" x14ac:dyDescent="0.25">
      <c r="A728" s="170">
        <v>43073</v>
      </c>
      <c r="B728" s="116">
        <v>91.75</v>
      </c>
      <c r="C728" s="116">
        <v>89.9</v>
      </c>
      <c r="D728" s="116">
        <v>89.3</v>
      </c>
      <c r="E728" s="116">
        <v>91.1</v>
      </c>
      <c r="F728" s="116">
        <v>89.9</v>
      </c>
      <c r="G728">
        <v>445634</v>
      </c>
      <c r="H728" s="116"/>
      <c r="I728" s="116"/>
      <c r="L728" s="170">
        <v>43073</v>
      </c>
      <c r="M728" s="116">
        <v>89.85</v>
      </c>
      <c r="N728" s="116">
        <v>91.85</v>
      </c>
      <c r="O728" s="116">
        <v>89.25</v>
      </c>
      <c r="P728" s="116">
        <v>91</v>
      </c>
      <c r="Q728" s="116">
        <v>89.85</v>
      </c>
      <c r="R728">
        <v>4903439</v>
      </c>
    </row>
    <row r="729" spans="1:18" x14ac:dyDescent="0.25">
      <c r="A729" s="170">
        <v>43074</v>
      </c>
      <c r="B729" s="116">
        <v>90.05</v>
      </c>
      <c r="C729" s="116">
        <v>88.9</v>
      </c>
      <c r="D729" s="116">
        <v>88.15</v>
      </c>
      <c r="E729" s="116">
        <v>89.9</v>
      </c>
      <c r="F729" s="116">
        <v>88.9</v>
      </c>
      <c r="G729">
        <v>524957</v>
      </c>
      <c r="H729" s="116"/>
      <c r="I729" s="116"/>
      <c r="L729" s="170">
        <v>43074</v>
      </c>
      <c r="M729" s="116">
        <v>88.9</v>
      </c>
      <c r="N729" s="116">
        <v>89.9</v>
      </c>
      <c r="O729" s="116">
        <v>88.1</v>
      </c>
      <c r="P729" s="116">
        <v>89.75</v>
      </c>
      <c r="Q729" s="116">
        <v>88.9</v>
      </c>
      <c r="R729">
        <v>4046457</v>
      </c>
    </row>
    <row r="730" spans="1:18" x14ac:dyDescent="0.25">
      <c r="A730" s="170">
        <v>43075</v>
      </c>
      <c r="B730" s="116">
        <v>90.2</v>
      </c>
      <c r="C730" s="116">
        <v>87.5</v>
      </c>
      <c r="D730" s="116">
        <v>87.15</v>
      </c>
      <c r="E730" s="116">
        <v>88.35</v>
      </c>
      <c r="F730" s="116">
        <v>87.5</v>
      </c>
      <c r="G730">
        <v>558026</v>
      </c>
      <c r="H730" s="116"/>
      <c r="I730" s="116"/>
      <c r="L730" s="170">
        <v>43075</v>
      </c>
      <c r="M730" s="116">
        <v>87.4</v>
      </c>
      <c r="N730" s="116">
        <v>90.25</v>
      </c>
      <c r="O730" s="116">
        <v>87</v>
      </c>
      <c r="P730" s="116">
        <v>89</v>
      </c>
      <c r="Q730" s="116">
        <v>87.4</v>
      </c>
      <c r="R730">
        <v>4891755</v>
      </c>
    </row>
    <row r="731" spans="1:18" x14ac:dyDescent="0.25">
      <c r="A731" s="170">
        <v>43076</v>
      </c>
      <c r="B731" s="116">
        <v>91.1</v>
      </c>
      <c r="C731" s="116">
        <v>90.8</v>
      </c>
      <c r="D731" s="116">
        <v>87.85</v>
      </c>
      <c r="E731" s="116">
        <v>88</v>
      </c>
      <c r="F731" s="116">
        <v>90.8</v>
      </c>
      <c r="G731">
        <v>977627</v>
      </c>
      <c r="H731" s="116"/>
      <c r="I731" s="116"/>
      <c r="L731" s="170">
        <v>43076</v>
      </c>
      <c r="M731" s="116">
        <v>90.85</v>
      </c>
      <c r="N731" s="116">
        <v>91.2</v>
      </c>
      <c r="O731" s="116">
        <v>87.7</v>
      </c>
      <c r="P731" s="116">
        <v>87.9</v>
      </c>
      <c r="Q731" s="116">
        <v>90.85</v>
      </c>
      <c r="R731">
        <v>10031260</v>
      </c>
    </row>
    <row r="732" spans="1:18" x14ac:dyDescent="0.25">
      <c r="A732" s="170">
        <v>43077</v>
      </c>
      <c r="B732" s="116">
        <v>95</v>
      </c>
      <c r="C732" s="116">
        <v>91.65</v>
      </c>
      <c r="D732" s="116">
        <v>91.05</v>
      </c>
      <c r="E732" s="116">
        <v>91.05</v>
      </c>
      <c r="F732" s="116">
        <v>91.65</v>
      </c>
      <c r="G732">
        <v>962633</v>
      </c>
      <c r="H732" s="116"/>
      <c r="I732" s="116"/>
      <c r="L732" s="170">
        <v>43077</v>
      </c>
      <c r="M732" s="116">
        <v>91.6</v>
      </c>
      <c r="N732" s="116">
        <v>93.85</v>
      </c>
      <c r="O732" s="116">
        <v>91.2</v>
      </c>
      <c r="P732" s="116">
        <v>91.5</v>
      </c>
      <c r="Q732" s="116">
        <v>91.6</v>
      </c>
      <c r="R732">
        <v>8248218</v>
      </c>
    </row>
    <row r="733" spans="1:18" x14ac:dyDescent="0.25">
      <c r="A733" s="170">
        <v>43080</v>
      </c>
      <c r="B733" s="116">
        <v>94</v>
      </c>
      <c r="C733" s="116">
        <v>93.55</v>
      </c>
      <c r="D733" s="116">
        <v>90.45</v>
      </c>
      <c r="E733" s="116">
        <v>92.3</v>
      </c>
      <c r="F733" s="116">
        <v>93.55</v>
      </c>
      <c r="G733">
        <v>762295</v>
      </c>
      <c r="H733" s="116"/>
      <c r="I733" s="116"/>
      <c r="L733" s="170">
        <v>43080</v>
      </c>
      <c r="M733" s="116">
        <v>93.55</v>
      </c>
      <c r="N733" s="116">
        <v>94.05</v>
      </c>
      <c r="O733" s="116">
        <v>90.35</v>
      </c>
      <c r="P733" s="116">
        <v>92.2</v>
      </c>
      <c r="Q733" s="116">
        <v>93.55</v>
      </c>
      <c r="R733">
        <v>8217955</v>
      </c>
    </row>
    <row r="734" spans="1:18" x14ac:dyDescent="0.25">
      <c r="A734" s="170">
        <v>43081</v>
      </c>
      <c r="B734" s="116">
        <v>93.3</v>
      </c>
      <c r="C734" s="116">
        <v>90.75</v>
      </c>
      <c r="D734" s="116">
        <v>90.5</v>
      </c>
      <c r="E734" s="116">
        <v>93.3</v>
      </c>
      <c r="F734" s="116">
        <v>90.75</v>
      </c>
      <c r="G734">
        <v>516458</v>
      </c>
      <c r="H734" s="116"/>
      <c r="I734" s="116"/>
      <c r="L734" s="170">
        <v>43081</v>
      </c>
      <c r="M734" s="116">
        <v>90.55</v>
      </c>
      <c r="N734" s="116">
        <v>93</v>
      </c>
      <c r="O734" s="116">
        <v>90.15</v>
      </c>
      <c r="P734" s="116">
        <v>92.85</v>
      </c>
      <c r="Q734" s="116">
        <v>90.55</v>
      </c>
      <c r="R734">
        <v>5463807</v>
      </c>
    </row>
    <row r="735" spans="1:18" x14ac:dyDescent="0.25">
      <c r="A735" s="170">
        <v>43082</v>
      </c>
      <c r="B735" s="116">
        <v>91.6</v>
      </c>
      <c r="C735" s="116">
        <v>90.3</v>
      </c>
      <c r="D735" s="116">
        <v>89.9</v>
      </c>
      <c r="E735" s="116">
        <v>90.05</v>
      </c>
      <c r="F735" s="116">
        <v>90.3</v>
      </c>
      <c r="G735">
        <v>508314</v>
      </c>
      <c r="H735" s="116"/>
      <c r="I735" s="116"/>
      <c r="L735" s="170">
        <v>43082</v>
      </c>
      <c r="M735" s="116">
        <v>90.25</v>
      </c>
      <c r="N735" s="116">
        <v>91.65</v>
      </c>
      <c r="O735" s="116">
        <v>89.9</v>
      </c>
      <c r="P735" s="116">
        <v>90.55</v>
      </c>
      <c r="Q735" s="116">
        <v>90.25</v>
      </c>
      <c r="R735">
        <v>7782576</v>
      </c>
    </row>
    <row r="736" spans="1:18" x14ac:dyDescent="0.25">
      <c r="A736" s="170">
        <v>43083</v>
      </c>
      <c r="B736" s="116">
        <v>91</v>
      </c>
      <c r="C736" s="116">
        <v>90.5</v>
      </c>
      <c r="D736" s="116">
        <v>89.4</v>
      </c>
      <c r="E736" s="116">
        <v>90.3</v>
      </c>
      <c r="F736" s="116">
        <v>90.5</v>
      </c>
      <c r="G736">
        <v>301904</v>
      </c>
      <c r="H736" s="116"/>
      <c r="I736" s="116"/>
      <c r="L736" s="170">
        <v>43083</v>
      </c>
      <c r="M736" s="116">
        <v>90.5</v>
      </c>
      <c r="N736" s="116">
        <v>91</v>
      </c>
      <c r="O736" s="116">
        <v>89.35</v>
      </c>
      <c r="P736" s="116">
        <v>90.5</v>
      </c>
      <c r="Q736" s="116">
        <v>90.5</v>
      </c>
      <c r="R736">
        <v>9796726</v>
      </c>
    </row>
    <row r="737" spans="1:18" x14ac:dyDescent="0.25">
      <c r="A737" s="170">
        <v>43084</v>
      </c>
      <c r="B737" s="116">
        <v>92</v>
      </c>
      <c r="C737" s="116">
        <v>91.25</v>
      </c>
      <c r="D737" s="116">
        <v>90.85</v>
      </c>
      <c r="E737" s="116">
        <v>91.9</v>
      </c>
      <c r="F737" s="116">
        <v>91.25</v>
      </c>
      <c r="G737">
        <v>319996</v>
      </c>
      <c r="H737" s="116"/>
      <c r="I737" s="116"/>
      <c r="L737" s="170">
        <v>43084</v>
      </c>
      <c r="M737" s="116">
        <v>91.2</v>
      </c>
      <c r="N737" s="116">
        <v>92.1</v>
      </c>
      <c r="O737" s="116">
        <v>90.7</v>
      </c>
      <c r="P737" s="116">
        <v>91.55</v>
      </c>
      <c r="Q737" s="116">
        <v>91.2</v>
      </c>
      <c r="R737">
        <v>4984491</v>
      </c>
    </row>
    <row r="738" spans="1:18" x14ac:dyDescent="0.25">
      <c r="A738" s="170">
        <v>43087</v>
      </c>
      <c r="B738" s="116">
        <v>92.9</v>
      </c>
      <c r="C738" s="116">
        <v>91</v>
      </c>
      <c r="D738" s="116">
        <v>88.45</v>
      </c>
      <c r="E738" s="116">
        <v>90</v>
      </c>
      <c r="F738" s="116">
        <v>91</v>
      </c>
      <c r="G738">
        <v>6137225</v>
      </c>
      <c r="H738" s="116"/>
      <c r="I738" s="116"/>
      <c r="L738" s="170">
        <v>43087</v>
      </c>
      <c r="M738" s="116">
        <v>91.1</v>
      </c>
      <c r="N738" s="116">
        <v>93.05</v>
      </c>
      <c r="O738" s="116">
        <v>88.3</v>
      </c>
      <c r="P738" s="116">
        <v>90</v>
      </c>
      <c r="Q738" s="116">
        <v>91.1</v>
      </c>
      <c r="R738">
        <v>8374309</v>
      </c>
    </row>
    <row r="739" spans="1:18" x14ac:dyDescent="0.25">
      <c r="A739" s="170">
        <v>43088</v>
      </c>
      <c r="B739" s="116">
        <v>91.9</v>
      </c>
      <c r="C739" s="116">
        <v>91</v>
      </c>
      <c r="D739" s="116">
        <v>90.65</v>
      </c>
      <c r="E739" s="116">
        <v>91.65</v>
      </c>
      <c r="F739" s="116">
        <v>91</v>
      </c>
      <c r="G739">
        <v>3451905</v>
      </c>
      <c r="H739" s="116"/>
      <c r="I739" s="116"/>
      <c r="L739" s="170">
        <v>43088</v>
      </c>
      <c r="M739" s="116">
        <v>91.1</v>
      </c>
      <c r="N739" s="116">
        <v>92</v>
      </c>
      <c r="O739" s="116">
        <v>90.6</v>
      </c>
      <c r="P739" s="116">
        <v>91.8</v>
      </c>
      <c r="Q739" s="116">
        <v>91.1</v>
      </c>
      <c r="R739">
        <v>3616578</v>
      </c>
    </row>
    <row r="740" spans="1:18" x14ac:dyDescent="0.25">
      <c r="A740" s="170">
        <v>43089</v>
      </c>
      <c r="B740" s="116">
        <v>91.95</v>
      </c>
      <c r="C740" s="116">
        <v>91</v>
      </c>
      <c r="D740" s="116">
        <v>90.55</v>
      </c>
      <c r="E740" s="116">
        <v>91.1</v>
      </c>
      <c r="F740" s="116">
        <v>91</v>
      </c>
      <c r="G740">
        <v>1563465</v>
      </c>
      <c r="H740" s="116"/>
      <c r="I740" s="116"/>
      <c r="L740" s="170">
        <v>43089</v>
      </c>
      <c r="M740" s="116">
        <v>90.85</v>
      </c>
      <c r="N740" s="116">
        <v>91.9</v>
      </c>
      <c r="O740" s="116">
        <v>90.55</v>
      </c>
      <c r="P740" s="116">
        <v>91</v>
      </c>
      <c r="Q740" s="116">
        <v>90.85</v>
      </c>
      <c r="R740">
        <v>4907711</v>
      </c>
    </row>
    <row r="741" spans="1:18" x14ac:dyDescent="0.25">
      <c r="A741" s="170">
        <v>43090</v>
      </c>
      <c r="B741" s="116">
        <v>91.75</v>
      </c>
      <c r="C741" s="116">
        <v>91</v>
      </c>
      <c r="D741" s="116">
        <v>90.6</v>
      </c>
      <c r="E741" s="116">
        <v>90.6</v>
      </c>
      <c r="F741" s="116">
        <v>91</v>
      </c>
      <c r="G741">
        <v>3558868</v>
      </c>
      <c r="H741" s="116"/>
      <c r="I741" s="116"/>
      <c r="L741" s="170">
        <v>43090</v>
      </c>
      <c r="M741" s="116">
        <v>91</v>
      </c>
      <c r="N741" s="116">
        <v>91.7</v>
      </c>
      <c r="O741" s="116">
        <v>90.6</v>
      </c>
      <c r="P741" s="116">
        <v>90.85</v>
      </c>
      <c r="Q741" s="116">
        <v>91</v>
      </c>
      <c r="R741">
        <v>4925527</v>
      </c>
    </row>
    <row r="742" spans="1:18" x14ac:dyDescent="0.25">
      <c r="A742" s="170">
        <v>43091</v>
      </c>
      <c r="B742" s="116">
        <v>93.9</v>
      </c>
      <c r="C742" s="116">
        <v>93.05</v>
      </c>
      <c r="D742" s="116">
        <v>91</v>
      </c>
      <c r="E742" s="116">
        <v>91.7</v>
      </c>
      <c r="F742" s="116">
        <v>93.05</v>
      </c>
      <c r="G742">
        <v>1227571</v>
      </c>
      <c r="H742" s="116"/>
      <c r="I742" s="116"/>
      <c r="L742" s="170">
        <v>43091</v>
      </c>
      <c r="M742" s="116">
        <v>92.75</v>
      </c>
      <c r="N742" s="116">
        <v>93.85</v>
      </c>
      <c r="O742" s="116">
        <v>90.95</v>
      </c>
      <c r="P742" s="116">
        <v>91.3</v>
      </c>
      <c r="Q742" s="116">
        <v>92.75</v>
      </c>
      <c r="R742">
        <v>12421581</v>
      </c>
    </row>
    <row r="743" spans="1:18" x14ac:dyDescent="0.25">
      <c r="A743" s="170">
        <v>43095</v>
      </c>
      <c r="B743" s="116">
        <v>96.2</v>
      </c>
      <c r="C743" s="116">
        <v>93.3</v>
      </c>
      <c r="D743" s="116">
        <v>92.8</v>
      </c>
      <c r="E743" s="116">
        <v>96</v>
      </c>
      <c r="F743" s="116">
        <v>93.3</v>
      </c>
      <c r="G743">
        <v>1033715</v>
      </c>
      <c r="H743" s="116"/>
      <c r="I743" s="116"/>
      <c r="L743" s="170">
        <v>43095</v>
      </c>
      <c r="M743" s="116">
        <v>93.15</v>
      </c>
      <c r="N743" s="116">
        <v>95.9</v>
      </c>
      <c r="O743" s="116">
        <v>92.6</v>
      </c>
      <c r="P743" s="116">
        <v>95.9</v>
      </c>
      <c r="Q743" s="116">
        <v>93.15</v>
      </c>
      <c r="R743">
        <v>8476138</v>
      </c>
    </row>
    <row r="744" spans="1:18" x14ac:dyDescent="0.25">
      <c r="A744" s="170">
        <v>43096</v>
      </c>
      <c r="B744" s="116">
        <v>94.3</v>
      </c>
      <c r="C744" s="116">
        <v>92.3</v>
      </c>
      <c r="D744" s="116">
        <v>91.7</v>
      </c>
      <c r="E744" s="116">
        <v>93.95</v>
      </c>
      <c r="F744" s="116">
        <v>92.3</v>
      </c>
      <c r="G744">
        <v>791704</v>
      </c>
      <c r="H744" s="116"/>
      <c r="I744" s="116"/>
      <c r="L744" s="170">
        <v>43096</v>
      </c>
      <c r="M744" s="116">
        <v>92.3</v>
      </c>
      <c r="N744" s="116">
        <v>94.2</v>
      </c>
      <c r="O744" s="116">
        <v>91.55</v>
      </c>
      <c r="P744" s="116">
        <v>93.5</v>
      </c>
      <c r="Q744" s="116">
        <v>92.3</v>
      </c>
      <c r="R744">
        <v>5456865</v>
      </c>
    </row>
    <row r="745" spans="1:18" x14ac:dyDescent="0.25">
      <c r="A745" s="170">
        <v>43097</v>
      </c>
      <c r="B745" s="116">
        <v>93.45</v>
      </c>
      <c r="C745" s="116">
        <v>92.3</v>
      </c>
      <c r="D745" s="116">
        <v>91.75</v>
      </c>
      <c r="E745" s="116">
        <v>93.4</v>
      </c>
      <c r="F745" s="116">
        <v>92.3</v>
      </c>
      <c r="G745">
        <v>744939</v>
      </c>
      <c r="H745" s="116"/>
      <c r="I745" s="116"/>
      <c r="L745" s="170">
        <v>43097</v>
      </c>
      <c r="M745" s="116">
        <v>92.05</v>
      </c>
      <c r="N745" s="116">
        <v>93.5</v>
      </c>
      <c r="O745" s="116">
        <v>91.6</v>
      </c>
      <c r="P745" s="116">
        <v>92.65</v>
      </c>
      <c r="Q745" s="116">
        <v>92.05</v>
      </c>
      <c r="R745">
        <v>6436421</v>
      </c>
    </row>
    <row r="746" spans="1:18" x14ac:dyDescent="0.25">
      <c r="A746" s="170">
        <v>43098</v>
      </c>
      <c r="B746" s="116">
        <v>94.7</v>
      </c>
      <c r="C746" s="116">
        <v>93.85</v>
      </c>
      <c r="D746" s="116">
        <v>92.4</v>
      </c>
      <c r="E746" s="116">
        <v>92.5</v>
      </c>
      <c r="F746" s="116">
        <v>93.85</v>
      </c>
      <c r="G746">
        <v>850365</v>
      </c>
      <c r="H746" s="116"/>
      <c r="I746" s="116"/>
      <c r="L746" s="170">
        <v>43098</v>
      </c>
      <c r="M746" s="116">
        <v>93.5</v>
      </c>
      <c r="N746" s="116">
        <v>94.75</v>
      </c>
      <c r="O746" s="116">
        <v>92.3</v>
      </c>
      <c r="P746" s="116">
        <v>92.75</v>
      </c>
      <c r="Q746" s="116">
        <v>93.5</v>
      </c>
      <c r="R746">
        <v>9494201</v>
      </c>
    </row>
    <row r="747" spans="1:18" x14ac:dyDescent="0.25">
      <c r="A747" s="170">
        <v>43101</v>
      </c>
      <c r="B747" s="116">
        <v>99.8</v>
      </c>
      <c r="C747" s="116">
        <v>97.15</v>
      </c>
      <c r="D747" s="116">
        <v>92.5</v>
      </c>
      <c r="E747" s="116">
        <v>94.05</v>
      </c>
      <c r="F747" s="116">
        <v>97.15</v>
      </c>
      <c r="G747">
        <v>3925749</v>
      </c>
      <c r="H747" s="116"/>
      <c r="I747" s="116"/>
      <c r="L747" s="170">
        <v>43101</v>
      </c>
      <c r="M747" s="116">
        <v>97.15</v>
      </c>
      <c r="N747" s="116">
        <v>100</v>
      </c>
      <c r="O747" s="116">
        <v>92.4</v>
      </c>
      <c r="P747" s="116">
        <v>93.8</v>
      </c>
      <c r="Q747" s="116">
        <v>97.15</v>
      </c>
      <c r="R747">
        <v>33659894</v>
      </c>
    </row>
    <row r="748" spans="1:18" x14ac:dyDescent="0.25">
      <c r="A748" s="170">
        <v>43102</v>
      </c>
      <c r="B748" s="116">
        <v>100</v>
      </c>
      <c r="C748" s="116">
        <v>99.45</v>
      </c>
      <c r="D748" s="116">
        <v>96.1</v>
      </c>
      <c r="E748" s="116">
        <v>98.1</v>
      </c>
      <c r="F748" s="116">
        <v>99.45</v>
      </c>
      <c r="G748">
        <v>2612069</v>
      </c>
      <c r="H748" s="116"/>
      <c r="I748" s="116"/>
      <c r="L748" s="170">
        <v>43102</v>
      </c>
      <c r="M748" s="116">
        <v>99.7</v>
      </c>
      <c r="N748" s="116">
        <v>100.25</v>
      </c>
      <c r="O748" s="116">
        <v>96.15</v>
      </c>
      <c r="P748" s="116">
        <v>98.25</v>
      </c>
      <c r="Q748" s="116">
        <v>99.7</v>
      </c>
      <c r="R748">
        <v>29174233</v>
      </c>
    </row>
    <row r="749" spans="1:18" x14ac:dyDescent="0.25">
      <c r="A749" s="170">
        <v>43103</v>
      </c>
      <c r="B749" s="116">
        <v>101.55</v>
      </c>
      <c r="C749" s="116">
        <v>100.8</v>
      </c>
      <c r="D749" s="116">
        <v>99.75</v>
      </c>
      <c r="E749" s="116">
        <v>100.5</v>
      </c>
      <c r="F749" s="116">
        <v>100.8</v>
      </c>
      <c r="G749">
        <v>1843821</v>
      </c>
      <c r="H749" s="116"/>
      <c r="I749" s="116"/>
      <c r="L749" s="170">
        <v>43103</v>
      </c>
      <c r="M749" s="116">
        <v>100.8</v>
      </c>
      <c r="N749" s="116">
        <v>101.6</v>
      </c>
      <c r="O749" s="116">
        <v>99.6</v>
      </c>
      <c r="P749" s="116">
        <v>100.3</v>
      </c>
      <c r="Q749" s="116">
        <v>100.8</v>
      </c>
      <c r="R749">
        <v>23056832</v>
      </c>
    </row>
    <row r="750" spans="1:18" x14ac:dyDescent="0.25">
      <c r="A750" s="170">
        <v>43104</v>
      </c>
      <c r="B750" s="116">
        <v>101.4</v>
      </c>
      <c r="C750" s="116">
        <v>99.7</v>
      </c>
      <c r="D750" s="116">
        <v>99.35</v>
      </c>
      <c r="E750" s="116">
        <v>101</v>
      </c>
      <c r="F750" s="116">
        <v>99.7</v>
      </c>
      <c r="G750">
        <v>760379</v>
      </c>
      <c r="H750" s="116"/>
      <c r="I750" s="116"/>
      <c r="L750" s="170">
        <v>43104</v>
      </c>
      <c r="M750" s="116">
        <v>99.6</v>
      </c>
      <c r="N750" s="116">
        <v>101</v>
      </c>
      <c r="O750" s="116">
        <v>99.25</v>
      </c>
      <c r="P750" s="116">
        <v>100.95</v>
      </c>
      <c r="Q750" s="116">
        <v>99.6</v>
      </c>
      <c r="R750">
        <v>6688043</v>
      </c>
    </row>
    <row r="751" spans="1:18" x14ac:dyDescent="0.25">
      <c r="A751" s="170">
        <v>43105</v>
      </c>
      <c r="B751" s="116">
        <v>101.75</v>
      </c>
      <c r="C751" s="116">
        <v>99.6</v>
      </c>
      <c r="D751" s="116">
        <v>99.3</v>
      </c>
      <c r="E751" s="116">
        <v>100</v>
      </c>
      <c r="F751" s="116">
        <v>99.6</v>
      </c>
      <c r="G751">
        <v>746340</v>
      </c>
      <c r="H751" s="116"/>
      <c r="I751" s="116"/>
      <c r="L751" s="170">
        <v>43105</v>
      </c>
      <c r="M751" s="116">
        <v>99.55</v>
      </c>
      <c r="N751" s="116">
        <v>101.8</v>
      </c>
      <c r="O751" s="116">
        <v>99.3</v>
      </c>
      <c r="P751" s="116">
        <v>99.8</v>
      </c>
      <c r="Q751" s="116">
        <v>99.55</v>
      </c>
      <c r="R751">
        <v>11646646</v>
      </c>
    </row>
    <row r="752" spans="1:18" x14ac:dyDescent="0.25">
      <c r="A752" s="170">
        <v>43108</v>
      </c>
      <c r="B752" s="116">
        <v>100.5</v>
      </c>
      <c r="C752" s="116">
        <v>99.9</v>
      </c>
      <c r="D752" s="116">
        <v>99</v>
      </c>
      <c r="E752" s="116">
        <v>100.45</v>
      </c>
      <c r="F752" s="116">
        <v>99.9</v>
      </c>
      <c r="G752">
        <v>779976</v>
      </c>
      <c r="H752" s="116"/>
      <c r="I752" s="116"/>
      <c r="L752" s="170">
        <v>43108</v>
      </c>
      <c r="M752" s="116">
        <v>99.85</v>
      </c>
      <c r="N752" s="116">
        <v>100.5</v>
      </c>
      <c r="O752" s="116">
        <v>98.9</v>
      </c>
      <c r="P752" s="116">
        <v>100</v>
      </c>
      <c r="Q752" s="116">
        <v>99.85</v>
      </c>
      <c r="R752">
        <v>5874354</v>
      </c>
    </row>
    <row r="753" spans="1:18" x14ac:dyDescent="0.25">
      <c r="A753" s="170">
        <v>43109</v>
      </c>
      <c r="B753" s="116">
        <v>101.5</v>
      </c>
      <c r="C753" s="116">
        <v>98.6</v>
      </c>
      <c r="D753" s="116">
        <v>98.25</v>
      </c>
      <c r="E753" s="116">
        <v>100.05</v>
      </c>
      <c r="F753" s="116">
        <v>98.6</v>
      </c>
      <c r="G753">
        <v>955283</v>
      </c>
      <c r="H753" s="116"/>
      <c r="I753" s="116"/>
      <c r="L753" s="170">
        <v>43109</v>
      </c>
      <c r="M753" s="116">
        <v>98.6</v>
      </c>
      <c r="N753" s="116">
        <v>101.5</v>
      </c>
      <c r="O753" s="116">
        <v>98.3</v>
      </c>
      <c r="P753" s="116">
        <v>100.05</v>
      </c>
      <c r="Q753" s="116">
        <v>98.6</v>
      </c>
      <c r="R753">
        <v>8661596</v>
      </c>
    </row>
    <row r="754" spans="1:18" x14ac:dyDescent="0.25">
      <c r="A754" s="170">
        <v>43110</v>
      </c>
      <c r="B754" s="116">
        <v>99.9</v>
      </c>
      <c r="C754" s="116">
        <v>98.3</v>
      </c>
      <c r="D754" s="116">
        <v>97.15</v>
      </c>
      <c r="E754" s="116">
        <v>99</v>
      </c>
      <c r="F754" s="116">
        <v>98.3</v>
      </c>
      <c r="G754">
        <v>679717</v>
      </c>
      <c r="H754" s="116"/>
      <c r="I754" s="116"/>
      <c r="L754" s="170">
        <v>43110</v>
      </c>
      <c r="M754" s="116">
        <v>98.25</v>
      </c>
      <c r="N754" s="116">
        <v>99.9</v>
      </c>
      <c r="O754" s="116">
        <v>97.1</v>
      </c>
      <c r="P754" s="116">
        <v>98.85</v>
      </c>
      <c r="Q754" s="116">
        <v>98.25</v>
      </c>
      <c r="R754">
        <v>5961340</v>
      </c>
    </row>
    <row r="755" spans="1:18" x14ac:dyDescent="0.25">
      <c r="A755" s="170">
        <v>43111</v>
      </c>
      <c r="B755" s="116">
        <v>100.25</v>
      </c>
      <c r="C755" s="116">
        <v>99.55</v>
      </c>
      <c r="D755" s="116">
        <v>97.9</v>
      </c>
      <c r="E755" s="116">
        <v>99</v>
      </c>
      <c r="F755" s="116">
        <v>99.55</v>
      </c>
      <c r="G755">
        <v>661049</v>
      </c>
      <c r="H755" s="116"/>
      <c r="I755" s="116"/>
      <c r="L755" s="170">
        <v>43111</v>
      </c>
      <c r="M755" s="116">
        <v>99.55</v>
      </c>
      <c r="N755" s="116">
        <v>100.25</v>
      </c>
      <c r="O755" s="116">
        <v>97.8</v>
      </c>
      <c r="P755" s="116">
        <v>98.3</v>
      </c>
      <c r="Q755" s="116">
        <v>99.55</v>
      </c>
      <c r="R755">
        <v>7143254</v>
      </c>
    </row>
    <row r="756" spans="1:18" x14ac:dyDescent="0.25">
      <c r="A756" s="170">
        <v>43112</v>
      </c>
      <c r="B756" s="116">
        <v>101.1</v>
      </c>
      <c r="C756" s="116">
        <v>99.1</v>
      </c>
      <c r="D756" s="116">
        <v>97.55</v>
      </c>
      <c r="E756" s="116">
        <v>100.25</v>
      </c>
      <c r="F756" s="116">
        <v>99.1</v>
      </c>
      <c r="G756">
        <v>820872</v>
      </c>
      <c r="H756" s="116"/>
      <c r="I756" s="116"/>
      <c r="L756" s="170">
        <v>43112</v>
      </c>
      <c r="M756" s="116">
        <v>99.05</v>
      </c>
      <c r="N756" s="116">
        <v>101.15</v>
      </c>
      <c r="O756" s="116">
        <v>97.45</v>
      </c>
      <c r="P756" s="116">
        <v>99.7</v>
      </c>
      <c r="Q756" s="116">
        <v>99.05</v>
      </c>
      <c r="R756">
        <v>8351731</v>
      </c>
    </row>
    <row r="757" spans="1:18" x14ac:dyDescent="0.25">
      <c r="A757" s="170">
        <v>43115</v>
      </c>
      <c r="B757" s="116">
        <v>99.9</v>
      </c>
      <c r="C757" s="116">
        <v>97.85</v>
      </c>
      <c r="D757" s="116">
        <v>97.55</v>
      </c>
      <c r="E757" s="116">
        <v>99.1</v>
      </c>
      <c r="F757" s="116">
        <v>97.85</v>
      </c>
      <c r="G757">
        <v>490634</v>
      </c>
      <c r="H757" s="116"/>
      <c r="I757" s="116"/>
      <c r="L757" s="170">
        <v>43115</v>
      </c>
      <c r="M757" s="116">
        <v>97.95</v>
      </c>
      <c r="N757" s="116">
        <v>99.8</v>
      </c>
      <c r="O757" s="116">
        <v>97.7</v>
      </c>
      <c r="P757" s="116">
        <v>99.55</v>
      </c>
      <c r="Q757" s="116">
        <v>97.95</v>
      </c>
      <c r="R757">
        <v>4943917</v>
      </c>
    </row>
    <row r="758" spans="1:18" x14ac:dyDescent="0.25">
      <c r="A758" s="170">
        <v>43116</v>
      </c>
      <c r="B758" s="116">
        <v>98.45</v>
      </c>
      <c r="C758" s="116">
        <v>93.75</v>
      </c>
      <c r="D758" s="116">
        <v>93</v>
      </c>
      <c r="E758" s="116">
        <v>97.85</v>
      </c>
      <c r="F758" s="116">
        <v>93.75</v>
      </c>
      <c r="G758">
        <v>1076395</v>
      </c>
      <c r="H758" s="116"/>
      <c r="I758" s="116"/>
      <c r="L758" s="170">
        <v>43116</v>
      </c>
      <c r="M758" s="116">
        <v>93.65</v>
      </c>
      <c r="N758" s="116">
        <v>98.45</v>
      </c>
      <c r="O758" s="116">
        <v>92.9</v>
      </c>
      <c r="P758" s="116">
        <v>98.2</v>
      </c>
      <c r="Q758" s="116">
        <v>93.65</v>
      </c>
      <c r="R758">
        <v>9672170</v>
      </c>
    </row>
    <row r="759" spans="1:18" x14ac:dyDescent="0.25">
      <c r="A759" s="170">
        <v>43117</v>
      </c>
      <c r="B759" s="116">
        <v>93.95</v>
      </c>
      <c r="C759" s="116">
        <v>93.25</v>
      </c>
      <c r="D759" s="116">
        <v>91.4</v>
      </c>
      <c r="E759" s="116">
        <v>93.75</v>
      </c>
      <c r="F759" s="116">
        <v>93.25</v>
      </c>
      <c r="G759">
        <v>531829</v>
      </c>
      <c r="H759" s="116"/>
      <c r="I759" s="116"/>
      <c r="L759" s="170">
        <v>43117</v>
      </c>
      <c r="M759" s="116">
        <v>93.2</v>
      </c>
      <c r="N759" s="116">
        <v>94</v>
      </c>
      <c r="O759" s="116">
        <v>91.5</v>
      </c>
      <c r="P759" s="116">
        <v>93.7</v>
      </c>
      <c r="Q759" s="116">
        <v>93.2</v>
      </c>
      <c r="R759">
        <v>11511446</v>
      </c>
    </row>
    <row r="760" spans="1:18" x14ac:dyDescent="0.25">
      <c r="A760" s="170">
        <v>43118</v>
      </c>
      <c r="B760" s="116">
        <v>94.5</v>
      </c>
      <c r="C760" s="116">
        <v>90.6</v>
      </c>
      <c r="D760" s="116">
        <v>90.1</v>
      </c>
      <c r="E760" s="116">
        <v>94.4</v>
      </c>
      <c r="F760" s="116">
        <v>90.6</v>
      </c>
      <c r="G760">
        <v>901722</v>
      </c>
      <c r="H760" s="116"/>
      <c r="I760" s="116"/>
      <c r="L760" s="170">
        <v>43118</v>
      </c>
      <c r="M760" s="116">
        <v>90.6</v>
      </c>
      <c r="N760" s="116">
        <v>94.25</v>
      </c>
      <c r="O760" s="116">
        <v>90.05</v>
      </c>
      <c r="P760" s="116">
        <v>93.9</v>
      </c>
      <c r="Q760" s="116">
        <v>90.6</v>
      </c>
      <c r="R760">
        <v>8188295</v>
      </c>
    </row>
    <row r="761" spans="1:18" x14ac:dyDescent="0.25">
      <c r="A761" s="170">
        <v>43119</v>
      </c>
      <c r="B761" s="116">
        <v>92.5</v>
      </c>
      <c r="C761" s="116">
        <v>92.25</v>
      </c>
      <c r="D761" s="116">
        <v>90.35</v>
      </c>
      <c r="E761" s="116">
        <v>90.65</v>
      </c>
      <c r="F761" s="116">
        <v>92.25</v>
      </c>
      <c r="G761">
        <v>615937</v>
      </c>
      <c r="H761" s="116"/>
      <c r="I761" s="116"/>
      <c r="L761" s="170">
        <v>43119</v>
      </c>
      <c r="M761" s="116">
        <v>92.2</v>
      </c>
      <c r="N761" s="116">
        <v>92.5</v>
      </c>
      <c r="O761" s="116">
        <v>90.2</v>
      </c>
      <c r="P761" s="116">
        <v>90.7</v>
      </c>
      <c r="Q761" s="116">
        <v>92.2</v>
      </c>
      <c r="R761">
        <v>4545029</v>
      </c>
    </row>
    <row r="762" spans="1:18" x14ac:dyDescent="0.25">
      <c r="A762" s="170">
        <v>43122</v>
      </c>
      <c r="B762" s="116">
        <v>92.7</v>
      </c>
      <c r="C762" s="116">
        <v>91.9</v>
      </c>
      <c r="D762" s="116">
        <v>91</v>
      </c>
      <c r="E762" s="116">
        <v>92.5</v>
      </c>
      <c r="F762" s="116">
        <v>91.9</v>
      </c>
      <c r="G762">
        <v>525700</v>
      </c>
      <c r="H762" s="116"/>
      <c r="I762" s="116"/>
      <c r="L762" s="170">
        <v>43122</v>
      </c>
      <c r="M762" s="116">
        <v>92.1</v>
      </c>
      <c r="N762" s="116">
        <v>92.75</v>
      </c>
      <c r="O762" s="116">
        <v>91.25</v>
      </c>
      <c r="P762" s="116">
        <v>92.6</v>
      </c>
      <c r="Q762" s="116">
        <v>92.1</v>
      </c>
      <c r="R762">
        <v>3904900</v>
      </c>
    </row>
    <row r="763" spans="1:18" x14ac:dyDescent="0.25">
      <c r="A763" s="170">
        <v>43123</v>
      </c>
      <c r="B763" s="116">
        <v>93.4</v>
      </c>
      <c r="C763" s="116">
        <v>92.5</v>
      </c>
      <c r="D763" s="116">
        <v>91.9</v>
      </c>
      <c r="E763" s="116">
        <v>92</v>
      </c>
      <c r="F763" s="116">
        <v>92.5</v>
      </c>
      <c r="G763">
        <v>656883</v>
      </c>
      <c r="H763" s="116"/>
      <c r="I763" s="116"/>
      <c r="L763" s="170">
        <v>43123</v>
      </c>
      <c r="M763" s="116">
        <v>92.5</v>
      </c>
      <c r="N763" s="116">
        <v>93.4</v>
      </c>
      <c r="O763" s="116">
        <v>91.75</v>
      </c>
      <c r="P763" s="116">
        <v>92.25</v>
      </c>
      <c r="Q763" s="116">
        <v>92.5</v>
      </c>
      <c r="R763">
        <v>4928177</v>
      </c>
    </row>
    <row r="764" spans="1:18" x14ac:dyDescent="0.25">
      <c r="A764" s="170">
        <v>43124</v>
      </c>
      <c r="B764" s="116">
        <v>92.85</v>
      </c>
      <c r="C764" s="116">
        <v>91.7</v>
      </c>
      <c r="D764" s="116">
        <v>91</v>
      </c>
      <c r="E764" s="116">
        <v>92.5</v>
      </c>
      <c r="F764" s="116">
        <v>91.7</v>
      </c>
      <c r="G764">
        <v>401460</v>
      </c>
      <c r="H764" s="116"/>
      <c r="I764" s="116"/>
      <c r="L764" s="170">
        <v>43124</v>
      </c>
      <c r="M764" s="116">
        <v>91.8</v>
      </c>
      <c r="N764" s="116">
        <v>92.9</v>
      </c>
      <c r="O764" s="116">
        <v>90.85</v>
      </c>
      <c r="P764" s="116">
        <v>92.25</v>
      </c>
      <c r="Q764" s="116">
        <v>91.8</v>
      </c>
      <c r="R764">
        <v>4353614</v>
      </c>
    </row>
    <row r="765" spans="1:18" x14ac:dyDescent="0.25">
      <c r="A765" s="170">
        <v>43125</v>
      </c>
      <c r="B765" s="116">
        <v>92.65</v>
      </c>
      <c r="C765" s="116">
        <v>90.15</v>
      </c>
      <c r="D765" s="116">
        <v>89.6</v>
      </c>
      <c r="E765" s="116">
        <v>91</v>
      </c>
      <c r="F765" s="116">
        <v>90.15</v>
      </c>
      <c r="G765">
        <v>407715</v>
      </c>
      <c r="H765" s="116"/>
      <c r="I765" s="116"/>
      <c r="L765" s="170">
        <v>43125</v>
      </c>
      <c r="M765" s="116">
        <v>89.95</v>
      </c>
      <c r="N765" s="116">
        <v>92.6</v>
      </c>
      <c r="O765" s="116">
        <v>89.55</v>
      </c>
      <c r="P765" s="116">
        <v>91.85</v>
      </c>
      <c r="Q765" s="116">
        <v>89.95</v>
      </c>
      <c r="R765">
        <v>10848150</v>
      </c>
    </row>
    <row r="766" spans="1:18" x14ac:dyDescent="0.25">
      <c r="A766" s="170">
        <v>43129</v>
      </c>
      <c r="B766" s="116">
        <v>91.05</v>
      </c>
      <c r="C766" s="116">
        <v>90</v>
      </c>
      <c r="D766" s="116">
        <v>89.6</v>
      </c>
      <c r="E766" s="116">
        <v>90.3</v>
      </c>
      <c r="F766" s="116">
        <v>90</v>
      </c>
      <c r="G766">
        <v>399643</v>
      </c>
      <c r="H766" s="116"/>
      <c r="I766" s="116"/>
      <c r="L766" s="170">
        <v>43129</v>
      </c>
      <c r="M766" s="116">
        <v>90.05</v>
      </c>
      <c r="N766" s="116">
        <v>91.15</v>
      </c>
      <c r="O766" s="116">
        <v>89.45</v>
      </c>
      <c r="P766" s="116">
        <v>90.1</v>
      </c>
      <c r="Q766" s="116">
        <v>90.05</v>
      </c>
      <c r="R766">
        <v>4361006</v>
      </c>
    </row>
    <row r="767" spans="1:18" x14ac:dyDescent="0.25">
      <c r="A767" s="170">
        <v>43130</v>
      </c>
      <c r="B767" s="116">
        <v>91.35</v>
      </c>
      <c r="C767" s="116">
        <v>90.6</v>
      </c>
      <c r="D767" s="116">
        <v>88.2</v>
      </c>
      <c r="E767" s="116">
        <v>89.95</v>
      </c>
      <c r="F767" s="116">
        <v>90.6</v>
      </c>
      <c r="G767">
        <v>605841</v>
      </c>
      <c r="H767" s="116"/>
      <c r="I767" s="116"/>
      <c r="L767" s="170">
        <v>43130</v>
      </c>
      <c r="M767" s="116">
        <v>90.6</v>
      </c>
      <c r="N767" s="116">
        <v>91.4</v>
      </c>
      <c r="O767" s="116">
        <v>88.15</v>
      </c>
      <c r="P767" s="116">
        <v>88.65</v>
      </c>
      <c r="Q767" s="116">
        <v>90.6</v>
      </c>
      <c r="R767">
        <v>6984202</v>
      </c>
    </row>
    <row r="768" spans="1:18" x14ac:dyDescent="0.25">
      <c r="A768" s="170">
        <v>43131</v>
      </c>
      <c r="B768" s="116">
        <v>91.15</v>
      </c>
      <c r="C768" s="116">
        <v>89.1</v>
      </c>
      <c r="D768" s="116">
        <v>88.65</v>
      </c>
      <c r="E768" s="116">
        <v>90.5</v>
      </c>
      <c r="F768" s="116">
        <v>89.1</v>
      </c>
      <c r="G768">
        <v>396969</v>
      </c>
      <c r="H768" s="116"/>
      <c r="I768" s="116"/>
      <c r="L768" s="170">
        <v>43131</v>
      </c>
      <c r="M768" s="116">
        <v>89</v>
      </c>
      <c r="N768" s="116">
        <v>91.2</v>
      </c>
      <c r="O768" s="116">
        <v>88.55</v>
      </c>
      <c r="P768" s="116">
        <v>90.4</v>
      </c>
      <c r="Q768" s="116">
        <v>89</v>
      </c>
      <c r="R768">
        <v>5862598</v>
      </c>
    </row>
    <row r="769" spans="1:18" x14ac:dyDescent="0.25">
      <c r="A769" s="170">
        <v>43132</v>
      </c>
      <c r="B769" s="116">
        <v>90.85</v>
      </c>
      <c r="C769" s="116">
        <v>89.6</v>
      </c>
      <c r="D769" s="116">
        <v>87.55</v>
      </c>
      <c r="E769" s="116">
        <v>89.2</v>
      </c>
      <c r="F769" s="116">
        <v>89.6</v>
      </c>
      <c r="G769">
        <v>1083216</v>
      </c>
      <c r="H769" s="116"/>
      <c r="I769" s="116"/>
      <c r="L769" s="170">
        <v>43132</v>
      </c>
      <c r="M769" s="116">
        <v>89.7</v>
      </c>
      <c r="N769" s="116">
        <v>90.85</v>
      </c>
      <c r="O769" s="116">
        <v>87.75</v>
      </c>
      <c r="P769" s="116">
        <v>89</v>
      </c>
      <c r="Q769" s="116">
        <v>89.7</v>
      </c>
      <c r="R769">
        <v>9055967</v>
      </c>
    </row>
    <row r="770" spans="1:18" x14ac:dyDescent="0.25">
      <c r="A770" s="170">
        <v>43133</v>
      </c>
      <c r="B770" s="116">
        <v>88.9</v>
      </c>
      <c r="C770" s="116">
        <v>84.85</v>
      </c>
      <c r="D770" s="116">
        <v>84.4</v>
      </c>
      <c r="E770" s="116">
        <v>88.6</v>
      </c>
      <c r="F770" s="116">
        <v>84.85</v>
      </c>
      <c r="G770">
        <v>831867</v>
      </c>
      <c r="H770" s="116"/>
      <c r="I770" s="116"/>
      <c r="L770" s="170">
        <v>43133</v>
      </c>
      <c r="M770" s="116">
        <v>84.8</v>
      </c>
      <c r="N770" s="116">
        <v>88.7</v>
      </c>
      <c r="O770" s="116">
        <v>84.15</v>
      </c>
      <c r="P770" s="116">
        <v>88.4</v>
      </c>
      <c r="Q770" s="116">
        <v>84.8</v>
      </c>
      <c r="R770">
        <v>6950966</v>
      </c>
    </row>
    <row r="771" spans="1:18" x14ac:dyDescent="0.25">
      <c r="A771" s="170">
        <v>43136</v>
      </c>
      <c r="B771" s="116">
        <v>85.5</v>
      </c>
      <c r="C771" s="116">
        <v>85</v>
      </c>
      <c r="D771" s="116">
        <v>82</v>
      </c>
      <c r="E771" s="116">
        <v>83.9</v>
      </c>
      <c r="F771" s="116">
        <v>85</v>
      </c>
      <c r="G771">
        <v>907237</v>
      </c>
      <c r="H771" s="116"/>
      <c r="I771" s="116"/>
      <c r="L771" s="170">
        <v>43136</v>
      </c>
      <c r="M771" s="116">
        <v>85</v>
      </c>
      <c r="N771" s="116">
        <v>85.5</v>
      </c>
      <c r="O771" s="116">
        <v>82.35</v>
      </c>
      <c r="P771" s="116">
        <v>83.4</v>
      </c>
      <c r="Q771" s="116">
        <v>85</v>
      </c>
      <c r="R771">
        <v>5165430</v>
      </c>
    </row>
    <row r="772" spans="1:18" x14ac:dyDescent="0.25">
      <c r="A772" s="170">
        <v>43137</v>
      </c>
      <c r="B772" s="116">
        <v>84.05</v>
      </c>
      <c r="C772" s="116">
        <v>82.8</v>
      </c>
      <c r="D772" s="116">
        <v>80</v>
      </c>
      <c r="E772" s="116">
        <v>83</v>
      </c>
      <c r="F772" s="116">
        <v>82.8</v>
      </c>
      <c r="G772">
        <v>1366736</v>
      </c>
      <c r="H772" s="116"/>
      <c r="I772" s="116"/>
      <c r="L772" s="170">
        <v>43137</v>
      </c>
      <c r="M772" s="116">
        <v>82.8</v>
      </c>
      <c r="N772" s="116">
        <v>84.2</v>
      </c>
      <c r="O772" s="116">
        <v>79.55</v>
      </c>
      <c r="P772" s="116">
        <v>82</v>
      </c>
      <c r="Q772" s="116">
        <v>82.8</v>
      </c>
      <c r="R772">
        <v>7742393</v>
      </c>
    </row>
    <row r="773" spans="1:18" x14ac:dyDescent="0.25">
      <c r="A773" s="170">
        <v>43138</v>
      </c>
      <c r="B773" s="116">
        <v>86.3</v>
      </c>
      <c r="C773" s="116">
        <v>84.75</v>
      </c>
      <c r="D773" s="116">
        <v>82.9</v>
      </c>
      <c r="E773" s="116">
        <v>82.9</v>
      </c>
      <c r="F773" s="116">
        <v>84.75</v>
      </c>
      <c r="G773">
        <v>651671</v>
      </c>
      <c r="H773" s="116"/>
      <c r="I773" s="116"/>
      <c r="L773" s="170">
        <v>43138</v>
      </c>
      <c r="M773" s="116">
        <v>84.7</v>
      </c>
      <c r="N773" s="116">
        <v>85.85</v>
      </c>
      <c r="O773" s="116">
        <v>83.7</v>
      </c>
      <c r="P773" s="116">
        <v>83.95</v>
      </c>
      <c r="Q773" s="116">
        <v>84.7</v>
      </c>
      <c r="R773">
        <v>5612811</v>
      </c>
    </row>
    <row r="774" spans="1:18" x14ac:dyDescent="0.25">
      <c r="A774" s="170">
        <v>43139</v>
      </c>
      <c r="B774" s="116">
        <v>86.15</v>
      </c>
      <c r="C774" s="116">
        <v>85.1</v>
      </c>
      <c r="D774" s="116">
        <v>84</v>
      </c>
      <c r="E774" s="116">
        <v>84</v>
      </c>
      <c r="F774" s="116">
        <v>85.1</v>
      </c>
      <c r="G774">
        <v>422375</v>
      </c>
      <c r="H774" s="116"/>
      <c r="I774" s="116"/>
      <c r="L774" s="170">
        <v>43139</v>
      </c>
      <c r="M774" s="116">
        <v>85.05</v>
      </c>
      <c r="N774" s="116">
        <v>86.15</v>
      </c>
      <c r="O774" s="116">
        <v>84.65</v>
      </c>
      <c r="P774" s="116">
        <v>84.95</v>
      </c>
      <c r="Q774" s="116">
        <v>85.05</v>
      </c>
      <c r="R774">
        <v>3975580</v>
      </c>
    </row>
    <row r="775" spans="1:18" x14ac:dyDescent="0.25">
      <c r="A775" s="170">
        <v>43140</v>
      </c>
      <c r="B775" s="116">
        <v>85.9</v>
      </c>
      <c r="C775" s="116">
        <v>85.1</v>
      </c>
      <c r="D775" s="116">
        <v>82.8</v>
      </c>
      <c r="E775" s="116">
        <v>83.5</v>
      </c>
      <c r="F775" s="116">
        <v>85.1</v>
      </c>
      <c r="G775">
        <v>400281</v>
      </c>
      <c r="H775" s="116"/>
      <c r="I775" s="116"/>
      <c r="L775" s="170">
        <v>43140</v>
      </c>
      <c r="M775" s="116">
        <v>85.05</v>
      </c>
      <c r="N775" s="116">
        <v>85.95</v>
      </c>
      <c r="O775" s="116">
        <v>82.5</v>
      </c>
      <c r="P775" s="116">
        <v>82.5</v>
      </c>
      <c r="Q775" s="116">
        <v>85.05</v>
      </c>
      <c r="R775">
        <v>3539836</v>
      </c>
    </row>
    <row r="776" spans="1:18" x14ac:dyDescent="0.25">
      <c r="A776" s="170">
        <v>43143</v>
      </c>
      <c r="B776" s="116">
        <v>87.3</v>
      </c>
      <c r="C776" s="116">
        <v>86.8</v>
      </c>
      <c r="D776" s="116">
        <v>85.3</v>
      </c>
      <c r="E776" s="116">
        <v>85.75</v>
      </c>
      <c r="F776" s="116">
        <v>86.8</v>
      </c>
      <c r="G776">
        <v>314872</v>
      </c>
      <c r="H776" s="116"/>
      <c r="I776" s="116"/>
      <c r="L776" s="170">
        <v>43143</v>
      </c>
      <c r="M776" s="116">
        <v>86.75</v>
      </c>
      <c r="N776" s="116">
        <v>87.35</v>
      </c>
      <c r="O776" s="116">
        <v>85.5</v>
      </c>
      <c r="P776" s="116">
        <v>85.5</v>
      </c>
      <c r="Q776" s="116">
        <v>86.75</v>
      </c>
      <c r="R776">
        <v>3958245</v>
      </c>
    </row>
    <row r="777" spans="1:18" x14ac:dyDescent="0.25">
      <c r="A777" s="170">
        <v>43145</v>
      </c>
      <c r="B777" s="116">
        <v>88.75</v>
      </c>
      <c r="C777" s="116">
        <v>87</v>
      </c>
      <c r="D777" s="116">
        <v>86.4</v>
      </c>
      <c r="E777" s="116">
        <v>87.1</v>
      </c>
      <c r="F777" s="116">
        <v>87</v>
      </c>
      <c r="G777">
        <v>683595</v>
      </c>
      <c r="H777" s="116"/>
      <c r="I777" s="116"/>
      <c r="L777" s="170">
        <v>43145</v>
      </c>
      <c r="M777" s="116">
        <v>87.1</v>
      </c>
      <c r="N777" s="116">
        <v>88.9</v>
      </c>
      <c r="O777" s="116">
        <v>86.45</v>
      </c>
      <c r="P777" s="116">
        <v>87.5</v>
      </c>
      <c r="Q777" s="116">
        <v>87.1</v>
      </c>
      <c r="R777">
        <v>8735379</v>
      </c>
    </row>
    <row r="778" spans="1:18" x14ac:dyDescent="0.25">
      <c r="A778" s="170">
        <v>43146</v>
      </c>
      <c r="B778" s="116">
        <v>88.25</v>
      </c>
      <c r="C778" s="116">
        <v>86.3</v>
      </c>
      <c r="D778" s="116">
        <v>85.6</v>
      </c>
      <c r="E778" s="116">
        <v>88</v>
      </c>
      <c r="F778" s="116">
        <v>86.3</v>
      </c>
      <c r="G778">
        <v>379792</v>
      </c>
      <c r="H778" s="116"/>
      <c r="I778" s="116"/>
      <c r="L778" s="170">
        <v>43146</v>
      </c>
      <c r="M778" s="116">
        <v>86.25</v>
      </c>
      <c r="N778" s="116">
        <v>88.8</v>
      </c>
      <c r="O778" s="116">
        <v>85.6</v>
      </c>
      <c r="P778" s="116">
        <v>88.8</v>
      </c>
      <c r="Q778" s="116">
        <v>86.25</v>
      </c>
      <c r="R778">
        <v>4726842</v>
      </c>
    </row>
    <row r="779" spans="1:18" x14ac:dyDescent="0.25">
      <c r="A779" s="170">
        <v>43147</v>
      </c>
      <c r="B779" s="116">
        <v>87.3</v>
      </c>
      <c r="C779" s="116">
        <v>86.55</v>
      </c>
      <c r="D779" s="116">
        <v>85.8</v>
      </c>
      <c r="E779" s="116">
        <v>86.3</v>
      </c>
      <c r="F779" s="116">
        <v>86.55</v>
      </c>
      <c r="G779">
        <v>299017</v>
      </c>
      <c r="H779" s="116"/>
      <c r="I779" s="116"/>
      <c r="L779" s="170">
        <v>43147</v>
      </c>
      <c r="M779" s="116">
        <v>86.65</v>
      </c>
      <c r="N779" s="116">
        <v>87.4</v>
      </c>
      <c r="O779" s="116">
        <v>85.85</v>
      </c>
      <c r="P779" s="116">
        <v>86.5</v>
      </c>
      <c r="Q779" s="116">
        <v>86.65</v>
      </c>
      <c r="R779">
        <v>3919700</v>
      </c>
    </row>
    <row r="780" spans="1:18" x14ac:dyDescent="0.25">
      <c r="A780" s="170">
        <v>43150</v>
      </c>
      <c r="B780" s="116">
        <v>86.75</v>
      </c>
      <c r="C780" s="116">
        <v>85.8</v>
      </c>
      <c r="D780" s="116">
        <v>85</v>
      </c>
      <c r="E780" s="116">
        <v>86.55</v>
      </c>
      <c r="F780" s="116">
        <v>85.8</v>
      </c>
      <c r="G780">
        <v>268765</v>
      </c>
      <c r="H780" s="116"/>
      <c r="I780" s="116"/>
      <c r="L780" s="170">
        <v>43150</v>
      </c>
      <c r="M780" s="116">
        <v>86.1</v>
      </c>
      <c r="N780" s="116">
        <v>86.85</v>
      </c>
      <c r="O780" s="116">
        <v>85</v>
      </c>
      <c r="P780" s="116">
        <v>86.7</v>
      </c>
      <c r="Q780" s="116">
        <v>86.1</v>
      </c>
      <c r="R780">
        <v>3506211</v>
      </c>
    </row>
    <row r="781" spans="1:18" x14ac:dyDescent="0.25">
      <c r="A781" s="170">
        <v>43151</v>
      </c>
      <c r="B781" s="116">
        <v>86.8</v>
      </c>
      <c r="C781" s="116">
        <v>86.25</v>
      </c>
      <c r="D781" s="116">
        <v>85.5</v>
      </c>
      <c r="E781" s="116">
        <v>86</v>
      </c>
      <c r="F781" s="116">
        <v>86.25</v>
      </c>
      <c r="G781">
        <v>279617</v>
      </c>
      <c r="H781" s="116"/>
      <c r="I781" s="116"/>
      <c r="L781" s="170">
        <v>43151</v>
      </c>
      <c r="M781" s="116">
        <v>86.4</v>
      </c>
      <c r="N781" s="116">
        <v>86.8</v>
      </c>
      <c r="O781" s="116">
        <v>85.55</v>
      </c>
      <c r="P781" s="116">
        <v>86.1</v>
      </c>
      <c r="Q781" s="116">
        <v>86.4</v>
      </c>
      <c r="R781">
        <v>2973442</v>
      </c>
    </row>
    <row r="782" spans="1:18" x14ac:dyDescent="0.25">
      <c r="A782" s="170">
        <v>43152</v>
      </c>
      <c r="B782" s="116">
        <v>87.8</v>
      </c>
      <c r="C782" s="116">
        <v>86.05</v>
      </c>
      <c r="D782" s="116">
        <v>84.65</v>
      </c>
      <c r="E782" s="116">
        <v>85.55</v>
      </c>
      <c r="F782" s="116">
        <v>86.05</v>
      </c>
      <c r="G782">
        <v>323073</v>
      </c>
      <c r="H782" s="116"/>
      <c r="I782" s="116"/>
      <c r="L782" s="170">
        <v>43152</v>
      </c>
      <c r="M782" s="116">
        <v>86.35</v>
      </c>
      <c r="N782" s="116">
        <v>87.1</v>
      </c>
      <c r="O782" s="116">
        <v>84.6</v>
      </c>
      <c r="P782" s="116">
        <v>86.5</v>
      </c>
      <c r="Q782" s="116">
        <v>86.35</v>
      </c>
      <c r="R782">
        <v>6105693</v>
      </c>
    </row>
    <row r="783" spans="1:18" x14ac:dyDescent="0.25">
      <c r="A783" s="170">
        <v>43153</v>
      </c>
      <c r="B783" s="116">
        <v>87</v>
      </c>
      <c r="C783" s="116">
        <v>85.05</v>
      </c>
      <c r="D783" s="116">
        <v>83.7</v>
      </c>
      <c r="E783" s="116">
        <v>86.25</v>
      </c>
      <c r="F783" s="116">
        <v>85.05</v>
      </c>
      <c r="G783">
        <v>243237</v>
      </c>
      <c r="H783" s="116"/>
      <c r="I783" s="116"/>
      <c r="L783" s="170">
        <v>43153</v>
      </c>
      <c r="M783" s="116">
        <v>84.9</v>
      </c>
      <c r="N783" s="116">
        <v>87.2</v>
      </c>
      <c r="O783" s="116">
        <v>83.45</v>
      </c>
      <c r="P783" s="116">
        <v>86.2</v>
      </c>
      <c r="Q783" s="116">
        <v>84.9</v>
      </c>
      <c r="R783">
        <v>11344724</v>
      </c>
    </row>
    <row r="784" spans="1:18" x14ac:dyDescent="0.25">
      <c r="A784" s="170">
        <v>43154</v>
      </c>
      <c r="B784" s="116">
        <v>86.2</v>
      </c>
      <c r="C784" s="116">
        <v>85.65</v>
      </c>
      <c r="D784" s="116">
        <v>84.5</v>
      </c>
      <c r="E784" s="116">
        <v>84.5</v>
      </c>
      <c r="F784" s="116">
        <v>85.65</v>
      </c>
      <c r="G784">
        <v>297730</v>
      </c>
      <c r="H784" s="116"/>
      <c r="I784" s="116"/>
      <c r="L784" s="170">
        <v>43154</v>
      </c>
      <c r="M784" s="116">
        <v>85.75</v>
      </c>
      <c r="N784" s="116">
        <v>86.45</v>
      </c>
      <c r="O784" s="116">
        <v>84.5</v>
      </c>
      <c r="P784" s="116">
        <v>85</v>
      </c>
      <c r="Q784" s="116">
        <v>85.75</v>
      </c>
      <c r="R784">
        <v>6224406</v>
      </c>
    </row>
    <row r="785" spans="1:18" x14ac:dyDescent="0.25">
      <c r="A785" s="170">
        <v>43157</v>
      </c>
      <c r="B785" s="116">
        <v>87</v>
      </c>
      <c r="C785" s="116">
        <v>85.8</v>
      </c>
      <c r="D785" s="116">
        <v>85.5</v>
      </c>
      <c r="E785" s="116">
        <v>85.75</v>
      </c>
      <c r="F785" s="116">
        <v>85.8</v>
      </c>
      <c r="G785">
        <v>397934</v>
      </c>
      <c r="H785" s="116"/>
      <c r="I785" s="116"/>
      <c r="L785" s="170">
        <v>43157</v>
      </c>
      <c r="M785" s="116">
        <v>85.9</v>
      </c>
      <c r="N785" s="116">
        <v>87.1</v>
      </c>
      <c r="O785" s="116">
        <v>85.6</v>
      </c>
      <c r="P785" s="116">
        <v>85.85</v>
      </c>
      <c r="Q785" s="116">
        <v>85.9</v>
      </c>
      <c r="R785">
        <v>5083760</v>
      </c>
    </row>
    <row r="786" spans="1:18" x14ac:dyDescent="0.25">
      <c r="A786" s="170">
        <v>43158</v>
      </c>
      <c r="B786" s="116">
        <v>86.8</v>
      </c>
      <c r="C786" s="116">
        <v>85.8</v>
      </c>
      <c r="D786" s="116">
        <v>85.3</v>
      </c>
      <c r="E786" s="116">
        <v>85.3</v>
      </c>
      <c r="F786" s="116">
        <v>85.8</v>
      </c>
      <c r="G786">
        <v>217084</v>
      </c>
      <c r="H786" s="116"/>
      <c r="I786" s="116"/>
      <c r="L786" s="170">
        <v>43158</v>
      </c>
      <c r="M786" s="116">
        <v>85.65</v>
      </c>
      <c r="N786" s="116">
        <v>86.9</v>
      </c>
      <c r="O786" s="116">
        <v>85.3</v>
      </c>
      <c r="P786" s="116">
        <v>86.35</v>
      </c>
      <c r="Q786" s="116">
        <v>85.65</v>
      </c>
      <c r="R786">
        <v>3483539</v>
      </c>
    </row>
    <row r="787" spans="1:18" x14ac:dyDescent="0.25">
      <c r="A787" s="170">
        <v>43159</v>
      </c>
      <c r="B787" s="116">
        <v>85.75</v>
      </c>
      <c r="C787" s="116">
        <v>84.6</v>
      </c>
      <c r="D787" s="116">
        <v>84.05</v>
      </c>
      <c r="E787" s="116">
        <v>85.2</v>
      </c>
      <c r="F787" s="116">
        <v>84.6</v>
      </c>
      <c r="G787">
        <v>267087</v>
      </c>
      <c r="H787" s="116"/>
      <c r="I787" s="116"/>
      <c r="L787" s="170">
        <v>43159</v>
      </c>
      <c r="M787" s="116">
        <v>84.5</v>
      </c>
      <c r="N787" s="116">
        <v>85.8</v>
      </c>
      <c r="O787" s="116">
        <v>84.25</v>
      </c>
      <c r="P787" s="116">
        <v>85.55</v>
      </c>
      <c r="Q787" s="116">
        <v>84.5</v>
      </c>
      <c r="R787">
        <v>3879178</v>
      </c>
    </row>
    <row r="788" spans="1:18" x14ac:dyDescent="0.25">
      <c r="A788" s="170">
        <v>43160</v>
      </c>
      <c r="B788" s="116">
        <v>85.8</v>
      </c>
      <c r="C788" s="116">
        <v>84.2</v>
      </c>
      <c r="D788" s="116">
        <v>84</v>
      </c>
      <c r="E788" s="116">
        <v>85</v>
      </c>
      <c r="F788" s="116">
        <v>84.2</v>
      </c>
      <c r="G788">
        <v>772285</v>
      </c>
      <c r="H788" s="116"/>
      <c r="I788" s="116"/>
      <c r="L788" s="170">
        <v>43160</v>
      </c>
      <c r="M788" s="116">
        <v>84.3</v>
      </c>
      <c r="N788" s="116">
        <v>85.95</v>
      </c>
      <c r="O788" s="116">
        <v>83.95</v>
      </c>
      <c r="P788" s="116">
        <v>85</v>
      </c>
      <c r="Q788" s="116">
        <v>84.3</v>
      </c>
      <c r="R788">
        <v>6936315</v>
      </c>
    </row>
    <row r="789" spans="1:18" x14ac:dyDescent="0.25">
      <c r="A789" s="170">
        <v>43164</v>
      </c>
      <c r="B789" s="116">
        <v>84.5</v>
      </c>
      <c r="C789" s="116">
        <v>82.1</v>
      </c>
      <c r="D789" s="116">
        <v>81.400000000000006</v>
      </c>
      <c r="E789" s="116">
        <v>84.3</v>
      </c>
      <c r="F789" s="116">
        <v>82.1</v>
      </c>
      <c r="G789">
        <v>328458</v>
      </c>
      <c r="H789" s="116"/>
      <c r="I789" s="116"/>
      <c r="L789" s="170">
        <v>43164</v>
      </c>
      <c r="M789" s="116">
        <v>82.15</v>
      </c>
      <c r="N789" s="116">
        <v>84.3</v>
      </c>
      <c r="O789" s="116">
        <v>81.400000000000006</v>
      </c>
      <c r="P789" s="116">
        <v>84.3</v>
      </c>
      <c r="Q789" s="116">
        <v>82.15</v>
      </c>
      <c r="R789">
        <v>5009614</v>
      </c>
    </row>
    <row r="790" spans="1:18" x14ac:dyDescent="0.25">
      <c r="A790" s="170">
        <v>43165</v>
      </c>
      <c r="B790" s="116">
        <v>83.1</v>
      </c>
      <c r="C790" s="116">
        <v>81.75</v>
      </c>
      <c r="D790" s="116">
        <v>81.349999999999994</v>
      </c>
      <c r="E790" s="116">
        <v>82.9</v>
      </c>
      <c r="F790" s="116">
        <v>81.75</v>
      </c>
      <c r="G790">
        <v>301689</v>
      </c>
      <c r="H790" s="116"/>
      <c r="I790" s="116"/>
      <c r="L790" s="170">
        <v>43165</v>
      </c>
      <c r="M790" s="116">
        <v>81.75</v>
      </c>
      <c r="N790" s="116">
        <v>83.15</v>
      </c>
      <c r="O790" s="116">
        <v>81.099999999999994</v>
      </c>
      <c r="P790" s="116">
        <v>82.6</v>
      </c>
      <c r="Q790" s="116">
        <v>81.75</v>
      </c>
      <c r="R790">
        <v>4764070</v>
      </c>
    </row>
    <row r="791" spans="1:18" x14ac:dyDescent="0.25">
      <c r="A791" s="170">
        <v>43166</v>
      </c>
      <c r="B791" s="116">
        <v>81.7</v>
      </c>
      <c r="C791" s="116">
        <v>79.05</v>
      </c>
      <c r="D791" s="116">
        <v>78.849999999999994</v>
      </c>
      <c r="E791" s="116">
        <v>81</v>
      </c>
      <c r="F791" s="116">
        <v>79.05</v>
      </c>
      <c r="G791">
        <v>1616649</v>
      </c>
      <c r="H791" s="116"/>
      <c r="I791" s="116"/>
      <c r="L791" s="170">
        <v>43166</v>
      </c>
      <c r="M791" s="116">
        <v>79.2</v>
      </c>
      <c r="N791" s="116">
        <v>81.7</v>
      </c>
      <c r="O791" s="116">
        <v>79</v>
      </c>
      <c r="P791" s="116">
        <v>81.2</v>
      </c>
      <c r="Q791" s="116">
        <v>79.2</v>
      </c>
      <c r="R791">
        <v>3996821</v>
      </c>
    </row>
    <row r="792" spans="1:18" x14ac:dyDescent="0.25">
      <c r="A792" s="170">
        <v>43167</v>
      </c>
      <c r="B792" s="116">
        <v>80.3</v>
      </c>
      <c r="C792" s="116">
        <v>79.900000000000006</v>
      </c>
      <c r="D792" s="116">
        <v>77</v>
      </c>
      <c r="E792" s="116">
        <v>78.900000000000006</v>
      </c>
      <c r="F792" s="116">
        <v>79.900000000000006</v>
      </c>
      <c r="G792">
        <v>1355700</v>
      </c>
      <c r="H792" s="116"/>
      <c r="I792" s="116"/>
      <c r="L792" s="170">
        <v>43167</v>
      </c>
      <c r="M792" s="116">
        <v>79.900000000000006</v>
      </c>
      <c r="N792" s="116">
        <v>80.400000000000006</v>
      </c>
      <c r="O792" s="116">
        <v>77</v>
      </c>
      <c r="P792" s="116">
        <v>78.599999999999994</v>
      </c>
      <c r="Q792" s="116">
        <v>79.900000000000006</v>
      </c>
      <c r="R792">
        <v>8699087</v>
      </c>
    </row>
    <row r="793" spans="1:18" x14ac:dyDescent="0.25">
      <c r="A793" s="170">
        <v>43168</v>
      </c>
      <c r="B793" s="116">
        <v>81.5</v>
      </c>
      <c r="C793" s="116">
        <v>79.900000000000006</v>
      </c>
      <c r="D793" s="116">
        <v>79.55</v>
      </c>
      <c r="E793" s="116">
        <v>79.900000000000006</v>
      </c>
      <c r="F793" s="116">
        <v>79.900000000000006</v>
      </c>
      <c r="G793">
        <v>503324</v>
      </c>
      <c r="H793" s="116"/>
      <c r="I793" s="116"/>
      <c r="L793" s="170">
        <v>43168</v>
      </c>
      <c r="M793" s="116">
        <v>80</v>
      </c>
      <c r="N793" s="116">
        <v>81.599999999999994</v>
      </c>
      <c r="O793" s="116">
        <v>79.8</v>
      </c>
      <c r="P793" s="116">
        <v>80</v>
      </c>
      <c r="Q793" s="116">
        <v>80</v>
      </c>
      <c r="R793">
        <v>5486959</v>
      </c>
    </row>
    <row r="794" spans="1:18" x14ac:dyDescent="0.25">
      <c r="A794" s="170">
        <v>43171</v>
      </c>
      <c r="B794" s="116">
        <v>80.900000000000006</v>
      </c>
      <c r="C794" s="116">
        <v>80.650000000000006</v>
      </c>
      <c r="D794" s="116">
        <v>79.95</v>
      </c>
      <c r="E794" s="116">
        <v>80.5</v>
      </c>
      <c r="F794" s="116">
        <v>80.650000000000006</v>
      </c>
      <c r="G794">
        <v>558240</v>
      </c>
      <c r="H794" s="116"/>
      <c r="I794" s="116"/>
      <c r="L794" s="170">
        <v>43171</v>
      </c>
      <c r="M794" s="116">
        <v>80.849999999999994</v>
      </c>
      <c r="N794" s="116">
        <v>81.05</v>
      </c>
      <c r="O794" s="116">
        <v>79.95</v>
      </c>
      <c r="P794" s="116">
        <v>80.55</v>
      </c>
      <c r="Q794" s="116">
        <v>80.849999999999994</v>
      </c>
      <c r="R794">
        <v>3328605</v>
      </c>
    </row>
    <row r="795" spans="1:18" x14ac:dyDescent="0.25">
      <c r="A795" s="170">
        <v>43172</v>
      </c>
      <c r="B795" s="116">
        <v>82.1</v>
      </c>
      <c r="C795" s="116">
        <v>81.3</v>
      </c>
      <c r="D795" s="116">
        <v>80.25</v>
      </c>
      <c r="E795" s="116">
        <v>80.5</v>
      </c>
      <c r="F795" s="116">
        <v>81.3</v>
      </c>
      <c r="G795">
        <v>528704</v>
      </c>
      <c r="H795" s="116"/>
      <c r="I795" s="116"/>
      <c r="L795" s="170">
        <v>43172</v>
      </c>
      <c r="M795" s="116">
        <v>81.349999999999994</v>
      </c>
      <c r="N795" s="116">
        <v>82.25</v>
      </c>
      <c r="O795" s="116">
        <v>80.400000000000006</v>
      </c>
      <c r="P795" s="116">
        <v>80.8</v>
      </c>
      <c r="Q795" s="116">
        <v>81.349999999999994</v>
      </c>
      <c r="R795">
        <v>5000216</v>
      </c>
    </row>
    <row r="796" spans="1:18" x14ac:dyDescent="0.25">
      <c r="A796" s="170">
        <v>43173</v>
      </c>
      <c r="B796" s="116">
        <v>81.5</v>
      </c>
      <c r="C796" s="116">
        <v>80.349999999999994</v>
      </c>
      <c r="D796" s="116">
        <v>80</v>
      </c>
      <c r="E796" s="116">
        <v>81.3</v>
      </c>
      <c r="F796" s="116">
        <v>80.349999999999994</v>
      </c>
      <c r="G796">
        <v>652412</v>
      </c>
      <c r="H796" s="116"/>
      <c r="I796" s="116"/>
      <c r="L796" s="170">
        <v>43173</v>
      </c>
      <c r="M796" s="116">
        <v>80.400000000000006</v>
      </c>
      <c r="N796" s="116">
        <v>81.400000000000006</v>
      </c>
      <c r="O796" s="116">
        <v>79.849999999999994</v>
      </c>
      <c r="P796" s="116">
        <v>81.25</v>
      </c>
      <c r="Q796" s="116">
        <v>80.400000000000006</v>
      </c>
      <c r="R796">
        <v>3251098</v>
      </c>
    </row>
    <row r="797" spans="1:18" x14ac:dyDescent="0.25">
      <c r="A797" s="170">
        <v>43174</v>
      </c>
      <c r="B797" s="116">
        <v>81.150000000000006</v>
      </c>
      <c r="C797" s="116">
        <v>80.2</v>
      </c>
      <c r="D797" s="116">
        <v>79.900000000000006</v>
      </c>
      <c r="E797" s="116">
        <v>80.349999999999994</v>
      </c>
      <c r="F797" s="116">
        <v>80.2</v>
      </c>
      <c r="G797">
        <v>304123</v>
      </c>
      <c r="H797" s="116"/>
      <c r="I797" s="116"/>
      <c r="L797" s="170">
        <v>43174</v>
      </c>
      <c r="M797" s="116">
        <v>80.25</v>
      </c>
      <c r="N797" s="116">
        <v>81.2</v>
      </c>
      <c r="O797" s="116">
        <v>80</v>
      </c>
      <c r="P797" s="116">
        <v>80.599999999999994</v>
      </c>
      <c r="Q797" s="116">
        <v>80.25</v>
      </c>
      <c r="R797">
        <v>3876762</v>
      </c>
    </row>
    <row r="798" spans="1:18" x14ac:dyDescent="0.25">
      <c r="A798" s="170">
        <v>43175</v>
      </c>
      <c r="B798" s="116">
        <v>80.650000000000006</v>
      </c>
      <c r="C798" s="116">
        <v>79.95</v>
      </c>
      <c r="D798" s="116">
        <v>79.7</v>
      </c>
      <c r="E798" s="116">
        <v>80.2</v>
      </c>
      <c r="F798" s="116">
        <v>79.95</v>
      </c>
      <c r="G798">
        <v>185958</v>
      </c>
      <c r="H798" s="116"/>
      <c r="I798" s="116"/>
      <c r="L798" s="170">
        <v>43175</v>
      </c>
      <c r="M798" s="116">
        <v>79.95</v>
      </c>
      <c r="N798" s="116">
        <v>80.650000000000006</v>
      </c>
      <c r="O798" s="116">
        <v>79.7</v>
      </c>
      <c r="P798" s="116">
        <v>80.25</v>
      </c>
      <c r="Q798" s="116">
        <v>79.95</v>
      </c>
      <c r="R798">
        <v>9813941</v>
      </c>
    </row>
    <row r="799" spans="1:18" x14ac:dyDescent="0.25">
      <c r="A799" s="170">
        <v>43178</v>
      </c>
      <c r="B799" s="116">
        <v>80.5</v>
      </c>
      <c r="C799" s="116">
        <v>79.3</v>
      </c>
      <c r="D799" s="116">
        <v>78.8</v>
      </c>
      <c r="E799" s="116">
        <v>80.45</v>
      </c>
      <c r="F799" s="116">
        <v>79.3</v>
      </c>
      <c r="G799">
        <v>210939</v>
      </c>
      <c r="H799" s="116"/>
      <c r="I799" s="116"/>
      <c r="L799" s="170">
        <v>43178</v>
      </c>
      <c r="M799" s="116">
        <v>79.55</v>
      </c>
      <c r="N799" s="116">
        <v>80.5</v>
      </c>
      <c r="O799" s="116">
        <v>78.849999999999994</v>
      </c>
      <c r="P799" s="116">
        <v>79.95</v>
      </c>
      <c r="Q799" s="116">
        <v>79.55</v>
      </c>
      <c r="R799">
        <v>4114695</v>
      </c>
    </row>
    <row r="800" spans="1:18" x14ac:dyDescent="0.25">
      <c r="A800" s="170">
        <v>43179</v>
      </c>
      <c r="B800" s="116">
        <v>80.3</v>
      </c>
      <c r="C800" s="116">
        <v>80.150000000000006</v>
      </c>
      <c r="D800" s="116">
        <v>78.75</v>
      </c>
      <c r="E800" s="116">
        <v>78.75</v>
      </c>
      <c r="F800" s="116">
        <v>80.150000000000006</v>
      </c>
      <c r="G800">
        <v>256210</v>
      </c>
      <c r="H800" s="116"/>
      <c r="I800" s="116"/>
      <c r="L800" s="170">
        <v>43179</v>
      </c>
      <c r="M800" s="116">
        <v>80.349999999999994</v>
      </c>
      <c r="N800" s="116">
        <v>80.55</v>
      </c>
      <c r="O800" s="116">
        <v>78.8</v>
      </c>
      <c r="P800" s="116">
        <v>78.8</v>
      </c>
      <c r="Q800" s="116">
        <v>80.349999999999994</v>
      </c>
      <c r="R800">
        <v>2206517</v>
      </c>
    </row>
    <row r="801" spans="1:18" x14ac:dyDescent="0.25">
      <c r="A801" s="170">
        <v>43180</v>
      </c>
      <c r="B801" s="116">
        <v>80.599999999999994</v>
      </c>
      <c r="C801" s="116">
        <v>79.849999999999994</v>
      </c>
      <c r="D801" s="116">
        <v>79.599999999999994</v>
      </c>
      <c r="E801" s="116">
        <v>80.2</v>
      </c>
      <c r="F801" s="116">
        <v>79.849999999999994</v>
      </c>
      <c r="G801">
        <v>226794</v>
      </c>
      <c r="H801" s="116"/>
      <c r="I801" s="116"/>
      <c r="L801" s="170">
        <v>43180</v>
      </c>
      <c r="M801" s="116">
        <v>79.95</v>
      </c>
      <c r="N801" s="116">
        <v>80.75</v>
      </c>
      <c r="O801" s="116">
        <v>79.8</v>
      </c>
      <c r="P801" s="116">
        <v>80.400000000000006</v>
      </c>
      <c r="Q801" s="116">
        <v>79.95</v>
      </c>
      <c r="R801">
        <v>5279874</v>
      </c>
    </row>
    <row r="802" spans="1:18" x14ac:dyDescent="0.25">
      <c r="A802" s="170">
        <v>43181</v>
      </c>
      <c r="B802" s="116">
        <v>80.25</v>
      </c>
      <c r="C802" s="116">
        <v>80.05</v>
      </c>
      <c r="D802" s="116">
        <v>79.650000000000006</v>
      </c>
      <c r="E802" s="116">
        <v>79.7</v>
      </c>
      <c r="F802" s="116">
        <v>80.05</v>
      </c>
      <c r="G802">
        <v>1362213</v>
      </c>
      <c r="H802" s="116"/>
      <c r="I802" s="116"/>
      <c r="L802" s="170">
        <v>43181</v>
      </c>
      <c r="M802" s="116">
        <v>80</v>
      </c>
      <c r="N802" s="116">
        <v>80.349999999999994</v>
      </c>
      <c r="O802" s="116">
        <v>79.75</v>
      </c>
      <c r="P802" s="116">
        <v>79.900000000000006</v>
      </c>
      <c r="Q802" s="116">
        <v>80</v>
      </c>
      <c r="R802">
        <v>3112967</v>
      </c>
    </row>
    <row r="803" spans="1:18" x14ac:dyDescent="0.25">
      <c r="A803" s="170">
        <v>43182</v>
      </c>
      <c r="B803" s="116">
        <v>80.150000000000006</v>
      </c>
      <c r="C803" s="116">
        <v>79.75</v>
      </c>
      <c r="D803" s="116">
        <v>78.099999999999994</v>
      </c>
      <c r="E803" s="116">
        <v>79.349999999999994</v>
      </c>
      <c r="F803" s="116">
        <v>79.75</v>
      </c>
      <c r="G803">
        <v>249515</v>
      </c>
      <c r="H803" s="116"/>
      <c r="I803" s="116"/>
      <c r="L803" s="170">
        <v>43182</v>
      </c>
      <c r="M803" s="116">
        <v>80</v>
      </c>
      <c r="N803" s="116">
        <v>80.3</v>
      </c>
      <c r="O803" s="116">
        <v>78</v>
      </c>
      <c r="P803" s="116">
        <v>78</v>
      </c>
      <c r="Q803" s="116">
        <v>80</v>
      </c>
      <c r="R803">
        <v>6418882</v>
      </c>
    </row>
    <row r="804" spans="1:18" x14ac:dyDescent="0.25">
      <c r="A804" s="170">
        <v>43185</v>
      </c>
      <c r="B804" s="116">
        <v>81.2</v>
      </c>
      <c r="C804" s="116">
        <v>79.95</v>
      </c>
      <c r="D804" s="116">
        <v>78.849999999999994</v>
      </c>
      <c r="E804" s="116">
        <v>80.75</v>
      </c>
      <c r="F804" s="116">
        <v>79.95</v>
      </c>
      <c r="G804">
        <v>401740</v>
      </c>
      <c r="H804" s="116"/>
      <c r="I804" s="116"/>
      <c r="L804" s="170">
        <v>43185</v>
      </c>
      <c r="M804" s="116">
        <v>79.900000000000006</v>
      </c>
      <c r="N804" s="116">
        <v>81.25</v>
      </c>
      <c r="O804" s="116">
        <v>78.75</v>
      </c>
      <c r="P804" s="116">
        <v>81</v>
      </c>
      <c r="Q804" s="116">
        <v>79.900000000000006</v>
      </c>
      <c r="R804">
        <v>6556759</v>
      </c>
    </row>
    <row r="805" spans="1:18" x14ac:dyDescent="0.25">
      <c r="A805" s="170">
        <v>43186</v>
      </c>
      <c r="B805" s="116">
        <v>81.5</v>
      </c>
      <c r="C805" s="116">
        <v>80</v>
      </c>
      <c r="D805" s="116">
        <v>79.75</v>
      </c>
      <c r="E805" s="116">
        <v>80.849999999999994</v>
      </c>
      <c r="F805" s="116">
        <v>80</v>
      </c>
      <c r="G805">
        <v>215567</v>
      </c>
      <c r="H805" s="116"/>
      <c r="I805" s="116"/>
      <c r="L805" s="170">
        <v>43186</v>
      </c>
      <c r="M805" s="116">
        <v>80.099999999999994</v>
      </c>
      <c r="N805" s="116">
        <v>81.5</v>
      </c>
      <c r="O805" s="116">
        <v>79.7</v>
      </c>
      <c r="P805" s="116">
        <v>80.45</v>
      </c>
      <c r="Q805" s="116">
        <v>80.099999999999994</v>
      </c>
      <c r="R805">
        <v>4073519</v>
      </c>
    </row>
    <row r="806" spans="1:18" x14ac:dyDescent="0.25">
      <c r="A806" s="170">
        <v>43187</v>
      </c>
      <c r="B806" s="116">
        <v>80.349999999999994</v>
      </c>
      <c r="C806" s="116">
        <v>79.349999999999994</v>
      </c>
      <c r="D806" s="116">
        <v>78.8</v>
      </c>
      <c r="E806" s="116">
        <v>80</v>
      </c>
      <c r="F806" s="116">
        <v>79.349999999999994</v>
      </c>
      <c r="G806">
        <v>311940</v>
      </c>
      <c r="H806" s="116"/>
      <c r="I806" s="116"/>
      <c r="L806" s="170">
        <v>43187</v>
      </c>
      <c r="M806" s="116">
        <v>79</v>
      </c>
      <c r="N806" s="116">
        <v>80.349999999999994</v>
      </c>
      <c r="O806" s="116">
        <v>78.349999999999994</v>
      </c>
      <c r="P806" s="116">
        <v>79.8</v>
      </c>
      <c r="Q806" s="116">
        <v>79</v>
      </c>
      <c r="R806">
        <v>10620637</v>
      </c>
    </row>
    <row r="807" spans="1:18" x14ac:dyDescent="0.25">
      <c r="A807" s="170">
        <v>43192</v>
      </c>
      <c r="B807" s="116">
        <v>82.1</v>
      </c>
      <c r="C807" s="116">
        <v>81.900000000000006</v>
      </c>
      <c r="D807" s="116">
        <v>78.099999999999994</v>
      </c>
      <c r="E807" s="116">
        <v>78.099999999999994</v>
      </c>
      <c r="F807" s="116">
        <v>81.900000000000006</v>
      </c>
      <c r="G807">
        <v>202235</v>
      </c>
      <c r="H807" s="116"/>
      <c r="I807" s="116"/>
      <c r="L807" s="170">
        <v>43192</v>
      </c>
      <c r="M807" s="116">
        <v>81.900000000000006</v>
      </c>
      <c r="N807" s="116">
        <v>82.2</v>
      </c>
      <c r="O807" s="116">
        <v>78.75</v>
      </c>
      <c r="P807" s="116">
        <v>79</v>
      </c>
      <c r="Q807" s="116">
        <v>81.900000000000006</v>
      </c>
      <c r="R807">
        <v>3657360</v>
      </c>
    </row>
    <row r="808" spans="1:18" x14ac:dyDescent="0.25">
      <c r="A808" s="170">
        <v>43193</v>
      </c>
      <c r="B808" s="116">
        <v>84.55</v>
      </c>
      <c r="C808" s="116">
        <v>84.35</v>
      </c>
      <c r="D808" s="116">
        <v>81.5</v>
      </c>
      <c r="E808" s="116">
        <v>81.900000000000006</v>
      </c>
      <c r="F808" s="116">
        <v>84.35</v>
      </c>
      <c r="G808">
        <v>277562</v>
      </c>
      <c r="H808" s="116"/>
      <c r="I808" s="116"/>
      <c r="L808" s="170">
        <v>43193</v>
      </c>
      <c r="M808" s="116">
        <v>84.45</v>
      </c>
      <c r="N808" s="116">
        <v>84.6</v>
      </c>
      <c r="O808" s="116">
        <v>81.150000000000006</v>
      </c>
      <c r="P808" s="116">
        <v>81.150000000000006</v>
      </c>
      <c r="Q808" s="116">
        <v>84.45</v>
      </c>
      <c r="R808">
        <v>3298435</v>
      </c>
    </row>
    <row r="809" spans="1:18" x14ac:dyDescent="0.25">
      <c r="A809" s="170">
        <v>43194</v>
      </c>
      <c r="B809" s="116">
        <v>85.9</v>
      </c>
      <c r="C809" s="116">
        <v>82.95</v>
      </c>
      <c r="D809" s="116">
        <v>82.6</v>
      </c>
      <c r="E809" s="116">
        <v>84.35</v>
      </c>
      <c r="F809" s="116">
        <v>82.95</v>
      </c>
      <c r="G809">
        <v>225879</v>
      </c>
      <c r="H809" s="116"/>
      <c r="I809" s="116"/>
      <c r="L809" s="170">
        <v>43194</v>
      </c>
      <c r="M809" s="116">
        <v>83.05</v>
      </c>
      <c r="N809" s="116">
        <v>85.95</v>
      </c>
      <c r="O809" s="116">
        <v>82.55</v>
      </c>
      <c r="P809" s="116">
        <v>84.7</v>
      </c>
      <c r="Q809" s="116">
        <v>83.05</v>
      </c>
      <c r="R809">
        <v>4973672</v>
      </c>
    </row>
    <row r="810" spans="1:18" x14ac:dyDescent="0.25">
      <c r="A810" s="170">
        <v>43195</v>
      </c>
      <c r="B810" s="116">
        <v>84.7</v>
      </c>
      <c r="C810" s="116">
        <v>83.5</v>
      </c>
      <c r="D810" s="116">
        <v>83.3</v>
      </c>
      <c r="E810" s="116">
        <v>83.3</v>
      </c>
      <c r="F810" s="116">
        <v>83.5</v>
      </c>
      <c r="G810">
        <v>230482</v>
      </c>
      <c r="H810" s="116"/>
      <c r="I810" s="116"/>
      <c r="L810" s="170">
        <v>43195</v>
      </c>
      <c r="M810" s="116">
        <v>83.5</v>
      </c>
      <c r="N810" s="116">
        <v>84.75</v>
      </c>
      <c r="O810" s="116">
        <v>83.3</v>
      </c>
      <c r="P810" s="116">
        <v>84</v>
      </c>
      <c r="Q810" s="116">
        <v>83.5</v>
      </c>
      <c r="R810">
        <v>2956519</v>
      </c>
    </row>
    <row r="811" spans="1:18" x14ac:dyDescent="0.25">
      <c r="A811" s="170">
        <v>43196</v>
      </c>
      <c r="B811" s="116">
        <v>84.8</v>
      </c>
      <c r="C811" s="116">
        <v>84.25</v>
      </c>
      <c r="D811" s="116">
        <v>82.65</v>
      </c>
      <c r="E811" s="116">
        <v>83.95</v>
      </c>
      <c r="F811" s="116">
        <v>84.25</v>
      </c>
      <c r="G811">
        <v>188080</v>
      </c>
      <c r="H811" s="116"/>
      <c r="I811" s="116"/>
      <c r="L811" s="170">
        <v>43196</v>
      </c>
      <c r="M811" s="116">
        <v>84.5</v>
      </c>
      <c r="N811" s="116">
        <v>85.1</v>
      </c>
      <c r="O811" s="116">
        <v>82.6</v>
      </c>
      <c r="P811" s="116">
        <v>83.55</v>
      </c>
      <c r="Q811" s="116">
        <v>84.5</v>
      </c>
      <c r="R811">
        <v>4231975</v>
      </c>
    </row>
    <row r="812" spans="1:18" x14ac:dyDescent="0.25">
      <c r="A812" s="170">
        <v>43199</v>
      </c>
      <c r="B812" s="116">
        <v>85.3</v>
      </c>
      <c r="C812" s="116">
        <v>85.05</v>
      </c>
      <c r="D812" s="116">
        <v>83.95</v>
      </c>
      <c r="E812" s="116">
        <v>84</v>
      </c>
      <c r="F812" s="116">
        <v>85.05</v>
      </c>
      <c r="G812">
        <v>162161</v>
      </c>
      <c r="H812" s="116"/>
      <c r="I812" s="116"/>
      <c r="L812" s="170">
        <v>43199</v>
      </c>
      <c r="M812" s="116">
        <v>85</v>
      </c>
      <c r="N812" s="116">
        <v>85.4</v>
      </c>
      <c r="O812" s="116">
        <v>83.95</v>
      </c>
      <c r="P812" s="116">
        <v>84.15</v>
      </c>
      <c r="Q812" s="116">
        <v>85</v>
      </c>
      <c r="R812">
        <v>1829399</v>
      </c>
    </row>
    <row r="813" spans="1:18" x14ac:dyDescent="0.25">
      <c r="A813" s="170">
        <v>43200</v>
      </c>
      <c r="B813" s="116">
        <v>87.6</v>
      </c>
      <c r="C813" s="116">
        <v>87.1</v>
      </c>
      <c r="D813" s="116">
        <v>84.1</v>
      </c>
      <c r="E813" s="116">
        <v>85.1</v>
      </c>
      <c r="F813" s="116">
        <v>87.1</v>
      </c>
      <c r="G813">
        <v>1702239</v>
      </c>
      <c r="H813" s="116"/>
      <c r="I813" s="116"/>
      <c r="L813" s="170">
        <v>43200</v>
      </c>
      <c r="M813" s="116">
        <v>87.1</v>
      </c>
      <c r="N813" s="116">
        <v>87.6</v>
      </c>
      <c r="O813" s="116">
        <v>84</v>
      </c>
      <c r="P813" s="116">
        <v>85.3</v>
      </c>
      <c r="Q813" s="116">
        <v>87.1</v>
      </c>
      <c r="R813">
        <v>8597297</v>
      </c>
    </row>
    <row r="814" spans="1:18" x14ac:dyDescent="0.25">
      <c r="A814" s="170">
        <v>43201</v>
      </c>
      <c r="B814" s="116">
        <v>88</v>
      </c>
      <c r="C814" s="116">
        <v>86.75</v>
      </c>
      <c r="D814" s="116">
        <v>85.9</v>
      </c>
      <c r="E814" s="116">
        <v>87.15</v>
      </c>
      <c r="F814" s="116">
        <v>86.75</v>
      </c>
      <c r="G814">
        <v>218166</v>
      </c>
      <c r="H814" s="116"/>
      <c r="I814" s="116"/>
      <c r="L814" s="170">
        <v>43201</v>
      </c>
      <c r="M814" s="116">
        <v>87</v>
      </c>
      <c r="N814" s="116">
        <v>88.1</v>
      </c>
      <c r="O814" s="116">
        <v>86</v>
      </c>
      <c r="P814" s="116">
        <v>86.9</v>
      </c>
      <c r="Q814" s="116">
        <v>87</v>
      </c>
      <c r="R814">
        <v>5792098</v>
      </c>
    </row>
    <row r="815" spans="1:18" x14ac:dyDescent="0.25">
      <c r="A815" s="170">
        <v>43202</v>
      </c>
      <c r="B815" s="116">
        <v>88.45</v>
      </c>
      <c r="C815" s="116">
        <v>87.6</v>
      </c>
      <c r="D815" s="116">
        <v>86.1</v>
      </c>
      <c r="E815" s="116">
        <v>86.1</v>
      </c>
      <c r="F815" s="116">
        <v>87.6</v>
      </c>
      <c r="G815">
        <v>596041</v>
      </c>
      <c r="H815" s="116"/>
      <c r="I815" s="116"/>
      <c r="L815" s="170">
        <v>43202</v>
      </c>
      <c r="M815" s="116">
        <v>87.85</v>
      </c>
      <c r="N815" s="116">
        <v>88.45</v>
      </c>
      <c r="O815" s="116">
        <v>86.3</v>
      </c>
      <c r="P815" s="116">
        <v>87.1</v>
      </c>
      <c r="Q815" s="116">
        <v>87.85</v>
      </c>
      <c r="R815">
        <v>8423805</v>
      </c>
    </row>
    <row r="816" spans="1:18" x14ac:dyDescent="0.25">
      <c r="A816" s="170">
        <v>43203</v>
      </c>
      <c r="B816" s="116">
        <v>88.65</v>
      </c>
      <c r="C816" s="116">
        <v>87.5</v>
      </c>
      <c r="D816" s="116">
        <v>87.1</v>
      </c>
      <c r="E816" s="116">
        <v>87.1</v>
      </c>
      <c r="F816" s="116">
        <v>87.5</v>
      </c>
      <c r="G816">
        <v>175578</v>
      </c>
      <c r="H816" s="116"/>
      <c r="I816" s="116"/>
      <c r="L816" s="170">
        <v>43203</v>
      </c>
      <c r="M816" s="116">
        <v>87.65</v>
      </c>
      <c r="N816" s="116">
        <v>88.7</v>
      </c>
      <c r="O816" s="116">
        <v>87.2</v>
      </c>
      <c r="P816" s="116">
        <v>87.8</v>
      </c>
      <c r="Q816" s="116">
        <v>87.65</v>
      </c>
      <c r="R816">
        <v>4719330</v>
      </c>
    </row>
    <row r="817" spans="1:18" x14ac:dyDescent="0.25">
      <c r="A817" s="170">
        <v>43206</v>
      </c>
      <c r="B817" s="116">
        <v>88.15</v>
      </c>
      <c r="C817" s="116">
        <v>87.65</v>
      </c>
      <c r="D817" s="116">
        <v>85.9</v>
      </c>
      <c r="E817" s="116">
        <v>87</v>
      </c>
      <c r="F817" s="116">
        <v>87.65</v>
      </c>
      <c r="G817">
        <v>154757</v>
      </c>
      <c r="H817" s="116"/>
      <c r="I817" s="116"/>
      <c r="L817" s="170">
        <v>43206</v>
      </c>
      <c r="M817" s="116">
        <v>87.8</v>
      </c>
      <c r="N817" s="116">
        <v>88.25</v>
      </c>
      <c r="O817" s="116">
        <v>85.65</v>
      </c>
      <c r="P817" s="116">
        <v>86.85</v>
      </c>
      <c r="Q817" s="116">
        <v>87.8</v>
      </c>
      <c r="R817">
        <v>2340628</v>
      </c>
    </row>
    <row r="818" spans="1:18" x14ac:dyDescent="0.25">
      <c r="A818" s="170">
        <v>43207</v>
      </c>
      <c r="B818" s="116">
        <v>87.9</v>
      </c>
      <c r="C818" s="116">
        <v>87.4</v>
      </c>
      <c r="D818" s="116">
        <v>87</v>
      </c>
      <c r="E818" s="116">
        <v>87.65</v>
      </c>
      <c r="F818" s="116">
        <v>87.4</v>
      </c>
      <c r="G818">
        <v>238421</v>
      </c>
      <c r="H818" s="116"/>
      <c r="I818" s="116"/>
      <c r="L818" s="170">
        <v>43207</v>
      </c>
      <c r="M818" s="116">
        <v>87.45</v>
      </c>
      <c r="N818" s="116">
        <v>88.1</v>
      </c>
      <c r="O818" s="116">
        <v>87</v>
      </c>
      <c r="P818" s="116">
        <v>87.85</v>
      </c>
      <c r="Q818" s="116">
        <v>87.45</v>
      </c>
      <c r="R818">
        <v>3111160</v>
      </c>
    </row>
    <row r="819" spans="1:18" x14ac:dyDescent="0.25">
      <c r="A819" s="170">
        <v>43208</v>
      </c>
      <c r="B819" s="116">
        <v>88.3</v>
      </c>
      <c r="C819" s="116">
        <v>87.65</v>
      </c>
      <c r="D819" s="116">
        <v>87.05</v>
      </c>
      <c r="E819" s="116">
        <v>87.9</v>
      </c>
      <c r="F819" s="116">
        <v>87.65</v>
      </c>
      <c r="G819">
        <v>198982</v>
      </c>
      <c r="H819" s="116"/>
      <c r="I819" s="116"/>
      <c r="L819" s="170">
        <v>43208</v>
      </c>
      <c r="M819" s="116">
        <v>87.65</v>
      </c>
      <c r="N819" s="116">
        <v>88.35</v>
      </c>
      <c r="O819" s="116">
        <v>87.1</v>
      </c>
      <c r="P819" s="116">
        <v>87.55</v>
      </c>
      <c r="Q819" s="116">
        <v>87.65</v>
      </c>
      <c r="R819">
        <v>3471674</v>
      </c>
    </row>
    <row r="820" spans="1:18" x14ac:dyDescent="0.25">
      <c r="A820" s="170">
        <v>43209</v>
      </c>
      <c r="B820" s="116">
        <v>88.4</v>
      </c>
      <c r="C820" s="116">
        <v>86.9</v>
      </c>
      <c r="D820" s="116">
        <v>86.55</v>
      </c>
      <c r="E820" s="116">
        <v>87.3</v>
      </c>
      <c r="F820" s="116">
        <v>86.9</v>
      </c>
      <c r="G820">
        <v>178650</v>
      </c>
      <c r="H820" s="116"/>
      <c r="I820" s="116"/>
      <c r="L820" s="170">
        <v>43209</v>
      </c>
      <c r="M820" s="116">
        <v>86.8</v>
      </c>
      <c r="N820" s="116">
        <v>88.55</v>
      </c>
      <c r="O820" s="116">
        <v>86.5</v>
      </c>
      <c r="P820" s="116">
        <v>87.85</v>
      </c>
      <c r="Q820" s="116">
        <v>86.8</v>
      </c>
      <c r="R820">
        <v>7133021</v>
      </c>
    </row>
    <row r="821" spans="1:18" x14ac:dyDescent="0.25">
      <c r="A821" s="170">
        <v>43210</v>
      </c>
      <c r="B821" s="116">
        <v>86.9</v>
      </c>
      <c r="C821" s="116">
        <v>85.85</v>
      </c>
      <c r="D821" s="116">
        <v>85.6</v>
      </c>
      <c r="E821" s="116">
        <v>86.9</v>
      </c>
      <c r="F821" s="116">
        <v>85.85</v>
      </c>
      <c r="G821">
        <v>110681</v>
      </c>
      <c r="H821" s="116"/>
      <c r="I821" s="116"/>
      <c r="L821" s="170">
        <v>43210</v>
      </c>
      <c r="M821" s="116">
        <v>85.9</v>
      </c>
      <c r="N821" s="116">
        <v>86.9</v>
      </c>
      <c r="O821" s="116">
        <v>85.5</v>
      </c>
      <c r="P821" s="116">
        <v>86.8</v>
      </c>
      <c r="Q821" s="116">
        <v>85.9</v>
      </c>
      <c r="R821">
        <v>4158260</v>
      </c>
    </row>
    <row r="822" spans="1:18" x14ac:dyDescent="0.25">
      <c r="A822" s="170">
        <v>43213</v>
      </c>
      <c r="B822" s="116">
        <v>86</v>
      </c>
      <c r="C822" s="116">
        <v>85.25</v>
      </c>
      <c r="D822" s="116">
        <v>84.6</v>
      </c>
      <c r="E822" s="116">
        <v>86</v>
      </c>
      <c r="F822" s="116">
        <v>85.25</v>
      </c>
      <c r="G822">
        <v>128667</v>
      </c>
      <c r="H822" s="116"/>
      <c r="I822" s="116"/>
      <c r="L822" s="170">
        <v>43213</v>
      </c>
      <c r="M822" s="116">
        <v>85.4</v>
      </c>
      <c r="N822" s="116">
        <v>86.1</v>
      </c>
      <c r="O822" s="116">
        <v>84.6</v>
      </c>
      <c r="P822" s="116">
        <v>85.5</v>
      </c>
      <c r="Q822" s="116">
        <v>85.4</v>
      </c>
      <c r="R822">
        <v>4863546</v>
      </c>
    </row>
    <row r="823" spans="1:18" x14ac:dyDescent="0.25">
      <c r="A823" s="170">
        <v>43214</v>
      </c>
      <c r="B823" s="116">
        <v>86.2</v>
      </c>
      <c r="C823" s="116">
        <v>85.1</v>
      </c>
      <c r="D823" s="116">
        <v>84.6</v>
      </c>
      <c r="E823" s="116">
        <v>84.6</v>
      </c>
      <c r="F823" s="116">
        <v>85.1</v>
      </c>
      <c r="G823">
        <v>127012</v>
      </c>
      <c r="H823" s="116"/>
      <c r="I823" s="116"/>
      <c r="L823" s="170">
        <v>43214</v>
      </c>
      <c r="M823" s="116">
        <v>85.25</v>
      </c>
      <c r="N823" s="116">
        <v>86.25</v>
      </c>
      <c r="O823" s="116">
        <v>84.55</v>
      </c>
      <c r="P823" s="116">
        <v>85.4</v>
      </c>
      <c r="Q823" s="116">
        <v>85.25</v>
      </c>
      <c r="R823">
        <v>5006507</v>
      </c>
    </row>
    <row r="824" spans="1:18" x14ac:dyDescent="0.25">
      <c r="A824" s="170">
        <v>43215</v>
      </c>
      <c r="B824" s="116">
        <v>86.65</v>
      </c>
      <c r="C824" s="116">
        <v>85.75</v>
      </c>
      <c r="D824" s="116">
        <v>84.5</v>
      </c>
      <c r="E824" s="116">
        <v>84.5</v>
      </c>
      <c r="F824" s="116">
        <v>85.75</v>
      </c>
      <c r="G824">
        <v>168423</v>
      </c>
      <c r="H824" s="116"/>
      <c r="I824" s="116"/>
      <c r="L824" s="170">
        <v>43215</v>
      </c>
      <c r="M824" s="116">
        <v>86.05</v>
      </c>
      <c r="N824" s="116">
        <v>86.95</v>
      </c>
      <c r="O824" s="116">
        <v>84.75</v>
      </c>
      <c r="P824" s="116">
        <v>85.1</v>
      </c>
      <c r="Q824" s="116">
        <v>86.05</v>
      </c>
      <c r="R824">
        <v>3593228</v>
      </c>
    </row>
    <row r="825" spans="1:18" x14ac:dyDescent="0.25">
      <c r="A825" s="170">
        <v>43216</v>
      </c>
      <c r="B825" s="116">
        <v>86.9</v>
      </c>
      <c r="C825" s="116">
        <v>85.9</v>
      </c>
      <c r="D825" s="116">
        <v>84.75</v>
      </c>
      <c r="E825" s="116">
        <v>85.95</v>
      </c>
      <c r="F825" s="116">
        <v>85.9</v>
      </c>
      <c r="G825">
        <v>158072</v>
      </c>
      <c r="H825" s="116"/>
      <c r="I825" s="116"/>
      <c r="L825" s="170">
        <v>43216</v>
      </c>
      <c r="M825" s="116">
        <v>86.05</v>
      </c>
      <c r="N825" s="116">
        <v>87.2</v>
      </c>
      <c r="O825" s="116">
        <v>84.9</v>
      </c>
      <c r="P825" s="116">
        <v>86</v>
      </c>
      <c r="Q825" s="116">
        <v>86.05</v>
      </c>
      <c r="R825">
        <v>3632913</v>
      </c>
    </row>
    <row r="826" spans="1:18" x14ac:dyDescent="0.25">
      <c r="A826" s="170">
        <v>43217</v>
      </c>
      <c r="B826" s="116">
        <v>88.2</v>
      </c>
      <c r="C826" s="116">
        <v>87.6</v>
      </c>
      <c r="D826" s="116">
        <v>85.35</v>
      </c>
      <c r="E826" s="116">
        <v>85.95</v>
      </c>
      <c r="F826" s="116">
        <v>87.6</v>
      </c>
      <c r="G826">
        <v>296245</v>
      </c>
      <c r="H826" s="116"/>
      <c r="I826" s="116"/>
      <c r="L826" s="170">
        <v>43217</v>
      </c>
      <c r="M826" s="116">
        <v>87.8</v>
      </c>
      <c r="N826" s="116">
        <v>88.6</v>
      </c>
      <c r="O826" s="116">
        <v>85.2</v>
      </c>
      <c r="P826" s="116">
        <v>85.9</v>
      </c>
      <c r="Q826" s="116">
        <v>87.8</v>
      </c>
      <c r="R826">
        <v>6838988</v>
      </c>
    </row>
    <row r="827" spans="1:18" x14ac:dyDescent="0.25">
      <c r="A827" s="170">
        <v>43220</v>
      </c>
      <c r="B827" s="116">
        <v>88.95</v>
      </c>
      <c r="C827" s="116">
        <v>88.15</v>
      </c>
      <c r="D827" s="116">
        <v>87.1</v>
      </c>
      <c r="E827" s="116">
        <v>88</v>
      </c>
      <c r="F827" s="116">
        <v>88.15</v>
      </c>
      <c r="G827">
        <v>207942</v>
      </c>
      <c r="H827" s="116"/>
      <c r="I827" s="116"/>
      <c r="L827" s="170">
        <v>43220</v>
      </c>
      <c r="M827" s="116">
        <v>88.3</v>
      </c>
      <c r="N827" s="116">
        <v>89.15</v>
      </c>
      <c r="O827" s="116">
        <v>87.1</v>
      </c>
      <c r="P827" s="116">
        <v>87.85</v>
      </c>
      <c r="Q827" s="116">
        <v>88.3</v>
      </c>
      <c r="R827">
        <v>6431222</v>
      </c>
    </row>
    <row r="828" spans="1:18" x14ac:dyDescent="0.25">
      <c r="A828" s="170">
        <v>43222</v>
      </c>
      <c r="B828" s="116">
        <v>89.5</v>
      </c>
      <c r="C828" s="116">
        <v>86.95</v>
      </c>
      <c r="D828" s="116">
        <v>86.3</v>
      </c>
      <c r="E828" s="116">
        <v>88.55</v>
      </c>
      <c r="F828" s="116">
        <v>86.95</v>
      </c>
      <c r="G828">
        <v>717977</v>
      </c>
      <c r="H828" s="116"/>
      <c r="I828" s="116"/>
      <c r="L828" s="170">
        <v>43222</v>
      </c>
      <c r="M828" s="116">
        <v>87</v>
      </c>
      <c r="N828" s="116">
        <v>89.55</v>
      </c>
      <c r="O828" s="116">
        <v>86.3</v>
      </c>
      <c r="P828" s="116">
        <v>88.75</v>
      </c>
      <c r="Q828" s="116">
        <v>87</v>
      </c>
      <c r="R828">
        <v>5877657</v>
      </c>
    </row>
    <row r="829" spans="1:18" x14ac:dyDescent="0.25">
      <c r="A829" s="170">
        <v>43223</v>
      </c>
      <c r="B829" s="116">
        <v>88.65</v>
      </c>
      <c r="C829" s="116">
        <v>85.85</v>
      </c>
      <c r="D829" s="116">
        <v>85</v>
      </c>
      <c r="E829" s="116">
        <v>88.4</v>
      </c>
      <c r="F829" s="116">
        <v>85.85</v>
      </c>
      <c r="G829">
        <v>506096</v>
      </c>
      <c r="H829" s="116"/>
      <c r="I829" s="116"/>
      <c r="L829" s="170">
        <v>43223</v>
      </c>
      <c r="M829" s="116">
        <v>86.15</v>
      </c>
      <c r="N829" s="116">
        <v>88.75</v>
      </c>
      <c r="O829" s="116">
        <v>84.9</v>
      </c>
      <c r="P829" s="116">
        <v>88</v>
      </c>
      <c r="Q829" s="116">
        <v>86.15</v>
      </c>
      <c r="R829">
        <v>8417244</v>
      </c>
    </row>
    <row r="830" spans="1:18" x14ac:dyDescent="0.25">
      <c r="A830" s="170">
        <v>43224</v>
      </c>
      <c r="B830" s="116">
        <v>86.4</v>
      </c>
      <c r="C830" s="116">
        <v>85</v>
      </c>
      <c r="D830" s="116">
        <v>83.45</v>
      </c>
      <c r="E830" s="116">
        <v>85.1</v>
      </c>
      <c r="F830" s="116">
        <v>85</v>
      </c>
      <c r="G830">
        <v>393536</v>
      </c>
      <c r="H830" s="116"/>
      <c r="I830" s="116"/>
      <c r="L830" s="170">
        <v>43224</v>
      </c>
      <c r="M830" s="116">
        <v>85.45</v>
      </c>
      <c r="N830" s="116">
        <v>86.55</v>
      </c>
      <c r="O830" s="116">
        <v>83.4</v>
      </c>
      <c r="P830" s="116">
        <v>86.1</v>
      </c>
      <c r="Q830" s="116">
        <v>85.45</v>
      </c>
      <c r="R830">
        <v>8584365</v>
      </c>
    </row>
    <row r="831" spans="1:18" x14ac:dyDescent="0.25">
      <c r="A831" s="170">
        <v>43227</v>
      </c>
      <c r="B831" s="116">
        <v>86</v>
      </c>
      <c r="C831" s="116">
        <v>85.05</v>
      </c>
      <c r="D831" s="116">
        <v>84.45</v>
      </c>
      <c r="E831" s="116">
        <v>85</v>
      </c>
      <c r="F831" s="116">
        <v>85.05</v>
      </c>
      <c r="G831">
        <v>174467</v>
      </c>
      <c r="H831" s="116"/>
      <c r="I831" s="116"/>
      <c r="L831" s="170">
        <v>43227</v>
      </c>
      <c r="M831" s="116">
        <v>85.1</v>
      </c>
      <c r="N831" s="116">
        <v>86.15</v>
      </c>
      <c r="O831" s="116">
        <v>84.35</v>
      </c>
      <c r="P831" s="116">
        <v>84.9</v>
      </c>
      <c r="Q831" s="116">
        <v>85.1</v>
      </c>
      <c r="R831">
        <v>6888782</v>
      </c>
    </row>
    <row r="832" spans="1:18" x14ac:dyDescent="0.25">
      <c r="A832" s="170">
        <v>43228</v>
      </c>
      <c r="B832" s="116">
        <v>86</v>
      </c>
      <c r="C832" s="116">
        <v>84.2</v>
      </c>
      <c r="D832" s="116">
        <v>82.75</v>
      </c>
      <c r="E832" s="116">
        <v>85.45</v>
      </c>
      <c r="F832" s="116">
        <v>84.2</v>
      </c>
      <c r="G832">
        <v>720835</v>
      </c>
      <c r="H832" s="116"/>
      <c r="I832" s="116"/>
      <c r="L832" s="170">
        <v>43228</v>
      </c>
      <c r="M832" s="116">
        <v>84.25</v>
      </c>
      <c r="N832" s="116">
        <v>86.2</v>
      </c>
      <c r="O832" s="116">
        <v>82.7</v>
      </c>
      <c r="P832" s="116">
        <v>85.2</v>
      </c>
      <c r="Q832" s="116">
        <v>84.25</v>
      </c>
      <c r="R832">
        <v>6183895</v>
      </c>
    </row>
    <row r="833" spans="1:18" x14ac:dyDescent="0.25">
      <c r="A833" s="170">
        <v>43229</v>
      </c>
      <c r="B833" s="116">
        <v>84.5</v>
      </c>
      <c r="C833" s="116">
        <v>83.3</v>
      </c>
      <c r="D833" s="116">
        <v>83</v>
      </c>
      <c r="E833" s="116">
        <v>84.25</v>
      </c>
      <c r="F833" s="116">
        <v>83.3</v>
      </c>
      <c r="G833">
        <v>196648</v>
      </c>
      <c r="H833" s="116"/>
      <c r="I833" s="116"/>
      <c r="L833" s="170">
        <v>43229</v>
      </c>
      <c r="M833" s="116">
        <v>83.35</v>
      </c>
      <c r="N833" s="116">
        <v>84.6</v>
      </c>
      <c r="O833" s="116">
        <v>82.9</v>
      </c>
      <c r="P833" s="116">
        <v>84</v>
      </c>
      <c r="Q833" s="116">
        <v>83.35</v>
      </c>
      <c r="R833">
        <v>4556128</v>
      </c>
    </row>
    <row r="834" spans="1:18" x14ac:dyDescent="0.25">
      <c r="A834" s="170">
        <v>43230</v>
      </c>
      <c r="B834" s="116">
        <v>86</v>
      </c>
      <c r="C834" s="116">
        <v>81.8</v>
      </c>
      <c r="D834" s="116">
        <v>80.8</v>
      </c>
      <c r="E834" s="116">
        <v>82.8</v>
      </c>
      <c r="F834" s="116">
        <v>81.8</v>
      </c>
      <c r="G834">
        <v>206053</v>
      </c>
      <c r="H834" s="116"/>
      <c r="I834" s="116"/>
      <c r="L834" s="170">
        <v>43230</v>
      </c>
      <c r="M834" s="116">
        <v>82</v>
      </c>
      <c r="N834" s="116">
        <v>83.75</v>
      </c>
      <c r="O834" s="116">
        <v>80.849999999999994</v>
      </c>
      <c r="P834" s="116">
        <v>83.35</v>
      </c>
      <c r="Q834" s="116">
        <v>82</v>
      </c>
      <c r="R834">
        <v>5727033</v>
      </c>
    </row>
    <row r="835" spans="1:18" x14ac:dyDescent="0.25">
      <c r="A835" s="170">
        <v>43231</v>
      </c>
      <c r="B835" s="116">
        <v>82.2</v>
      </c>
      <c r="C835" s="116">
        <v>81.45</v>
      </c>
      <c r="D835" s="116">
        <v>80.7</v>
      </c>
      <c r="E835" s="116">
        <v>81.349999999999994</v>
      </c>
      <c r="F835" s="116">
        <v>81.45</v>
      </c>
      <c r="G835">
        <v>250291</v>
      </c>
      <c r="H835" s="116"/>
      <c r="I835" s="116"/>
      <c r="L835" s="170">
        <v>43231</v>
      </c>
      <c r="M835" s="116">
        <v>81.900000000000006</v>
      </c>
      <c r="N835" s="116">
        <v>82.4</v>
      </c>
      <c r="O835" s="116">
        <v>80.8</v>
      </c>
      <c r="P835" s="116">
        <v>81.8</v>
      </c>
      <c r="Q835" s="116">
        <v>81.900000000000006</v>
      </c>
      <c r="R835">
        <v>4097448</v>
      </c>
    </row>
    <row r="836" spans="1:18" x14ac:dyDescent="0.25">
      <c r="A836" s="170">
        <v>43234</v>
      </c>
      <c r="B836" s="116">
        <v>81.8</v>
      </c>
      <c r="C836" s="116">
        <v>81.45</v>
      </c>
      <c r="D836" s="116">
        <v>80.400000000000006</v>
      </c>
      <c r="E836" s="116">
        <v>81.45</v>
      </c>
      <c r="F836" s="116">
        <v>81.45</v>
      </c>
      <c r="G836">
        <v>178245</v>
      </c>
      <c r="H836" s="116"/>
      <c r="I836" s="116"/>
      <c r="L836" s="170">
        <v>43234</v>
      </c>
      <c r="M836" s="116">
        <v>81.55</v>
      </c>
      <c r="N836" s="116">
        <v>82</v>
      </c>
      <c r="O836" s="116">
        <v>80.349999999999994</v>
      </c>
      <c r="P836" s="116">
        <v>81.599999999999994</v>
      </c>
      <c r="Q836" s="116">
        <v>81.55</v>
      </c>
      <c r="R836">
        <v>7645061</v>
      </c>
    </row>
    <row r="837" spans="1:18" x14ac:dyDescent="0.25">
      <c r="A837" s="170">
        <v>43235</v>
      </c>
      <c r="B837" s="116">
        <v>82.1</v>
      </c>
      <c r="C837" s="116">
        <v>81.2</v>
      </c>
      <c r="D837" s="116">
        <v>80.349999999999994</v>
      </c>
      <c r="E837" s="116">
        <v>81</v>
      </c>
      <c r="F837" s="116">
        <v>81.2</v>
      </c>
      <c r="G837">
        <v>131544</v>
      </c>
      <c r="H837" s="116"/>
      <c r="I837" s="116"/>
      <c r="L837" s="170">
        <v>43235</v>
      </c>
      <c r="M837" s="116">
        <v>81.25</v>
      </c>
      <c r="N837" s="116">
        <v>82.1</v>
      </c>
      <c r="O837" s="116">
        <v>80.349999999999994</v>
      </c>
      <c r="P837" s="116">
        <v>81.349999999999994</v>
      </c>
      <c r="Q837" s="116">
        <v>81.25</v>
      </c>
      <c r="R837">
        <v>4188197</v>
      </c>
    </row>
    <row r="838" spans="1:18" x14ac:dyDescent="0.25">
      <c r="A838" s="170">
        <v>43236</v>
      </c>
      <c r="B838" s="116">
        <v>81.900000000000006</v>
      </c>
      <c r="C838" s="116">
        <v>81.099999999999994</v>
      </c>
      <c r="D838" s="116">
        <v>80.349999999999994</v>
      </c>
      <c r="E838" s="116">
        <v>81.900000000000006</v>
      </c>
      <c r="F838" s="116">
        <v>81.099999999999994</v>
      </c>
      <c r="G838">
        <v>68399</v>
      </c>
      <c r="H838" s="116"/>
      <c r="I838" s="116"/>
      <c r="L838" s="170">
        <v>43236</v>
      </c>
      <c r="M838" s="116">
        <v>81.25</v>
      </c>
      <c r="N838" s="116">
        <v>81.5</v>
      </c>
      <c r="O838" s="116">
        <v>80.5</v>
      </c>
      <c r="P838" s="116">
        <v>80.7</v>
      </c>
      <c r="Q838" s="116">
        <v>81.25</v>
      </c>
      <c r="R838">
        <v>2846781</v>
      </c>
    </row>
    <row r="839" spans="1:18" x14ac:dyDescent="0.25">
      <c r="A839" s="170">
        <v>43237</v>
      </c>
      <c r="B839" s="116">
        <v>82.3</v>
      </c>
      <c r="C839" s="116">
        <v>81.5</v>
      </c>
      <c r="D839" s="116">
        <v>80.75</v>
      </c>
      <c r="E839" s="116">
        <v>81.2</v>
      </c>
      <c r="F839" s="116">
        <v>81.5</v>
      </c>
      <c r="G839">
        <v>145608</v>
      </c>
      <c r="H839" s="116"/>
      <c r="I839" s="116"/>
      <c r="L839" s="170">
        <v>43237</v>
      </c>
      <c r="M839" s="116">
        <v>81.650000000000006</v>
      </c>
      <c r="N839" s="116">
        <v>82.5</v>
      </c>
      <c r="O839" s="116">
        <v>80.55</v>
      </c>
      <c r="P839" s="116">
        <v>81.5</v>
      </c>
      <c r="Q839" s="116">
        <v>81.650000000000006</v>
      </c>
      <c r="R839">
        <v>5906232</v>
      </c>
    </row>
    <row r="840" spans="1:18" x14ac:dyDescent="0.25">
      <c r="A840" s="170">
        <v>43238</v>
      </c>
      <c r="B840" s="116">
        <v>81.400000000000006</v>
      </c>
      <c r="C840" s="116">
        <v>80.599999999999994</v>
      </c>
      <c r="D840" s="116">
        <v>80.25</v>
      </c>
      <c r="E840" s="116">
        <v>81.099999999999994</v>
      </c>
      <c r="F840" s="116">
        <v>80.599999999999994</v>
      </c>
      <c r="G840">
        <v>169346</v>
      </c>
      <c r="H840" s="116"/>
      <c r="I840" s="116"/>
      <c r="L840" s="170">
        <v>43238</v>
      </c>
      <c r="M840" s="116">
        <v>80.849999999999994</v>
      </c>
      <c r="N840" s="116">
        <v>81.5</v>
      </c>
      <c r="O840" s="116">
        <v>80.25</v>
      </c>
      <c r="P840" s="116">
        <v>81.5</v>
      </c>
      <c r="Q840" s="116">
        <v>80.849999999999994</v>
      </c>
      <c r="R840">
        <v>7138023</v>
      </c>
    </row>
    <row r="841" spans="1:18" x14ac:dyDescent="0.25">
      <c r="A841" s="170">
        <v>43241</v>
      </c>
      <c r="B841" s="116">
        <v>80.75</v>
      </c>
      <c r="C841" s="116">
        <v>78.650000000000006</v>
      </c>
      <c r="D841" s="116">
        <v>78.3</v>
      </c>
      <c r="E841" s="116">
        <v>80.150000000000006</v>
      </c>
      <c r="F841" s="116">
        <v>78.650000000000006</v>
      </c>
      <c r="G841">
        <v>197470</v>
      </c>
      <c r="H841" s="116"/>
      <c r="I841" s="116"/>
      <c r="L841" s="170">
        <v>43241</v>
      </c>
      <c r="M841" s="116">
        <v>78.8</v>
      </c>
      <c r="N841" s="116">
        <v>80.8</v>
      </c>
      <c r="O841" s="116">
        <v>78.349999999999994</v>
      </c>
      <c r="P841" s="116">
        <v>80.75</v>
      </c>
      <c r="Q841" s="116">
        <v>78.8</v>
      </c>
      <c r="R841">
        <v>3399879</v>
      </c>
    </row>
    <row r="842" spans="1:18" x14ac:dyDescent="0.25">
      <c r="A842" s="170">
        <v>43242</v>
      </c>
      <c r="B842" s="116">
        <v>79.099999999999994</v>
      </c>
      <c r="C842" s="116">
        <v>78</v>
      </c>
      <c r="D842" s="116">
        <v>77.599999999999994</v>
      </c>
      <c r="E842" s="116">
        <v>78.95</v>
      </c>
      <c r="F842" s="116">
        <v>78</v>
      </c>
      <c r="G842">
        <v>96483</v>
      </c>
      <c r="H842" s="116"/>
      <c r="I842" s="116"/>
      <c r="L842" s="170">
        <v>43242</v>
      </c>
      <c r="M842" s="116">
        <v>77.849999999999994</v>
      </c>
      <c r="N842" s="116">
        <v>79.25</v>
      </c>
      <c r="O842" s="116">
        <v>77.7</v>
      </c>
      <c r="P842" s="116">
        <v>78.95</v>
      </c>
      <c r="Q842" s="116">
        <v>77.849999999999994</v>
      </c>
      <c r="R842">
        <v>3793522</v>
      </c>
    </row>
    <row r="843" spans="1:18" x14ac:dyDescent="0.25">
      <c r="A843" s="170">
        <v>43243</v>
      </c>
      <c r="B843" s="116">
        <v>78.55</v>
      </c>
      <c r="C843" s="116">
        <v>77.25</v>
      </c>
      <c r="D843" s="116">
        <v>77</v>
      </c>
      <c r="E843" s="116">
        <v>78.55</v>
      </c>
      <c r="F843" s="116">
        <v>77.25</v>
      </c>
      <c r="G843">
        <v>104336</v>
      </c>
      <c r="H843" s="116"/>
      <c r="I843" s="116"/>
      <c r="L843" s="170">
        <v>43243</v>
      </c>
      <c r="M843" s="116">
        <v>77.45</v>
      </c>
      <c r="N843" s="116">
        <v>78.55</v>
      </c>
      <c r="O843" s="116">
        <v>77.05</v>
      </c>
      <c r="P843" s="116">
        <v>78</v>
      </c>
      <c r="Q843" s="116">
        <v>77.45</v>
      </c>
      <c r="R843">
        <v>2530994</v>
      </c>
    </row>
    <row r="844" spans="1:18" x14ac:dyDescent="0.25">
      <c r="A844" s="170">
        <v>43244</v>
      </c>
      <c r="B844" s="116">
        <v>78</v>
      </c>
      <c r="C844" s="116">
        <v>76.400000000000006</v>
      </c>
      <c r="D844" s="116">
        <v>75.150000000000006</v>
      </c>
      <c r="E844" s="116">
        <v>77.849999999999994</v>
      </c>
      <c r="F844" s="116">
        <v>76.400000000000006</v>
      </c>
      <c r="G844">
        <v>217373</v>
      </c>
      <c r="H844" s="116"/>
      <c r="I844" s="116"/>
      <c r="L844" s="170">
        <v>43244</v>
      </c>
      <c r="M844" s="116">
        <v>76.45</v>
      </c>
      <c r="N844" s="116">
        <v>77.900000000000006</v>
      </c>
      <c r="O844" s="116">
        <v>75.3</v>
      </c>
      <c r="P844" s="116">
        <v>77.55</v>
      </c>
      <c r="Q844" s="116">
        <v>76.45</v>
      </c>
      <c r="R844">
        <v>5298717</v>
      </c>
    </row>
    <row r="845" spans="1:18" x14ac:dyDescent="0.25">
      <c r="A845" s="170">
        <v>43245</v>
      </c>
      <c r="B845" s="116">
        <v>83</v>
      </c>
      <c r="C845" s="116">
        <v>81.150000000000006</v>
      </c>
      <c r="D845" s="116">
        <v>75.849999999999994</v>
      </c>
      <c r="E845" s="116">
        <v>76.349999999999994</v>
      </c>
      <c r="F845" s="116">
        <v>81.150000000000006</v>
      </c>
      <c r="G845">
        <v>612448</v>
      </c>
      <c r="H845" s="116"/>
      <c r="I845" s="116"/>
      <c r="L845" s="170">
        <v>43245</v>
      </c>
      <c r="M845" s="116">
        <v>81.2</v>
      </c>
      <c r="N845" s="116">
        <v>81.7</v>
      </c>
      <c r="O845" s="116">
        <v>75.95</v>
      </c>
      <c r="P845" s="116">
        <v>76.400000000000006</v>
      </c>
      <c r="Q845" s="116">
        <v>81.2</v>
      </c>
      <c r="R845">
        <v>6118812</v>
      </c>
    </row>
    <row r="846" spans="1:18" x14ac:dyDescent="0.25">
      <c r="A846" s="170">
        <v>43248</v>
      </c>
      <c r="B846" s="116">
        <v>82.9</v>
      </c>
      <c r="C846" s="116">
        <v>82.3</v>
      </c>
      <c r="D846" s="116">
        <v>80.7</v>
      </c>
      <c r="E846" s="116">
        <v>81.400000000000006</v>
      </c>
      <c r="F846" s="116">
        <v>82.3</v>
      </c>
      <c r="G846">
        <v>183105</v>
      </c>
      <c r="H846" s="116"/>
      <c r="I846" s="116"/>
      <c r="L846" s="170">
        <v>43248</v>
      </c>
      <c r="M846" s="116">
        <v>82.3</v>
      </c>
      <c r="N846" s="116">
        <v>83</v>
      </c>
      <c r="O846" s="116">
        <v>80.650000000000006</v>
      </c>
      <c r="P846" s="116">
        <v>81.25</v>
      </c>
      <c r="Q846" s="116">
        <v>82.3</v>
      </c>
      <c r="R846">
        <v>3655542</v>
      </c>
    </row>
    <row r="847" spans="1:18" x14ac:dyDescent="0.25">
      <c r="A847" s="170">
        <v>43249</v>
      </c>
      <c r="B847" s="116">
        <v>83.8</v>
      </c>
      <c r="C847" s="116">
        <v>82.95</v>
      </c>
      <c r="D847" s="116">
        <v>81.5</v>
      </c>
      <c r="E847" s="116">
        <v>82.7</v>
      </c>
      <c r="F847" s="116">
        <v>82.95</v>
      </c>
      <c r="G847">
        <v>3002084</v>
      </c>
      <c r="H847" s="116"/>
      <c r="I847" s="116"/>
      <c r="L847" s="170">
        <v>43249</v>
      </c>
      <c r="M847" s="116">
        <v>83.5</v>
      </c>
      <c r="N847" s="116">
        <v>84.35</v>
      </c>
      <c r="O847" s="116">
        <v>81.599999999999994</v>
      </c>
      <c r="P847" s="116">
        <v>82</v>
      </c>
      <c r="Q847" s="116">
        <v>83.5</v>
      </c>
      <c r="R847">
        <v>7252300</v>
      </c>
    </row>
    <row r="848" spans="1:18" x14ac:dyDescent="0.25">
      <c r="A848" s="170">
        <v>43250</v>
      </c>
      <c r="B848" s="116">
        <v>83.9</v>
      </c>
      <c r="C848" s="116">
        <v>82.2</v>
      </c>
      <c r="D848" s="116">
        <v>81.5</v>
      </c>
      <c r="E848" s="116">
        <v>82.45</v>
      </c>
      <c r="F848" s="116">
        <v>82.2</v>
      </c>
      <c r="G848">
        <v>203819</v>
      </c>
      <c r="H848" s="116"/>
      <c r="I848" s="116"/>
      <c r="L848" s="170">
        <v>43250</v>
      </c>
      <c r="M848" s="116">
        <v>82.45</v>
      </c>
      <c r="N848" s="116">
        <v>84</v>
      </c>
      <c r="O848" s="116">
        <v>81.5</v>
      </c>
      <c r="P848" s="116">
        <v>82.45</v>
      </c>
      <c r="Q848" s="116">
        <v>82.45</v>
      </c>
      <c r="R848">
        <v>5164168</v>
      </c>
    </row>
    <row r="849" spans="1:18" x14ac:dyDescent="0.25">
      <c r="A849" s="170">
        <v>43251</v>
      </c>
      <c r="B849" s="116">
        <v>83.5</v>
      </c>
      <c r="C849" s="116">
        <v>81.2</v>
      </c>
      <c r="D849" s="116">
        <v>80.599999999999994</v>
      </c>
      <c r="E849" s="116">
        <v>83.5</v>
      </c>
      <c r="F849" s="116">
        <v>81.2</v>
      </c>
      <c r="G849">
        <v>267262</v>
      </c>
      <c r="H849" s="116"/>
      <c r="I849" s="116"/>
      <c r="L849" s="170">
        <v>43251</v>
      </c>
      <c r="M849" s="116">
        <v>81.3</v>
      </c>
      <c r="N849" s="116">
        <v>83.2</v>
      </c>
      <c r="O849" s="116">
        <v>79.849999999999994</v>
      </c>
      <c r="P849" s="116">
        <v>82.45</v>
      </c>
      <c r="Q849" s="116">
        <v>81.3</v>
      </c>
      <c r="R849">
        <v>9109367</v>
      </c>
    </row>
    <row r="850" spans="1:18" x14ac:dyDescent="0.25">
      <c r="A850" s="170">
        <v>43252</v>
      </c>
      <c r="B850" s="116">
        <v>81.099999999999994</v>
      </c>
      <c r="C850" s="116">
        <v>79.599999999999994</v>
      </c>
      <c r="D850" s="116">
        <v>78.349999999999994</v>
      </c>
      <c r="E850" s="116">
        <v>80.95</v>
      </c>
      <c r="F850" s="116">
        <v>79.599999999999994</v>
      </c>
      <c r="G850">
        <v>156859</v>
      </c>
      <c r="H850" s="116"/>
      <c r="I850" s="116"/>
      <c r="L850" s="170">
        <v>43252</v>
      </c>
      <c r="M850" s="116">
        <v>79.599999999999994</v>
      </c>
      <c r="N850" s="116">
        <v>81.25</v>
      </c>
      <c r="O850" s="116">
        <v>78.3</v>
      </c>
      <c r="P850" s="116">
        <v>80.650000000000006</v>
      </c>
      <c r="Q850" s="116">
        <v>79.599999999999994</v>
      </c>
      <c r="R850">
        <v>3087156</v>
      </c>
    </row>
    <row r="851" spans="1:18" x14ac:dyDescent="0.25">
      <c r="A851" s="170">
        <v>43255</v>
      </c>
      <c r="B851" s="116">
        <v>80</v>
      </c>
      <c r="C851" s="116">
        <v>77.150000000000006</v>
      </c>
      <c r="D851" s="116">
        <v>76.650000000000006</v>
      </c>
      <c r="E851" s="116">
        <v>79.7</v>
      </c>
      <c r="F851" s="116">
        <v>77.150000000000006</v>
      </c>
      <c r="G851">
        <v>156565</v>
      </c>
      <c r="H851" s="116"/>
      <c r="I851" s="116"/>
      <c r="L851" s="170">
        <v>43255</v>
      </c>
      <c r="M851" s="116">
        <v>77.2</v>
      </c>
      <c r="N851" s="116">
        <v>80.05</v>
      </c>
      <c r="O851" s="116">
        <v>76.599999999999994</v>
      </c>
      <c r="P851" s="116">
        <v>79.650000000000006</v>
      </c>
      <c r="Q851" s="116">
        <v>77.2</v>
      </c>
      <c r="R851">
        <v>2185214</v>
      </c>
    </row>
    <row r="852" spans="1:18" x14ac:dyDescent="0.25">
      <c r="A852" s="170">
        <v>43256</v>
      </c>
      <c r="B852" s="116">
        <v>79.099999999999994</v>
      </c>
      <c r="C852" s="116">
        <v>78.7</v>
      </c>
      <c r="D852" s="116">
        <v>76.3</v>
      </c>
      <c r="E852" s="116">
        <v>77</v>
      </c>
      <c r="F852" s="116">
        <v>78.7</v>
      </c>
      <c r="G852">
        <v>205808</v>
      </c>
      <c r="H852" s="116"/>
      <c r="I852" s="116"/>
      <c r="L852" s="170">
        <v>43256</v>
      </c>
      <c r="M852" s="116">
        <v>78.8</v>
      </c>
      <c r="N852" s="116">
        <v>79.25</v>
      </c>
      <c r="O852" s="116">
        <v>76.3</v>
      </c>
      <c r="P852" s="116">
        <v>77.099999999999994</v>
      </c>
      <c r="Q852" s="116">
        <v>78.8</v>
      </c>
      <c r="R852">
        <v>5406955</v>
      </c>
    </row>
    <row r="853" spans="1:18" x14ac:dyDescent="0.25">
      <c r="A853" s="170">
        <v>43257</v>
      </c>
      <c r="B853" s="116">
        <v>79.650000000000006</v>
      </c>
      <c r="C853" s="116">
        <v>78</v>
      </c>
      <c r="D853" s="116">
        <v>76.05</v>
      </c>
      <c r="E853" s="116">
        <v>78.05</v>
      </c>
      <c r="F853" s="116">
        <v>78</v>
      </c>
      <c r="G853">
        <v>778569</v>
      </c>
      <c r="H853" s="116"/>
      <c r="I853" s="116"/>
      <c r="L853" s="170">
        <v>43257</v>
      </c>
      <c r="M853" s="116">
        <v>78.099999999999994</v>
      </c>
      <c r="N853" s="116">
        <v>79.7</v>
      </c>
      <c r="O853" s="116">
        <v>77.45</v>
      </c>
      <c r="P853" s="116">
        <v>78.7</v>
      </c>
      <c r="Q853" s="116">
        <v>78.099999999999994</v>
      </c>
      <c r="R853">
        <v>2849279</v>
      </c>
    </row>
    <row r="854" spans="1:18" x14ac:dyDescent="0.25">
      <c r="A854" s="170">
        <v>43258</v>
      </c>
      <c r="B854" s="116">
        <v>79.900000000000006</v>
      </c>
      <c r="C854" s="116">
        <v>78.5</v>
      </c>
      <c r="D854" s="116">
        <v>78.2</v>
      </c>
      <c r="E854" s="116">
        <v>79.5</v>
      </c>
      <c r="F854" s="116">
        <v>78.5</v>
      </c>
      <c r="G854">
        <v>624723</v>
      </c>
      <c r="H854" s="116"/>
      <c r="I854" s="116"/>
      <c r="L854" s="170">
        <v>43258</v>
      </c>
      <c r="M854" s="116">
        <v>78.349999999999994</v>
      </c>
      <c r="N854" s="116">
        <v>79.900000000000006</v>
      </c>
      <c r="O854" s="116">
        <v>78.099999999999994</v>
      </c>
      <c r="P854" s="116">
        <v>78.7</v>
      </c>
      <c r="Q854" s="116">
        <v>78.349999999999994</v>
      </c>
      <c r="R854">
        <v>3366418</v>
      </c>
    </row>
    <row r="855" spans="1:18" x14ac:dyDescent="0.25">
      <c r="A855" s="170">
        <v>43259</v>
      </c>
      <c r="B855" s="116">
        <v>78.95</v>
      </c>
      <c r="C855" s="116">
        <v>77.95</v>
      </c>
      <c r="D855" s="116">
        <v>77.599999999999994</v>
      </c>
      <c r="E855" s="116">
        <v>78</v>
      </c>
      <c r="F855" s="116">
        <v>77.95</v>
      </c>
      <c r="G855">
        <v>125683</v>
      </c>
      <c r="H855" s="116"/>
      <c r="I855" s="116"/>
      <c r="L855" s="170">
        <v>43259</v>
      </c>
      <c r="M855" s="116">
        <v>77.95</v>
      </c>
      <c r="N855" s="116">
        <v>79</v>
      </c>
      <c r="O855" s="116">
        <v>77.7</v>
      </c>
      <c r="P855" s="116">
        <v>79</v>
      </c>
      <c r="Q855" s="116">
        <v>77.95</v>
      </c>
      <c r="R855">
        <v>4045326</v>
      </c>
    </row>
    <row r="856" spans="1:18" x14ac:dyDescent="0.25">
      <c r="A856" s="170">
        <v>43262</v>
      </c>
      <c r="B856" s="116">
        <v>80.3</v>
      </c>
      <c r="C856" s="116">
        <v>78.5</v>
      </c>
      <c r="D856" s="116">
        <v>77.95</v>
      </c>
      <c r="E856" s="116">
        <v>77.95</v>
      </c>
      <c r="F856" s="116">
        <v>78.5</v>
      </c>
      <c r="G856">
        <v>449692</v>
      </c>
      <c r="H856" s="116"/>
      <c r="I856" s="116"/>
      <c r="L856" s="170">
        <v>43262</v>
      </c>
      <c r="M856" s="116">
        <v>78.400000000000006</v>
      </c>
      <c r="N856" s="116">
        <v>80.349999999999994</v>
      </c>
      <c r="O856" s="116">
        <v>78.099999999999994</v>
      </c>
      <c r="P856" s="116">
        <v>78.3</v>
      </c>
      <c r="Q856" s="116">
        <v>78.400000000000006</v>
      </c>
      <c r="R856">
        <v>7365983</v>
      </c>
    </row>
    <row r="857" spans="1:18" x14ac:dyDescent="0.25">
      <c r="A857" s="170">
        <v>43263</v>
      </c>
      <c r="B857" s="116">
        <v>79.400000000000006</v>
      </c>
      <c r="C857" s="116">
        <v>77.849999999999994</v>
      </c>
      <c r="D857" s="116">
        <v>77.75</v>
      </c>
      <c r="E857" s="116">
        <v>79.400000000000006</v>
      </c>
      <c r="F857" s="116">
        <v>77.849999999999994</v>
      </c>
      <c r="G857">
        <v>230353</v>
      </c>
      <c r="H857" s="116"/>
      <c r="I857" s="116"/>
      <c r="L857" s="170">
        <v>43263</v>
      </c>
      <c r="M857" s="116">
        <v>77.8</v>
      </c>
      <c r="N857" s="116">
        <v>79.2</v>
      </c>
      <c r="O857" s="116">
        <v>77.7</v>
      </c>
      <c r="P857" s="116">
        <v>79</v>
      </c>
      <c r="Q857" s="116">
        <v>77.8</v>
      </c>
      <c r="R857">
        <v>3505780</v>
      </c>
    </row>
    <row r="858" spans="1:18" x14ac:dyDescent="0.25">
      <c r="A858" s="170">
        <v>43264</v>
      </c>
      <c r="B858" s="116">
        <v>78.400000000000006</v>
      </c>
      <c r="C858" s="116">
        <v>77</v>
      </c>
      <c r="D858" s="116">
        <v>76.8</v>
      </c>
      <c r="E858" s="116">
        <v>78.400000000000006</v>
      </c>
      <c r="F858" s="116">
        <v>77</v>
      </c>
      <c r="G858">
        <v>274437</v>
      </c>
      <c r="H858" s="116"/>
      <c r="I858" s="116"/>
      <c r="L858" s="170">
        <v>43264</v>
      </c>
      <c r="M858" s="116">
        <v>77.05</v>
      </c>
      <c r="N858" s="116">
        <v>78.349999999999994</v>
      </c>
      <c r="O858" s="116">
        <v>76.8</v>
      </c>
      <c r="P858" s="116">
        <v>78.2</v>
      </c>
      <c r="Q858" s="116">
        <v>77.05</v>
      </c>
      <c r="R858">
        <v>3049374</v>
      </c>
    </row>
    <row r="859" spans="1:18" x14ac:dyDescent="0.25">
      <c r="A859" s="170">
        <v>43265</v>
      </c>
      <c r="B859" s="116">
        <v>77.95</v>
      </c>
      <c r="C859" s="116">
        <v>77.3</v>
      </c>
      <c r="D859" s="116">
        <v>76.400000000000006</v>
      </c>
      <c r="E859" s="116">
        <v>77.95</v>
      </c>
      <c r="F859" s="116">
        <v>77.3</v>
      </c>
      <c r="G859">
        <v>197476</v>
      </c>
      <c r="H859" s="116"/>
      <c r="I859" s="116"/>
      <c r="L859" s="170">
        <v>43265</v>
      </c>
      <c r="M859" s="116">
        <v>77.3</v>
      </c>
      <c r="N859" s="116">
        <v>77.75</v>
      </c>
      <c r="O859" s="116">
        <v>76.349999999999994</v>
      </c>
      <c r="P859" s="116">
        <v>77.2</v>
      </c>
      <c r="Q859" s="116">
        <v>77.3</v>
      </c>
      <c r="R859">
        <v>2956563</v>
      </c>
    </row>
    <row r="860" spans="1:18" x14ac:dyDescent="0.25">
      <c r="A860" s="170">
        <v>43266</v>
      </c>
      <c r="B860" s="116">
        <v>77.75</v>
      </c>
      <c r="C860" s="116">
        <v>76.150000000000006</v>
      </c>
      <c r="D860" s="116">
        <v>75.95</v>
      </c>
      <c r="E860" s="116">
        <v>77.5</v>
      </c>
      <c r="F860" s="116">
        <v>76.150000000000006</v>
      </c>
      <c r="G860">
        <v>210067</v>
      </c>
      <c r="H860" s="116"/>
      <c r="I860" s="116"/>
      <c r="L860" s="170">
        <v>43266</v>
      </c>
      <c r="M860" s="116">
        <v>76.099999999999994</v>
      </c>
      <c r="N860" s="116">
        <v>77.599999999999994</v>
      </c>
      <c r="O860" s="116">
        <v>75.900000000000006</v>
      </c>
      <c r="P860" s="116">
        <v>77.400000000000006</v>
      </c>
      <c r="Q860" s="116">
        <v>76.099999999999994</v>
      </c>
      <c r="R860">
        <v>2703757</v>
      </c>
    </row>
    <row r="861" spans="1:18" x14ac:dyDescent="0.25">
      <c r="A861" s="170">
        <v>43269</v>
      </c>
      <c r="B861" s="116">
        <v>76.95</v>
      </c>
      <c r="C861" s="116">
        <v>75.2</v>
      </c>
      <c r="D861" s="116">
        <v>75.099999999999994</v>
      </c>
      <c r="E861" s="116">
        <v>76.95</v>
      </c>
      <c r="F861" s="116">
        <v>75.2</v>
      </c>
      <c r="G861">
        <v>163145</v>
      </c>
      <c r="H861" s="116"/>
      <c r="I861" s="116"/>
      <c r="L861" s="170">
        <v>43269</v>
      </c>
      <c r="M861" s="116">
        <v>75</v>
      </c>
      <c r="N861" s="116">
        <v>76.349999999999994</v>
      </c>
      <c r="O861" s="116">
        <v>74.8</v>
      </c>
      <c r="P861" s="116">
        <v>76.099999999999994</v>
      </c>
      <c r="Q861" s="116">
        <v>75</v>
      </c>
      <c r="R861">
        <v>1857389</v>
      </c>
    </row>
    <row r="862" spans="1:18" x14ac:dyDescent="0.25">
      <c r="A862" s="170">
        <v>43270</v>
      </c>
      <c r="B862" s="116">
        <v>75</v>
      </c>
      <c r="C862" s="116">
        <v>73.5</v>
      </c>
      <c r="D862" s="116">
        <v>73.099999999999994</v>
      </c>
      <c r="E862" s="116">
        <v>75</v>
      </c>
      <c r="F862" s="116">
        <v>73.5</v>
      </c>
      <c r="G862">
        <v>304331</v>
      </c>
      <c r="H862" s="116"/>
      <c r="I862" s="116"/>
      <c r="L862" s="170">
        <v>43270</v>
      </c>
      <c r="M862" s="116">
        <v>73.400000000000006</v>
      </c>
      <c r="N862" s="116">
        <v>74.849999999999994</v>
      </c>
      <c r="O862" s="116">
        <v>73.05</v>
      </c>
      <c r="P862" s="116">
        <v>74.599999999999994</v>
      </c>
      <c r="Q862" s="116">
        <v>73.400000000000006</v>
      </c>
      <c r="R862">
        <v>3696735</v>
      </c>
    </row>
    <row r="863" spans="1:18" x14ac:dyDescent="0.25">
      <c r="A863" s="170">
        <v>43271</v>
      </c>
      <c r="B863" s="116">
        <v>74.400000000000006</v>
      </c>
      <c r="C863" s="116">
        <v>73.900000000000006</v>
      </c>
      <c r="D863" s="116">
        <v>72.900000000000006</v>
      </c>
      <c r="E863" s="116">
        <v>73.5</v>
      </c>
      <c r="F863" s="116">
        <v>73.900000000000006</v>
      </c>
      <c r="G863">
        <v>175441</v>
      </c>
      <c r="H863" s="116"/>
      <c r="I863" s="116"/>
      <c r="L863" s="170">
        <v>43271</v>
      </c>
      <c r="M863" s="116">
        <v>73.849999999999994</v>
      </c>
      <c r="N863" s="116">
        <v>74.5</v>
      </c>
      <c r="O863" s="116">
        <v>72.8</v>
      </c>
      <c r="P863" s="116">
        <v>73.349999999999994</v>
      </c>
      <c r="Q863" s="116">
        <v>73.849999999999994</v>
      </c>
      <c r="R863">
        <v>3586906</v>
      </c>
    </row>
    <row r="864" spans="1:18" x14ac:dyDescent="0.25">
      <c r="A864" s="170">
        <v>43272</v>
      </c>
      <c r="B864" s="116">
        <v>75.150000000000006</v>
      </c>
      <c r="C864" s="116">
        <v>74.55</v>
      </c>
      <c r="D864" s="116">
        <v>74</v>
      </c>
      <c r="E864" s="116">
        <v>74.55</v>
      </c>
      <c r="F864" s="116">
        <v>74.55</v>
      </c>
      <c r="G864">
        <v>232295</v>
      </c>
      <c r="H864" s="116"/>
      <c r="I864" s="116"/>
      <c r="L864" s="170">
        <v>43272</v>
      </c>
      <c r="M864" s="116">
        <v>74.55</v>
      </c>
      <c r="N864" s="116">
        <v>75.2</v>
      </c>
      <c r="O864" s="116">
        <v>73.900000000000006</v>
      </c>
      <c r="P864" s="116">
        <v>74.8</v>
      </c>
      <c r="Q864" s="116">
        <v>74.55</v>
      </c>
      <c r="R864">
        <v>2985501</v>
      </c>
    </row>
    <row r="865" spans="1:18" x14ac:dyDescent="0.25">
      <c r="A865" s="170">
        <v>43273</v>
      </c>
      <c r="B865" s="116">
        <v>76.349999999999994</v>
      </c>
      <c r="C865" s="116">
        <v>76.099999999999994</v>
      </c>
      <c r="D865" s="116">
        <v>74.099999999999994</v>
      </c>
      <c r="E865" s="116">
        <v>74.099999999999994</v>
      </c>
      <c r="F865" s="116">
        <v>76.099999999999994</v>
      </c>
      <c r="G865">
        <v>183480</v>
      </c>
      <c r="H865" s="116"/>
      <c r="I865" s="116"/>
      <c r="L865" s="170">
        <v>43273</v>
      </c>
      <c r="M865" s="116">
        <v>76.150000000000006</v>
      </c>
      <c r="N865" s="116">
        <v>76.349999999999994</v>
      </c>
      <c r="O865" s="116">
        <v>75</v>
      </c>
      <c r="P865" s="116">
        <v>75.099999999999994</v>
      </c>
      <c r="Q865" s="116">
        <v>76.150000000000006</v>
      </c>
      <c r="R865">
        <v>3099772</v>
      </c>
    </row>
    <row r="866" spans="1:18" x14ac:dyDescent="0.25">
      <c r="A866" s="170">
        <v>43276</v>
      </c>
      <c r="B866" s="116">
        <v>77.25</v>
      </c>
      <c r="C866" s="116">
        <v>76.349999999999994</v>
      </c>
      <c r="D866" s="116">
        <v>76</v>
      </c>
      <c r="E866" s="116">
        <v>76.7</v>
      </c>
      <c r="F866" s="116">
        <v>76.349999999999994</v>
      </c>
      <c r="G866">
        <v>254540</v>
      </c>
      <c r="H866" s="116"/>
      <c r="I866" s="116"/>
      <c r="L866" s="170">
        <v>43276</v>
      </c>
      <c r="M866" s="116">
        <v>76.349999999999994</v>
      </c>
      <c r="N866" s="116">
        <v>77.3</v>
      </c>
      <c r="O866" s="116">
        <v>76</v>
      </c>
      <c r="P866" s="116">
        <v>76.75</v>
      </c>
      <c r="Q866" s="116">
        <v>76.349999999999994</v>
      </c>
      <c r="R866">
        <v>4466618</v>
      </c>
    </row>
    <row r="867" spans="1:18" x14ac:dyDescent="0.25">
      <c r="A867" s="170">
        <v>43277</v>
      </c>
      <c r="B867" s="116">
        <v>76.400000000000006</v>
      </c>
      <c r="C867" s="116">
        <v>75</v>
      </c>
      <c r="D867" s="116">
        <v>74.8</v>
      </c>
      <c r="E867" s="116">
        <v>76.25</v>
      </c>
      <c r="F867" s="116">
        <v>75</v>
      </c>
      <c r="G867">
        <v>127431</v>
      </c>
      <c r="H867" s="116"/>
      <c r="I867" s="116"/>
      <c r="L867" s="170">
        <v>43277</v>
      </c>
      <c r="M867" s="116">
        <v>75.099999999999994</v>
      </c>
      <c r="N867" s="116">
        <v>76.55</v>
      </c>
      <c r="O867" s="116">
        <v>75</v>
      </c>
      <c r="P867" s="116">
        <v>76.55</v>
      </c>
      <c r="Q867" s="116">
        <v>75.099999999999994</v>
      </c>
      <c r="R867">
        <v>2552275</v>
      </c>
    </row>
    <row r="868" spans="1:18" x14ac:dyDescent="0.25">
      <c r="A868" s="170">
        <v>43278</v>
      </c>
      <c r="B868" s="116">
        <v>75.05</v>
      </c>
      <c r="C868" s="116">
        <v>72</v>
      </c>
      <c r="D868" s="116">
        <v>71.5</v>
      </c>
      <c r="E868" s="116">
        <v>74.099999999999994</v>
      </c>
      <c r="F868" s="116">
        <v>72</v>
      </c>
      <c r="G868">
        <v>290941</v>
      </c>
      <c r="H868" s="116"/>
      <c r="I868" s="116"/>
      <c r="L868" s="170">
        <v>43278</v>
      </c>
      <c r="M868" s="116">
        <v>71.900000000000006</v>
      </c>
      <c r="N868" s="116">
        <v>75.25</v>
      </c>
      <c r="O868" s="116">
        <v>71.3</v>
      </c>
      <c r="P868" s="116">
        <v>75</v>
      </c>
      <c r="Q868" s="116">
        <v>71.900000000000006</v>
      </c>
      <c r="R868">
        <v>4334784</v>
      </c>
    </row>
    <row r="869" spans="1:18" x14ac:dyDescent="0.25">
      <c r="A869" s="170">
        <v>43279</v>
      </c>
      <c r="B869" s="116">
        <v>74.8</v>
      </c>
      <c r="C869" s="116">
        <v>71.599999999999994</v>
      </c>
      <c r="D869" s="116">
        <v>71</v>
      </c>
      <c r="E869" s="116">
        <v>71.05</v>
      </c>
      <c r="F869" s="116">
        <v>71.599999999999994</v>
      </c>
      <c r="G869">
        <v>685166</v>
      </c>
      <c r="H869" s="116"/>
      <c r="I869" s="116"/>
      <c r="L869" s="170">
        <v>43279</v>
      </c>
      <c r="M869" s="116">
        <v>71.650000000000006</v>
      </c>
      <c r="N869" s="116">
        <v>74.849999999999994</v>
      </c>
      <c r="O869" s="116">
        <v>71</v>
      </c>
      <c r="P869" s="116">
        <v>71.400000000000006</v>
      </c>
      <c r="Q869" s="116">
        <v>71.650000000000006</v>
      </c>
      <c r="R869">
        <v>7471148</v>
      </c>
    </row>
    <row r="870" spans="1:18" x14ac:dyDescent="0.25">
      <c r="A870" s="170">
        <v>43280</v>
      </c>
      <c r="B870" s="116">
        <v>73.3</v>
      </c>
      <c r="C870" s="116">
        <v>73.05</v>
      </c>
      <c r="D870" s="116">
        <v>71.599999999999994</v>
      </c>
      <c r="E870" s="116">
        <v>71.599999999999994</v>
      </c>
      <c r="F870" s="116">
        <v>73.05</v>
      </c>
      <c r="G870">
        <v>165585</v>
      </c>
      <c r="H870" s="116"/>
      <c r="I870" s="116"/>
      <c r="L870" s="170">
        <v>43280</v>
      </c>
      <c r="M870" s="116">
        <v>73.25</v>
      </c>
      <c r="N870" s="116">
        <v>73.650000000000006</v>
      </c>
      <c r="O870" s="116">
        <v>71.8</v>
      </c>
      <c r="P870" s="116">
        <v>72</v>
      </c>
      <c r="Q870" s="116">
        <v>73.25</v>
      </c>
      <c r="R870">
        <v>3668110</v>
      </c>
    </row>
    <row r="871" spans="1:18" x14ac:dyDescent="0.25">
      <c r="A871" s="170">
        <v>43283</v>
      </c>
      <c r="B871" s="116">
        <v>73.8</v>
      </c>
      <c r="C871" s="116">
        <v>72</v>
      </c>
      <c r="D871" s="116">
        <v>71.900000000000006</v>
      </c>
      <c r="E871" s="116">
        <v>73.150000000000006</v>
      </c>
      <c r="F871" s="116">
        <v>72</v>
      </c>
      <c r="G871">
        <v>635161</v>
      </c>
      <c r="H871" s="116"/>
      <c r="I871" s="116"/>
      <c r="L871" s="170">
        <v>43283</v>
      </c>
      <c r="M871" s="116">
        <v>72.25</v>
      </c>
      <c r="N871" s="116">
        <v>73.849999999999994</v>
      </c>
      <c r="O871" s="116">
        <v>71.900000000000006</v>
      </c>
      <c r="P871" s="116">
        <v>73.599999999999994</v>
      </c>
      <c r="Q871" s="116">
        <v>72.25</v>
      </c>
      <c r="R871">
        <v>2632012</v>
      </c>
    </row>
    <row r="872" spans="1:18" x14ac:dyDescent="0.25">
      <c r="A872" s="170">
        <v>43284</v>
      </c>
      <c r="B872" s="116">
        <v>73</v>
      </c>
      <c r="C872" s="116">
        <v>72.05</v>
      </c>
      <c r="D872" s="116">
        <v>71.8</v>
      </c>
      <c r="E872" s="116">
        <v>72.2</v>
      </c>
      <c r="F872" s="116">
        <v>72.05</v>
      </c>
      <c r="G872">
        <v>748175</v>
      </c>
      <c r="H872" s="116"/>
      <c r="I872" s="116"/>
      <c r="L872" s="170">
        <v>43284</v>
      </c>
      <c r="M872" s="116">
        <v>72.2</v>
      </c>
      <c r="N872" s="116">
        <v>73</v>
      </c>
      <c r="O872" s="116">
        <v>71.900000000000006</v>
      </c>
      <c r="P872" s="116">
        <v>72.5</v>
      </c>
      <c r="Q872" s="116">
        <v>72.2</v>
      </c>
      <c r="R872">
        <v>3149476</v>
      </c>
    </row>
    <row r="873" spans="1:18" x14ac:dyDescent="0.25">
      <c r="A873" s="170">
        <v>43285</v>
      </c>
      <c r="B873" s="116">
        <v>73</v>
      </c>
      <c r="C873" s="116">
        <v>72</v>
      </c>
      <c r="D873" s="116">
        <v>71.650000000000006</v>
      </c>
      <c r="E873" s="116">
        <v>72.099999999999994</v>
      </c>
      <c r="F873" s="116">
        <v>72</v>
      </c>
      <c r="G873">
        <v>287838</v>
      </c>
      <c r="H873" s="116"/>
      <c r="I873" s="116"/>
      <c r="L873" s="170">
        <v>43285</v>
      </c>
      <c r="M873" s="116">
        <v>72.05</v>
      </c>
      <c r="N873" s="116">
        <v>72.55</v>
      </c>
      <c r="O873" s="116">
        <v>71.599999999999994</v>
      </c>
      <c r="P873" s="116">
        <v>72.25</v>
      </c>
      <c r="Q873" s="116">
        <v>72.05</v>
      </c>
      <c r="R873">
        <v>2327587</v>
      </c>
    </row>
    <row r="874" spans="1:18" x14ac:dyDescent="0.25">
      <c r="A874" s="170">
        <v>43286</v>
      </c>
      <c r="B874" s="116">
        <v>72.150000000000006</v>
      </c>
      <c r="C874" s="116">
        <v>71.2</v>
      </c>
      <c r="D874" s="116">
        <v>71.099999999999994</v>
      </c>
      <c r="E874" s="116">
        <v>71.599999999999994</v>
      </c>
      <c r="F874" s="116">
        <v>71.2</v>
      </c>
      <c r="G874">
        <v>147790</v>
      </c>
      <c r="H874" s="116"/>
      <c r="I874" s="116"/>
      <c r="L874" s="170">
        <v>43286</v>
      </c>
      <c r="M874" s="116">
        <v>71.25</v>
      </c>
      <c r="N874" s="116">
        <v>72.2</v>
      </c>
      <c r="O874" s="116">
        <v>71.099999999999994</v>
      </c>
      <c r="P874" s="116">
        <v>72</v>
      </c>
      <c r="Q874" s="116">
        <v>71.25</v>
      </c>
      <c r="R874">
        <v>1328748</v>
      </c>
    </row>
    <row r="875" spans="1:18" x14ac:dyDescent="0.25">
      <c r="A875" s="170">
        <v>43287</v>
      </c>
      <c r="B875" s="116">
        <v>72.25</v>
      </c>
      <c r="C875" s="116">
        <v>71.7</v>
      </c>
      <c r="D875" s="116">
        <v>71.05</v>
      </c>
      <c r="E875" s="116">
        <v>71.05</v>
      </c>
      <c r="F875" s="116">
        <v>71.7</v>
      </c>
      <c r="G875">
        <v>102536</v>
      </c>
      <c r="H875" s="116"/>
      <c r="I875" s="116"/>
      <c r="L875" s="170">
        <v>43287</v>
      </c>
      <c r="M875" s="116">
        <v>71.75</v>
      </c>
      <c r="N875" s="116">
        <v>72.349999999999994</v>
      </c>
      <c r="O875" s="116">
        <v>71</v>
      </c>
      <c r="P875" s="116">
        <v>71.2</v>
      </c>
      <c r="Q875" s="116">
        <v>71.75</v>
      </c>
      <c r="R875">
        <v>1688831</v>
      </c>
    </row>
    <row r="876" spans="1:18" x14ac:dyDescent="0.25">
      <c r="A876" s="170">
        <v>43290</v>
      </c>
      <c r="B876" s="116">
        <v>74</v>
      </c>
      <c r="C876" s="116">
        <v>73.2</v>
      </c>
      <c r="D876" s="116">
        <v>71.599999999999994</v>
      </c>
      <c r="E876" s="116">
        <v>71.599999999999994</v>
      </c>
      <c r="F876" s="116">
        <v>73.2</v>
      </c>
      <c r="G876">
        <v>1302539</v>
      </c>
      <c r="H876" s="116"/>
      <c r="I876" s="116"/>
      <c r="L876" s="170">
        <v>43290</v>
      </c>
      <c r="M876" s="116">
        <v>73.2</v>
      </c>
      <c r="N876" s="116">
        <v>73.8</v>
      </c>
      <c r="O876" s="116">
        <v>72</v>
      </c>
      <c r="P876" s="116">
        <v>72</v>
      </c>
      <c r="Q876" s="116">
        <v>73.2</v>
      </c>
      <c r="R876">
        <v>1713958</v>
      </c>
    </row>
    <row r="877" spans="1:18" x14ac:dyDescent="0.25">
      <c r="A877" s="170">
        <v>43291</v>
      </c>
      <c r="B877" s="116">
        <v>74</v>
      </c>
      <c r="C877" s="116">
        <v>72.849999999999994</v>
      </c>
      <c r="D877" s="116">
        <v>72.7</v>
      </c>
      <c r="E877" s="116">
        <v>73.45</v>
      </c>
      <c r="F877" s="116">
        <v>72.849999999999994</v>
      </c>
      <c r="G877">
        <v>863668</v>
      </c>
      <c r="H877" s="116"/>
      <c r="I877" s="116"/>
      <c r="L877" s="170">
        <v>43291</v>
      </c>
      <c r="M877" s="116">
        <v>73.05</v>
      </c>
      <c r="N877" s="116">
        <v>74.099999999999994</v>
      </c>
      <c r="O877" s="116">
        <v>72.75</v>
      </c>
      <c r="P877" s="116">
        <v>73.75</v>
      </c>
      <c r="Q877" s="116">
        <v>73.05</v>
      </c>
      <c r="R877">
        <v>1897237</v>
      </c>
    </row>
    <row r="878" spans="1:18" x14ac:dyDescent="0.25">
      <c r="A878" s="170">
        <v>43292</v>
      </c>
      <c r="B878" s="116">
        <v>73.400000000000006</v>
      </c>
      <c r="C878" s="116">
        <v>72.2</v>
      </c>
      <c r="D878" s="116">
        <v>71.75</v>
      </c>
      <c r="E878" s="116">
        <v>72.900000000000006</v>
      </c>
      <c r="F878" s="116">
        <v>72.2</v>
      </c>
      <c r="G878">
        <v>216992</v>
      </c>
      <c r="H878" s="116"/>
      <c r="I878" s="116"/>
      <c r="L878" s="170">
        <v>43292</v>
      </c>
      <c r="M878" s="116">
        <v>72.2</v>
      </c>
      <c r="N878" s="116">
        <v>73.45</v>
      </c>
      <c r="O878" s="116">
        <v>71.650000000000006</v>
      </c>
      <c r="P878" s="116">
        <v>72.55</v>
      </c>
      <c r="Q878" s="116">
        <v>72.2</v>
      </c>
      <c r="R878">
        <v>2829649</v>
      </c>
    </row>
    <row r="879" spans="1:18" x14ac:dyDescent="0.25">
      <c r="A879" s="170">
        <v>43293</v>
      </c>
      <c r="B879" s="116">
        <v>71.650000000000006</v>
      </c>
      <c r="C879" s="116">
        <v>69.55</v>
      </c>
      <c r="D879" s="116">
        <v>69.400000000000006</v>
      </c>
      <c r="E879" s="116">
        <v>71.5</v>
      </c>
      <c r="F879" s="116">
        <v>69.55</v>
      </c>
      <c r="G879">
        <v>359035</v>
      </c>
      <c r="H879" s="116"/>
      <c r="I879" s="116"/>
      <c r="L879" s="170">
        <v>43293</v>
      </c>
      <c r="M879" s="116">
        <v>69.5</v>
      </c>
      <c r="N879" s="116">
        <v>71.7</v>
      </c>
      <c r="O879" s="116">
        <v>69.3</v>
      </c>
      <c r="P879" s="116">
        <v>71.400000000000006</v>
      </c>
      <c r="Q879" s="116">
        <v>69.5</v>
      </c>
      <c r="R879">
        <v>4361939</v>
      </c>
    </row>
    <row r="880" spans="1:18" x14ac:dyDescent="0.25">
      <c r="A880" s="170">
        <v>43294</v>
      </c>
      <c r="B880" s="116">
        <v>70.349999999999994</v>
      </c>
      <c r="C880" s="116">
        <v>70</v>
      </c>
      <c r="D880" s="116">
        <v>69.150000000000006</v>
      </c>
      <c r="E880" s="116">
        <v>69.650000000000006</v>
      </c>
      <c r="F880" s="116">
        <v>70</v>
      </c>
      <c r="G880">
        <v>238842</v>
      </c>
      <c r="H880" s="116"/>
      <c r="I880" s="116"/>
      <c r="L880" s="170">
        <v>43294</v>
      </c>
      <c r="M880" s="116">
        <v>70.150000000000006</v>
      </c>
      <c r="N880" s="116">
        <v>70.5</v>
      </c>
      <c r="O880" s="116">
        <v>69.099999999999994</v>
      </c>
      <c r="P880" s="116">
        <v>69.7</v>
      </c>
      <c r="Q880" s="116">
        <v>70.150000000000006</v>
      </c>
      <c r="R880">
        <v>3113836</v>
      </c>
    </row>
    <row r="881" spans="1:18" x14ac:dyDescent="0.25">
      <c r="A881" s="170">
        <v>43297</v>
      </c>
      <c r="B881" s="116">
        <v>70</v>
      </c>
      <c r="C881" s="116">
        <v>68.75</v>
      </c>
      <c r="D881" s="116">
        <v>68.25</v>
      </c>
      <c r="E881" s="116">
        <v>70</v>
      </c>
      <c r="F881" s="116">
        <v>68.75</v>
      </c>
      <c r="G881">
        <v>142023</v>
      </c>
      <c r="H881" s="116"/>
      <c r="I881" s="116"/>
      <c r="L881" s="170">
        <v>43297</v>
      </c>
      <c r="M881" s="116">
        <v>68.95</v>
      </c>
      <c r="N881" s="116">
        <v>70.150000000000006</v>
      </c>
      <c r="O881" s="116">
        <v>68.650000000000006</v>
      </c>
      <c r="P881" s="116">
        <v>70</v>
      </c>
      <c r="Q881" s="116">
        <v>68.95</v>
      </c>
      <c r="R881">
        <v>2182138</v>
      </c>
    </row>
    <row r="882" spans="1:18" x14ac:dyDescent="0.25">
      <c r="A882" s="170">
        <v>43298</v>
      </c>
      <c r="B882" s="116">
        <v>71.25</v>
      </c>
      <c r="C882" s="116">
        <v>70.7</v>
      </c>
      <c r="D882" s="116">
        <v>68.150000000000006</v>
      </c>
      <c r="E882" s="116">
        <v>69.05</v>
      </c>
      <c r="F882" s="116">
        <v>70.7</v>
      </c>
      <c r="G882">
        <v>205014</v>
      </c>
      <c r="H882" s="116"/>
      <c r="I882" s="116"/>
      <c r="L882" s="170">
        <v>43298</v>
      </c>
      <c r="M882" s="116">
        <v>70.900000000000006</v>
      </c>
      <c r="N882" s="116">
        <v>71.3</v>
      </c>
      <c r="O882" s="116">
        <v>68.05</v>
      </c>
      <c r="P882" s="116">
        <v>68.7</v>
      </c>
      <c r="Q882" s="116">
        <v>70.900000000000006</v>
      </c>
      <c r="R882">
        <v>2621707</v>
      </c>
    </row>
    <row r="883" spans="1:18" x14ac:dyDescent="0.25">
      <c r="A883" s="170">
        <v>43299</v>
      </c>
      <c r="B883" s="116">
        <v>71.599999999999994</v>
      </c>
      <c r="C883" s="116">
        <v>69.75</v>
      </c>
      <c r="D883" s="116">
        <v>68.75</v>
      </c>
      <c r="E883" s="116">
        <v>71</v>
      </c>
      <c r="F883" s="116">
        <v>69.75</v>
      </c>
      <c r="G883">
        <v>226341</v>
      </c>
      <c r="H883" s="116"/>
      <c r="I883" s="116"/>
      <c r="L883" s="170">
        <v>43299</v>
      </c>
      <c r="M883" s="116">
        <v>70</v>
      </c>
      <c r="N883" s="116">
        <v>71.8</v>
      </c>
      <c r="O883" s="116">
        <v>68.900000000000006</v>
      </c>
      <c r="P883" s="116">
        <v>70.900000000000006</v>
      </c>
      <c r="Q883" s="116">
        <v>70</v>
      </c>
      <c r="R883">
        <v>4730154</v>
      </c>
    </row>
    <row r="884" spans="1:18" x14ac:dyDescent="0.25">
      <c r="A884" s="170">
        <v>43300</v>
      </c>
      <c r="B884" s="116">
        <v>70.400000000000006</v>
      </c>
      <c r="C884" s="116">
        <v>68.400000000000006</v>
      </c>
      <c r="D884" s="116">
        <v>67.8</v>
      </c>
      <c r="E884" s="116">
        <v>70</v>
      </c>
      <c r="F884" s="116">
        <v>68.400000000000006</v>
      </c>
      <c r="G884">
        <v>154262</v>
      </c>
      <c r="H884" s="116"/>
      <c r="I884" s="116"/>
      <c r="L884" s="170">
        <v>43300</v>
      </c>
      <c r="M884" s="116">
        <v>68.2</v>
      </c>
      <c r="N884" s="116">
        <v>70.45</v>
      </c>
      <c r="O884" s="116">
        <v>67.599999999999994</v>
      </c>
      <c r="P884" s="116">
        <v>70.2</v>
      </c>
      <c r="Q884" s="116">
        <v>68.2</v>
      </c>
      <c r="R884">
        <v>2671048</v>
      </c>
    </row>
    <row r="885" spans="1:18" x14ac:dyDescent="0.25">
      <c r="A885" s="170">
        <v>43301</v>
      </c>
      <c r="B885" s="116">
        <v>68.5</v>
      </c>
      <c r="C885" s="116">
        <v>67.849999999999994</v>
      </c>
      <c r="D885" s="116">
        <v>67.150000000000006</v>
      </c>
      <c r="E885" s="116">
        <v>68.5</v>
      </c>
      <c r="F885" s="116">
        <v>67.849999999999994</v>
      </c>
      <c r="G885">
        <v>153348</v>
      </c>
      <c r="H885" s="116"/>
      <c r="I885" s="116"/>
      <c r="L885" s="170">
        <v>43301</v>
      </c>
      <c r="M885" s="116">
        <v>67.849999999999994</v>
      </c>
      <c r="N885" s="116">
        <v>68.3</v>
      </c>
      <c r="O885" s="116">
        <v>67.150000000000006</v>
      </c>
      <c r="P885" s="116">
        <v>68.2</v>
      </c>
      <c r="Q885" s="116">
        <v>67.849999999999994</v>
      </c>
      <c r="R885">
        <v>2467860</v>
      </c>
    </row>
    <row r="886" spans="1:18" x14ac:dyDescent="0.25">
      <c r="A886" s="170">
        <v>43304</v>
      </c>
      <c r="B886" s="116">
        <v>68.599999999999994</v>
      </c>
      <c r="C886" s="116">
        <v>68.099999999999994</v>
      </c>
      <c r="D886" s="116">
        <v>66.650000000000006</v>
      </c>
      <c r="E886" s="116">
        <v>68</v>
      </c>
      <c r="F886" s="116">
        <v>68.099999999999994</v>
      </c>
      <c r="G886">
        <v>191312</v>
      </c>
      <c r="H886" s="116"/>
      <c r="I886" s="116"/>
      <c r="L886" s="170">
        <v>43304</v>
      </c>
      <c r="M886" s="116">
        <v>68.05</v>
      </c>
      <c r="N886" s="116">
        <v>68.7</v>
      </c>
      <c r="O886" s="116">
        <v>66.55</v>
      </c>
      <c r="P886" s="116">
        <v>67.900000000000006</v>
      </c>
      <c r="Q886" s="116">
        <v>68.05</v>
      </c>
      <c r="R886">
        <v>3592808</v>
      </c>
    </row>
    <row r="887" spans="1:18" x14ac:dyDescent="0.25">
      <c r="A887" s="170">
        <v>43305</v>
      </c>
      <c r="B887" s="116">
        <v>69</v>
      </c>
      <c r="C887" s="116">
        <v>67.900000000000006</v>
      </c>
      <c r="D887" s="116">
        <v>67.400000000000006</v>
      </c>
      <c r="E887" s="116">
        <v>68.099999999999994</v>
      </c>
      <c r="F887" s="116">
        <v>67.900000000000006</v>
      </c>
      <c r="G887">
        <v>290190</v>
      </c>
      <c r="H887" s="116"/>
      <c r="I887" s="116"/>
      <c r="L887" s="170">
        <v>43305</v>
      </c>
      <c r="M887" s="116">
        <v>67.8</v>
      </c>
      <c r="N887" s="116">
        <v>69</v>
      </c>
      <c r="O887" s="116">
        <v>67.25</v>
      </c>
      <c r="P887" s="116">
        <v>68.2</v>
      </c>
      <c r="Q887" s="116">
        <v>67.8</v>
      </c>
      <c r="R887">
        <v>8544903</v>
      </c>
    </row>
    <row r="888" spans="1:18" x14ac:dyDescent="0.25">
      <c r="A888" s="170">
        <v>43306</v>
      </c>
      <c r="B888" s="116">
        <v>69.45</v>
      </c>
      <c r="C888" s="116">
        <v>67.8</v>
      </c>
      <c r="D888" s="116">
        <v>67.55</v>
      </c>
      <c r="E888" s="116">
        <v>68</v>
      </c>
      <c r="F888" s="116">
        <v>67.8</v>
      </c>
      <c r="G888">
        <v>172385</v>
      </c>
      <c r="H888" s="116"/>
      <c r="I888" s="116"/>
      <c r="L888" s="170">
        <v>43306</v>
      </c>
      <c r="M888" s="116">
        <v>67.8</v>
      </c>
      <c r="N888" s="116">
        <v>69.45</v>
      </c>
      <c r="O888" s="116">
        <v>67.5</v>
      </c>
      <c r="P888" s="116">
        <v>68.099999999999994</v>
      </c>
      <c r="Q888" s="116">
        <v>67.8</v>
      </c>
      <c r="R888">
        <v>2761319</v>
      </c>
    </row>
    <row r="889" spans="1:18" x14ac:dyDescent="0.25">
      <c r="A889" s="170">
        <v>43307</v>
      </c>
      <c r="B889" s="116">
        <v>72.400000000000006</v>
      </c>
      <c r="C889" s="116">
        <v>70.849999999999994</v>
      </c>
      <c r="D889" s="116">
        <v>68</v>
      </c>
      <c r="E889" s="116">
        <v>68</v>
      </c>
      <c r="F889" s="116">
        <v>70.849999999999994</v>
      </c>
      <c r="G889">
        <v>1205774</v>
      </c>
      <c r="H889" s="116"/>
      <c r="I889" s="116"/>
      <c r="L889" s="170">
        <v>43307</v>
      </c>
      <c r="M889" s="116">
        <v>70.849999999999994</v>
      </c>
      <c r="N889" s="116">
        <v>72.5</v>
      </c>
      <c r="O889" s="116">
        <v>68</v>
      </c>
      <c r="P889" s="116">
        <v>68</v>
      </c>
      <c r="Q889" s="116">
        <v>70.849999999999994</v>
      </c>
      <c r="R889">
        <v>13063298</v>
      </c>
    </row>
    <row r="890" spans="1:18" x14ac:dyDescent="0.25">
      <c r="A890" s="170">
        <v>43308</v>
      </c>
      <c r="B890" s="116">
        <v>72.400000000000006</v>
      </c>
      <c r="C890" s="116">
        <v>71.849999999999994</v>
      </c>
      <c r="D890" s="116">
        <v>71.05</v>
      </c>
      <c r="E890" s="116">
        <v>71.75</v>
      </c>
      <c r="F890" s="116">
        <v>71.849999999999994</v>
      </c>
      <c r="G890">
        <v>440428</v>
      </c>
      <c r="H890" s="116"/>
      <c r="I890" s="116"/>
      <c r="L890" s="170">
        <v>43308</v>
      </c>
      <c r="M890" s="116">
        <v>71.849999999999994</v>
      </c>
      <c r="N890" s="116">
        <v>72.5</v>
      </c>
      <c r="O890" s="116">
        <v>70.849999999999994</v>
      </c>
      <c r="P890" s="116">
        <v>71.05</v>
      </c>
      <c r="Q890" s="116">
        <v>71.849999999999994</v>
      </c>
      <c r="R890">
        <v>4748886</v>
      </c>
    </row>
    <row r="891" spans="1:18" x14ac:dyDescent="0.25">
      <c r="A891" s="170">
        <v>43311</v>
      </c>
      <c r="B891" s="116">
        <v>74.7</v>
      </c>
      <c r="C891" s="116">
        <v>73.849999999999994</v>
      </c>
      <c r="D891" s="116">
        <v>71</v>
      </c>
      <c r="E891" s="116">
        <v>72</v>
      </c>
      <c r="F891" s="116">
        <v>73.849999999999994</v>
      </c>
      <c r="G891">
        <v>454461</v>
      </c>
      <c r="H891" s="116"/>
      <c r="I891" s="116"/>
      <c r="L891" s="170">
        <v>43311</v>
      </c>
      <c r="M891" s="116">
        <v>73.849999999999994</v>
      </c>
      <c r="N891" s="116">
        <v>74.7</v>
      </c>
      <c r="O891" s="116">
        <v>70.900000000000006</v>
      </c>
      <c r="P891" s="116">
        <v>71.900000000000006</v>
      </c>
      <c r="Q891" s="116">
        <v>73.849999999999994</v>
      </c>
      <c r="R891">
        <v>5228991</v>
      </c>
    </row>
    <row r="892" spans="1:18" x14ac:dyDescent="0.25">
      <c r="A892" s="170">
        <v>43312</v>
      </c>
      <c r="B892" s="116">
        <v>74.900000000000006</v>
      </c>
      <c r="C892" s="116">
        <v>74.400000000000006</v>
      </c>
      <c r="D892" s="116">
        <v>72.650000000000006</v>
      </c>
      <c r="E892" s="116">
        <v>73.849999999999994</v>
      </c>
      <c r="F892" s="116">
        <v>74.400000000000006</v>
      </c>
      <c r="G892">
        <v>288205</v>
      </c>
      <c r="H892" s="116"/>
      <c r="I892" s="116"/>
      <c r="L892" s="170">
        <v>43312</v>
      </c>
      <c r="M892" s="116">
        <v>74.55</v>
      </c>
      <c r="N892" s="116">
        <v>75</v>
      </c>
      <c r="O892" s="116">
        <v>72.599999999999994</v>
      </c>
      <c r="P892" s="116">
        <v>73.8</v>
      </c>
      <c r="Q892" s="116">
        <v>74.55</v>
      </c>
      <c r="R892">
        <v>3593905</v>
      </c>
    </row>
    <row r="893" spans="1:18" x14ac:dyDescent="0.25">
      <c r="A893" s="170">
        <v>43313</v>
      </c>
      <c r="B893" s="116">
        <v>74.900000000000006</v>
      </c>
      <c r="C893" s="116">
        <v>73.099999999999994</v>
      </c>
      <c r="D893" s="116">
        <v>72.7</v>
      </c>
      <c r="E893" s="116">
        <v>74.5</v>
      </c>
      <c r="F893" s="116">
        <v>73.099999999999994</v>
      </c>
      <c r="G893">
        <v>275476</v>
      </c>
      <c r="H893" s="116"/>
      <c r="I893" s="116"/>
      <c r="L893" s="170">
        <v>43313</v>
      </c>
      <c r="M893" s="116">
        <v>73.05</v>
      </c>
      <c r="N893" s="116">
        <v>74.7</v>
      </c>
      <c r="O893" s="116">
        <v>72.650000000000006</v>
      </c>
      <c r="P893" s="116">
        <v>74.400000000000006</v>
      </c>
      <c r="Q893" s="116">
        <v>73.05</v>
      </c>
      <c r="R893">
        <v>1910149</v>
      </c>
    </row>
    <row r="894" spans="1:18" x14ac:dyDescent="0.25">
      <c r="A894" s="170">
        <v>43314</v>
      </c>
      <c r="B894" s="116">
        <v>73</v>
      </c>
      <c r="C894" s="116">
        <v>71.900000000000006</v>
      </c>
      <c r="D894" s="116">
        <v>71.45</v>
      </c>
      <c r="E894" s="116">
        <v>73</v>
      </c>
      <c r="F894" s="116">
        <v>71.900000000000006</v>
      </c>
      <c r="G894">
        <v>189712</v>
      </c>
      <c r="H894" s="116"/>
      <c r="I894" s="116"/>
      <c r="L894" s="170">
        <v>43314</v>
      </c>
      <c r="M894" s="116">
        <v>71.95</v>
      </c>
      <c r="N894" s="116">
        <v>73.099999999999994</v>
      </c>
      <c r="O894" s="116">
        <v>71.400000000000006</v>
      </c>
      <c r="P894" s="116">
        <v>73</v>
      </c>
      <c r="Q894" s="116">
        <v>71.95</v>
      </c>
      <c r="R894">
        <v>2722659</v>
      </c>
    </row>
    <row r="895" spans="1:18" x14ac:dyDescent="0.25">
      <c r="A895" s="170">
        <v>43315</v>
      </c>
      <c r="B895" s="116">
        <v>73.099999999999994</v>
      </c>
      <c r="C895" s="116">
        <v>72.25</v>
      </c>
      <c r="D895" s="116">
        <v>71.900000000000006</v>
      </c>
      <c r="E895" s="116">
        <v>72</v>
      </c>
      <c r="F895" s="116">
        <v>72.25</v>
      </c>
      <c r="G895">
        <v>169709</v>
      </c>
      <c r="H895" s="116"/>
      <c r="I895" s="116"/>
      <c r="L895" s="170">
        <v>43315</v>
      </c>
      <c r="M895" s="116">
        <v>72.349999999999994</v>
      </c>
      <c r="N895" s="116">
        <v>73.2</v>
      </c>
      <c r="O895" s="116">
        <v>71.849999999999994</v>
      </c>
      <c r="P895" s="116">
        <v>71.849999999999994</v>
      </c>
      <c r="Q895" s="116">
        <v>72.349999999999994</v>
      </c>
      <c r="R895">
        <v>2275783</v>
      </c>
    </row>
    <row r="896" spans="1:18" x14ac:dyDescent="0.25">
      <c r="A896" s="170">
        <v>43318</v>
      </c>
      <c r="B896" s="116">
        <v>72.8</v>
      </c>
      <c r="C896" s="116">
        <v>71.849999999999994</v>
      </c>
      <c r="D896" s="116">
        <v>71.55</v>
      </c>
      <c r="E896" s="116">
        <v>72.5</v>
      </c>
      <c r="F896" s="116">
        <v>71.849999999999994</v>
      </c>
      <c r="G896">
        <v>166485</v>
      </c>
      <c r="H896" s="116"/>
      <c r="I896" s="116"/>
      <c r="L896" s="170">
        <v>43318</v>
      </c>
      <c r="M896" s="116">
        <v>71.849999999999994</v>
      </c>
      <c r="N896" s="116">
        <v>72.900000000000006</v>
      </c>
      <c r="O896" s="116">
        <v>71.650000000000006</v>
      </c>
      <c r="P896" s="116">
        <v>72.599999999999994</v>
      </c>
      <c r="Q896" s="116">
        <v>71.849999999999994</v>
      </c>
      <c r="R896">
        <v>1936040</v>
      </c>
    </row>
    <row r="897" spans="1:18" x14ac:dyDescent="0.25">
      <c r="A897" s="170">
        <v>43319</v>
      </c>
      <c r="B897" s="116">
        <v>72.5</v>
      </c>
      <c r="C897" s="116">
        <v>70.25</v>
      </c>
      <c r="D897" s="116">
        <v>70.05</v>
      </c>
      <c r="E897" s="116">
        <v>72.5</v>
      </c>
      <c r="F897" s="116">
        <v>70.25</v>
      </c>
      <c r="G897">
        <v>249670</v>
      </c>
      <c r="H897" s="116"/>
      <c r="I897" s="116"/>
      <c r="L897" s="170">
        <v>43319</v>
      </c>
      <c r="M897" s="116">
        <v>70.3</v>
      </c>
      <c r="N897" s="116">
        <v>72.099999999999994</v>
      </c>
      <c r="O897" s="116">
        <v>70.05</v>
      </c>
      <c r="P897" s="116">
        <v>72</v>
      </c>
      <c r="Q897" s="116">
        <v>70.3</v>
      </c>
      <c r="R897">
        <v>2069542</v>
      </c>
    </row>
    <row r="898" spans="1:18" x14ac:dyDescent="0.25">
      <c r="A898" s="170">
        <v>43320</v>
      </c>
      <c r="B898" s="116">
        <v>70.900000000000006</v>
      </c>
      <c r="C898" s="116">
        <v>69.45</v>
      </c>
      <c r="D898" s="116">
        <v>69.2</v>
      </c>
      <c r="E898" s="116">
        <v>70.5</v>
      </c>
      <c r="F898" s="116">
        <v>69.45</v>
      </c>
      <c r="G898">
        <v>221532</v>
      </c>
      <c r="H898" s="116"/>
      <c r="I898" s="116"/>
      <c r="L898" s="170">
        <v>43320</v>
      </c>
      <c r="M898" s="116">
        <v>69.45</v>
      </c>
      <c r="N898" s="116">
        <v>70.849999999999994</v>
      </c>
      <c r="O898" s="116">
        <v>69.099999999999994</v>
      </c>
      <c r="P898" s="116">
        <v>70.3</v>
      </c>
      <c r="Q898" s="116">
        <v>69.45</v>
      </c>
      <c r="R898">
        <v>2391506</v>
      </c>
    </row>
    <row r="899" spans="1:18" x14ac:dyDescent="0.25">
      <c r="A899" s="170">
        <v>43321</v>
      </c>
      <c r="B899" s="116">
        <v>70.400000000000006</v>
      </c>
      <c r="C899" s="116">
        <v>70</v>
      </c>
      <c r="D899" s="116">
        <v>69.3</v>
      </c>
      <c r="E899" s="116">
        <v>70</v>
      </c>
      <c r="F899" s="116">
        <v>70</v>
      </c>
      <c r="G899">
        <v>174171</v>
      </c>
      <c r="H899" s="116"/>
      <c r="I899" s="116"/>
      <c r="L899" s="170">
        <v>43321</v>
      </c>
      <c r="M899" s="116">
        <v>69.900000000000006</v>
      </c>
      <c r="N899" s="116">
        <v>70.400000000000006</v>
      </c>
      <c r="O899" s="116">
        <v>69.2</v>
      </c>
      <c r="P899" s="116">
        <v>70</v>
      </c>
      <c r="Q899" s="116">
        <v>69.900000000000006</v>
      </c>
      <c r="R899">
        <v>1540636</v>
      </c>
    </row>
    <row r="900" spans="1:18" x14ac:dyDescent="0.25">
      <c r="A900" s="170">
        <v>43322</v>
      </c>
      <c r="B900" s="116">
        <v>71.099999999999994</v>
      </c>
      <c r="C900" s="116">
        <v>69.400000000000006</v>
      </c>
      <c r="D900" s="116">
        <v>69.099999999999994</v>
      </c>
      <c r="E900" s="116">
        <v>70.2</v>
      </c>
      <c r="F900" s="116">
        <v>69.400000000000006</v>
      </c>
      <c r="G900">
        <v>181713</v>
      </c>
      <c r="H900" s="116"/>
      <c r="I900" s="116"/>
      <c r="L900" s="170">
        <v>43322</v>
      </c>
      <c r="M900" s="116">
        <v>69.349999999999994</v>
      </c>
      <c r="N900" s="116">
        <v>71.150000000000006</v>
      </c>
      <c r="O900" s="116">
        <v>69</v>
      </c>
      <c r="P900" s="116">
        <v>69.900000000000006</v>
      </c>
      <c r="Q900" s="116">
        <v>69.349999999999994</v>
      </c>
      <c r="R900">
        <v>2354841</v>
      </c>
    </row>
    <row r="901" spans="1:18" x14ac:dyDescent="0.25">
      <c r="A901" s="170">
        <v>43325</v>
      </c>
      <c r="B901" s="116">
        <v>70.150000000000006</v>
      </c>
      <c r="C901" s="116">
        <v>68.900000000000006</v>
      </c>
      <c r="D901" s="116">
        <v>68.650000000000006</v>
      </c>
      <c r="E901" s="116">
        <v>69.25</v>
      </c>
      <c r="F901" s="116">
        <v>68.900000000000006</v>
      </c>
      <c r="G901">
        <v>157898</v>
      </c>
      <c r="H901" s="116"/>
      <c r="I901" s="116"/>
      <c r="L901" s="170">
        <v>43325</v>
      </c>
      <c r="M901" s="116">
        <v>68.75</v>
      </c>
      <c r="N901" s="116">
        <v>70.05</v>
      </c>
      <c r="O901" s="116">
        <v>68.55</v>
      </c>
      <c r="P901" s="116">
        <v>69.150000000000006</v>
      </c>
      <c r="Q901" s="116">
        <v>68.75</v>
      </c>
      <c r="R901">
        <v>2145648</v>
      </c>
    </row>
    <row r="902" spans="1:18" x14ac:dyDescent="0.25">
      <c r="A902" s="170">
        <v>43326</v>
      </c>
      <c r="B902" s="116">
        <v>69.5</v>
      </c>
      <c r="C902" s="116">
        <v>68.75</v>
      </c>
      <c r="D902" s="116">
        <v>68.599999999999994</v>
      </c>
      <c r="E902" s="116">
        <v>68.849999999999994</v>
      </c>
      <c r="F902" s="116">
        <v>68.75</v>
      </c>
      <c r="G902">
        <v>112897</v>
      </c>
      <c r="H902" s="116"/>
      <c r="I902" s="116"/>
      <c r="L902" s="170">
        <v>43326</v>
      </c>
      <c r="M902" s="116">
        <v>68.75</v>
      </c>
      <c r="N902" s="116">
        <v>69.55</v>
      </c>
      <c r="O902" s="116">
        <v>68.599999999999994</v>
      </c>
      <c r="P902" s="116">
        <v>69.05</v>
      </c>
      <c r="Q902" s="116">
        <v>68.75</v>
      </c>
      <c r="R902">
        <v>1529387</v>
      </c>
    </row>
    <row r="903" spans="1:18" x14ac:dyDescent="0.25">
      <c r="A903" s="170">
        <v>43328</v>
      </c>
      <c r="B903" s="116">
        <v>68.75</v>
      </c>
      <c r="C903" s="116">
        <v>67.2</v>
      </c>
      <c r="D903" s="116">
        <v>67</v>
      </c>
      <c r="E903" s="116">
        <v>68.5</v>
      </c>
      <c r="F903" s="116">
        <v>67.2</v>
      </c>
      <c r="G903">
        <v>257579</v>
      </c>
      <c r="H903" s="116"/>
      <c r="I903" s="116"/>
      <c r="L903" s="170">
        <v>43328</v>
      </c>
      <c r="M903" s="116">
        <v>67.150000000000006</v>
      </c>
      <c r="N903" s="116">
        <v>68.55</v>
      </c>
      <c r="O903" s="116">
        <v>67</v>
      </c>
      <c r="P903" s="116">
        <v>68.55</v>
      </c>
      <c r="Q903" s="116">
        <v>67.150000000000006</v>
      </c>
      <c r="R903">
        <v>3007914</v>
      </c>
    </row>
    <row r="904" spans="1:18" x14ac:dyDescent="0.25">
      <c r="A904" s="170">
        <v>43329</v>
      </c>
      <c r="B904" s="116">
        <v>69</v>
      </c>
      <c r="C904" s="116">
        <v>68.650000000000006</v>
      </c>
      <c r="D904" s="116">
        <v>67.05</v>
      </c>
      <c r="E904" s="116">
        <v>67.5</v>
      </c>
      <c r="F904" s="116">
        <v>68.650000000000006</v>
      </c>
      <c r="G904">
        <v>208356</v>
      </c>
      <c r="H904" s="116"/>
      <c r="I904" s="116"/>
      <c r="L904" s="170">
        <v>43329</v>
      </c>
      <c r="M904" s="116">
        <v>68.650000000000006</v>
      </c>
      <c r="N904" s="116">
        <v>69</v>
      </c>
      <c r="O904" s="116">
        <v>67.05</v>
      </c>
      <c r="P904" s="116">
        <v>67.400000000000006</v>
      </c>
      <c r="Q904" s="116">
        <v>68.650000000000006</v>
      </c>
      <c r="R904">
        <v>2814891</v>
      </c>
    </row>
    <row r="905" spans="1:18" x14ac:dyDescent="0.25">
      <c r="A905" s="170">
        <v>43332</v>
      </c>
      <c r="B905" s="116">
        <v>70.3</v>
      </c>
      <c r="C905" s="116">
        <v>69.95</v>
      </c>
      <c r="D905" s="116">
        <v>68.7</v>
      </c>
      <c r="E905" s="116">
        <v>68.95</v>
      </c>
      <c r="F905" s="116">
        <v>69.95</v>
      </c>
      <c r="G905">
        <v>179596</v>
      </c>
      <c r="H905" s="116"/>
      <c r="I905" s="116"/>
      <c r="L905" s="170">
        <v>43332</v>
      </c>
      <c r="M905" s="116">
        <v>70.05</v>
      </c>
      <c r="N905" s="116">
        <v>70.349999999999994</v>
      </c>
      <c r="O905" s="116">
        <v>68.5</v>
      </c>
      <c r="P905" s="116">
        <v>68.900000000000006</v>
      </c>
      <c r="Q905" s="116">
        <v>70.05</v>
      </c>
      <c r="R905">
        <v>1947407</v>
      </c>
    </row>
    <row r="906" spans="1:18" x14ac:dyDescent="0.25">
      <c r="A906" s="170">
        <v>43333</v>
      </c>
      <c r="B906" s="116">
        <v>73.55</v>
      </c>
      <c r="C906" s="116">
        <v>72.349999999999994</v>
      </c>
      <c r="D906" s="116">
        <v>69.7</v>
      </c>
      <c r="E906" s="116">
        <v>70.599999999999994</v>
      </c>
      <c r="F906" s="116">
        <v>72.349999999999994</v>
      </c>
      <c r="G906">
        <v>380045</v>
      </c>
      <c r="H906" s="116"/>
      <c r="I906" s="116"/>
      <c r="L906" s="170">
        <v>43333</v>
      </c>
      <c r="M906" s="116">
        <v>72.25</v>
      </c>
      <c r="N906" s="116">
        <v>73</v>
      </c>
      <c r="O906" s="116">
        <v>69.7</v>
      </c>
      <c r="P906" s="116">
        <v>69.8</v>
      </c>
      <c r="Q906" s="116">
        <v>72.25</v>
      </c>
      <c r="R906">
        <v>4051774</v>
      </c>
    </row>
    <row r="907" spans="1:18" x14ac:dyDescent="0.25">
      <c r="A907" s="170">
        <v>43335</v>
      </c>
      <c r="B907" s="116">
        <v>73.400000000000006</v>
      </c>
      <c r="C907" s="116">
        <v>71.8</v>
      </c>
      <c r="D907" s="116">
        <v>71.099999999999994</v>
      </c>
      <c r="E907" s="116">
        <v>73</v>
      </c>
      <c r="F907" s="116">
        <v>71.8</v>
      </c>
      <c r="G907">
        <v>358152</v>
      </c>
      <c r="H907" s="116"/>
      <c r="I907" s="116"/>
      <c r="L907" s="170">
        <v>43335</v>
      </c>
      <c r="M907" s="116">
        <v>72.05</v>
      </c>
      <c r="N907" s="116">
        <v>73.400000000000006</v>
      </c>
      <c r="O907" s="116">
        <v>71.150000000000006</v>
      </c>
      <c r="P907" s="116">
        <v>73.400000000000006</v>
      </c>
      <c r="Q907" s="116">
        <v>72.05</v>
      </c>
      <c r="R907">
        <v>3874963</v>
      </c>
    </row>
    <row r="908" spans="1:18" x14ac:dyDescent="0.25">
      <c r="A908" s="170">
        <v>43336</v>
      </c>
      <c r="B908" s="116">
        <v>72.5</v>
      </c>
      <c r="C908" s="116">
        <v>71.7</v>
      </c>
      <c r="D908" s="116">
        <v>70.650000000000006</v>
      </c>
      <c r="E908" s="116">
        <v>71.099999999999994</v>
      </c>
      <c r="F908" s="116">
        <v>71.7</v>
      </c>
      <c r="G908">
        <v>181456</v>
      </c>
      <c r="H908" s="116"/>
      <c r="I908" s="116"/>
      <c r="L908" s="170">
        <v>43336</v>
      </c>
      <c r="M908" s="116">
        <v>71.75</v>
      </c>
      <c r="N908" s="116">
        <v>72.5</v>
      </c>
      <c r="O908" s="116">
        <v>70.599999999999994</v>
      </c>
      <c r="P908" s="116">
        <v>71.8</v>
      </c>
      <c r="Q908" s="116">
        <v>71.75</v>
      </c>
      <c r="R908">
        <v>1880021</v>
      </c>
    </row>
    <row r="909" spans="1:18" x14ac:dyDescent="0.25">
      <c r="A909" s="170">
        <v>43339</v>
      </c>
      <c r="B909" s="116">
        <v>76.599999999999994</v>
      </c>
      <c r="C909" s="116">
        <v>75.650000000000006</v>
      </c>
      <c r="D909" s="116">
        <v>71.95</v>
      </c>
      <c r="E909" s="116">
        <v>72</v>
      </c>
      <c r="F909" s="116">
        <v>75.650000000000006</v>
      </c>
      <c r="G909">
        <v>896585</v>
      </c>
      <c r="H909" s="116"/>
      <c r="I909" s="116"/>
      <c r="L909" s="170">
        <v>43339</v>
      </c>
      <c r="M909" s="116">
        <v>75.599999999999994</v>
      </c>
      <c r="N909" s="116">
        <v>76.599999999999994</v>
      </c>
      <c r="O909" s="116">
        <v>71.8</v>
      </c>
      <c r="P909" s="116">
        <v>71.8</v>
      </c>
      <c r="Q909" s="116">
        <v>75.599999999999994</v>
      </c>
      <c r="R909">
        <v>8322360</v>
      </c>
    </row>
    <row r="910" spans="1:18" x14ac:dyDescent="0.25">
      <c r="A910" s="170">
        <v>43340</v>
      </c>
      <c r="B910" s="116">
        <v>76.650000000000006</v>
      </c>
      <c r="C910" s="116">
        <v>74.7</v>
      </c>
      <c r="D910" s="116">
        <v>73.900000000000006</v>
      </c>
      <c r="E910" s="116">
        <v>75.45</v>
      </c>
      <c r="F910" s="116">
        <v>74.7</v>
      </c>
      <c r="G910">
        <v>742968</v>
      </c>
      <c r="H910" s="116"/>
      <c r="I910" s="116"/>
      <c r="L910" s="170">
        <v>43340</v>
      </c>
      <c r="M910" s="116">
        <v>74.849999999999994</v>
      </c>
      <c r="N910" s="116">
        <v>76.75</v>
      </c>
      <c r="O910" s="116">
        <v>73.849999999999994</v>
      </c>
      <c r="P910" s="116">
        <v>75.400000000000006</v>
      </c>
      <c r="Q910" s="116">
        <v>74.849999999999994</v>
      </c>
      <c r="R910">
        <v>6849642</v>
      </c>
    </row>
    <row r="911" spans="1:18" x14ac:dyDescent="0.25">
      <c r="A911" s="170">
        <v>43341</v>
      </c>
      <c r="B911" s="116">
        <v>77.349999999999994</v>
      </c>
      <c r="C911" s="116">
        <v>76.849999999999994</v>
      </c>
      <c r="D911" s="116">
        <v>74.55</v>
      </c>
      <c r="E911" s="116">
        <v>74.75</v>
      </c>
      <c r="F911" s="116">
        <v>76.849999999999994</v>
      </c>
      <c r="G911">
        <v>707299</v>
      </c>
      <c r="H911" s="116"/>
      <c r="I911" s="116"/>
      <c r="L911" s="170">
        <v>43341</v>
      </c>
      <c r="M911" s="116">
        <v>76.900000000000006</v>
      </c>
      <c r="N911" s="116">
        <v>77.650000000000006</v>
      </c>
      <c r="O911" s="116">
        <v>74.400000000000006</v>
      </c>
      <c r="P911" s="116">
        <v>74.45</v>
      </c>
      <c r="Q911" s="116">
        <v>76.900000000000006</v>
      </c>
      <c r="R911">
        <v>5498653</v>
      </c>
    </row>
    <row r="912" spans="1:18" x14ac:dyDescent="0.25">
      <c r="A912" s="170">
        <v>43342</v>
      </c>
      <c r="B912" s="116">
        <v>77.349999999999994</v>
      </c>
      <c r="C912" s="116">
        <v>76.150000000000006</v>
      </c>
      <c r="D912" s="116">
        <v>75.75</v>
      </c>
      <c r="E912" s="116">
        <v>77.25</v>
      </c>
      <c r="F912" s="116">
        <v>76.150000000000006</v>
      </c>
      <c r="G912">
        <v>217012</v>
      </c>
      <c r="H912" s="116"/>
      <c r="I912" s="116"/>
      <c r="L912" s="170">
        <v>43342</v>
      </c>
      <c r="M912" s="116">
        <v>76.099999999999994</v>
      </c>
      <c r="N912" s="116">
        <v>77.400000000000006</v>
      </c>
      <c r="O912" s="116">
        <v>75.7</v>
      </c>
      <c r="P912" s="116">
        <v>77</v>
      </c>
      <c r="Q912" s="116">
        <v>76.099999999999994</v>
      </c>
      <c r="R912">
        <v>3984371</v>
      </c>
    </row>
    <row r="913" spans="1:18" x14ac:dyDescent="0.25">
      <c r="A913" s="170">
        <v>43343</v>
      </c>
      <c r="B913" s="116">
        <v>77.400000000000006</v>
      </c>
      <c r="C913" s="116">
        <v>76.599999999999994</v>
      </c>
      <c r="D913" s="116">
        <v>74.5</v>
      </c>
      <c r="E913" s="116">
        <v>76</v>
      </c>
      <c r="F913" s="116">
        <v>76.599999999999994</v>
      </c>
      <c r="G913">
        <v>742521</v>
      </c>
      <c r="H913" s="116"/>
      <c r="I913" s="116"/>
      <c r="L913" s="170">
        <v>43343</v>
      </c>
      <c r="M913" s="116">
        <v>76.7</v>
      </c>
      <c r="N913" s="116">
        <v>77.599999999999994</v>
      </c>
      <c r="O913" s="116">
        <v>74.349999999999994</v>
      </c>
      <c r="P913" s="116">
        <v>75.5</v>
      </c>
      <c r="Q913" s="116">
        <v>76.7</v>
      </c>
      <c r="R913">
        <v>8664078</v>
      </c>
    </row>
    <row r="914" spans="1:18" x14ac:dyDescent="0.25">
      <c r="A914" s="170">
        <v>43346</v>
      </c>
      <c r="B914" s="116">
        <v>78.849999999999994</v>
      </c>
      <c r="C914" s="116">
        <v>78.05</v>
      </c>
      <c r="D914" s="116">
        <v>76.3</v>
      </c>
      <c r="E914" s="116">
        <v>77</v>
      </c>
      <c r="F914" s="116">
        <v>78.05</v>
      </c>
      <c r="G914">
        <v>532655</v>
      </c>
      <c r="H914" s="116"/>
      <c r="I914" s="116"/>
      <c r="L914" s="170">
        <v>43346</v>
      </c>
      <c r="M914" s="116">
        <v>78.2</v>
      </c>
      <c r="N914" s="116">
        <v>79</v>
      </c>
      <c r="O914" s="116">
        <v>76.25</v>
      </c>
      <c r="P914" s="116">
        <v>77</v>
      </c>
      <c r="Q914" s="116">
        <v>78.2</v>
      </c>
      <c r="R914">
        <v>9367421</v>
      </c>
    </row>
    <row r="915" spans="1:18" x14ac:dyDescent="0.25">
      <c r="A915" s="170">
        <v>43347</v>
      </c>
      <c r="B915" s="116">
        <v>78.900000000000006</v>
      </c>
      <c r="C915" s="116">
        <v>73.400000000000006</v>
      </c>
      <c r="D915" s="116">
        <v>73</v>
      </c>
      <c r="E915" s="116">
        <v>78.8</v>
      </c>
      <c r="F915" s="116">
        <v>73.400000000000006</v>
      </c>
      <c r="G915">
        <v>568734</v>
      </c>
      <c r="H915" s="116"/>
      <c r="I915" s="116"/>
      <c r="L915" s="170">
        <v>43347</v>
      </c>
      <c r="M915" s="116">
        <v>73.349999999999994</v>
      </c>
      <c r="N915" s="116">
        <v>78.849999999999994</v>
      </c>
      <c r="O915" s="116">
        <v>72.75</v>
      </c>
      <c r="P915" s="116">
        <v>78.849999999999994</v>
      </c>
      <c r="Q915" s="116">
        <v>73.349999999999994</v>
      </c>
      <c r="R915">
        <v>6421244</v>
      </c>
    </row>
    <row r="916" spans="1:18" x14ac:dyDescent="0.25">
      <c r="A916" s="170">
        <v>43348</v>
      </c>
      <c r="B916" s="116">
        <v>75.2</v>
      </c>
      <c r="C916" s="116">
        <v>74.849999999999994</v>
      </c>
      <c r="D916" s="116">
        <v>72.7</v>
      </c>
      <c r="E916" s="116">
        <v>73.5</v>
      </c>
      <c r="F916" s="116">
        <v>74.849999999999994</v>
      </c>
      <c r="G916">
        <v>631655</v>
      </c>
      <c r="H916" s="116"/>
      <c r="I916" s="116"/>
      <c r="L916" s="170">
        <v>43348</v>
      </c>
      <c r="M916" s="116">
        <v>74.900000000000006</v>
      </c>
      <c r="N916" s="116">
        <v>75.349999999999994</v>
      </c>
      <c r="O916" s="116">
        <v>72.7</v>
      </c>
      <c r="P916" s="116">
        <v>73.5</v>
      </c>
      <c r="Q916" s="116">
        <v>74.900000000000006</v>
      </c>
      <c r="R916">
        <v>4558713</v>
      </c>
    </row>
    <row r="917" spans="1:18" x14ac:dyDescent="0.25">
      <c r="A917" s="170">
        <v>43349</v>
      </c>
      <c r="B917" s="116">
        <v>75.75</v>
      </c>
      <c r="C917" s="116">
        <v>74.900000000000006</v>
      </c>
      <c r="D917" s="116">
        <v>73.7</v>
      </c>
      <c r="E917" s="116">
        <v>75</v>
      </c>
      <c r="F917" s="116">
        <v>74.900000000000006</v>
      </c>
      <c r="G917">
        <v>169970</v>
      </c>
      <c r="H917" s="116"/>
      <c r="I917" s="116"/>
      <c r="L917" s="170">
        <v>43349</v>
      </c>
      <c r="M917" s="116">
        <v>75.05</v>
      </c>
      <c r="N917" s="116">
        <v>75.8</v>
      </c>
      <c r="O917" s="116">
        <v>73.599999999999994</v>
      </c>
      <c r="P917" s="116">
        <v>75.349999999999994</v>
      </c>
      <c r="Q917" s="116">
        <v>75.05</v>
      </c>
      <c r="R917">
        <v>3305924</v>
      </c>
    </row>
    <row r="918" spans="1:18" x14ac:dyDescent="0.25">
      <c r="A918" s="170">
        <v>43350</v>
      </c>
      <c r="B918" s="116">
        <v>75.900000000000006</v>
      </c>
      <c r="C918" s="116">
        <v>75.25</v>
      </c>
      <c r="D918" s="116">
        <v>73.849999999999994</v>
      </c>
      <c r="E918" s="116">
        <v>74.900000000000006</v>
      </c>
      <c r="F918" s="116">
        <v>75.25</v>
      </c>
      <c r="G918">
        <v>170602</v>
      </c>
      <c r="H918" s="116"/>
      <c r="I918" s="116"/>
      <c r="L918" s="170">
        <v>43350</v>
      </c>
      <c r="M918" s="116">
        <v>75.2</v>
      </c>
      <c r="N918" s="116">
        <v>75.95</v>
      </c>
      <c r="O918" s="116">
        <v>73.849999999999994</v>
      </c>
      <c r="P918" s="116">
        <v>74.95</v>
      </c>
      <c r="Q918" s="116">
        <v>75.2</v>
      </c>
      <c r="R918">
        <v>3672000</v>
      </c>
    </row>
    <row r="919" spans="1:18" x14ac:dyDescent="0.25">
      <c r="A919" s="170">
        <v>43353</v>
      </c>
      <c r="B919" s="116">
        <v>75.650000000000006</v>
      </c>
      <c r="C919" s="116">
        <v>73.7</v>
      </c>
      <c r="D919" s="116">
        <v>73.400000000000006</v>
      </c>
      <c r="E919" s="116">
        <v>75.25</v>
      </c>
      <c r="F919" s="116">
        <v>73.7</v>
      </c>
      <c r="G919">
        <v>230118</v>
      </c>
      <c r="H919" s="116"/>
      <c r="I919" s="116"/>
      <c r="L919" s="170">
        <v>43353</v>
      </c>
      <c r="M919" s="116">
        <v>73.8</v>
      </c>
      <c r="N919" s="116">
        <v>75.8</v>
      </c>
      <c r="O919" s="116">
        <v>73.5</v>
      </c>
      <c r="P919" s="116">
        <v>75.349999999999994</v>
      </c>
      <c r="Q919" s="116">
        <v>73.8</v>
      </c>
      <c r="R919">
        <v>2481496</v>
      </c>
    </row>
    <row r="920" spans="1:18" x14ac:dyDescent="0.25">
      <c r="A920" s="170">
        <v>43354</v>
      </c>
      <c r="B920" s="116">
        <v>76.849999999999994</v>
      </c>
      <c r="C920" s="116">
        <v>74.150000000000006</v>
      </c>
      <c r="D920" s="116">
        <v>73</v>
      </c>
      <c r="E920" s="116">
        <v>73.55</v>
      </c>
      <c r="F920" s="116">
        <v>74.150000000000006</v>
      </c>
      <c r="G920">
        <v>728869</v>
      </c>
      <c r="H920" s="116"/>
      <c r="I920" s="116"/>
      <c r="L920" s="170">
        <v>43354</v>
      </c>
      <c r="M920" s="116">
        <v>74.45</v>
      </c>
      <c r="N920" s="116">
        <v>76.95</v>
      </c>
      <c r="O920" s="116">
        <v>73.900000000000006</v>
      </c>
      <c r="P920" s="116">
        <v>73.95</v>
      </c>
      <c r="Q920" s="116">
        <v>74.45</v>
      </c>
      <c r="R920">
        <v>9600604</v>
      </c>
    </row>
    <row r="921" spans="1:18" x14ac:dyDescent="0.25">
      <c r="A921" s="170">
        <v>43355</v>
      </c>
      <c r="B921" s="116">
        <v>74.75</v>
      </c>
      <c r="C921" s="116">
        <v>74</v>
      </c>
      <c r="D921" s="116">
        <v>72.95</v>
      </c>
      <c r="E921" s="116">
        <v>74.5</v>
      </c>
      <c r="F921" s="116">
        <v>74</v>
      </c>
      <c r="G921">
        <v>259493</v>
      </c>
      <c r="H921" s="116"/>
      <c r="I921" s="116"/>
      <c r="L921" s="170">
        <v>43355</v>
      </c>
      <c r="M921" s="116">
        <v>74</v>
      </c>
      <c r="N921" s="116">
        <v>74.95</v>
      </c>
      <c r="O921" s="116">
        <v>72.900000000000006</v>
      </c>
      <c r="P921" s="116">
        <v>74.8</v>
      </c>
      <c r="Q921" s="116">
        <v>74</v>
      </c>
      <c r="R921">
        <v>3114148</v>
      </c>
    </row>
    <row r="922" spans="1:18" x14ac:dyDescent="0.25">
      <c r="A922" s="170">
        <v>43357</v>
      </c>
      <c r="B922" s="116">
        <v>76.3</v>
      </c>
      <c r="C922" s="116">
        <v>76.099999999999994</v>
      </c>
      <c r="D922" s="116">
        <v>73.599999999999994</v>
      </c>
      <c r="E922" s="116">
        <v>73.599999999999994</v>
      </c>
      <c r="F922" s="116">
        <v>76.099999999999994</v>
      </c>
      <c r="G922">
        <v>339483</v>
      </c>
      <c r="H922" s="116"/>
      <c r="I922" s="116"/>
      <c r="L922" s="170">
        <v>43357</v>
      </c>
      <c r="M922" s="116">
        <v>76.2</v>
      </c>
      <c r="N922" s="116">
        <v>76.5</v>
      </c>
      <c r="O922" s="116">
        <v>74.150000000000006</v>
      </c>
      <c r="P922" s="116">
        <v>74.150000000000006</v>
      </c>
      <c r="Q922" s="116">
        <v>76.2</v>
      </c>
      <c r="R922">
        <v>3673610</v>
      </c>
    </row>
    <row r="923" spans="1:18" x14ac:dyDescent="0.25">
      <c r="A923" s="170">
        <v>43360</v>
      </c>
      <c r="B923" s="116">
        <v>78.55</v>
      </c>
      <c r="C923" s="116">
        <v>77.849999999999994</v>
      </c>
      <c r="D923" s="116">
        <v>75.05</v>
      </c>
      <c r="E923" s="116">
        <v>76.400000000000006</v>
      </c>
      <c r="F923" s="116">
        <v>77.849999999999994</v>
      </c>
      <c r="G923">
        <v>701519</v>
      </c>
      <c r="H923" s="116"/>
      <c r="I923" s="116"/>
      <c r="L923" s="170">
        <v>43360</v>
      </c>
      <c r="M923" s="116">
        <v>77.900000000000006</v>
      </c>
      <c r="N923" s="116">
        <v>78.7</v>
      </c>
      <c r="O923" s="116">
        <v>75.099999999999994</v>
      </c>
      <c r="P923" s="116">
        <v>75.95</v>
      </c>
      <c r="Q923" s="116">
        <v>77.900000000000006</v>
      </c>
      <c r="R923">
        <v>4917413</v>
      </c>
    </row>
    <row r="924" spans="1:18" x14ac:dyDescent="0.25">
      <c r="A924" s="170">
        <v>43361</v>
      </c>
      <c r="B924" s="116">
        <v>78.95</v>
      </c>
      <c r="C924" s="116">
        <v>74.45</v>
      </c>
      <c r="D924" s="116">
        <v>74</v>
      </c>
      <c r="E924" s="116">
        <v>78.25</v>
      </c>
      <c r="F924" s="116">
        <v>74.45</v>
      </c>
      <c r="G924">
        <v>631036</v>
      </c>
      <c r="H924" s="116"/>
      <c r="I924" s="116"/>
      <c r="L924" s="170">
        <v>43361</v>
      </c>
      <c r="M924" s="116">
        <v>74.599999999999994</v>
      </c>
      <c r="N924" s="116">
        <v>78.95</v>
      </c>
      <c r="O924" s="116">
        <v>74.05</v>
      </c>
      <c r="P924" s="116">
        <v>77.900000000000006</v>
      </c>
      <c r="Q924" s="116">
        <v>74.599999999999994</v>
      </c>
      <c r="R924">
        <v>5822581</v>
      </c>
    </row>
    <row r="925" spans="1:18" x14ac:dyDescent="0.25">
      <c r="A925" s="170">
        <v>43362</v>
      </c>
      <c r="B925" s="116">
        <v>77.2</v>
      </c>
      <c r="C925" s="116">
        <v>75.45</v>
      </c>
      <c r="D925" s="116">
        <v>74.849999999999994</v>
      </c>
      <c r="E925" s="116">
        <v>75.7</v>
      </c>
      <c r="F925" s="116">
        <v>75.45</v>
      </c>
      <c r="G925">
        <v>599812</v>
      </c>
      <c r="H925" s="116"/>
      <c r="I925" s="116"/>
      <c r="L925" s="170">
        <v>43362</v>
      </c>
      <c r="M925" s="116">
        <v>75.55</v>
      </c>
      <c r="N925" s="116">
        <v>77.349999999999994</v>
      </c>
      <c r="O925" s="116">
        <v>74.8</v>
      </c>
      <c r="P925" s="116">
        <v>75.25</v>
      </c>
      <c r="Q925" s="116">
        <v>75.55</v>
      </c>
      <c r="R925">
        <v>5377830</v>
      </c>
    </row>
    <row r="926" spans="1:18" x14ac:dyDescent="0.25">
      <c r="A926" s="170">
        <v>43364</v>
      </c>
      <c r="B926" s="116">
        <v>76.55</v>
      </c>
      <c r="C926" s="116">
        <v>72.8</v>
      </c>
      <c r="D926" s="116">
        <v>68.05</v>
      </c>
      <c r="E926" s="116">
        <v>76</v>
      </c>
      <c r="F926" s="116">
        <v>72.8</v>
      </c>
      <c r="G926">
        <v>524405</v>
      </c>
      <c r="H926" s="116"/>
      <c r="I926" s="116"/>
      <c r="L926" s="170">
        <v>43364</v>
      </c>
      <c r="M926" s="116">
        <v>72.900000000000006</v>
      </c>
      <c r="N926" s="116">
        <v>76.5</v>
      </c>
      <c r="O926" s="116">
        <v>68.25</v>
      </c>
      <c r="P926" s="116">
        <v>75.55</v>
      </c>
      <c r="Q926" s="116">
        <v>72.900000000000006</v>
      </c>
      <c r="R926">
        <v>11584620</v>
      </c>
    </row>
    <row r="927" spans="1:18" x14ac:dyDescent="0.25">
      <c r="A927" s="170">
        <v>43367</v>
      </c>
      <c r="B927" s="116">
        <v>73.5</v>
      </c>
      <c r="C927" s="116">
        <v>69.05</v>
      </c>
      <c r="D927" s="116">
        <v>68.2</v>
      </c>
      <c r="E927" s="116">
        <v>73.5</v>
      </c>
      <c r="F927" s="116">
        <v>69.05</v>
      </c>
      <c r="G927">
        <v>547079</v>
      </c>
      <c r="H927" s="116"/>
      <c r="I927" s="116"/>
      <c r="L927" s="170">
        <v>43367</v>
      </c>
      <c r="M927" s="116">
        <v>69.099999999999994</v>
      </c>
      <c r="N927" s="116">
        <v>72.900000000000006</v>
      </c>
      <c r="O927" s="116">
        <v>68.099999999999994</v>
      </c>
      <c r="P927" s="116">
        <v>72.8</v>
      </c>
      <c r="Q927" s="116">
        <v>69.099999999999994</v>
      </c>
      <c r="R927">
        <v>5131356</v>
      </c>
    </row>
    <row r="928" spans="1:18" x14ac:dyDescent="0.25">
      <c r="A928" s="170">
        <v>43368</v>
      </c>
      <c r="B928" s="116">
        <v>71.099999999999994</v>
      </c>
      <c r="C928" s="116">
        <v>70.099999999999994</v>
      </c>
      <c r="D928" s="116">
        <v>68.099999999999994</v>
      </c>
      <c r="E928" s="116">
        <v>69.8</v>
      </c>
      <c r="F928" s="116">
        <v>70.099999999999994</v>
      </c>
      <c r="G928">
        <v>821536</v>
      </c>
      <c r="H928" s="116"/>
      <c r="I928" s="116"/>
      <c r="L928" s="170">
        <v>43368</v>
      </c>
      <c r="M928" s="116">
        <v>70.3</v>
      </c>
      <c r="N928" s="116">
        <v>71.3</v>
      </c>
      <c r="O928" s="116">
        <v>68</v>
      </c>
      <c r="P928" s="116">
        <v>69</v>
      </c>
      <c r="Q928" s="116">
        <v>70.3</v>
      </c>
      <c r="R928">
        <v>6281761</v>
      </c>
    </row>
    <row r="929" spans="1:18" x14ac:dyDescent="0.25">
      <c r="A929" s="170">
        <v>43369</v>
      </c>
      <c r="B929" s="116">
        <v>70.900000000000006</v>
      </c>
      <c r="C929" s="116">
        <v>70.3</v>
      </c>
      <c r="D929" s="116">
        <v>69</v>
      </c>
      <c r="E929" s="116">
        <v>70.5</v>
      </c>
      <c r="F929" s="116">
        <v>70.3</v>
      </c>
      <c r="G929">
        <v>263922</v>
      </c>
      <c r="H929" s="116"/>
      <c r="I929" s="116"/>
      <c r="L929" s="170">
        <v>43369</v>
      </c>
      <c r="M929" s="116">
        <v>70.25</v>
      </c>
      <c r="N929" s="116">
        <v>70.95</v>
      </c>
      <c r="O929" s="116">
        <v>68.900000000000006</v>
      </c>
      <c r="P929" s="116">
        <v>70.7</v>
      </c>
      <c r="Q929" s="116">
        <v>70.25</v>
      </c>
      <c r="R929">
        <v>3273684</v>
      </c>
    </row>
    <row r="930" spans="1:18" x14ac:dyDescent="0.25">
      <c r="A930" s="170">
        <v>43370</v>
      </c>
      <c r="B930" s="116">
        <v>70.650000000000006</v>
      </c>
      <c r="C930" s="116">
        <v>68.900000000000006</v>
      </c>
      <c r="D930" s="116">
        <v>68.5</v>
      </c>
      <c r="E930" s="116">
        <v>70</v>
      </c>
      <c r="F930" s="116">
        <v>68.900000000000006</v>
      </c>
      <c r="G930">
        <v>237382</v>
      </c>
      <c r="H930" s="116"/>
      <c r="I930" s="116"/>
      <c r="L930" s="170">
        <v>43370</v>
      </c>
      <c r="M930" s="116">
        <v>68.599999999999994</v>
      </c>
      <c r="N930" s="116">
        <v>70.650000000000006</v>
      </c>
      <c r="O930" s="116">
        <v>68.2</v>
      </c>
      <c r="P930" s="116">
        <v>70.05</v>
      </c>
      <c r="Q930" s="116">
        <v>68.599999999999994</v>
      </c>
      <c r="R930">
        <v>3697390</v>
      </c>
    </row>
    <row r="931" spans="1:18" x14ac:dyDescent="0.25">
      <c r="A931" s="170">
        <v>43371</v>
      </c>
      <c r="B931" s="116">
        <v>69.3</v>
      </c>
      <c r="C931" s="116">
        <v>65.95</v>
      </c>
      <c r="D931" s="116">
        <v>65.55</v>
      </c>
      <c r="E931" s="116">
        <v>68.900000000000006</v>
      </c>
      <c r="F931" s="116">
        <v>65.95</v>
      </c>
      <c r="G931">
        <v>796830</v>
      </c>
      <c r="H931" s="116"/>
      <c r="I931" s="116"/>
      <c r="L931" s="170">
        <v>43371</v>
      </c>
      <c r="M931" s="116">
        <v>65.849999999999994</v>
      </c>
      <c r="N931" s="116">
        <v>69.349999999999994</v>
      </c>
      <c r="O931" s="116">
        <v>65.5</v>
      </c>
      <c r="P931" s="116">
        <v>69.099999999999994</v>
      </c>
      <c r="Q931" s="116">
        <v>65.849999999999994</v>
      </c>
      <c r="R931">
        <v>4314947</v>
      </c>
    </row>
    <row r="932" spans="1:18" x14ac:dyDescent="0.25">
      <c r="A932" s="170">
        <v>43374</v>
      </c>
      <c r="B932" s="116">
        <v>68.900000000000006</v>
      </c>
      <c r="C932" s="116">
        <v>68.05</v>
      </c>
      <c r="D932" s="116">
        <v>64.849999999999994</v>
      </c>
      <c r="E932" s="116">
        <v>66</v>
      </c>
      <c r="F932" s="116">
        <v>68.05</v>
      </c>
      <c r="G932">
        <v>477061</v>
      </c>
      <c r="H932" s="116"/>
      <c r="I932" s="116"/>
      <c r="L932" s="170">
        <v>43374</v>
      </c>
      <c r="M932" s="116">
        <v>67.95</v>
      </c>
      <c r="N932" s="116">
        <v>68.400000000000006</v>
      </c>
      <c r="O932" s="116">
        <v>64.8</v>
      </c>
      <c r="P932" s="116">
        <v>66.45</v>
      </c>
      <c r="Q932" s="116">
        <v>67.95</v>
      </c>
      <c r="R932">
        <v>5836832</v>
      </c>
    </row>
    <row r="933" spans="1:18" x14ac:dyDescent="0.25">
      <c r="A933" s="170">
        <v>43376</v>
      </c>
      <c r="B933" s="116">
        <v>69.3</v>
      </c>
      <c r="C933" s="116">
        <v>67.7</v>
      </c>
      <c r="D933" s="116">
        <v>66.5</v>
      </c>
      <c r="E933" s="116">
        <v>68.05</v>
      </c>
      <c r="F933" s="116">
        <v>67.7</v>
      </c>
      <c r="G933">
        <v>552569</v>
      </c>
      <c r="H933" s="116"/>
      <c r="I933" s="116"/>
      <c r="L933" s="170">
        <v>43376</v>
      </c>
      <c r="M933" s="116">
        <v>67.5</v>
      </c>
      <c r="N933" s="116">
        <v>69.25</v>
      </c>
      <c r="O933" s="116">
        <v>66.349999999999994</v>
      </c>
      <c r="P933" s="116">
        <v>67.7</v>
      </c>
      <c r="Q933" s="116">
        <v>67.5</v>
      </c>
      <c r="R933">
        <v>3650280</v>
      </c>
    </row>
    <row r="934" spans="1:18" x14ac:dyDescent="0.25">
      <c r="A934" s="170">
        <v>43377</v>
      </c>
      <c r="B934" s="116">
        <v>68</v>
      </c>
      <c r="C934" s="116">
        <v>66.95</v>
      </c>
      <c r="D934" s="116">
        <v>66.2</v>
      </c>
      <c r="E934" s="116">
        <v>67.400000000000006</v>
      </c>
      <c r="F934" s="116">
        <v>66.95</v>
      </c>
      <c r="G934">
        <v>343183</v>
      </c>
      <c r="H934" s="116"/>
      <c r="I934" s="116"/>
      <c r="L934" s="170">
        <v>43377</v>
      </c>
      <c r="M934" s="116">
        <v>66.849999999999994</v>
      </c>
      <c r="N934" s="116">
        <v>68</v>
      </c>
      <c r="O934" s="116">
        <v>66.099999999999994</v>
      </c>
      <c r="P934" s="116">
        <v>66.900000000000006</v>
      </c>
      <c r="Q934" s="116">
        <v>66.849999999999994</v>
      </c>
      <c r="R934">
        <v>2925150</v>
      </c>
    </row>
    <row r="935" spans="1:18" x14ac:dyDescent="0.25">
      <c r="A935" s="170">
        <v>43378</v>
      </c>
      <c r="B935" s="116">
        <v>68</v>
      </c>
      <c r="C935" s="116">
        <v>63</v>
      </c>
      <c r="D935" s="116">
        <v>62.35</v>
      </c>
      <c r="E935" s="116">
        <v>68</v>
      </c>
      <c r="F935" s="116">
        <v>63</v>
      </c>
      <c r="G935">
        <v>454881</v>
      </c>
      <c r="H935" s="116"/>
      <c r="I935" s="116"/>
      <c r="L935" s="170">
        <v>43378</v>
      </c>
      <c r="M935" s="116">
        <v>62.85</v>
      </c>
      <c r="N935" s="116">
        <v>67.5</v>
      </c>
      <c r="O935" s="116">
        <v>62.3</v>
      </c>
      <c r="P935" s="116">
        <v>67.5</v>
      </c>
      <c r="Q935" s="116">
        <v>62.85</v>
      </c>
      <c r="R935">
        <v>3751740</v>
      </c>
    </row>
    <row r="936" spans="1:18" x14ac:dyDescent="0.25">
      <c r="A936" s="170">
        <v>43381</v>
      </c>
      <c r="B936" s="116">
        <v>65.2</v>
      </c>
      <c r="C936" s="116">
        <v>61.6</v>
      </c>
      <c r="D936" s="116">
        <v>60.45</v>
      </c>
      <c r="E936" s="116">
        <v>63</v>
      </c>
      <c r="F936" s="116">
        <v>61.6</v>
      </c>
      <c r="G936">
        <v>673594</v>
      </c>
      <c r="H936" s="116"/>
      <c r="I936" s="116"/>
      <c r="L936" s="170">
        <v>43381</v>
      </c>
      <c r="M936" s="116">
        <v>61.5</v>
      </c>
      <c r="N936" s="116">
        <v>65.3</v>
      </c>
      <c r="O936" s="116">
        <v>60.35</v>
      </c>
      <c r="P936" s="116">
        <v>62.85</v>
      </c>
      <c r="Q936" s="116">
        <v>61.5</v>
      </c>
      <c r="R936">
        <v>4837741</v>
      </c>
    </row>
    <row r="937" spans="1:18" x14ac:dyDescent="0.25">
      <c r="A937" s="170">
        <v>43382</v>
      </c>
      <c r="B937" s="116">
        <v>62.45</v>
      </c>
      <c r="C937" s="116">
        <v>61.05</v>
      </c>
      <c r="D937" s="116">
        <v>59.9</v>
      </c>
      <c r="E937" s="116">
        <v>62.35</v>
      </c>
      <c r="F937" s="116">
        <v>61.05</v>
      </c>
      <c r="G937">
        <v>465358</v>
      </c>
      <c r="H937" s="116"/>
      <c r="I937" s="116"/>
      <c r="L937" s="170">
        <v>43382</v>
      </c>
      <c r="M937" s="116">
        <v>60.95</v>
      </c>
      <c r="N937" s="116">
        <v>62.4</v>
      </c>
      <c r="O937" s="116">
        <v>59.8</v>
      </c>
      <c r="P937" s="116">
        <v>61.95</v>
      </c>
      <c r="Q937" s="116">
        <v>60.95</v>
      </c>
      <c r="R937">
        <v>4969265</v>
      </c>
    </row>
    <row r="938" spans="1:18" x14ac:dyDescent="0.25">
      <c r="A938" s="170">
        <v>43383</v>
      </c>
      <c r="B938" s="116">
        <v>65.400000000000006</v>
      </c>
      <c r="C938" s="116">
        <v>65</v>
      </c>
      <c r="D938" s="116">
        <v>60.75</v>
      </c>
      <c r="E938" s="116">
        <v>60.75</v>
      </c>
      <c r="F938" s="116">
        <v>65</v>
      </c>
      <c r="G938">
        <v>499415</v>
      </c>
      <c r="H938" s="116"/>
      <c r="I938" s="116"/>
      <c r="L938" s="170">
        <v>43383</v>
      </c>
      <c r="M938" s="116">
        <v>65</v>
      </c>
      <c r="N938" s="116">
        <v>65.45</v>
      </c>
      <c r="O938" s="116">
        <v>61.25</v>
      </c>
      <c r="P938" s="116">
        <v>61.3</v>
      </c>
      <c r="Q938" s="116">
        <v>65</v>
      </c>
      <c r="R938">
        <v>5665257</v>
      </c>
    </row>
    <row r="939" spans="1:18" x14ac:dyDescent="0.25">
      <c r="A939" s="170">
        <v>43384</v>
      </c>
      <c r="B939" s="116">
        <v>63.85</v>
      </c>
      <c r="C939" s="116">
        <v>62.35</v>
      </c>
      <c r="D939" s="116">
        <v>61.65</v>
      </c>
      <c r="E939" s="116">
        <v>63.45</v>
      </c>
      <c r="F939" s="116">
        <v>62.35</v>
      </c>
      <c r="G939">
        <v>367659</v>
      </c>
      <c r="H939" s="116"/>
      <c r="I939" s="116"/>
      <c r="L939" s="170">
        <v>43384</v>
      </c>
      <c r="M939" s="116">
        <v>62.25</v>
      </c>
      <c r="N939" s="116">
        <v>63.9</v>
      </c>
      <c r="O939" s="116">
        <v>61.6</v>
      </c>
      <c r="P939" s="116">
        <v>62.8</v>
      </c>
      <c r="Q939" s="116">
        <v>62.25</v>
      </c>
      <c r="R939">
        <v>5043513</v>
      </c>
    </row>
    <row r="940" spans="1:18" x14ac:dyDescent="0.25">
      <c r="A940" s="170">
        <v>43385</v>
      </c>
      <c r="B940" s="116">
        <v>72.150000000000006</v>
      </c>
      <c r="C940" s="116">
        <v>68.849999999999994</v>
      </c>
      <c r="D940" s="116">
        <v>63</v>
      </c>
      <c r="E940" s="116">
        <v>63.3</v>
      </c>
      <c r="F940" s="116">
        <v>68.849999999999994</v>
      </c>
      <c r="G940">
        <v>6008374</v>
      </c>
      <c r="H940" s="116"/>
      <c r="I940" s="116"/>
      <c r="L940" s="170">
        <v>43385</v>
      </c>
      <c r="M940" s="116">
        <v>68.849999999999994</v>
      </c>
      <c r="N940" s="116">
        <v>72.099999999999994</v>
      </c>
      <c r="O940" s="116">
        <v>62.95</v>
      </c>
      <c r="P940" s="116">
        <v>63.1</v>
      </c>
      <c r="Q940" s="116">
        <v>68.849999999999994</v>
      </c>
      <c r="R940">
        <v>29093448</v>
      </c>
    </row>
    <row r="941" spans="1:18" x14ac:dyDescent="0.25">
      <c r="A941" s="170">
        <v>43388</v>
      </c>
      <c r="B941" s="116">
        <v>71.599999999999994</v>
      </c>
      <c r="C941" s="116">
        <v>71.3</v>
      </c>
      <c r="D941" s="116">
        <v>68.900000000000006</v>
      </c>
      <c r="E941" s="116">
        <v>70</v>
      </c>
      <c r="F941" s="116">
        <v>71.3</v>
      </c>
      <c r="G941">
        <v>676837</v>
      </c>
      <c r="H941" s="116"/>
      <c r="I941" s="116"/>
      <c r="L941" s="170">
        <v>43388</v>
      </c>
      <c r="M941" s="116">
        <v>71.25</v>
      </c>
      <c r="N941" s="116">
        <v>71.599999999999994</v>
      </c>
      <c r="O941" s="116">
        <v>68.8</v>
      </c>
      <c r="P941" s="116">
        <v>69.95</v>
      </c>
      <c r="Q941" s="116">
        <v>71.25</v>
      </c>
      <c r="R941">
        <v>11621446</v>
      </c>
    </row>
    <row r="942" spans="1:18" x14ac:dyDescent="0.25">
      <c r="A942" s="170">
        <v>43389</v>
      </c>
      <c r="B942" s="116">
        <v>74.05</v>
      </c>
      <c r="C942" s="116">
        <v>73.8</v>
      </c>
      <c r="D942" s="116">
        <v>70.650000000000006</v>
      </c>
      <c r="E942" s="116">
        <v>71.45</v>
      </c>
      <c r="F942" s="116">
        <v>73.8</v>
      </c>
      <c r="G942">
        <v>770917</v>
      </c>
      <c r="H942" s="116"/>
      <c r="I942" s="116"/>
      <c r="L942" s="170">
        <v>43389</v>
      </c>
      <c r="M942" s="116">
        <v>73.8</v>
      </c>
      <c r="N942" s="116">
        <v>74.05</v>
      </c>
      <c r="O942" s="116">
        <v>70.5</v>
      </c>
      <c r="P942" s="116">
        <v>71.55</v>
      </c>
      <c r="Q942" s="116">
        <v>73.8</v>
      </c>
      <c r="R942">
        <v>11095793</v>
      </c>
    </row>
    <row r="943" spans="1:18" x14ac:dyDescent="0.25">
      <c r="A943" s="170">
        <v>43390</v>
      </c>
      <c r="B943" s="116">
        <v>74.599999999999994</v>
      </c>
      <c r="C943" s="116">
        <v>72.400000000000006</v>
      </c>
      <c r="D943" s="116">
        <v>71.75</v>
      </c>
      <c r="E943" s="116">
        <v>74</v>
      </c>
      <c r="F943" s="116">
        <v>72.400000000000006</v>
      </c>
      <c r="G943">
        <v>875527</v>
      </c>
      <c r="H943" s="116"/>
      <c r="I943" s="116"/>
      <c r="L943" s="170">
        <v>43390</v>
      </c>
      <c r="M943" s="116">
        <v>72.55</v>
      </c>
      <c r="N943" s="116">
        <v>74.599999999999994</v>
      </c>
      <c r="O943" s="116">
        <v>71.7</v>
      </c>
      <c r="P943" s="116">
        <v>74.25</v>
      </c>
      <c r="Q943" s="116">
        <v>72.55</v>
      </c>
      <c r="R943">
        <v>10862420</v>
      </c>
    </row>
    <row r="944" spans="1:18" x14ac:dyDescent="0.25">
      <c r="A944" s="170">
        <v>43392</v>
      </c>
      <c r="B944" s="116">
        <v>72.400000000000006</v>
      </c>
      <c r="C944" s="116">
        <v>70.2</v>
      </c>
      <c r="D944" s="116">
        <v>69.349999999999994</v>
      </c>
      <c r="E944" s="116">
        <v>72</v>
      </c>
      <c r="F944" s="116">
        <v>70.2</v>
      </c>
      <c r="G944">
        <v>351190</v>
      </c>
      <c r="H944" s="116"/>
      <c r="I944" s="116"/>
      <c r="L944" s="170">
        <v>43392</v>
      </c>
      <c r="M944" s="116">
        <v>70.150000000000006</v>
      </c>
      <c r="N944" s="116">
        <v>72.400000000000006</v>
      </c>
      <c r="O944" s="116">
        <v>69.3</v>
      </c>
      <c r="P944" s="116">
        <v>72</v>
      </c>
      <c r="Q944" s="116">
        <v>70.150000000000006</v>
      </c>
      <c r="R944">
        <v>4497227</v>
      </c>
    </row>
    <row r="945" spans="1:18" x14ac:dyDescent="0.25">
      <c r="A945" s="170">
        <v>43395</v>
      </c>
      <c r="B945" s="116">
        <v>71.45</v>
      </c>
      <c r="C945" s="116">
        <v>69.5</v>
      </c>
      <c r="D945" s="116">
        <v>68.900000000000006</v>
      </c>
      <c r="E945" s="116">
        <v>70.8</v>
      </c>
      <c r="F945" s="116">
        <v>69.5</v>
      </c>
      <c r="G945">
        <v>482933</v>
      </c>
      <c r="H945" s="116"/>
      <c r="I945" s="116"/>
      <c r="L945" s="170">
        <v>43395</v>
      </c>
      <c r="M945" s="116">
        <v>69.599999999999994</v>
      </c>
      <c r="N945" s="116">
        <v>71.400000000000006</v>
      </c>
      <c r="O945" s="116">
        <v>68.8</v>
      </c>
      <c r="P945" s="116">
        <v>70.8</v>
      </c>
      <c r="Q945" s="116">
        <v>69.599999999999994</v>
      </c>
      <c r="R945">
        <v>7954462</v>
      </c>
    </row>
    <row r="946" spans="1:18" x14ac:dyDescent="0.25">
      <c r="A946" s="170">
        <v>43396</v>
      </c>
      <c r="B946" s="116">
        <v>69.849999999999994</v>
      </c>
      <c r="C946" s="116">
        <v>69.5</v>
      </c>
      <c r="D946" s="116">
        <v>68.05</v>
      </c>
      <c r="E946" s="116">
        <v>69.45</v>
      </c>
      <c r="F946" s="116">
        <v>69.5</v>
      </c>
      <c r="G946">
        <v>208378</v>
      </c>
      <c r="H946" s="116"/>
      <c r="I946" s="116"/>
      <c r="L946" s="170">
        <v>43396</v>
      </c>
      <c r="M946" s="116">
        <v>69.45</v>
      </c>
      <c r="N946" s="116">
        <v>69.900000000000006</v>
      </c>
      <c r="O946" s="116">
        <v>67.95</v>
      </c>
      <c r="P946" s="116">
        <v>69.3</v>
      </c>
      <c r="Q946" s="116">
        <v>69.45</v>
      </c>
      <c r="R946">
        <v>4377235</v>
      </c>
    </row>
    <row r="947" spans="1:18" x14ac:dyDescent="0.25">
      <c r="A947" s="170">
        <v>43397</v>
      </c>
      <c r="B947" s="116">
        <v>70.150000000000006</v>
      </c>
      <c r="C947" s="116">
        <v>69.25</v>
      </c>
      <c r="D947" s="116">
        <v>68.55</v>
      </c>
      <c r="E947" s="116">
        <v>69.900000000000006</v>
      </c>
      <c r="F947" s="116">
        <v>69.25</v>
      </c>
      <c r="G947">
        <v>161996</v>
      </c>
      <c r="H947" s="116"/>
      <c r="I947" s="116"/>
      <c r="L947" s="170">
        <v>43397</v>
      </c>
      <c r="M947" s="116">
        <v>69.25</v>
      </c>
      <c r="N947" s="116">
        <v>70.900000000000006</v>
      </c>
      <c r="O947" s="116">
        <v>68.5</v>
      </c>
      <c r="P947" s="116">
        <v>69.599999999999994</v>
      </c>
      <c r="Q947" s="116">
        <v>69.25</v>
      </c>
      <c r="R947">
        <v>2743564</v>
      </c>
    </row>
    <row r="948" spans="1:18" x14ac:dyDescent="0.25">
      <c r="A948" s="170">
        <v>43398</v>
      </c>
      <c r="B948" s="116">
        <v>69.849999999999994</v>
      </c>
      <c r="C948" s="116">
        <v>69.05</v>
      </c>
      <c r="D948" s="116">
        <v>67.599999999999994</v>
      </c>
      <c r="E948" s="116">
        <v>68.3</v>
      </c>
      <c r="F948" s="116">
        <v>69.05</v>
      </c>
      <c r="G948">
        <v>232957</v>
      </c>
      <c r="H948" s="116"/>
      <c r="I948" s="116"/>
      <c r="L948" s="170">
        <v>43398</v>
      </c>
      <c r="M948" s="116">
        <v>69</v>
      </c>
      <c r="N948" s="116">
        <v>69.900000000000006</v>
      </c>
      <c r="O948" s="116">
        <v>67.55</v>
      </c>
      <c r="P948" s="116">
        <v>68.8</v>
      </c>
      <c r="Q948" s="116">
        <v>69</v>
      </c>
      <c r="R948">
        <v>9727241</v>
      </c>
    </row>
    <row r="949" spans="1:18" x14ac:dyDescent="0.25">
      <c r="A949" s="170">
        <v>43399</v>
      </c>
      <c r="B949" s="116">
        <v>70.75</v>
      </c>
      <c r="C949" s="116">
        <v>68.95</v>
      </c>
      <c r="D949" s="116">
        <v>68.05</v>
      </c>
      <c r="E949" s="116">
        <v>69.45</v>
      </c>
      <c r="F949" s="116">
        <v>68.95</v>
      </c>
      <c r="G949">
        <v>461619</v>
      </c>
      <c r="H949" s="116"/>
      <c r="I949" s="116"/>
      <c r="L949" s="170">
        <v>43399</v>
      </c>
      <c r="M949" s="116">
        <v>68.900000000000006</v>
      </c>
      <c r="N949" s="116">
        <v>70.75</v>
      </c>
      <c r="O949" s="116">
        <v>68</v>
      </c>
      <c r="P949" s="116">
        <v>68.900000000000006</v>
      </c>
      <c r="Q949" s="116">
        <v>68.900000000000006</v>
      </c>
      <c r="R949">
        <v>5515389</v>
      </c>
    </row>
    <row r="950" spans="1:18" x14ac:dyDescent="0.25">
      <c r="A950" s="170">
        <v>43402</v>
      </c>
      <c r="B950" s="116">
        <v>86.15</v>
      </c>
      <c r="C950" s="116">
        <v>77.5</v>
      </c>
      <c r="D950" s="116">
        <v>68.5</v>
      </c>
      <c r="E950" s="116">
        <v>69.5</v>
      </c>
      <c r="F950" s="116">
        <v>77.5</v>
      </c>
      <c r="G950">
        <v>3751104</v>
      </c>
      <c r="H950" s="116"/>
      <c r="I950" s="116"/>
      <c r="L950" s="170">
        <v>43402</v>
      </c>
      <c r="M950" s="116">
        <v>77.599999999999994</v>
      </c>
      <c r="N950" s="116">
        <v>86.1</v>
      </c>
      <c r="O950" s="116">
        <v>68.349999999999994</v>
      </c>
      <c r="P950" s="116">
        <v>69.2</v>
      </c>
      <c r="Q950" s="116">
        <v>77.599999999999994</v>
      </c>
      <c r="R950">
        <v>44673883</v>
      </c>
    </row>
    <row r="951" spans="1:18" x14ac:dyDescent="0.25">
      <c r="A951" s="170">
        <v>43403</v>
      </c>
      <c r="B951" s="116">
        <v>79.8</v>
      </c>
      <c r="C951" s="116">
        <v>77.55</v>
      </c>
      <c r="D951" s="116">
        <v>76.599999999999994</v>
      </c>
      <c r="E951" s="116">
        <v>78.900000000000006</v>
      </c>
      <c r="F951" s="116">
        <v>77.55</v>
      </c>
      <c r="G951">
        <v>2106218</v>
      </c>
      <c r="H951" s="116"/>
      <c r="I951" s="116"/>
      <c r="L951" s="170">
        <v>43403</v>
      </c>
      <c r="M951" s="116">
        <v>77.75</v>
      </c>
      <c r="N951" s="116">
        <v>80.05</v>
      </c>
      <c r="O951" s="116">
        <v>76.650000000000006</v>
      </c>
      <c r="P951" s="116">
        <v>78.5</v>
      </c>
      <c r="Q951" s="116">
        <v>77.75</v>
      </c>
      <c r="R951">
        <v>17409930</v>
      </c>
    </row>
    <row r="952" spans="1:18" x14ac:dyDescent="0.25">
      <c r="A952" s="170">
        <v>43404</v>
      </c>
      <c r="B952" s="116">
        <v>81.599999999999994</v>
      </c>
      <c r="C952" s="116">
        <v>76.45</v>
      </c>
      <c r="D952" s="116">
        <v>74.8</v>
      </c>
      <c r="E952" s="116">
        <v>78.400000000000006</v>
      </c>
      <c r="F952" s="116">
        <v>76.45</v>
      </c>
      <c r="G952">
        <v>1812465</v>
      </c>
      <c r="H952" s="116"/>
      <c r="I952" s="116"/>
      <c r="L952" s="170">
        <v>43404</v>
      </c>
      <c r="M952" s="116">
        <v>76.55</v>
      </c>
      <c r="N952" s="116">
        <v>79</v>
      </c>
      <c r="O952" s="116">
        <v>74.650000000000006</v>
      </c>
      <c r="P952" s="116">
        <v>78.2</v>
      </c>
      <c r="Q952" s="116">
        <v>76.55</v>
      </c>
      <c r="R952">
        <v>9638641</v>
      </c>
    </row>
    <row r="953" spans="1:18" x14ac:dyDescent="0.25">
      <c r="A953" s="170">
        <v>43405</v>
      </c>
      <c r="B953" s="116">
        <v>77.75</v>
      </c>
      <c r="C953" s="116">
        <v>76.400000000000006</v>
      </c>
      <c r="D953" s="116">
        <v>75.400000000000006</v>
      </c>
      <c r="E953" s="116">
        <v>76.8</v>
      </c>
      <c r="F953" s="116">
        <v>76.400000000000006</v>
      </c>
      <c r="G953">
        <v>706292</v>
      </c>
      <c r="H953" s="116"/>
      <c r="I953" s="116"/>
      <c r="L953" s="170">
        <v>43405</v>
      </c>
      <c r="M953" s="116">
        <v>76.349999999999994</v>
      </c>
      <c r="N953" s="116">
        <v>77.7</v>
      </c>
      <c r="O953" s="116">
        <v>75.3</v>
      </c>
      <c r="P953" s="116">
        <v>76.3</v>
      </c>
      <c r="Q953" s="116">
        <v>76.349999999999994</v>
      </c>
      <c r="R953">
        <v>9074632</v>
      </c>
    </row>
    <row r="954" spans="1:18" x14ac:dyDescent="0.25">
      <c r="A954" s="170">
        <v>43406</v>
      </c>
      <c r="B954" s="116">
        <v>77.45</v>
      </c>
      <c r="C954" s="116">
        <v>75.849999999999994</v>
      </c>
      <c r="D954" s="116">
        <v>75.3</v>
      </c>
      <c r="E954" s="116">
        <v>77</v>
      </c>
      <c r="F954" s="116">
        <v>75.849999999999994</v>
      </c>
      <c r="G954">
        <v>455418</v>
      </c>
      <c r="H954" s="116"/>
      <c r="I954" s="116"/>
      <c r="L954" s="170">
        <v>43406</v>
      </c>
      <c r="M954" s="116">
        <v>76</v>
      </c>
      <c r="N954" s="116">
        <v>77.400000000000006</v>
      </c>
      <c r="O954" s="116">
        <v>75.3</v>
      </c>
      <c r="P954" s="116">
        <v>77.2</v>
      </c>
      <c r="Q954" s="116">
        <v>76</v>
      </c>
      <c r="R954">
        <v>7177611</v>
      </c>
    </row>
    <row r="955" spans="1:18" x14ac:dyDescent="0.25">
      <c r="A955" s="170">
        <v>43409</v>
      </c>
      <c r="B955" s="116">
        <v>75.599999999999994</v>
      </c>
      <c r="C955" s="116">
        <v>75.150000000000006</v>
      </c>
      <c r="D955" s="116">
        <v>73.349999999999994</v>
      </c>
      <c r="E955" s="116">
        <v>75.25</v>
      </c>
      <c r="F955" s="116">
        <v>75.150000000000006</v>
      </c>
      <c r="G955">
        <v>328559</v>
      </c>
      <c r="H955" s="116"/>
      <c r="I955" s="116"/>
      <c r="L955" s="170">
        <v>43409</v>
      </c>
      <c r="M955" s="116">
        <v>75.3</v>
      </c>
      <c r="N955" s="116">
        <v>75.849999999999994</v>
      </c>
      <c r="O955" s="116">
        <v>73.25</v>
      </c>
      <c r="P955" s="116">
        <v>74.900000000000006</v>
      </c>
      <c r="Q955" s="116">
        <v>75.3</v>
      </c>
      <c r="R955">
        <v>4561329</v>
      </c>
    </row>
    <row r="956" spans="1:18" x14ac:dyDescent="0.25">
      <c r="A956" s="170">
        <v>43410</v>
      </c>
      <c r="B956" s="116">
        <v>77.05</v>
      </c>
      <c r="C956" s="116">
        <v>75.45</v>
      </c>
      <c r="D956" s="116">
        <v>75</v>
      </c>
      <c r="E956" s="116">
        <v>75.400000000000006</v>
      </c>
      <c r="F956" s="116">
        <v>75.45</v>
      </c>
      <c r="G956">
        <v>259623</v>
      </c>
      <c r="H956" s="116"/>
      <c r="I956" s="116"/>
      <c r="L956" s="170">
        <v>43410</v>
      </c>
      <c r="M956" s="116">
        <v>75.650000000000006</v>
      </c>
      <c r="N956" s="116">
        <v>77.099999999999994</v>
      </c>
      <c r="O956" s="116">
        <v>75</v>
      </c>
      <c r="P956" s="116">
        <v>75.45</v>
      </c>
      <c r="Q956" s="116">
        <v>75.650000000000006</v>
      </c>
      <c r="R956">
        <v>4673161</v>
      </c>
    </row>
    <row r="957" spans="1:18" x14ac:dyDescent="0.25">
      <c r="A957" s="170">
        <v>43411</v>
      </c>
      <c r="B957" s="116">
        <v>76.45</v>
      </c>
      <c r="C957" s="116">
        <v>76.05</v>
      </c>
      <c r="D957" s="116">
        <v>75.5</v>
      </c>
      <c r="E957" s="116">
        <v>76.25</v>
      </c>
      <c r="F957" s="116">
        <v>76.05</v>
      </c>
      <c r="G957">
        <v>118682</v>
      </c>
      <c r="H957" s="116"/>
      <c r="I957" s="116"/>
      <c r="L957" s="170">
        <v>43411</v>
      </c>
      <c r="M957" s="116">
        <v>75.95</v>
      </c>
      <c r="N957" s="116">
        <v>76.5</v>
      </c>
      <c r="O957" s="116">
        <v>75.5</v>
      </c>
      <c r="P957" s="116">
        <v>76.45</v>
      </c>
      <c r="Q957" s="116">
        <v>75.95</v>
      </c>
      <c r="R957">
        <v>437631</v>
      </c>
    </row>
    <row r="958" spans="1:18" x14ac:dyDescent="0.25">
      <c r="A958" s="170">
        <v>43413</v>
      </c>
      <c r="B958" s="116">
        <v>77</v>
      </c>
      <c r="C958" s="116">
        <v>75.8</v>
      </c>
      <c r="D958" s="116">
        <v>75.099999999999994</v>
      </c>
      <c r="E958" s="116">
        <v>75.599999999999994</v>
      </c>
      <c r="F958" s="116">
        <v>75.8</v>
      </c>
      <c r="G958">
        <v>416435</v>
      </c>
      <c r="H958" s="116"/>
      <c r="I958" s="116"/>
      <c r="L958" s="170">
        <v>43413</v>
      </c>
      <c r="M958" s="116">
        <v>75.900000000000006</v>
      </c>
      <c r="N958" s="116">
        <v>77.099999999999994</v>
      </c>
      <c r="O958" s="116">
        <v>75</v>
      </c>
      <c r="P958" s="116">
        <v>76.45</v>
      </c>
      <c r="Q958" s="116">
        <v>75.900000000000006</v>
      </c>
      <c r="R958">
        <v>8564873</v>
      </c>
    </row>
    <row r="959" spans="1:18" x14ac:dyDescent="0.25">
      <c r="A959" s="170">
        <v>43416</v>
      </c>
      <c r="B959" s="116">
        <v>79.95</v>
      </c>
      <c r="C959" s="116">
        <v>74.349999999999994</v>
      </c>
      <c r="D959" s="116">
        <v>74.099999999999994</v>
      </c>
      <c r="E959" s="116">
        <v>75.3</v>
      </c>
      <c r="F959" s="116">
        <v>74.349999999999994</v>
      </c>
      <c r="G959">
        <v>833559</v>
      </c>
      <c r="H959" s="116"/>
      <c r="I959" s="116"/>
      <c r="L959" s="170">
        <v>43416</v>
      </c>
      <c r="M959" s="116">
        <v>74.55</v>
      </c>
      <c r="N959" s="116">
        <v>76.400000000000006</v>
      </c>
      <c r="O959" s="116">
        <v>74.150000000000006</v>
      </c>
      <c r="P959" s="116">
        <v>75.849999999999994</v>
      </c>
      <c r="Q959" s="116">
        <v>74.55</v>
      </c>
      <c r="R959">
        <v>3131624</v>
      </c>
    </row>
    <row r="960" spans="1:18" x14ac:dyDescent="0.25">
      <c r="A960" s="170">
        <v>43417</v>
      </c>
      <c r="B960" s="116">
        <v>76.349999999999994</v>
      </c>
      <c r="C960" s="116">
        <v>75.95</v>
      </c>
      <c r="D960" s="116">
        <v>73.05</v>
      </c>
      <c r="E960" s="116">
        <v>74.5</v>
      </c>
      <c r="F960" s="116">
        <v>75.95</v>
      </c>
      <c r="G960">
        <v>343880</v>
      </c>
      <c r="H960" s="116"/>
      <c r="I960" s="116"/>
      <c r="L960" s="170">
        <v>43417</v>
      </c>
      <c r="M960" s="116">
        <v>76.05</v>
      </c>
      <c r="N960" s="116">
        <v>76.5</v>
      </c>
      <c r="O960" s="116">
        <v>73.099999999999994</v>
      </c>
      <c r="P960" s="116">
        <v>74.05</v>
      </c>
      <c r="Q960" s="116">
        <v>76.05</v>
      </c>
      <c r="R960">
        <v>5609725</v>
      </c>
    </row>
    <row r="961" spans="1:18" x14ac:dyDescent="0.25">
      <c r="A961" s="170">
        <v>43418</v>
      </c>
      <c r="B961" s="116">
        <v>78.7</v>
      </c>
      <c r="C961" s="116">
        <v>77.900000000000006</v>
      </c>
      <c r="D961" s="116">
        <v>75.5</v>
      </c>
      <c r="E961" s="116">
        <v>76.05</v>
      </c>
      <c r="F961" s="116">
        <v>77.900000000000006</v>
      </c>
      <c r="G961">
        <v>641897</v>
      </c>
      <c r="H961" s="116"/>
      <c r="I961" s="116"/>
      <c r="L961" s="170">
        <v>43418</v>
      </c>
      <c r="M961" s="116">
        <v>77.95</v>
      </c>
      <c r="N961" s="116">
        <v>78.75</v>
      </c>
      <c r="O961" s="116">
        <v>75.5</v>
      </c>
      <c r="P961" s="116">
        <v>76.3</v>
      </c>
      <c r="Q961" s="116">
        <v>77.95</v>
      </c>
      <c r="R961">
        <v>5642238</v>
      </c>
    </row>
    <row r="962" spans="1:18" x14ac:dyDescent="0.25">
      <c r="A962" s="170">
        <v>43419</v>
      </c>
      <c r="B962" s="116">
        <v>78.45</v>
      </c>
      <c r="C962" s="116">
        <v>76.599999999999994</v>
      </c>
      <c r="D962" s="116">
        <v>75.900000000000006</v>
      </c>
      <c r="E962" s="116">
        <v>78</v>
      </c>
      <c r="F962" s="116">
        <v>76.599999999999994</v>
      </c>
      <c r="G962">
        <v>320982</v>
      </c>
      <c r="H962" s="116"/>
      <c r="I962" s="116"/>
      <c r="L962" s="170">
        <v>43419</v>
      </c>
      <c r="M962" s="116">
        <v>76.7</v>
      </c>
      <c r="N962" s="116">
        <v>78.400000000000006</v>
      </c>
      <c r="O962" s="116">
        <v>75.900000000000006</v>
      </c>
      <c r="P962" s="116">
        <v>78</v>
      </c>
      <c r="Q962" s="116">
        <v>76.7</v>
      </c>
      <c r="R962">
        <v>3328106</v>
      </c>
    </row>
    <row r="963" spans="1:18" x14ac:dyDescent="0.25">
      <c r="A963" s="170">
        <v>43420</v>
      </c>
      <c r="B963" s="116">
        <v>77.25</v>
      </c>
      <c r="C963" s="116">
        <v>76.650000000000006</v>
      </c>
      <c r="D963" s="116">
        <v>75.099999999999994</v>
      </c>
      <c r="E963" s="116">
        <v>76.7</v>
      </c>
      <c r="F963" s="116">
        <v>76.650000000000006</v>
      </c>
      <c r="G963">
        <v>360426</v>
      </c>
      <c r="H963" s="116"/>
      <c r="I963" s="116"/>
      <c r="L963" s="170">
        <v>43420</v>
      </c>
      <c r="M963" s="116">
        <v>76.8</v>
      </c>
      <c r="N963" s="116">
        <v>77.400000000000006</v>
      </c>
      <c r="O963" s="116">
        <v>75.099999999999994</v>
      </c>
      <c r="P963" s="116">
        <v>76.8</v>
      </c>
      <c r="Q963" s="116">
        <v>76.8</v>
      </c>
      <c r="R963">
        <v>4743419</v>
      </c>
    </row>
    <row r="964" spans="1:18" x14ac:dyDescent="0.25">
      <c r="A964" s="170">
        <v>43423</v>
      </c>
      <c r="B964" s="116">
        <v>77.599999999999994</v>
      </c>
      <c r="C964" s="116">
        <v>77.05</v>
      </c>
      <c r="D964" s="116">
        <v>75.849999999999994</v>
      </c>
      <c r="E964" s="116">
        <v>76.8</v>
      </c>
      <c r="F964" s="116">
        <v>77.05</v>
      </c>
      <c r="G964">
        <v>405754</v>
      </c>
      <c r="H964" s="116"/>
      <c r="I964" s="116"/>
      <c r="L964" s="170">
        <v>43423</v>
      </c>
      <c r="M964" s="116">
        <v>77.349999999999994</v>
      </c>
      <c r="N964" s="116">
        <v>77.8</v>
      </c>
      <c r="O964" s="116">
        <v>75.8</v>
      </c>
      <c r="P964" s="116">
        <v>76.900000000000006</v>
      </c>
      <c r="Q964" s="116">
        <v>77.349999999999994</v>
      </c>
      <c r="R964">
        <v>5660440</v>
      </c>
    </row>
    <row r="965" spans="1:18" x14ac:dyDescent="0.25">
      <c r="A965" s="170">
        <v>43424</v>
      </c>
      <c r="B965" s="116">
        <v>78.650000000000006</v>
      </c>
      <c r="C965" s="116">
        <v>78.05</v>
      </c>
      <c r="D965" s="116">
        <v>76.400000000000006</v>
      </c>
      <c r="E965" s="116">
        <v>77.2</v>
      </c>
      <c r="F965" s="116">
        <v>78.05</v>
      </c>
      <c r="G965">
        <v>951740</v>
      </c>
      <c r="H965" s="116"/>
      <c r="I965" s="116"/>
      <c r="L965" s="170">
        <v>43424</v>
      </c>
      <c r="M965" s="116">
        <v>78.3</v>
      </c>
      <c r="N965" s="116">
        <v>78.849999999999994</v>
      </c>
      <c r="O965" s="116">
        <v>76.349999999999994</v>
      </c>
      <c r="P965" s="116">
        <v>77.349999999999994</v>
      </c>
      <c r="Q965" s="116">
        <v>78.3</v>
      </c>
      <c r="R965">
        <v>10567258</v>
      </c>
    </row>
    <row r="966" spans="1:18" x14ac:dyDescent="0.25">
      <c r="A966" s="170">
        <v>43425</v>
      </c>
      <c r="B966" s="116">
        <v>78.900000000000006</v>
      </c>
      <c r="C966" s="116">
        <v>77.75</v>
      </c>
      <c r="D966" s="116">
        <v>76.849999999999994</v>
      </c>
      <c r="E966" s="116">
        <v>78.5</v>
      </c>
      <c r="F966" s="116">
        <v>77.75</v>
      </c>
      <c r="G966">
        <v>324956</v>
      </c>
      <c r="H966" s="116"/>
      <c r="I966" s="116"/>
      <c r="L966" s="170">
        <v>43425</v>
      </c>
      <c r="M966" s="116">
        <v>78.150000000000006</v>
      </c>
      <c r="N966" s="116">
        <v>79.099999999999994</v>
      </c>
      <c r="O966" s="116">
        <v>76.75</v>
      </c>
      <c r="P966" s="116">
        <v>78.099999999999994</v>
      </c>
      <c r="Q966" s="116">
        <v>78.150000000000006</v>
      </c>
      <c r="R966">
        <v>4999835</v>
      </c>
    </row>
    <row r="967" spans="1:18" x14ac:dyDescent="0.25">
      <c r="A967" s="170">
        <v>43426</v>
      </c>
      <c r="B967" s="116">
        <v>78.150000000000006</v>
      </c>
      <c r="C967" s="116">
        <v>74.900000000000006</v>
      </c>
      <c r="D967" s="116">
        <v>74.5</v>
      </c>
      <c r="E967" s="116">
        <v>77.900000000000006</v>
      </c>
      <c r="F967" s="116">
        <v>74.900000000000006</v>
      </c>
      <c r="G967">
        <v>293575</v>
      </c>
      <c r="H967" s="116"/>
      <c r="I967" s="116"/>
      <c r="L967" s="170">
        <v>43426</v>
      </c>
      <c r="M967" s="116">
        <v>74.900000000000006</v>
      </c>
      <c r="N967" s="116">
        <v>78.25</v>
      </c>
      <c r="O967" s="116">
        <v>74.5</v>
      </c>
      <c r="P967" s="116">
        <v>77.75</v>
      </c>
      <c r="Q967" s="116">
        <v>74.900000000000006</v>
      </c>
      <c r="R967">
        <v>4807716</v>
      </c>
    </row>
    <row r="968" spans="1:18" x14ac:dyDescent="0.25">
      <c r="A968" s="170">
        <v>43430</v>
      </c>
      <c r="B968" s="116">
        <v>76.3</v>
      </c>
      <c r="C968" s="116">
        <v>75.599999999999994</v>
      </c>
      <c r="D968" s="116">
        <v>74.5</v>
      </c>
      <c r="E968" s="116">
        <v>75.05</v>
      </c>
      <c r="F968" s="116">
        <v>75.599999999999994</v>
      </c>
      <c r="G968">
        <v>550209</v>
      </c>
      <c r="H968" s="116"/>
      <c r="I968" s="116"/>
      <c r="L968" s="170">
        <v>43430</v>
      </c>
      <c r="M968" s="116">
        <v>75.55</v>
      </c>
      <c r="N968" s="116">
        <v>76.400000000000006</v>
      </c>
      <c r="O968" s="116">
        <v>74.45</v>
      </c>
      <c r="P968" s="116">
        <v>75.5</v>
      </c>
      <c r="Q968" s="116">
        <v>75.55</v>
      </c>
      <c r="R968">
        <v>4950029</v>
      </c>
    </row>
    <row r="969" spans="1:18" x14ac:dyDescent="0.25">
      <c r="A969" s="170">
        <v>43431</v>
      </c>
      <c r="B969" s="116">
        <v>76.5</v>
      </c>
      <c r="C969" s="116">
        <v>75.55</v>
      </c>
      <c r="D969" s="116">
        <v>74.55</v>
      </c>
      <c r="E969" s="116">
        <v>75.5</v>
      </c>
      <c r="F969" s="116">
        <v>75.55</v>
      </c>
      <c r="G969">
        <v>469538</v>
      </c>
      <c r="H969" s="116"/>
      <c r="I969" s="116"/>
      <c r="L969" s="170">
        <v>43431</v>
      </c>
      <c r="M969" s="116">
        <v>75.650000000000006</v>
      </c>
      <c r="N969" s="116">
        <v>76.2</v>
      </c>
      <c r="O969" s="116">
        <v>74.5</v>
      </c>
      <c r="P969" s="116">
        <v>75.650000000000006</v>
      </c>
      <c r="Q969" s="116">
        <v>75.650000000000006</v>
      </c>
      <c r="R969">
        <v>4127732</v>
      </c>
    </row>
    <row r="970" spans="1:18" x14ac:dyDescent="0.25">
      <c r="A970" s="170">
        <v>43432</v>
      </c>
      <c r="B970" s="116">
        <v>76.3</v>
      </c>
      <c r="C970" s="116">
        <v>74.349999999999994</v>
      </c>
      <c r="D970" s="116">
        <v>73.849999999999994</v>
      </c>
      <c r="E970" s="116">
        <v>76.3</v>
      </c>
      <c r="F970" s="116">
        <v>74.349999999999994</v>
      </c>
      <c r="G970">
        <v>272505</v>
      </c>
      <c r="H970" s="116"/>
      <c r="I970" s="116"/>
      <c r="L970" s="170">
        <v>43432</v>
      </c>
      <c r="M970" s="116">
        <v>74.400000000000006</v>
      </c>
      <c r="N970" s="116">
        <v>76.099999999999994</v>
      </c>
      <c r="O970" s="116">
        <v>73.849999999999994</v>
      </c>
      <c r="P970" s="116">
        <v>76.099999999999994</v>
      </c>
      <c r="Q970" s="116">
        <v>74.400000000000006</v>
      </c>
      <c r="R970">
        <v>3949157</v>
      </c>
    </row>
    <row r="971" spans="1:18" x14ac:dyDescent="0.25">
      <c r="A971" s="170">
        <v>43433</v>
      </c>
      <c r="B971" s="116">
        <v>75.45</v>
      </c>
      <c r="C971" s="116">
        <v>75.099999999999994</v>
      </c>
      <c r="D971" s="116">
        <v>73.400000000000006</v>
      </c>
      <c r="E971" s="116">
        <v>74.5</v>
      </c>
      <c r="F971" s="116">
        <v>75.099999999999994</v>
      </c>
      <c r="G971">
        <v>312553</v>
      </c>
      <c r="H971" s="116"/>
      <c r="I971" s="116"/>
      <c r="L971" s="170">
        <v>43433</v>
      </c>
      <c r="M971" s="116">
        <v>75.2</v>
      </c>
      <c r="N971" s="116">
        <v>75.75</v>
      </c>
      <c r="O971" s="116">
        <v>73.400000000000006</v>
      </c>
      <c r="P971" s="116">
        <v>74.900000000000006</v>
      </c>
      <c r="Q971" s="116">
        <v>75.2</v>
      </c>
      <c r="R971">
        <v>14742072</v>
      </c>
    </row>
    <row r="972" spans="1:18" x14ac:dyDescent="0.25">
      <c r="A972" s="170">
        <v>43434</v>
      </c>
      <c r="B972" s="116">
        <v>76.650000000000006</v>
      </c>
      <c r="C972" s="116">
        <v>76.25</v>
      </c>
      <c r="D972" s="116">
        <v>73.75</v>
      </c>
      <c r="E972" s="116">
        <v>75</v>
      </c>
      <c r="F972" s="116">
        <v>76.25</v>
      </c>
      <c r="G972">
        <v>726869</v>
      </c>
      <c r="H972" s="116"/>
      <c r="I972" s="116"/>
      <c r="L972" s="170">
        <v>43434</v>
      </c>
      <c r="M972" s="116">
        <v>76.099999999999994</v>
      </c>
      <c r="N972" s="116">
        <v>76.5</v>
      </c>
      <c r="O972" s="116">
        <v>73.75</v>
      </c>
      <c r="P972" s="116">
        <v>75.2</v>
      </c>
      <c r="Q972" s="116">
        <v>76.099999999999994</v>
      </c>
      <c r="R972">
        <v>8135493</v>
      </c>
    </row>
    <row r="973" spans="1:18" x14ac:dyDescent="0.25">
      <c r="A973" s="170">
        <v>43437</v>
      </c>
      <c r="B973" s="116">
        <v>83.1</v>
      </c>
      <c r="C973" s="116">
        <v>82.5</v>
      </c>
      <c r="D973" s="116">
        <v>76.8</v>
      </c>
      <c r="E973" s="116">
        <v>76.900000000000006</v>
      </c>
      <c r="F973" s="116">
        <v>82.5</v>
      </c>
      <c r="G973">
        <v>2330577</v>
      </c>
      <c r="H973" s="116"/>
      <c r="I973" s="116"/>
      <c r="L973" s="170">
        <v>43437</v>
      </c>
      <c r="M973" s="116">
        <v>82.55</v>
      </c>
      <c r="N973" s="116">
        <v>83.15</v>
      </c>
      <c r="O973" s="116">
        <v>76.75</v>
      </c>
      <c r="P973" s="116">
        <v>76.900000000000006</v>
      </c>
      <c r="Q973" s="116">
        <v>82.55</v>
      </c>
      <c r="R973">
        <v>29213251</v>
      </c>
    </row>
    <row r="974" spans="1:18" x14ac:dyDescent="0.25">
      <c r="A974" s="170">
        <v>43438</v>
      </c>
      <c r="B974" s="116">
        <v>83.75</v>
      </c>
      <c r="C974" s="116">
        <v>81.3</v>
      </c>
      <c r="D974" s="116">
        <v>80.599999999999994</v>
      </c>
      <c r="E974" s="116">
        <v>82.55</v>
      </c>
      <c r="F974" s="116">
        <v>81.3</v>
      </c>
      <c r="G974">
        <v>704634</v>
      </c>
      <c r="H974" s="116"/>
      <c r="I974" s="116"/>
      <c r="L974" s="170">
        <v>43438</v>
      </c>
      <c r="M974" s="116">
        <v>81.5</v>
      </c>
      <c r="N974" s="116">
        <v>83.85</v>
      </c>
      <c r="O974" s="116">
        <v>80.7</v>
      </c>
      <c r="P974" s="116">
        <v>82.55</v>
      </c>
      <c r="Q974" s="116">
        <v>81.5</v>
      </c>
      <c r="R974">
        <v>9652045</v>
      </c>
    </row>
    <row r="975" spans="1:18" x14ac:dyDescent="0.25">
      <c r="A975" s="170">
        <v>43439</v>
      </c>
      <c r="B975" s="116">
        <v>81.5</v>
      </c>
      <c r="C975" s="116">
        <v>80.400000000000006</v>
      </c>
      <c r="D975" s="116">
        <v>79.849999999999994</v>
      </c>
      <c r="E975" s="116">
        <v>80.150000000000006</v>
      </c>
      <c r="F975" s="116">
        <v>80.400000000000006</v>
      </c>
      <c r="G975">
        <v>796625</v>
      </c>
      <c r="H975" s="116"/>
      <c r="I975" s="116"/>
      <c r="L975" s="170">
        <v>43439</v>
      </c>
      <c r="M975" s="116">
        <v>80.45</v>
      </c>
      <c r="N975" s="116">
        <v>81.5</v>
      </c>
      <c r="O975" s="116">
        <v>79.900000000000006</v>
      </c>
      <c r="P975" s="116">
        <v>80.75</v>
      </c>
      <c r="Q975" s="116">
        <v>80.45</v>
      </c>
      <c r="R975">
        <v>4817088</v>
      </c>
    </row>
    <row r="976" spans="1:18" x14ac:dyDescent="0.25">
      <c r="A976" s="170">
        <v>43440</v>
      </c>
      <c r="B976" s="116">
        <v>80.099999999999994</v>
      </c>
      <c r="C976" s="116">
        <v>79.150000000000006</v>
      </c>
      <c r="D976" s="116">
        <v>78.8</v>
      </c>
      <c r="E976" s="116">
        <v>79.7</v>
      </c>
      <c r="F976" s="116">
        <v>79.150000000000006</v>
      </c>
      <c r="G976">
        <v>195537</v>
      </c>
      <c r="H976" s="116"/>
      <c r="I976" s="116"/>
      <c r="L976" s="170">
        <v>43440</v>
      </c>
      <c r="M976" s="116">
        <v>79.400000000000006</v>
      </c>
      <c r="N976" s="116">
        <v>80.2</v>
      </c>
      <c r="O976" s="116">
        <v>78.8</v>
      </c>
      <c r="P976" s="116">
        <v>80.2</v>
      </c>
      <c r="Q976" s="116">
        <v>79.400000000000006</v>
      </c>
      <c r="R976">
        <v>4685342</v>
      </c>
    </row>
    <row r="977" spans="1:18" x14ac:dyDescent="0.25">
      <c r="A977" s="170">
        <v>43441</v>
      </c>
      <c r="B977" s="116">
        <v>81.05</v>
      </c>
      <c r="C977" s="116">
        <v>79.3</v>
      </c>
      <c r="D977" s="116">
        <v>78.400000000000006</v>
      </c>
      <c r="E977" s="116">
        <v>79.75</v>
      </c>
      <c r="F977" s="116">
        <v>79.3</v>
      </c>
      <c r="G977">
        <v>485702</v>
      </c>
      <c r="H977" s="116"/>
      <c r="I977" s="116"/>
      <c r="L977" s="170">
        <v>43441</v>
      </c>
      <c r="M977" s="116">
        <v>79.45</v>
      </c>
      <c r="N977" s="116">
        <v>81.150000000000006</v>
      </c>
      <c r="O977" s="116">
        <v>78.349999999999994</v>
      </c>
      <c r="P977" s="116">
        <v>80</v>
      </c>
      <c r="Q977" s="116">
        <v>79.45</v>
      </c>
      <c r="R977">
        <v>5677506</v>
      </c>
    </row>
    <row r="978" spans="1:18" x14ac:dyDescent="0.25">
      <c r="A978" s="170">
        <v>43444</v>
      </c>
      <c r="B978" s="116">
        <v>79.2</v>
      </c>
      <c r="C978" s="116">
        <v>77.45</v>
      </c>
      <c r="D978" s="116">
        <v>76.349999999999994</v>
      </c>
      <c r="E978" s="116">
        <v>78.3</v>
      </c>
      <c r="F978" s="116">
        <v>77.45</v>
      </c>
      <c r="G978">
        <v>350937</v>
      </c>
      <c r="H978" s="116"/>
      <c r="I978" s="116"/>
      <c r="L978" s="170">
        <v>43444</v>
      </c>
      <c r="M978" s="116">
        <v>77.650000000000006</v>
      </c>
      <c r="N978" s="116">
        <v>79.3</v>
      </c>
      <c r="O978" s="116">
        <v>76.3</v>
      </c>
      <c r="P978" s="116">
        <v>78.5</v>
      </c>
      <c r="Q978" s="116">
        <v>77.650000000000006</v>
      </c>
      <c r="R978">
        <v>3040723</v>
      </c>
    </row>
    <row r="979" spans="1:18" x14ac:dyDescent="0.25">
      <c r="A979" s="170">
        <v>43445</v>
      </c>
      <c r="B979" s="116">
        <v>79.900000000000006</v>
      </c>
      <c r="C979" s="116">
        <v>79</v>
      </c>
      <c r="D979" s="116">
        <v>75.95</v>
      </c>
      <c r="E979" s="116">
        <v>76</v>
      </c>
      <c r="F979" s="116">
        <v>79</v>
      </c>
      <c r="G979">
        <v>408889</v>
      </c>
      <c r="H979" s="116"/>
      <c r="I979" s="116"/>
      <c r="L979" s="170">
        <v>43445</v>
      </c>
      <c r="M979" s="116">
        <v>79.150000000000006</v>
      </c>
      <c r="N979" s="116">
        <v>80.150000000000006</v>
      </c>
      <c r="O979" s="116">
        <v>75.849999999999994</v>
      </c>
      <c r="P979" s="116">
        <v>76.099999999999994</v>
      </c>
      <c r="Q979" s="116">
        <v>79.150000000000006</v>
      </c>
      <c r="R979">
        <v>3917069</v>
      </c>
    </row>
    <row r="980" spans="1:18" x14ac:dyDescent="0.25">
      <c r="A980" s="170">
        <v>43446</v>
      </c>
      <c r="B980" s="116">
        <v>79.95</v>
      </c>
      <c r="C980" s="116">
        <v>79</v>
      </c>
      <c r="D980" s="116">
        <v>77.900000000000006</v>
      </c>
      <c r="E980" s="116">
        <v>79.900000000000006</v>
      </c>
      <c r="F980" s="116">
        <v>79</v>
      </c>
      <c r="G980">
        <v>635083</v>
      </c>
      <c r="H980" s="116"/>
      <c r="I980" s="116"/>
      <c r="L980" s="170">
        <v>43446</v>
      </c>
      <c r="M980" s="116">
        <v>79.099999999999994</v>
      </c>
      <c r="N980" s="116">
        <v>79.95</v>
      </c>
      <c r="O980" s="116">
        <v>77.75</v>
      </c>
      <c r="P980" s="116">
        <v>79.349999999999994</v>
      </c>
      <c r="Q980" s="116">
        <v>79.099999999999994</v>
      </c>
      <c r="R980">
        <v>4227632</v>
      </c>
    </row>
    <row r="981" spans="1:18" x14ac:dyDescent="0.25">
      <c r="A981" s="170">
        <v>43447</v>
      </c>
      <c r="B981" s="116">
        <v>81.3</v>
      </c>
      <c r="C981" s="116">
        <v>78.55</v>
      </c>
      <c r="D981" s="116">
        <v>77.45</v>
      </c>
      <c r="E981" s="116">
        <v>79.55</v>
      </c>
      <c r="F981" s="116">
        <v>78.55</v>
      </c>
      <c r="G981">
        <v>716351</v>
      </c>
      <c r="H981" s="116"/>
      <c r="I981" s="116"/>
      <c r="L981" s="170">
        <v>43447</v>
      </c>
      <c r="M981" s="116">
        <v>78.7</v>
      </c>
      <c r="N981" s="116">
        <v>81.3</v>
      </c>
      <c r="O981" s="116">
        <v>77.5</v>
      </c>
      <c r="P981" s="116">
        <v>79.25</v>
      </c>
      <c r="Q981" s="116">
        <v>78.7</v>
      </c>
      <c r="R981">
        <v>5535207</v>
      </c>
    </row>
    <row r="982" spans="1:18" x14ac:dyDescent="0.25">
      <c r="A982" s="170">
        <v>43448</v>
      </c>
      <c r="B982" s="116">
        <v>79.8</v>
      </c>
      <c r="C982" s="116">
        <v>79.349999999999994</v>
      </c>
      <c r="D982" s="116">
        <v>78.3</v>
      </c>
      <c r="E982" s="116">
        <v>78.599999999999994</v>
      </c>
      <c r="F982" s="116">
        <v>79.349999999999994</v>
      </c>
      <c r="G982">
        <v>178337</v>
      </c>
      <c r="H982" s="116"/>
      <c r="I982" s="116"/>
      <c r="L982" s="170">
        <v>43448</v>
      </c>
      <c r="M982" s="116">
        <v>79.3</v>
      </c>
      <c r="N982" s="116">
        <v>79.849999999999994</v>
      </c>
      <c r="O982" s="116">
        <v>78.150000000000006</v>
      </c>
      <c r="P982" s="116">
        <v>78.75</v>
      </c>
      <c r="Q982" s="116">
        <v>79.3</v>
      </c>
      <c r="R982">
        <v>1828782</v>
      </c>
    </row>
    <row r="983" spans="1:18" x14ac:dyDescent="0.25">
      <c r="A983" s="170">
        <v>43451</v>
      </c>
      <c r="B983" s="116">
        <v>80.55</v>
      </c>
      <c r="C983" s="116">
        <v>77.8</v>
      </c>
      <c r="D983" s="116">
        <v>77.400000000000006</v>
      </c>
      <c r="E983" s="116">
        <v>79.900000000000006</v>
      </c>
      <c r="F983" s="116">
        <v>77.8</v>
      </c>
      <c r="G983">
        <v>577935</v>
      </c>
      <c r="H983" s="116"/>
      <c r="I983" s="116"/>
      <c r="L983" s="170">
        <v>43451</v>
      </c>
      <c r="M983" s="116">
        <v>77.900000000000006</v>
      </c>
      <c r="N983" s="116">
        <v>80.900000000000006</v>
      </c>
      <c r="O983" s="116">
        <v>77.400000000000006</v>
      </c>
      <c r="P983" s="116">
        <v>79.599999999999994</v>
      </c>
      <c r="Q983" s="116">
        <v>77.900000000000006</v>
      </c>
      <c r="R983">
        <v>3358110</v>
      </c>
    </row>
    <row r="984" spans="1:18" x14ac:dyDescent="0.25">
      <c r="A984" s="170">
        <v>43452</v>
      </c>
      <c r="B984" s="116">
        <v>78.900000000000006</v>
      </c>
      <c r="C984" s="116">
        <v>78.7</v>
      </c>
      <c r="D984" s="116">
        <v>77.45</v>
      </c>
      <c r="E984" s="116">
        <v>77.7</v>
      </c>
      <c r="F984" s="116">
        <v>78.7</v>
      </c>
      <c r="G984">
        <v>568612</v>
      </c>
      <c r="H984" s="116"/>
      <c r="I984" s="116"/>
      <c r="L984" s="170">
        <v>43452</v>
      </c>
      <c r="M984" s="116">
        <v>78.650000000000006</v>
      </c>
      <c r="N984" s="116">
        <v>78.95</v>
      </c>
      <c r="O984" s="116">
        <v>77.45</v>
      </c>
      <c r="P984" s="116">
        <v>77.75</v>
      </c>
      <c r="Q984" s="116">
        <v>78.650000000000006</v>
      </c>
      <c r="R984">
        <v>3915779</v>
      </c>
    </row>
    <row r="985" spans="1:18" x14ac:dyDescent="0.25">
      <c r="A985" s="170">
        <v>43453</v>
      </c>
      <c r="B985" s="116">
        <v>80.2</v>
      </c>
      <c r="C985" s="116">
        <v>79.45</v>
      </c>
      <c r="D985" s="116">
        <v>78.75</v>
      </c>
      <c r="E985" s="116">
        <v>78.849999999999994</v>
      </c>
      <c r="F985" s="116">
        <v>79.45</v>
      </c>
      <c r="G985">
        <v>611002</v>
      </c>
      <c r="H985" s="116"/>
      <c r="I985" s="116"/>
      <c r="L985" s="170">
        <v>43453</v>
      </c>
      <c r="M985" s="116">
        <v>79.5</v>
      </c>
      <c r="N985" s="116">
        <v>80.3</v>
      </c>
      <c r="O985" s="116">
        <v>78.599999999999994</v>
      </c>
      <c r="P985" s="116">
        <v>78.8</v>
      </c>
      <c r="Q985" s="116">
        <v>79.5</v>
      </c>
      <c r="R985">
        <v>3721346</v>
      </c>
    </row>
    <row r="986" spans="1:18" x14ac:dyDescent="0.25">
      <c r="A986" s="170">
        <v>43454</v>
      </c>
      <c r="B986" s="116">
        <v>80.650000000000006</v>
      </c>
      <c r="C986" s="116">
        <v>80.099999999999994</v>
      </c>
      <c r="D986" s="116">
        <v>76.55</v>
      </c>
      <c r="E986" s="116">
        <v>77.099999999999994</v>
      </c>
      <c r="F986" s="116">
        <v>80.099999999999994</v>
      </c>
      <c r="G986">
        <v>634636</v>
      </c>
      <c r="H986" s="116"/>
      <c r="I986" s="116"/>
      <c r="L986" s="170">
        <v>43454</v>
      </c>
      <c r="M986" s="116">
        <v>80.25</v>
      </c>
      <c r="N986" s="116">
        <v>80.900000000000006</v>
      </c>
      <c r="O986" s="116">
        <v>76.05</v>
      </c>
      <c r="P986" s="116">
        <v>76.05</v>
      </c>
      <c r="Q986" s="116">
        <v>80.25</v>
      </c>
      <c r="R986">
        <v>9768078</v>
      </c>
    </row>
    <row r="987" spans="1:18" x14ac:dyDescent="0.25">
      <c r="A987" s="170">
        <v>43455</v>
      </c>
      <c r="B987" s="116">
        <v>80.5</v>
      </c>
      <c r="C987" s="116">
        <v>76.5</v>
      </c>
      <c r="D987" s="116">
        <v>76.099999999999994</v>
      </c>
      <c r="E987" s="116">
        <v>80.5</v>
      </c>
      <c r="F987" s="116">
        <v>76.5</v>
      </c>
      <c r="G987">
        <v>722703</v>
      </c>
      <c r="H987" s="116"/>
      <c r="I987" s="116"/>
      <c r="L987" s="170">
        <v>43455</v>
      </c>
      <c r="M987" s="116">
        <v>76.45</v>
      </c>
      <c r="N987" s="116">
        <v>80.650000000000006</v>
      </c>
      <c r="O987" s="116">
        <v>76.05</v>
      </c>
      <c r="P987" s="116">
        <v>80.5</v>
      </c>
      <c r="Q987" s="116">
        <v>76.45</v>
      </c>
      <c r="R987">
        <v>7243377</v>
      </c>
    </row>
    <row r="988" spans="1:18" x14ac:dyDescent="0.25">
      <c r="A988" s="170">
        <v>43458</v>
      </c>
      <c r="B988" s="116">
        <v>78.5</v>
      </c>
      <c r="C988" s="116">
        <v>76.75</v>
      </c>
      <c r="D988" s="116">
        <v>76.150000000000006</v>
      </c>
      <c r="E988" s="116">
        <v>76.150000000000006</v>
      </c>
      <c r="F988" s="116">
        <v>76.75</v>
      </c>
      <c r="G988">
        <v>424915</v>
      </c>
      <c r="H988" s="116"/>
      <c r="I988" s="116"/>
      <c r="L988" s="170">
        <v>43458</v>
      </c>
      <c r="M988" s="116">
        <v>76.8</v>
      </c>
      <c r="N988" s="116">
        <v>78.650000000000006</v>
      </c>
      <c r="O988" s="116">
        <v>76.099999999999994</v>
      </c>
      <c r="P988" s="116">
        <v>76.8</v>
      </c>
      <c r="Q988" s="116">
        <v>76.8</v>
      </c>
      <c r="R988">
        <v>5132728</v>
      </c>
    </row>
    <row r="989" spans="1:18" x14ac:dyDescent="0.25">
      <c r="A989" s="170">
        <v>43460</v>
      </c>
      <c r="B989" s="116">
        <v>77.150000000000006</v>
      </c>
      <c r="C989" s="116">
        <v>75.95</v>
      </c>
      <c r="D989" s="116">
        <v>74.95</v>
      </c>
      <c r="E989" s="116">
        <v>76.7</v>
      </c>
      <c r="F989" s="116">
        <v>75.95</v>
      </c>
      <c r="G989">
        <v>1275856</v>
      </c>
      <c r="H989" s="116"/>
      <c r="I989" s="116"/>
      <c r="L989" s="170">
        <v>43460</v>
      </c>
      <c r="M989" s="116">
        <v>75.95</v>
      </c>
      <c r="N989" s="116">
        <v>76.7</v>
      </c>
      <c r="O989" s="116">
        <v>74.849999999999994</v>
      </c>
      <c r="P989" s="116">
        <v>76.599999999999994</v>
      </c>
      <c r="Q989" s="116">
        <v>75.95</v>
      </c>
      <c r="R989">
        <v>4017872</v>
      </c>
    </row>
    <row r="990" spans="1:18" x14ac:dyDescent="0.25">
      <c r="A990" s="170">
        <v>43461</v>
      </c>
      <c r="B990" s="116">
        <v>77.599999999999994</v>
      </c>
      <c r="C990" s="116">
        <v>77</v>
      </c>
      <c r="D990" s="116">
        <v>75.599999999999994</v>
      </c>
      <c r="E990" s="116">
        <v>76.25</v>
      </c>
      <c r="F990" s="116">
        <v>77</v>
      </c>
      <c r="G990">
        <v>1756358</v>
      </c>
      <c r="H990" s="116"/>
      <c r="I990" s="116"/>
      <c r="L990" s="170">
        <v>43461</v>
      </c>
      <c r="M990" s="116">
        <v>77</v>
      </c>
      <c r="N990" s="116">
        <v>77.7</v>
      </c>
      <c r="O990" s="116">
        <v>75.5</v>
      </c>
      <c r="P990" s="116">
        <v>76.7</v>
      </c>
      <c r="Q990" s="116">
        <v>77</v>
      </c>
      <c r="R990">
        <v>12997320</v>
      </c>
    </row>
    <row r="991" spans="1:18" x14ac:dyDescent="0.25">
      <c r="A991" s="170">
        <v>43462</v>
      </c>
      <c r="B991" s="116">
        <v>77.8</v>
      </c>
      <c r="C991" s="116">
        <v>77.150000000000006</v>
      </c>
      <c r="D991" s="116">
        <v>76.849999999999994</v>
      </c>
      <c r="E991" s="116">
        <v>77.2</v>
      </c>
      <c r="F991" s="116">
        <v>77.150000000000006</v>
      </c>
      <c r="G991">
        <v>220954</v>
      </c>
      <c r="H991" s="116"/>
      <c r="I991" s="116"/>
      <c r="L991" s="170">
        <v>43462</v>
      </c>
      <c r="M991" s="116">
        <v>77.099999999999994</v>
      </c>
      <c r="N991" s="116">
        <v>77.849999999999994</v>
      </c>
      <c r="O991" s="116">
        <v>76.8</v>
      </c>
      <c r="P991" s="116">
        <v>77.150000000000006</v>
      </c>
      <c r="Q991" s="116">
        <v>77.099999999999994</v>
      </c>
      <c r="R991">
        <v>3477676</v>
      </c>
    </row>
    <row r="992" spans="1:18" x14ac:dyDescent="0.25">
      <c r="A992" s="170">
        <v>43465</v>
      </c>
      <c r="B992" s="116">
        <v>77.900000000000006</v>
      </c>
      <c r="C992" s="116">
        <v>76.75</v>
      </c>
      <c r="D992" s="116">
        <v>76.45</v>
      </c>
      <c r="E992" s="116">
        <v>77.05</v>
      </c>
      <c r="F992" s="116">
        <v>76.75</v>
      </c>
      <c r="G992">
        <v>254997</v>
      </c>
      <c r="H992" s="116"/>
      <c r="I992" s="116"/>
      <c r="L992" s="170">
        <v>43465</v>
      </c>
      <c r="M992" s="116">
        <v>76.8</v>
      </c>
      <c r="N992" s="116">
        <v>78</v>
      </c>
      <c r="O992" s="116">
        <v>76.099999999999994</v>
      </c>
      <c r="P992" s="116">
        <v>77.349999999999994</v>
      </c>
      <c r="Q992" s="116">
        <v>76.8</v>
      </c>
      <c r="R992">
        <v>3602334</v>
      </c>
    </row>
    <row r="993" spans="1:18" x14ac:dyDescent="0.25">
      <c r="A993" s="170">
        <v>43466</v>
      </c>
      <c r="B993" s="116">
        <v>77.3</v>
      </c>
      <c r="C993" s="116">
        <v>76.849999999999994</v>
      </c>
      <c r="D993" s="116">
        <v>76.2</v>
      </c>
      <c r="E993" s="116">
        <v>76.2</v>
      </c>
      <c r="F993" s="116">
        <v>76.849999999999994</v>
      </c>
      <c r="G993">
        <v>158647</v>
      </c>
      <c r="H993" s="116"/>
      <c r="I993" s="116"/>
      <c r="L993" s="170">
        <v>43466</v>
      </c>
      <c r="M993" s="116">
        <v>76.7</v>
      </c>
      <c r="N993" s="116">
        <v>77.25</v>
      </c>
      <c r="O993" s="116">
        <v>76.3</v>
      </c>
      <c r="P993" s="116">
        <v>77</v>
      </c>
      <c r="Q993" s="116">
        <v>76.7</v>
      </c>
      <c r="R993">
        <v>2153622</v>
      </c>
    </row>
    <row r="994" spans="1:18" x14ac:dyDescent="0.25">
      <c r="A994" s="170">
        <v>43467</v>
      </c>
      <c r="B994" s="116">
        <v>76.7</v>
      </c>
      <c r="C994" s="116">
        <v>74.849999999999994</v>
      </c>
      <c r="D994" s="116">
        <v>74.5</v>
      </c>
      <c r="E994" s="116">
        <v>76.7</v>
      </c>
      <c r="F994" s="116">
        <v>74.849999999999994</v>
      </c>
      <c r="G994">
        <v>1032369</v>
      </c>
      <c r="H994" s="116"/>
      <c r="I994" s="116"/>
      <c r="L994" s="170">
        <v>43467</v>
      </c>
      <c r="M994" s="116">
        <v>74.849999999999994</v>
      </c>
      <c r="N994" s="116">
        <v>76.95</v>
      </c>
      <c r="O994" s="116">
        <v>74.400000000000006</v>
      </c>
      <c r="P994" s="116">
        <v>76.8</v>
      </c>
      <c r="Q994" s="116">
        <v>74.849999999999994</v>
      </c>
      <c r="R994">
        <v>2504768</v>
      </c>
    </row>
    <row r="995" spans="1:18" x14ac:dyDescent="0.25">
      <c r="A995" s="170">
        <v>43468</v>
      </c>
      <c r="B995" s="116">
        <v>76.2</v>
      </c>
      <c r="C995" s="116">
        <v>74.150000000000006</v>
      </c>
      <c r="D995" s="116">
        <v>73.900000000000006</v>
      </c>
      <c r="E995" s="116">
        <v>75.8</v>
      </c>
      <c r="F995" s="116">
        <v>74.150000000000006</v>
      </c>
      <c r="G995">
        <v>345594</v>
      </c>
      <c r="H995" s="116"/>
      <c r="I995" s="116"/>
      <c r="L995" s="170">
        <v>43468</v>
      </c>
      <c r="M995" s="116">
        <v>74.2</v>
      </c>
      <c r="N995" s="116">
        <v>76.25</v>
      </c>
      <c r="O995" s="116">
        <v>73.849999999999994</v>
      </c>
      <c r="P995" s="116">
        <v>76</v>
      </c>
      <c r="Q995" s="116">
        <v>74.2</v>
      </c>
      <c r="R995">
        <v>4583837</v>
      </c>
    </row>
    <row r="996" spans="1:18" x14ac:dyDescent="0.25">
      <c r="A996" s="170">
        <v>43469</v>
      </c>
      <c r="B996" s="116">
        <v>75.5</v>
      </c>
      <c r="C996" s="116">
        <v>75.150000000000006</v>
      </c>
      <c r="D996" s="116">
        <v>73.8</v>
      </c>
      <c r="E996" s="116">
        <v>74</v>
      </c>
      <c r="F996" s="116">
        <v>75.150000000000006</v>
      </c>
      <c r="G996">
        <v>300039</v>
      </c>
      <c r="H996" s="116"/>
      <c r="I996" s="116"/>
      <c r="L996" s="170">
        <v>43469</v>
      </c>
      <c r="M996" s="116">
        <v>75.05</v>
      </c>
      <c r="N996" s="116">
        <v>75.55</v>
      </c>
      <c r="O996" s="116">
        <v>73.7</v>
      </c>
      <c r="P996" s="116">
        <v>74.3</v>
      </c>
      <c r="Q996" s="116">
        <v>75.05</v>
      </c>
      <c r="R996">
        <v>3170169</v>
      </c>
    </row>
    <row r="997" spans="1:18" x14ac:dyDescent="0.25">
      <c r="A997" s="170">
        <v>43472</v>
      </c>
      <c r="B997" s="116">
        <v>75.7</v>
      </c>
      <c r="C997" s="116">
        <v>74.7</v>
      </c>
      <c r="D997" s="116">
        <v>74.25</v>
      </c>
      <c r="E997" s="116">
        <v>75.349999999999994</v>
      </c>
      <c r="F997" s="116">
        <v>74.7</v>
      </c>
      <c r="G997">
        <v>131916</v>
      </c>
      <c r="H997" s="116"/>
      <c r="I997" s="116"/>
      <c r="L997" s="170">
        <v>43472</v>
      </c>
      <c r="M997" s="116">
        <v>74.7</v>
      </c>
      <c r="N997" s="116">
        <v>75.75</v>
      </c>
      <c r="O997" s="116">
        <v>74.25</v>
      </c>
      <c r="P997" s="116">
        <v>75.45</v>
      </c>
      <c r="Q997" s="116">
        <v>74.7</v>
      </c>
      <c r="R997">
        <v>1691362</v>
      </c>
    </row>
    <row r="998" spans="1:18" x14ac:dyDescent="0.25">
      <c r="A998" s="170">
        <v>43473</v>
      </c>
      <c r="B998" s="116">
        <v>75.400000000000006</v>
      </c>
      <c r="C998" s="116">
        <v>74.849999999999994</v>
      </c>
      <c r="D998" s="116">
        <v>74.5</v>
      </c>
      <c r="E998" s="116">
        <v>74.7</v>
      </c>
      <c r="F998" s="116">
        <v>74.849999999999994</v>
      </c>
      <c r="G998">
        <v>132974</v>
      </c>
      <c r="H998" s="116"/>
      <c r="I998" s="116"/>
      <c r="L998" s="170">
        <v>43473</v>
      </c>
      <c r="M998" s="116">
        <v>74.95</v>
      </c>
      <c r="N998" s="116">
        <v>75.5</v>
      </c>
      <c r="O998" s="116">
        <v>74.55</v>
      </c>
      <c r="P998" s="116">
        <v>74.75</v>
      </c>
      <c r="Q998" s="116">
        <v>74.95</v>
      </c>
      <c r="R998">
        <v>1684121</v>
      </c>
    </row>
    <row r="999" spans="1:18" x14ac:dyDescent="0.25">
      <c r="A999" s="170">
        <v>43474</v>
      </c>
      <c r="B999" s="116">
        <v>75.349999999999994</v>
      </c>
      <c r="C999" s="116">
        <v>74.3</v>
      </c>
      <c r="D999" s="116">
        <v>73.849999999999994</v>
      </c>
      <c r="E999" s="116">
        <v>75.099999999999994</v>
      </c>
      <c r="F999" s="116">
        <v>74.3</v>
      </c>
      <c r="G999">
        <v>435508</v>
      </c>
      <c r="H999" s="116"/>
      <c r="I999" s="116"/>
      <c r="L999" s="170">
        <v>43474</v>
      </c>
      <c r="M999" s="116">
        <v>74.349999999999994</v>
      </c>
      <c r="N999" s="116">
        <v>75.5</v>
      </c>
      <c r="O999" s="116">
        <v>73.849999999999994</v>
      </c>
      <c r="P999" s="116">
        <v>75.099999999999994</v>
      </c>
      <c r="Q999" s="116">
        <v>74.349999999999994</v>
      </c>
      <c r="R999">
        <v>2006348</v>
      </c>
    </row>
    <row r="1000" spans="1:18" x14ac:dyDescent="0.25">
      <c r="A1000" s="170">
        <v>43475</v>
      </c>
      <c r="B1000" s="116">
        <v>74.95</v>
      </c>
      <c r="C1000" s="116">
        <v>74.8</v>
      </c>
      <c r="D1000" s="116">
        <v>73.849999999999994</v>
      </c>
      <c r="E1000" s="116">
        <v>74.099999999999994</v>
      </c>
      <c r="F1000" s="116">
        <v>74.8</v>
      </c>
      <c r="G1000">
        <v>418915</v>
      </c>
      <c r="H1000" s="116"/>
      <c r="I1000" s="116"/>
      <c r="L1000" s="170">
        <v>43475</v>
      </c>
      <c r="M1000" s="116">
        <v>74.900000000000006</v>
      </c>
      <c r="N1000" s="116">
        <v>75.099999999999994</v>
      </c>
      <c r="O1000" s="116">
        <v>73.900000000000006</v>
      </c>
      <c r="P1000" s="116">
        <v>74.25</v>
      </c>
      <c r="Q1000" s="116">
        <v>74.900000000000006</v>
      </c>
      <c r="R1000">
        <v>1704653</v>
      </c>
    </row>
    <row r="1001" spans="1:18" x14ac:dyDescent="0.25">
      <c r="A1001" s="170">
        <v>43476</v>
      </c>
      <c r="B1001" s="116">
        <v>75.25</v>
      </c>
      <c r="C1001" s="116">
        <v>75</v>
      </c>
      <c r="D1001" s="116">
        <v>73.8</v>
      </c>
      <c r="E1001" s="116">
        <v>74.900000000000006</v>
      </c>
      <c r="F1001" s="116">
        <v>75</v>
      </c>
      <c r="G1001">
        <v>580505</v>
      </c>
      <c r="H1001" s="116"/>
      <c r="I1001" s="116"/>
      <c r="L1001" s="170">
        <v>43476</v>
      </c>
      <c r="M1001" s="116">
        <v>75</v>
      </c>
      <c r="N1001" s="116">
        <v>75.25</v>
      </c>
      <c r="O1001" s="116">
        <v>73.8</v>
      </c>
      <c r="P1001" s="116">
        <v>75.099999999999994</v>
      </c>
      <c r="Q1001" s="116">
        <v>75</v>
      </c>
      <c r="R1001">
        <v>3214817</v>
      </c>
    </row>
    <row r="1002" spans="1:18" x14ac:dyDescent="0.25">
      <c r="A1002" s="170">
        <v>43479</v>
      </c>
      <c r="B1002" s="116">
        <v>74.95</v>
      </c>
      <c r="C1002" s="116">
        <v>74.150000000000006</v>
      </c>
      <c r="D1002" s="116">
        <v>73.599999999999994</v>
      </c>
      <c r="E1002" s="116">
        <v>74.95</v>
      </c>
      <c r="F1002" s="116">
        <v>74.150000000000006</v>
      </c>
      <c r="G1002">
        <v>421559</v>
      </c>
      <c r="H1002" s="116"/>
      <c r="I1002" s="116"/>
      <c r="L1002" s="170">
        <v>43479</v>
      </c>
      <c r="M1002" s="116">
        <v>74.3</v>
      </c>
      <c r="N1002" s="116">
        <v>75</v>
      </c>
      <c r="O1002" s="116">
        <v>73.7</v>
      </c>
      <c r="P1002" s="116">
        <v>75</v>
      </c>
      <c r="Q1002" s="116">
        <v>74.3</v>
      </c>
      <c r="R1002">
        <v>3702534</v>
      </c>
    </row>
    <row r="1003" spans="1:18" x14ac:dyDescent="0.25">
      <c r="A1003" s="170">
        <v>43480</v>
      </c>
      <c r="B1003" s="116">
        <v>75.25</v>
      </c>
      <c r="C1003" s="116">
        <v>74.95</v>
      </c>
      <c r="D1003" s="116">
        <v>74.349999999999994</v>
      </c>
      <c r="E1003" s="116">
        <v>74.55</v>
      </c>
      <c r="F1003" s="116">
        <v>74.95</v>
      </c>
      <c r="G1003">
        <v>442625</v>
      </c>
      <c r="H1003" s="116"/>
      <c r="I1003" s="116"/>
      <c r="L1003" s="170">
        <v>43480</v>
      </c>
      <c r="M1003" s="116">
        <v>75.05</v>
      </c>
      <c r="N1003" s="116">
        <v>75.25</v>
      </c>
      <c r="O1003" s="116">
        <v>74.150000000000006</v>
      </c>
      <c r="P1003" s="116">
        <v>74.5</v>
      </c>
      <c r="Q1003" s="116">
        <v>75.05</v>
      </c>
      <c r="R1003">
        <v>3099444</v>
      </c>
    </row>
    <row r="1004" spans="1:18" x14ac:dyDescent="0.25">
      <c r="A1004" s="170">
        <v>43481</v>
      </c>
      <c r="B1004" s="116">
        <v>76.75</v>
      </c>
      <c r="C1004" s="116">
        <v>76.25</v>
      </c>
      <c r="D1004" s="116">
        <v>74.650000000000006</v>
      </c>
      <c r="E1004" s="116">
        <v>75.45</v>
      </c>
      <c r="F1004" s="116">
        <v>76.25</v>
      </c>
      <c r="G1004">
        <v>2862658</v>
      </c>
      <c r="H1004" s="116"/>
      <c r="I1004" s="116"/>
      <c r="L1004" s="170">
        <v>43481</v>
      </c>
      <c r="M1004" s="116">
        <v>76.5</v>
      </c>
      <c r="N1004" s="116">
        <v>76.95</v>
      </c>
      <c r="O1004" s="116">
        <v>74.5</v>
      </c>
      <c r="P1004" s="116">
        <v>75</v>
      </c>
      <c r="Q1004" s="116">
        <v>76.5</v>
      </c>
      <c r="R1004">
        <v>4222858</v>
      </c>
    </row>
    <row r="1005" spans="1:18" x14ac:dyDescent="0.25">
      <c r="A1005" s="170">
        <v>43482</v>
      </c>
      <c r="B1005" s="116">
        <v>76.849999999999994</v>
      </c>
      <c r="C1005" s="116">
        <v>76</v>
      </c>
      <c r="D1005" s="116">
        <v>74.900000000000006</v>
      </c>
      <c r="E1005" s="116">
        <v>76.5</v>
      </c>
      <c r="F1005" s="116">
        <v>76</v>
      </c>
      <c r="G1005">
        <v>1174900</v>
      </c>
      <c r="H1005" s="116"/>
      <c r="I1005" s="116"/>
      <c r="L1005" s="170">
        <v>43482</v>
      </c>
      <c r="M1005" s="116">
        <v>76</v>
      </c>
      <c r="N1005" s="116">
        <v>76.95</v>
      </c>
      <c r="O1005" s="116">
        <v>74.95</v>
      </c>
      <c r="P1005" s="116">
        <v>76.349999999999994</v>
      </c>
      <c r="Q1005" s="116">
        <v>76</v>
      </c>
      <c r="R1005">
        <v>4496763</v>
      </c>
    </row>
    <row r="1006" spans="1:18" x14ac:dyDescent="0.25">
      <c r="A1006" s="170">
        <v>43483</v>
      </c>
      <c r="B1006" s="116">
        <v>76.400000000000006</v>
      </c>
      <c r="C1006" s="116">
        <v>76</v>
      </c>
      <c r="D1006" s="116">
        <v>75.099999999999994</v>
      </c>
      <c r="E1006" s="116">
        <v>76.400000000000006</v>
      </c>
      <c r="F1006" s="116">
        <v>76</v>
      </c>
      <c r="G1006">
        <v>2384319</v>
      </c>
      <c r="H1006" s="116"/>
      <c r="I1006" s="116"/>
      <c r="L1006" s="170">
        <v>43483</v>
      </c>
      <c r="M1006" s="116">
        <v>76</v>
      </c>
      <c r="N1006" s="116">
        <v>76.45</v>
      </c>
      <c r="O1006" s="116">
        <v>75.150000000000006</v>
      </c>
      <c r="P1006" s="116">
        <v>76</v>
      </c>
      <c r="Q1006" s="116">
        <v>76</v>
      </c>
      <c r="R1006">
        <v>4009644</v>
      </c>
    </row>
    <row r="1007" spans="1:18" x14ac:dyDescent="0.25">
      <c r="A1007" s="170">
        <v>43486</v>
      </c>
      <c r="B1007" s="116">
        <v>77.150000000000006</v>
      </c>
      <c r="C1007" s="116">
        <v>75.95</v>
      </c>
      <c r="D1007" s="116">
        <v>75.349999999999994</v>
      </c>
      <c r="E1007" s="116">
        <v>76</v>
      </c>
      <c r="F1007" s="116">
        <v>75.95</v>
      </c>
      <c r="G1007">
        <v>2127398</v>
      </c>
      <c r="H1007" s="116"/>
      <c r="I1007" s="116"/>
      <c r="L1007" s="170">
        <v>43486</v>
      </c>
      <c r="M1007" s="116">
        <v>75.95</v>
      </c>
      <c r="N1007" s="116">
        <v>77.2</v>
      </c>
      <c r="O1007" s="116">
        <v>75.45</v>
      </c>
      <c r="P1007" s="116">
        <v>76</v>
      </c>
      <c r="Q1007" s="116">
        <v>75.95</v>
      </c>
      <c r="R1007">
        <v>5188679</v>
      </c>
    </row>
    <row r="1008" spans="1:18" x14ac:dyDescent="0.25">
      <c r="A1008" s="170">
        <v>43487</v>
      </c>
      <c r="B1008" s="116">
        <v>77.5</v>
      </c>
      <c r="C1008" s="116">
        <v>76.3</v>
      </c>
      <c r="D1008" s="116">
        <v>74.95</v>
      </c>
      <c r="E1008" s="116">
        <v>75.8</v>
      </c>
      <c r="F1008" s="116">
        <v>76.3</v>
      </c>
      <c r="G1008">
        <v>167532</v>
      </c>
      <c r="H1008" s="116"/>
      <c r="I1008" s="116"/>
      <c r="L1008" s="170">
        <v>43487</v>
      </c>
      <c r="M1008" s="116">
        <v>76.349999999999994</v>
      </c>
      <c r="N1008" s="116">
        <v>77.5</v>
      </c>
      <c r="O1008" s="116">
        <v>74.900000000000006</v>
      </c>
      <c r="P1008" s="116">
        <v>75.900000000000006</v>
      </c>
      <c r="Q1008" s="116">
        <v>76.349999999999994</v>
      </c>
      <c r="R1008">
        <v>4074882</v>
      </c>
    </row>
    <row r="1009" spans="1:18" x14ac:dyDescent="0.25">
      <c r="A1009" s="170">
        <v>43488</v>
      </c>
      <c r="B1009" s="116">
        <v>77.900000000000006</v>
      </c>
      <c r="C1009" s="116">
        <v>75.25</v>
      </c>
      <c r="D1009" s="116">
        <v>74.849999999999994</v>
      </c>
      <c r="E1009" s="116">
        <v>77.099999999999994</v>
      </c>
      <c r="F1009" s="116">
        <v>75.25</v>
      </c>
      <c r="G1009">
        <v>369254</v>
      </c>
      <c r="H1009" s="116"/>
      <c r="I1009" s="116"/>
      <c r="L1009" s="170">
        <v>43488</v>
      </c>
      <c r="M1009" s="116">
        <v>75.2</v>
      </c>
      <c r="N1009" s="116">
        <v>77.95</v>
      </c>
      <c r="O1009" s="116">
        <v>74.849999999999994</v>
      </c>
      <c r="P1009" s="116">
        <v>77</v>
      </c>
      <c r="Q1009" s="116">
        <v>75.2</v>
      </c>
      <c r="R1009">
        <v>5394325</v>
      </c>
    </row>
    <row r="1010" spans="1:18" x14ac:dyDescent="0.25">
      <c r="A1010" s="170">
        <v>43489</v>
      </c>
      <c r="B1010" s="116">
        <v>75.650000000000006</v>
      </c>
      <c r="C1010" s="116">
        <v>74.599999999999994</v>
      </c>
      <c r="D1010" s="116">
        <v>74.2</v>
      </c>
      <c r="E1010" s="116">
        <v>75.599999999999994</v>
      </c>
      <c r="F1010" s="116">
        <v>74.599999999999994</v>
      </c>
      <c r="G1010">
        <v>159951</v>
      </c>
      <c r="H1010" s="116"/>
      <c r="I1010" s="116"/>
      <c r="L1010" s="170">
        <v>43489</v>
      </c>
      <c r="M1010" s="116">
        <v>74.55</v>
      </c>
      <c r="N1010" s="116">
        <v>75.75</v>
      </c>
      <c r="O1010" s="116">
        <v>74.3</v>
      </c>
      <c r="P1010" s="116">
        <v>75.3</v>
      </c>
      <c r="Q1010" s="116">
        <v>74.55</v>
      </c>
      <c r="R1010">
        <v>3700318</v>
      </c>
    </row>
    <row r="1011" spans="1:18" x14ac:dyDescent="0.25">
      <c r="A1011" s="170">
        <v>43490</v>
      </c>
      <c r="B1011" s="116">
        <v>75.25</v>
      </c>
      <c r="C1011" s="116">
        <v>73.95</v>
      </c>
      <c r="D1011" s="116">
        <v>73.45</v>
      </c>
      <c r="E1011" s="116">
        <v>74.55</v>
      </c>
      <c r="F1011" s="116">
        <v>73.95</v>
      </c>
      <c r="G1011">
        <v>1210680</v>
      </c>
      <c r="H1011" s="116"/>
      <c r="I1011" s="116"/>
      <c r="L1011" s="170">
        <v>43490</v>
      </c>
      <c r="M1011" s="116">
        <v>73.95</v>
      </c>
      <c r="N1011" s="116">
        <v>75.3</v>
      </c>
      <c r="O1011" s="116">
        <v>73.45</v>
      </c>
      <c r="P1011" s="116">
        <v>74.7</v>
      </c>
      <c r="Q1011" s="116">
        <v>73.95</v>
      </c>
      <c r="R1011">
        <v>3724093</v>
      </c>
    </row>
    <row r="1012" spans="1:18" x14ac:dyDescent="0.25">
      <c r="A1012" s="170">
        <v>43493</v>
      </c>
      <c r="B1012" s="116">
        <v>74.099999999999994</v>
      </c>
      <c r="C1012" s="116">
        <v>70.8</v>
      </c>
      <c r="D1012" s="116">
        <v>69.599999999999994</v>
      </c>
      <c r="E1012" s="116">
        <v>74.099999999999994</v>
      </c>
      <c r="F1012" s="116">
        <v>70.8</v>
      </c>
      <c r="G1012">
        <v>1444897</v>
      </c>
      <c r="H1012" s="116"/>
      <c r="I1012" s="116"/>
      <c r="L1012" s="170">
        <v>43493</v>
      </c>
      <c r="M1012" s="116">
        <v>70.95</v>
      </c>
      <c r="N1012" s="116">
        <v>73.95</v>
      </c>
      <c r="O1012" s="116">
        <v>69.650000000000006</v>
      </c>
      <c r="P1012" s="116">
        <v>73.95</v>
      </c>
      <c r="Q1012" s="116">
        <v>70.95</v>
      </c>
      <c r="R1012">
        <v>5766908</v>
      </c>
    </row>
    <row r="1013" spans="1:18" x14ac:dyDescent="0.25">
      <c r="A1013" s="170">
        <v>43494</v>
      </c>
      <c r="B1013" s="116">
        <v>72.3</v>
      </c>
      <c r="C1013" s="116">
        <v>71</v>
      </c>
      <c r="D1013" s="116">
        <v>68.45</v>
      </c>
      <c r="E1013" s="116">
        <v>68.75</v>
      </c>
      <c r="F1013" s="116">
        <v>71</v>
      </c>
      <c r="G1013">
        <v>944213</v>
      </c>
      <c r="H1013" s="116"/>
      <c r="I1013" s="116"/>
      <c r="L1013" s="170">
        <v>43494</v>
      </c>
      <c r="M1013" s="116">
        <v>71.05</v>
      </c>
      <c r="N1013" s="116">
        <v>72.400000000000006</v>
      </c>
      <c r="O1013" s="116">
        <v>68.5</v>
      </c>
      <c r="P1013" s="116">
        <v>68.5</v>
      </c>
      <c r="Q1013" s="116">
        <v>71.05</v>
      </c>
      <c r="R1013">
        <v>12562431</v>
      </c>
    </row>
    <row r="1014" spans="1:18" x14ac:dyDescent="0.25">
      <c r="A1014" s="170">
        <v>43495</v>
      </c>
      <c r="B1014" s="116">
        <v>71.7</v>
      </c>
      <c r="C1014" s="116">
        <v>68.05</v>
      </c>
      <c r="D1014" s="116">
        <v>67.75</v>
      </c>
      <c r="E1014" s="116">
        <v>71.45</v>
      </c>
      <c r="F1014" s="116">
        <v>68.05</v>
      </c>
      <c r="G1014">
        <v>390196</v>
      </c>
      <c r="H1014" s="116"/>
      <c r="I1014" s="116"/>
      <c r="L1014" s="170">
        <v>43495</v>
      </c>
      <c r="M1014" s="116">
        <v>68.150000000000006</v>
      </c>
      <c r="N1014" s="116">
        <v>71.5</v>
      </c>
      <c r="O1014" s="116">
        <v>67.900000000000006</v>
      </c>
      <c r="P1014" s="116">
        <v>71.2</v>
      </c>
      <c r="Q1014" s="116">
        <v>68.150000000000006</v>
      </c>
      <c r="R1014">
        <v>4846733</v>
      </c>
    </row>
    <row r="1015" spans="1:18" x14ac:dyDescent="0.25">
      <c r="A1015" s="170">
        <v>43496</v>
      </c>
      <c r="B1015" s="116">
        <v>71.8</v>
      </c>
      <c r="C1015" s="116">
        <v>71.3</v>
      </c>
      <c r="D1015" s="116">
        <v>67.95</v>
      </c>
      <c r="E1015" s="116">
        <v>68.75</v>
      </c>
      <c r="F1015" s="116">
        <v>71.3</v>
      </c>
      <c r="G1015">
        <v>1481542</v>
      </c>
      <c r="H1015" s="116"/>
      <c r="I1015" s="116"/>
      <c r="L1015" s="170">
        <v>43496</v>
      </c>
      <c r="M1015" s="116">
        <v>71.3</v>
      </c>
      <c r="N1015" s="116">
        <v>72</v>
      </c>
      <c r="O1015" s="116">
        <v>67.900000000000006</v>
      </c>
      <c r="P1015" s="116">
        <v>68.45</v>
      </c>
      <c r="Q1015" s="116">
        <v>71.3</v>
      </c>
      <c r="R1015">
        <v>7442257</v>
      </c>
    </row>
    <row r="1016" spans="1:18" x14ac:dyDescent="0.25">
      <c r="A1016" s="170">
        <v>43497</v>
      </c>
      <c r="B1016" s="116">
        <v>72.2</v>
      </c>
      <c r="C1016" s="116">
        <v>71.45</v>
      </c>
      <c r="D1016" s="116">
        <v>70.25</v>
      </c>
      <c r="E1016" s="116">
        <v>71</v>
      </c>
      <c r="F1016" s="116">
        <v>71.45</v>
      </c>
      <c r="G1016">
        <v>1474499</v>
      </c>
      <c r="H1016" s="116"/>
      <c r="I1016" s="116"/>
      <c r="L1016" s="170">
        <v>43497</v>
      </c>
      <c r="M1016" s="116">
        <v>71.5</v>
      </c>
      <c r="N1016" s="116">
        <v>72.3</v>
      </c>
      <c r="O1016" s="116">
        <v>70.25</v>
      </c>
      <c r="P1016" s="116">
        <v>71.5</v>
      </c>
      <c r="Q1016" s="116">
        <v>71.5</v>
      </c>
      <c r="R1016">
        <v>3343602</v>
      </c>
    </row>
    <row r="1017" spans="1:18" x14ac:dyDescent="0.25">
      <c r="A1017" s="170">
        <v>43500</v>
      </c>
      <c r="B1017" s="116">
        <v>71.55</v>
      </c>
      <c r="C1017" s="116">
        <v>70.5</v>
      </c>
      <c r="D1017" s="116">
        <v>69.55</v>
      </c>
      <c r="E1017" s="116">
        <v>71.55</v>
      </c>
      <c r="F1017" s="116">
        <v>70.5</v>
      </c>
      <c r="G1017">
        <v>359053</v>
      </c>
      <c r="H1017" s="116"/>
      <c r="I1017" s="116"/>
      <c r="L1017" s="170">
        <v>43500</v>
      </c>
      <c r="M1017" s="116">
        <v>70.55</v>
      </c>
      <c r="N1017" s="116">
        <v>71.150000000000006</v>
      </c>
      <c r="O1017" s="116">
        <v>69.55</v>
      </c>
      <c r="P1017" s="116">
        <v>71</v>
      </c>
      <c r="Q1017" s="116">
        <v>70.55</v>
      </c>
      <c r="R1017">
        <v>3028680</v>
      </c>
    </row>
    <row r="1018" spans="1:18" x14ac:dyDescent="0.25">
      <c r="A1018" s="170">
        <v>43501</v>
      </c>
      <c r="B1018" s="116">
        <v>71.599999999999994</v>
      </c>
      <c r="C1018" s="116">
        <v>69.849999999999994</v>
      </c>
      <c r="D1018" s="116">
        <v>69.3</v>
      </c>
      <c r="E1018" s="116">
        <v>70.5</v>
      </c>
      <c r="F1018" s="116">
        <v>69.849999999999994</v>
      </c>
      <c r="G1018">
        <v>316200</v>
      </c>
      <c r="H1018" s="116"/>
      <c r="I1018" s="116"/>
      <c r="L1018" s="170">
        <v>43501</v>
      </c>
      <c r="M1018" s="116">
        <v>69.900000000000006</v>
      </c>
      <c r="N1018" s="116">
        <v>71.75</v>
      </c>
      <c r="O1018" s="116">
        <v>69.25</v>
      </c>
      <c r="P1018" s="116">
        <v>70.25</v>
      </c>
      <c r="Q1018" s="116">
        <v>69.900000000000006</v>
      </c>
      <c r="R1018">
        <v>2916745</v>
      </c>
    </row>
    <row r="1019" spans="1:18" x14ac:dyDescent="0.25">
      <c r="A1019" s="170">
        <v>43502</v>
      </c>
      <c r="B1019" s="116">
        <v>71</v>
      </c>
      <c r="C1019" s="116">
        <v>70.2</v>
      </c>
      <c r="D1019" s="116">
        <v>68.400000000000006</v>
      </c>
      <c r="E1019" s="116">
        <v>69.55</v>
      </c>
      <c r="F1019" s="116">
        <v>70.2</v>
      </c>
      <c r="G1019">
        <v>273071</v>
      </c>
      <c r="H1019" s="116"/>
      <c r="I1019" s="116"/>
      <c r="L1019" s="170">
        <v>43502</v>
      </c>
      <c r="M1019" s="116">
        <v>70.400000000000006</v>
      </c>
      <c r="N1019" s="116">
        <v>70.900000000000006</v>
      </c>
      <c r="O1019" s="116">
        <v>68.400000000000006</v>
      </c>
      <c r="P1019" s="116">
        <v>69.8</v>
      </c>
      <c r="Q1019" s="116">
        <v>70.400000000000006</v>
      </c>
      <c r="R1019">
        <v>3066537</v>
      </c>
    </row>
    <row r="1020" spans="1:18" x14ac:dyDescent="0.25">
      <c r="A1020" s="170">
        <v>43503</v>
      </c>
      <c r="B1020" s="116">
        <v>70.900000000000006</v>
      </c>
      <c r="C1020" s="116">
        <v>69.45</v>
      </c>
      <c r="D1020" s="116">
        <v>69.25</v>
      </c>
      <c r="E1020" s="116">
        <v>70.900000000000006</v>
      </c>
      <c r="F1020" s="116">
        <v>69.45</v>
      </c>
      <c r="G1020">
        <v>340425</v>
      </c>
      <c r="H1020" s="116"/>
      <c r="I1020" s="116"/>
      <c r="L1020" s="170">
        <v>43503</v>
      </c>
      <c r="M1020" s="116">
        <v>69.599999999999994</v>
      </c>
      <c r="N1020" s="116">
        <v>71.400000000000006</v>
      </c>
      <c r="O1020" s="116">
        <v>69.150000000000006</v>
      </c>
      <c r="P1020" s="116">
        <v>70.400000000000006</v>
      </c>
      <c r="Q1020" s="116">
        <v>69.599999999999994</v>
      </c>
      <c r="R1020">
        <v>3536220</v>
      </c>
    </row>
    <row r="1021" spans="1:18" x14ac:dyDescent="0.25">
      <c r="A1021" s="170">
        <v>43504</v>
      </c>
      <c r="B1021" s="116">
        <v>70.400000000000006</v>
      </c>
      <c r="C1021" s="116">
        <v>68.650000000000006</v>
      </c>
      <c r="D1021" s="116">
        <v>68.099999999999994</v>
      </c>
      <c r="E1021" s="116">
        <v>69.3</v>
      </c>
      <c r="F1021" s="116">
        <v>68.650000000000006</v>
      </c>
      <c r="G1021">
        <v>183059</v>
      </c>
      <c r="H1021" s="116"/>
      <c r="I1021" s="116"/>
      <c r="L1021" s="170">
        <v>43504</v>
      </c>
      <c r="M1021" s="116">
        <v>68.75</v>
      </c>
      <c r="N1021" s="116">
        <v>70.349999999999994</v>
      </c>
      <c r="O1021" s="116">
        <v>68.05</v>
      </c>
      <c r="P1021" s="116">
        <v>69.05</v>
      </c>
      <c r="Q1021" s="116">
        <v>68.75</v>
      </c>
      <c r="R1021">
        <v>2124482</v>
      </c>
    </row>
    <row r="1022" spans="1:18" x14ac:dyDescent="0.25">
      <c r="A1022" s="170">
        <v>43507</v>
      </c>
      <c r="B1022" s="116">
        <v>68.55</v>
      </c>
      <c r="C1022" s="116">
        <v>65.7</v>
      </c>
      <c r="D1022" s="116">
        <v>65.400000000000006</v>
      </c>
      <c r="E1022" s="116">
        <v>68.099999999999994</v>
      </c>
      <c r="F1022" s="116">
        <v>65.7</v>
      </c>
      <c r="G1022">
        <v>801802</v>
      </c>
      <c r="H1022" s="116"/>
      <c r="I1022" s="116"/>
      <c r="L1022" s="170">
        <v>43507</v>
      </c>
      <c r="M1022" s="116">
        <v>65.55</v>
      </c>
      <c r="N1022" s="116">
        <v>68.45</v>
      </c>
      <c r="O1022" s="116">
        <v>65.150000000000006</v>
      </c>
      <c r="P1022" s="116">
        <v>68.45</v>
      </c>
      <c r="Q1022" s="116">
        <v>65.55</v>
      </c>
      <c r="R1022">
        <v>7041255</v>
      </c>
    </row>
    <row r="1023" spans="1:18" x14ac:dyDescent="0.25">
      <c r="A1023" s="170">
        <v>43508</v>
      </c>
      <c r="B1023" s="116">
        <v>67.2</v>
      </c>
      <c r="C1023" s="116">
        <v>66.349999999999994</v>
      </c>
      <c r="D1023" s="116">
        <v>65.5</v>
      </c>
      <c r="E1023" s="116">
        <v>66</v>
      </c>
      <c r="F1023" s="116">
        <v>66.349999999999994</v>
      </c>
      <c r="G1023">
        <v>252285</v>
      </c>
      <c r="H1023" s="116"/>
      <c r="I1023" s="116"/>
      <c r="L1023" s="170">
        <v>43508</v>
      </c>
      <c r="M1023" s="116">
        <v>66.3</v>
      </c>
      <c r="N1023" s="116">
        <v>67.25</v>
      </c>
      <c r="O1023" s="116">
        <v>65.5</v>
      </c>
      <c r="P1023" s="116">
        <v>65.650000000000006</v>
      </c>
      <c r="Q1023" s="116">
        <v>66.3</v>
      </c>
      <c r="R1023">
        <v>4213698</v>
      </c>
    </row>
    <row r="1024" spans="1:18" x14ac:dyDescent="0.25">
      <c r="A1024" s="170">
        <v>43509</v>
      </c>
      <c r="B1024" s="116">
        <v>68.099999999999994</v>
      </c>
      <c r="C1024" s="116">
        <v>65.150000000000006</v>
      </c>
      <c r="D1024" s="116">
        <v>64.650000000000006</v>
      </c>
      <c r="E1024" s="116">
        <v>66.349999999999994</v>
      </c>
      <c r="F1024" s="116">
        <v>65.150000000000006</v>
      </c>
      <c r="G1024">
        <v>1648713</v>
      </c>
      <c r="H1024" s="116"/>
      <c r="I1024" s="116"/>
      <c r="L1024" s="170">
        <v>43509</v>
      </c>
      <c r="M1024" s="116">
        <v>65.25</v>
      </c>
      <c r="N1024" s="116">
        <v>68.150000000000006</v>
      </c>
      <c r="O1024" s="116">
        <v>64.599999999999994</v>
      </c>
      <c r="P1024" s="116">
        <v>66.5</v>
      </c>
      <c r="Q1024" s="116">
        <v>65.25</v>
      </c>
      <c r="R1024">
        <v>4469396</v>
      </c>
    </row>
    <row r="1025" spans="1:18" x14ac:dyDescent="0.25">
      <c r="A1025" s="170">
        <v>43510</v>
      </c>
      <c r="B1025" s="116">
        <v>67.849999999999994</v>
      </c>
      <c r="C1025" s="116">
        <v>67.599999999999994</v>
      </c>
      <c r="D1025" s="116">
        <v>64.55</v>
      </c>
      <c r="E1025" s="116">
        <v>64.55</v>
      </c>
      <c r="F1025" s="116">
        <v>67.599999999999994</v>
      </c>
      <c r="G1025">
        <v>340408</v>
      </c>
      <c r="H1025" s="116"/>
      <c r="I1025" s="116"/>
      <c r="L1025" s="170">
        <v>43510</v>
      </c>
      <c r="M1025" s="116">
        <v>67.55</v>
      </c>
      <c r="N1025" s="116">
        <v>67.849999999999994</v>
      </c>
      <c r="O1025" s="116">
        <v>65.099999999999994</v>
      </c>
      <c r="P1025" s="116">
        <v>65.8</v>
      </c>
      <c r="Q1025" s="116">
        <v>67.55</v>
      </c>
      <c r="R1025">
        <v>6828282</v>
      </c>
    </row>
    <row r="1026" spans="1:18" x14ac:dyDescent="0.25">
      <c r="A1026" s="170">
        <v>43511</v>
      </c>
      <c r="B1026" s="116">
        <v>70.2</v>
      </c>
      <c r="C1026" s="116">
        <v>69.25</v>
      </c>
      <c r="D1026" s="116">
        <v>66.55</v>
      </c>
      <c r="E1026" s="116">
        <v>68.8</v>
      </c>
      <c r="F1026" s="116">
        <v>69.25</v>
      </c>
      <c r="G1026">
        <v>729756</v>
      </c>
      <c r="H1026" s="116"/>
      <c r="I1026" s="116"/>
      <c r="L1026" s="170">
        <v>43511</v>
      </c>
      <c r="M1026" s="116">
        <v>69.2</v>
      </c>
      <c r="N1026" s="116">
        <v>70.2</v>
      </c>
      <c r="O1026" s="116">
        <v>66.45</v>
      </c>
      <c r="P1026" s="116">
        <v>67.3</v>
      </c>
      <c r="Q1026" s="116">
        <v>69.2</v>
      </c>
      <c r="R1026">
        <v>11110591</v>
      </c>
    </row>
    <row r="1027" spans="1:18" x14ac:dyDescent="0.25">
      <c r="A1027" s="170">
        <v>43514</v>
      </c>
      <c r="B1027" s="116">
        <v>69.5</v>
      </c>
      <c r="C1027" s="116">
        <v>65.400000000000006</v>
      </c>
      <c r="D1027" s="116">
        <v>65.099999999999994</v>
      </c>
      <c r="E1027" s="116">
        <v>69.400000000000006</v>
      </c>
      <c r="F1027" s="116">
        <v>65.400000000000006</v>
      </c>
      <c r="G1027">
        <v>401678</v>
      </c>
      <c r="H1027" s="116"/>
      <c r="I1027" s="116"/>
      <c r="L1027" s="170">
        <v>43514</v>
      </c>
      <c r="M1027" s="116">
        <v>65.349999999999994</v>
      </c>
      <c r="N1027" s="116">
        <v>69.5</v>
      </c>
      <c r="O1027" s="116">
        <v>65.05</v>
      </c>
      <c r="P1027" s="116">
        <v>69.2</v>
      </c>
      <c r="Q1027" s="116">
        <v>65.349999999999994</v>
      </c>
      <c r="R1027">
        <v>6717626</v>
      </c>
    </row>
    <row r="1028" spans="1:18" x14ac:dyDescent="0.25">
      <c r="A1028" s="170">
        <v>43515</v>
      </c>
      <c r="B1028" s="116">
        <v>67.150000000000006</v>
      </c>
      <c r="C1028" s="116">
        <v>65.849999999999994</v>
      </c>
      <c r="D1028" s="116">
        <v>64.650000000000006</v>
      </c>
      <c r="E1028" s="116">
        <v>64.650000000000006</v>
      </c>
      <c r="F1028" s="116">
        <v>65.849999999999994</v>
      </c>
      <c r="G1028">
        <v>154999</v>
      </c>
      <c r="H1028" s="116"/>
      <c r="I1028" s="116"/>
      <c r="L1028" s="170">
        <v>43515</v>
      </c>
      <c r="M1028" s="116">
        <v>65.900000000000006</v>
      </c>
      <c r="N1028" s="116">
        <v>67.150000000000006</v>
      </c>
      <c r="O1028" s="116">
        <v>65.650000000000006</v>
      </c>
      <c r="P1028" s="116">
        <v>65.900000000000006</v>
      </c>
      <c r="Q1028" s="116">
        <v>65.900000000000006</v>
      </c>
      <c r="R1028">
        <v>2892850</v>
      </c>
    </row>
    <row r="1029" spans="1:18" x14ac:dyDescent="0.25">
      <c r="A1029" s="170">
        <v>43516</v>
      </c>
      <c r="B1029" s="116">
        <v>67.8</v>
      </c>
      <c r="C1029" s="116">
        <v>66.2</v>
      </c>
      <c r="D1029" s="116">
        <v>65.900000000000006</v>
      </c>
      <c r="E1029" s="116">
        <v>66.25</v>
      </c>
      <c r="F1029" s="116">
        <v>66.2</v>
      </c>
      <c r="G1029">
        <v>631279</v>
      </c>
      <c r="H1029" s="116"/>
      <c r="I1029" s="116"/>
      <c r="L1029" s="170">
        <v>43516</v>
      </c>
      <c r="M1029" s="116">
        <v>66.900000000000006</v>
      </c>
      <c r="N1029" s="116">
        <v>67.95</v>
      </c>
      <c r="O1029" s="116">
        <v>65.8</v>
      </c>
      <c r="P1029" s="116">
        <v>66.45</v>
      </c>
      <c r="Q1029" s="116">
        <v>66.900000000000006</v>
      </c>
      <c r="R1029">
        <v>5950455</v>
      </c>
    </row>
    <row r="1030" spans="1:18" x14ac:dyDescent="0.25">
      <c r="A1030" s="170">
        <v>43517</v>
      </c>
      <c r="B1030" s="116">
        <v>68.099999999999994</v>
      </c>
      <c r="C1030" s="116">
        <v>67.400000000000006</v>
      </c>
      <c r="D1030" s="116">
        <v>66.900000000000006</v>
      </c>
      <c r="E1030" s="116">
        <v>67.5</v>
      </c>
      <c r="F1030" s="116">
        <v>67.400000000000006</v>
      </c>
      <c r="G1030">
        <v>179094</v>
      </c>
      <c r="H1030" s="116"/>
      <c r="I1030" s="116"/>
      <c r="L1030" s="170">
        <v>43517</v>
      </c>
      <c r="M1030" s="116">
        <v>67.45</v>
      </c>
      <c r="N1030" s="116">
        <v>68.150000000000006</v>
      </c>
      <c r="O1030" s="116">
        <v>66.849999999999994</v>
      </c>
      <c r="P1030" s="116">
        <v>67.7</v>
      </c>
      <c r="Q1030" s="116">
        <v>67.45</v>
      </c>
      <c r="R1030">
        <v>3283026</v>
      </c>
    </row>
    <row r="1031" spans="1:18" x14ac:dyDescent="0.25">
      <c r="A1031" s="170">
        <v>43518</v>
      </c>
      <c r="B1031" s="116">
        <v>67.8</v>
      </c>
      <c r="C1031" s="116">
        <v>67.099999999999994</v>
      </c>
      <c r="D1031" s="116">
        <v>66.849999999999994</v>
      </c>
      <c r="E1031" s="116">
        <v>67.400000000000006</v>
      </c>
      <c r="F1031" s="116">
        <v>67.099999999999994</v>
      </c>
      <c r="G1031">
        <v>181625</v>
      </c>
      <c r="H1031" s="116"/>
      <c r="I1031" s="116"/>
      <c r="L1031" s="170">
        <v>43518</v>
      </c>
      <c r="M1031" s="116">
        <v>67.099999999999994</v>
      </c>
      <c r="N1031" s="116">
        <v>67.95</v>
      </c>
      <c r="O1031" s="116">
        <v>66.75</v>
      </c>
      <c r="P1031" s="116">
        <v>67.5</v>
      </c>
      <c r="Q1031" s="116">
        <v>67.099999999999994</v>
      </c>
      <c r="R1031">
        <v>3078805</v>
      </c>
    </row>
    <row r="1032" spans="1:18" x14ac:dyDescent="0.25">
      <c r="A1032" s="170">
        <v>43521</v>
      </c>
      <c r="B1032" s="116">
        <v>67.45</v>
      </c>
      <c r="C1032" s="116">
        <v>66.650000000000006</v>
      </c>
      <c r="D1032" s="116">
        <v>66.5</v>
      </c>
      <c r="E1032" s="116">
        <v>67.099999999999994</v>
      </c>
      <c r="F1032" s="116">
        <v>66.650000000000006</v>
      </c>
      <c r="G1032">
        <v>113802</v>
      </c>
      <c r="H1032" s="116"/>
      <c r="I1032" s="116"/>
      <c r="L1032" s="170">
        <v>43521</v>
      </c>
      <c r="M1032" s="116">
        <v>66.55</v>
      </c>
      <c r="N1032" s="116">
        <v>67.45</v>
      </c>
      <c r="O1032" s="116">
        <v>66.400000000000006</v>
      </c>
      <c r="P1032" s="116">
        <v>67.099999999999994</v>
      </c>
      <c r="Q1032" s="116">
        <v>66.55</v>
      </c>
      <c r="R1032">
        <v>3161336</v>
      </c>
    </row>
    <row r="1033" spans="1:18" x14ac:dyDescent="0.25">
      <c r="A1033" s="170">
        <v>43522</v>
      </c>
      <c r="B1033" s="116">
        <v>67.25</v>
      </c>
      <c r="C1033" s="116">
        <v>66.3</v>
      </c>
      <c r="D1033" s="116">
        <v>64.099999999999994</v>
      </c>
      <c r="E1033" s="116">
        <v>66.2</v>
      </c>
      <c r="F1033" s="116">
        <v>66.3</v>
      </c>
      <c r="G1033">
        <v>590233</v>
      </c>
      <c r="H1033" s="116"/>
      <c r="I1033" s="116"/>
      <c r="L1033" s="170">
        <v>43522</v>
      </c>
      <c r="M1033" s="116">
        <v>66.150000000000006</v>
      </c>
      <c r="N1033" s="116">
        <v>67.150000000000006</v>
      </c>
      <c r="O1033" s="116">
        <v>64.05</v>
      </c>
      <c r="P1033" s="116">
        <v>66.3</v>
      </c>
      <c r="Q1033" s="116">
        <v>66.150000000000006</v>
      </c>
      <c r="R1033">
        <v>10552247</v>
      </c>
    </row>
    <row r="1034" spans="1:18" x14ac:dyDescent="0.25">
      <c r="A1034" s="170">
        <v>43523</v>
      </c>
      <c r="B1034" s="116">
        <v>67.900000000000006</v>
      </c>
      <c r="C1034" s="116">
        <v>65.5</v>
      </c>
      <c r="D1034" s="116">
        <v>65.150000000000006</v>
      </c>
      <c r="E1034" s="116">
        <v>66.900000000000006</v>
      </c>
      <c r="F1034" s="116">
        <v>65.5</v>
      </c>
      <c r="G1034">
        <v>383973</v>
      </c>
      <c r="H1034" s="116"/>
      <c r="I1034" s="116"/>
      <c r="L1034" s="170">
        <v>43523</v>
      </c>
      <c r="M1034" s="116">
        <v>65.5</v>
      </c>
      <c r="N1034" s="116">
        <v>67.95</v>
      </c>
      <c r="O1034" s="116">
        <v>65.150000000000006</v>
      </c>
      <c r="P1034" s="116">
        <v>66.55</v>
      </c>
      <c r="Q1034" s="116">
        <v>65.5</v>
      </c>
      <c r="R1034">
        <v>4724311</v>
      </c>
    </row>
    <row r="1035" spans="1:18" x14ac:dyDescent="0.25">
      <c r="A1035" s="170">
        <v>43524</v>
      </c>
      <c r="B1035" s="116">
        <v>66.2</v>
      </c>
      <c r="C1035" s="116">
        <v>65.349999999999994</v>
      </c>
      <c r="D1035" s="116">
        <v>65.099999999999994</v>
      </c>
      <c r="E1035" s="116">
        <v>65.849999999999994</v>
      </c>
      <c r="F1035" s="116">
        <v>65.349999999999994</v>
      </c>
      <c r="G1035">
        <v>172070</v>
      </c>
      <c r="H1035" s="116"/>
      <c r="I1035" s="116"/>
      <c r="L1035" s="170">
        <v>43524</v>
      </c>
      <c r="M1035" s="116">
        <v>65.45</v>
      </c>
      <c r="N1035" s="116">
        <v>66.25</v>
      </c>
      <c r="O1035" s="116">
        <v>65.099999999999994</v>
      </c>
      <c r="P1035" s="116">
        <v>65.900000000000006</v>
      </c>
      <c r="Q1035" s="116">
        <v>65.45</v>
      </c>
      <c r="R1035">
        <v>9665743</v>
      </c>
    </row>
    <row r="1036" spans="1:18" x14ac:dyDescent="0.25">
      <c r="A1036" s="170">
        <v>43525</v>
      </c>
      <c r="B1036" s="116">
        <v>67.75</v>
      </c>
      <c r="C1036" s="116">
        <v>67.05</v>
      </c>
      <c r="D1036" s="116">
        <v>65.55</v>
      </c>
      <c r="E1036" s="116">
        <v>66</v>
      </c>
      <c r="F1036" s="116">
        <v>67.05</v>
      </c>
      <c r="G1036">
        <v>876517</v>
      </c>
      <c r="H1036" s="116"/>
      <c r="I1036" s="116"/>
      <c r="L1036" s="170">
        <v>43525</v>
      </c>
      <c r="M1036" s="116">
        <v>67.05</v>
      </c>
      <c r="N1036" s="116">
        <v>67.75</v>
      </c>
      <c r="O1036" s="116">
        <v>65.599999999999994</v>
      </c>
      <c r="P1036" s="116">
        <v>66</v>
      </c>
      <c r="Q1036" s="116">
        <v>67.05</v>
      </c>
      <c r="R1036">
        <v>11001198</v>
      </c>
    </row>
    <row r="1037" spans="1:18" x14ac:dyDescent="0.25">
      <c r="A1037" s="170">
        <v>43529</v>
      </c>
      <c r="B1037" s="116">
        <v>69.599999999999994</v>
      </c>
      <c r="C1037" s="116">
        <v>69</v>
      </c>
      <c r="D1037" s="116">
        <v>67.349999999999994</v>
      </c>
      <c r="E1037" s="116">
        <v>67.5</v>
      </c>
      <c r="F1037" s="116">
        <v>69</v>
      </c>
      <c r="G1037">
        <v>1385505</v>
      </c>
      <c r="H1037" s="116"/>
      <c r="I1037" s="116"/>
      <c r="L1037" s="170">
        <v>43529</v>
      </c>
      <c r="M1037" s="116">
        <v>69.150000000000006</v>
      </c>
      <c r="N1037" s="116">
        <v>69.650000000000006</v>
      </c>
      <c r="O1037" s="116">
        <v>67.2</v>
      </c>
      <c r="P1037" s="116">
        <v>67.849999999999994</v>
      </c>
      <c r="Q1037" s="116">
        <v>69.150000000000006</v>
      </c>
      <c r="R1037">
        <v>13327374</v>
      </c>
    </row>
    <row r="1038" spans="1:18" x14ac:dyDescent="0.25">
      <c r="A1038" s="170">
        <v>43530</v>
      </c>
      <c r="B1038" s="116">
        <v>72.150000000000006</v>
      </c>
      <c r="C1038" s="116">
        <v>71.3</v>
      </c>
      <c r="D1038" s="116">
        <v>69.150000000000006</v>
      </c>
      <c r="E1038" s="116">
        <v>69.7</v>
      </c>
      <c r="F1038" s="116">
        <v>71.3</v>
      </c>
      <c r="G1038">
        <v>1046242</v>
      </c>
      <c r="H1038" s="116"/>
      <c r="I1038" s="116"/>
      <c r="L1038" s="170">
        <v>43530</v>
      </c>
      <c r="M1038" s="116">
        <v>71.3</v>
      </c>
      <c r="N1038" s="116">
        <v>72.150000000000006</v>
      </c>
      <c r="O1038" s="116">
        <v>69.2</v>
      </c>
      <c r="P1038" s="116">
        <v>70</v>
      </c>
      <c r="Q1038" s="116">
        <v>71.3</v>
      </c>
      <c r="R1038">
        <v>11046556</v>
      </c>
    </row>
    <row r="1039" spans="1:18" x14ac:dyDescent="0.25">
      <c r="A1039" s="170">
        <v>43531</v>
      </c>
      <c r="B1039" s="116">
        <v>73.900000000000006</v>
      </c>
      <c r="C1039" s="116">
        <v>70.55</v>
      </c>
      <c r="D1039" s="116">
        <v>70.25</v>
      </c>
      <c r="E1039" s="116">
        <v>72.8</v>
      </c>
      <c r="F1039" s="116">
        <v>70.55</v>
      </c>
      <c r="G1039">
        <v>1083119</v>
      </c>
      <c r="H1039" s="116"/>
      <c r="I1039" s="116"/>
      <c r="L1039" s="170">
        <v>43531</v>
      </c>
      <c r="M1039" s="116">
        <v>70.55</v>
      </c>
      <c r="N1039" s="116">
        <v>73.95</v>
      </c>
      <c r="O1039" s="116">
        <v>70.349999999999994</v>
      </c>
      <c r="P1039" s="116">
        <v>73</v>
      </c>
      <c r="Q1039" s="116">
        <v>70.55</v>
      </c>
      <c r="R1039">
        <v>12534795</v>
      </c>
    </row>
    <row r="1040" spans="1:18" x14ac:dyDescent="0.25">
      <c r="A1040" s="170">
        <v>43532</v>
      </c>
      <c r="B1040" s="116">
        <v>70.650000000000006</v>
      </c>
      <c r="C1040" s="116">
        <v>69.849999999999994</v>
      </c>
      <c r="D1040" s="116">
        <v>68.95</v>
      </c>
      <c r="E1040" s="116">
        <v>70.55</v>
      </c>
      <c r="F1040" s="116">
        <v>69.849999999999994</v>
      </c>
      <c r="G1040">
        <v>624544</v>
      </c>
      <c r="H1040" s="116"/>
      <c r="I1040" s="116"/>
      <c r="L1040" s="170">
        <v>43532</v>
      </c>
      <c r="M1040" s="116">
        <v>70</v>
      </c>
      <c r="N1040" s="116">
        <v>70.75</v>
      </c>
      <c r="O1040" s="116">
        <v>68.849999999999994</v>
      </c>
      <c r="P1040" s="116">
        <v>70.45</v>
      </c>
      <c r="Q1040" s="116">
        <v>70</v>
      </c>
      <c r="R1040">
        <v>6200799</v>
      </c>
    </row>
    <row r="1041" spans="1:18" x14ac:dyDescent="0.25">
      <c r="A1041" s="170">
        <v>43535</v>
      </c>
      <c r="B1041" s="116">
        <v>72.099999999999994</v>
      </c>
      <c r="C1041" s="116">
        <v>71.7</v>
      </c>
      <c r="D1041" s="116">
        <v>70.2</v>
      </c>
      <c r="E1041" s="116">
        <v>70.2</v>
      </c>
      <c r="F1041" s="116">
        <v>71.7</v>
      </c>
      <c r="G1041">
        <v>2934046</v>
      </c>
      <c r="H1041" s="116"/>
      <c r="I1041" s="116"/>
      <c r="L1041" s="170">
        <v>43535</v>
      </c>
      <c r="M1041" s="116">
        <v>71.7</v>
      </c>
      <c r="N1041" s="116">
        <v>72.099999999999994</v>
      </c>
      <c r="O1041" s="116">
        <v>70.3</v>
      </c>
      <c r="P1041" s="116">
        <v>71.2</v>
      </c>
      <c r="Q1041" s="116">
        <v>71.7</v>
      </c>
      <c r="R1041">
        <v>5319324</v>
      </c>
    </row>
    <row r="1042" spans="1:18" x14ac:dyDescent="0.25">
      <c r="A1042" s="170">
        <v>43536</v>
      </c>
      <c r="B1042" s="116">
        <v>73.900000000000006</v>
      </c>
      <c r="C1042" s="116">
        <v>73.349999999999994</v>
      </c>
      <c r="D1042" s="116">
        <v>72</v>
      </c>
      <c r="E1042" s="116">
        <v>72.05</v>
      </c>
      <c r="F1042" s="116">
        <v>73.349999999999994</v>
      </c>
      <c r="G1042">
        <v>1814177</v>
      </c>
      <c r="H1042" s="116"/>
      <c r="I1042" s="116"/>
      <c r="L1042" s="170">
        <v>43536</v>
      </c>
      <c r="M1042" s="116">
        <v>73.349999999999994</v>
      </c>
      <c r="N1042" s="116">
        <v>74</v>
      </c>
      <c r="O1042" s="116">
        <v>71.95</v>
      </c>
      <c r="P1042" s="116">
        <v>72.099999999999994</v>
      </c>
      <c r="Q1042" s="116">
        <v>73.349999999999994</v>
      </c>
      <c r="R1042">
        <v>8901828</v>
      </c>
    </row>
    <row r="1043" spans="1:18" x14ac:dyDescent="0.25">
      <c r="A1043" s="170">
        <v>43537</v>
      </c>
      <c r="B1043" s="116">
        <v>74.349999999999994</v>
      </c>
      <c r="C1043" s="116">
        <v>73.7</v>
      </c>
      <c r="D1043" s="116">
        <v>72.25</v>
      </c>
      <c r="E1043" s="116">
        <v>73.400000000000006</v>
      </c>
      <c r="F1043" s="116">
        <v>73.7</v>
      </c>
      <c r="G1043">
        <v>594414</v>
      </c>
      <c r="H1043" s="116"/>
      <c r="I1043" s="116"/>
      <c r="L1043" s="170">
        <v>43537</v>
      </c>
      <c r="M1043" s="116">
        <v>73.8</v>
      </c>
      <c r="N1043" s="116">
        <v>74.45</v>
      </c>
      <c r="O1043" s="116">
        <v>72.150000000000006</v>
      </c>
      <c r="P1043" s="116">
        <v>73</v>
      </c>
      <c r="Q1043" s="116">
        <v>73.8</v>
      </c>
      <c r="R1043">
        <v>7408808</v>
      </c>
    </row>
    <row r="1044" spans="1:18" x14ac:dyDescent="0.25">
      <c r="A1044" s="170">
        <v>43538</v>
      </c>
      <c r="B1044" s="116">
        <v>74</v>
      </c>
      <c r="C1044" s="116">
        <v>73</v>
      </c>
      <c r="D1044" s="116">
        <v>72.7</v>
      </c>
      <c r="E1044" s="116">
        <v>74</v>
      </c>
      <c r="F1044" s="116">
        <v>73</v>
      </c>
      <c r="G1044">
        <v>1277809</v>
      </c>
      <c r="H1044" s="116"/>
      <c r="I1044" s="116"/>
      <c r="L1044" s="170">
        <v>43538</v>
      </c>
      <c r="M1044" s="116">
        <v>73.05</v>
      </c>
      <c r="N1044" s="116">
        <v>74.150000000000006</v>
      </c>
      <c r="O1044" s="116">
        <v>72.75</v>
      </c>
      <c r="P1044" s="116">
        <v>74.150000000000006</v>
      </c>
      <c r="Q1044" s="116">
        <v>73.05</v>
      </c>
      <c r="R1044">
        <v>3962991</v>
      </c>
    </row>
    <row r="1045" spans="1:18" x14ac:dyDescent="0.25">
      <c r="A1045" s="170">
        <v>43539</v>
      </c>
      <c r="B1045" s="116">
        <v>74.650000000000006</v>
      </c>
      <c r="C1045" s="116">
        <v>73.75</v>
      </c>
      <c r="D1045" s="116">
        <v>72.650000000000006</v>
      </c>
      <c r="E1045" s="116">
        <v>73.349999999999994</v>
      </c>
      <c r="F1045" s="116">
        <v>73.75</v>
      </c>
      <c r="G1045">
        <v>647552</v>
      </c>
      <c r="H1045" s="116"/>
      <c r="I1045" s="116"/>
      <c r="L1045" s="170">
        <v>43539</v>
      </c>
      <c r="M1045" s="116">
        <v>73.8</v>
      </c>
      <c r="N1045" s="116">
        <v>74.75</v>
      </c>
      <c r="O1045" s="116">
        <v>72.8</v>
      </c>
      <c r="P1045" s="116">
        <v>73</v>
      </c>
      <c r="Q1045" s="116">
        <v>73.8</v>
      </c>
      <c r="R1045">
        <v>7751928</v>
      </c>
    </row>
    <row r="1046" spans="1:18" x14ac:dyDescent="0.25">
      <c r="A1046" s="170">
        <v>43542</v>
      </c>
      <c r="B1046" s="116">
        <v>74.75</v>
      </c>
      <c r="C1046" s="116">
        <v>73</v>
      </c>
      <c r="D1046" s="116">
        <v>72.7</v>
      </c>
      <c r="E1046" s="116">
        <v>74</v>
      </c>
      <c r="F1046" s="116">
        <v>73</v>
      </c>
      <c r="G1046">
        <v>368575</v>
      </c>
      <c r="H1046" s="116"/>
      <c r="I1046" s="116"/>
      <c r="L1046" s="170">
        <v>43542</v>
      </c>
      <c r="M1046" s="116">
        <v>73.05</v>
      </c>
      <c r="N1046" s="116">
        <v>74.7</v>
      </c>
      <c r="O1046" s="116">
        <v>72.7</v>
      </c>
      <c r="P1046" s="116">
        <v>74.099999999999994</v>
      </c>
      <c r="Q1046" s="116">
        <v>73.05</v>
      </c>
      <c r="R1046">
        <v>5296795</v>
      </c>
    </row>
    <row r="1047" spans="1:18" x14ac:dyDescent="0.25">
      <c r="A1047" s="170">
        <v>43543</v>
      </c>
      <c r="B1047" s="116">
        <v>74.25</v>
      </c>
      <c r="C1047" s="116">
        <v>73</v>
      </c>
      <c r="D1047" s="116">
        <v>72.75</v>
      </c>
      <c r="E1047" s="116">
        <v>73.099999999999994</v>
      </c>
      <c r="F1047" s="116">
        <v>73</v>
      </c>
      <c r="G1047">
        <v>319146</v>
      </c>
      <c r="H1047" s="116"/>
      <c r="I1047" s="116"/>
      <c r="L1047" s="170">
        <v>43543</v>
      </c>
      <c r="M1047" s="116">
        <v>73</v>
      </c>
      <c r="N1047" s="116">
        <v>74.3</v>
      </c>
      <c r="O1047" s="116">
        <v>72.7</v>
      </c>
      <c r="P1047" s="116">
        <v>73.45</v>
      </c>
      <c r="Q1047" s="116">
        <v>73</v>
      </c>
      <c r="R1047">
        <v>5567624</v>
      </c>
    </row>
    <row r="1048" spans="1:18" x14ac:dyDescent="0.25">
      <c r="A1048" s="170">
        <v>43544</v>
      </c>
      <c r="B1048" s="116">
        <v>73.8</v>
      </c>
      <c r="C1048" s="116">
        <v>72</v>
      </c>
      <c r="D1048" s="116">
        <v>71.75</v>
      </c>
      <c r="E1048" s="116">
        <v>73</v>
      </c>
      <c r="F1048" s="116">
        <v>72</v>
      </c>
      <c r="G1048">
        <v>260327</v>
      </c>
      <c r="H1048" s="116"/>
      <c r="I1048" s="116"/>
      <c r="L1048" s="170">
        <v>43544</v>
      </c>
      <c r="M1048" s="116">
        <v>72.05</v>
      </c>
      <c r="N1048" s="116">
        <v>73.849999999999994</v>
      </c>
      <c r="O1048" s="116">
        <v>71.7</v>
      </c>
      <c r="P1048" s="116">
        <v>73.2</v>
      </c>
      <c r="Q1048" s="116">
        <v>72.05</v>
      </c>
      <c r="R1048">
        <v>5050030</v>
      </c>
    </row>
    <row r="1049" spans="1:18" x14ac:dyDescent="0.25">
      <c r="A1049" s="170">
        <v>43546</v>
      </c>
      <c r="B1049" s="116">
        <v>73.75</v>
      </c>
      <c r="C1049" s="116">
        <v>72.5</v>
      </c>
      <c r="D1049" s="116">
        <v>72.05</v>
      </c>
      <c r="E1049" s="116">
        <v>72.05</v>
      </c>
      <c r="F1049" s="116">
        <v>72.5</v>
      </c>
      <c r="G1049">
        <v>442489</v>
      </c>
      <c r="H1049" s="116"/>
      <c r="I1049" s="116"/>
      <c r="L1049" s="170">
        <v>43546</v>
      </c>
      <c r="M1049" s="116">
        <v>72.55</v>
      </c>
      <c r="N1049" s="116">
        <v>73.8</v>
      </c>
      <c r="O1049" s="116">
        <v>72</v>
      </c>
      <c r="P1049" s="116">
        <v>73</v>
      </c>
      <c r="Q1049" s="116">
        <v>72.55</v>
      </c>
      <c r="R1049">
        <v>3913385</v>
      </c>
    </row>
    <row r="1050" spans="1:18" x14ac:dyDescent="0.25">
      <c r="A1050" s="170">
        <v>43549</v>
      </c>
      <c r="B1050" s="116">
        <v>73.099999999999994</v>
      </c>
      <c r="C1050" s="116">
        <v>71.900000000000006</v>
      </c>
      <c r="D1050" s="116">
        <v>71.25</v>
      </c>
      <c r="E1050" s="116">
        <v>72.95</v>
      </c>
      <c r="F1050" s="116">
        <v>71.900000000000006</v>
      </c>
      <c r="G1050">
        <v>499322</v>
      </c>
      <c r="H1050" s="116"/>
      <c r="I1050" s="116"/>
      <c r="L1050" s="170">
        <v>43549</v>
      </c>
      <c r="M1050" s="116">
        <v>71.900000000000006</v>
      </c>
      <c r="N1050" s="116">
        <v>73.150000000000006</v>
      </c>
      <c r="O1050" s="116">
        <v>70.55</v>
      </c>
      <c r="P1050" s="116">
        <v>72.45</v>
      </c>
      <c r="Q1050" s="116">
        <v>71.900000000000006</v>
      </c>
      <c r="R1050">
        <v>4332510</v>
      </c>
    </row>
    <row r="1051" spans="1:18" x14ac:dyDescent="0.25">
      <c r="A1051" s="170">
        <v>43550</v>
      </c>
      <c r="B1051" s="116">
        <v>72.95</v>
      </c>
      <c r="C1051" s="116">
        <v>71.25</v>
      </c>
      <c r="D1051" s="116">
        <v>70.7</v>
      </c>
      <c r="E1051" s="116">
        <v>72.900000000000006</v>
      </c>
      <c r="F1051" s="116">
        <v>71.25</v>
      </c>
      <c r="G1051">
        <v>577233</v>
      </c>
      <c r="H1051" s="116"/>
      <c r="I1051" s="116"/>
      <c r="L1051" s="170">
        <v>43550</v>
      </c>
      <c r="M1051" s="116">
        <v>71.3</v>
      </c>
      <c r="N1051" s="116">
        <v>73</v>
      </c>
      <c r="O1051" s="116">
        <v>70.849999999999994</v>
      </c>
      <c r="P1051" s="116">
        <v>72.45</v>
      </c>
      <c r="Q1051" s="116">
        <v>71.3</v>
      </c>
      <c r="R1051">
        <v>3789439</v>
      </c>
    </row>
    <row r="1052" spans="1:18" x14ac:dyDescent="0.25">
      <c r="A1052" s="170">
        <v>43551</v>
      </c>
      <c r="B1052" s="116">
        <v>72.8</v>
      </c>
      <c r="C1052" s="116">
        <v>71.349999999999994</v>
      </c>
      <c r="D1052" s="116">
        <v>71.099999999999994</v>
      </c>
      <c r="E1052" s="116">
        <v>72.25</v>
      </c>
      <c r="F1052" s="116">
        <v>71.349999999999994</v>
      </c>
      <c r="G1052">
        <v>281790</v>
      </c>
      <c r="H1052" s="116"/>
      <c r="I1052" s="116"/>
      <c r="L1052" s="170">
        <v>43551</v>
      </c>
      <c r="M1052" s="116">
        <v>71.400000000000006</v>
      </c>
      <c r="N1052" s="116">
        <v>72.900000000000006</v>
      </c>
      <c r="O1052" s="116">
        <v>71.099999999999994</v>
      </c>
      <c r="P1052" s="116">
        <v>71.45</v>
      </c>
      <c r="Q1052" s="116">
        <v>71.400000000000006</v>
      </c>
      <c r="R1052">
        <v>4812399</v>
      </c>
    </row>
    <row r="1053" spans="1:18" x14ac:dyDescent="0.25">
      <c r="A1053" s="170">
        <v>43552</v>
      </c>
      <c r="B1053" s="116">
        <v>72.599999999999994</v>
      </c>
      <c r="C1053" s="116">
        <v>71.400000000000006</v>
      </c>
      <c r="D1053" s="116">
        <v>71.05</v>
      </c>
      <c r="E1053" s="116">
        <v>71.95</v>
      </c>
      <c r="F1053" s="116">
        <v>71.400000000000006</v>
      </c>
      <c r="G1053">
        <v>617317</v>
      </c>
      <c r="H1053" s="116"/>
      <c r="I1053" s="116"/>
      <c r="L1053" s="170">
        <v>43552</v>
      </c>
      <c r="M1053" s="116">
        <v>71.55</v>
      </c>
      <c r="N1053" s="116">
        <v>72.650000000000006</v>
      </c>
      <c r="O1053" s="116">
        <v>71.099999999999994</v>
      </c>
      <c r="P1053" s="116">
        <v>71.900000000000006</v>
      </c>
      <c r="Q1053" s="116">
        <v>71.55</v>
      </c>
      <c r="R1053">
        <v>9265724</v>
      </c>
    </row>
    <row r="1054" spans="1:18" x14ac:dyDescent="0.25">
      <c r="A1054" s="170">
        <v>43553</v>
      </c>
      <c r="B1054" s="116">
        <v>74.55</v>
      </c>
      <c r="C1054" s="116">
        <v>73.8</v>
      </c>
      <c r="D1054" s="116">
        <v>72.099999999999994</v>
      </c>
      <c r="E1054" s="116">
        <v>72.400000000000006</v>
      </c>
      <c r="F1054" s="116">
        <v>73.8</v>
      </c>
      <c r="G1054">
        <v>820836</v>
      </c>
      <c r="H1054" s="116"/>
      <c r="I1054" s="116"/>
      <c r="L1054" s="170">
        <v>43553</v>
      </c>
      <c r="M1054" s="116">
        <v>73.8</v>
      </c>
      <c r="N1054" s="116">
        <v>74.55</v>
      </c>
      <c r="O1054" s="116">
        <v>72</v>
      </c>
      <c r="P1054" s="116">
        <v>72.400000000000006</v>
      </c>
      <c r="Q1054" s="116">
        <v>73.8</v>
      </c>
      <c r="R1054">
        <v>9504154</v>
      </c>
    </row>
    <row r="1055" spans="1:18" x14ac:dyDescent="0.25">
      <c r="A1055" s="170">
        <v>43556</v>
      </c>
      <c r="B1055" s="116">
        <v>75.900000000000006</v>
      </c>
      <c r="C1055" s="116">
        <v>74.2</v>
      </c>
      <c r="D1055" s="116">
        <v>73.7</v>
      </c>
      <c r="E1055" s="116">
        <v>74.400000000000006</v>
      </c>
      <c r="F1055" s="116">
        <v>74.2</v>
      </c>
      <c r="G1055">
        <v>587373</v>
      </c>
      <c r="H1055" s="116"/>
      <c r="I1055" s="116"/>
      <c r="L1055" s="170">
        <v>43556</v>
      </c>
      <c r="M1055" s="116">
        <v>74.400000000000006</v>
      </c>
      <c r="N1055" s="116">
        <v>76</v>
      </c>
      <c r="O1055" s="116">
        <v>73.7</v>
      </c>
      <c r="P1055" s="116">
        <v>74.2</v>
      </c>
      <c r="Q1055" s="116">
        <v>74.400000000000006</v>
      </c>
      <c r="R1055">
        <v>7267624</v>
      </c>
    </row>
    <row r="1056" spans="1:18" x14ac:dyDescent="0.25">
      <c r="A1056" s="170">
        <v>43557</v>
      </c>
      <c r="B1056" s="116">
        <v>76.900000000000006</v>
      </c>
      <c r="C1056" s="116">
        <v>74.2</v>
      </c>
      <c r="D1056" s="116">
        <v>73.2</v>
      </c>
      <c r="E1056" s="116">
        <v>74.8</v>
      </c>
      <c r="F1056" s="116">
        <v>74.2</v>
      </c>
      <c r="G1056">
        <v>1104673</v>
      </c>
      <c r="H1056" s="116"/>
      <c r="I1056" s="116"/>
      <c r="L1056" s="170">
        <v>43557</v>
      </c>
      <c r="M1056" s="116">
        <v>74.05</v>
      </c>
      <c r="N1056" s="116">
        <v>77</v>
      </c>
      <c r="O1056" s="116">
        <v>73.099999999999994</v>
      </c>
      <c r="P1056" s="116">
        <v>75.5</v>
      </c>
      <c r="Q1056" s="116">
        <v>74.05</v>
      </c>
      <c r="R1056">
        <v>12971969</v>
      </c>
    </row>
    <row r="1057" spans="1:18" x14ac:dyDescent="0.25">
      <c r="A1057" s="170">
        <v>43558</v>
      </c>
      <c r="B1057" s="116">
        <v>74.900000000000006</v>
      </c>
      <c r="C1057" s="116">
        <v>71.650000000000006</v>
      </c>
      <c r="D1057" s="116">
        <v>71.25</v>
      </c>
      <c r="E1057" s="116">
        <v>74.900000000000006</v>
      </c>
      <c r="F1057" s="116">
        <v>71.650000000000006</v>
      </c>
      <c r="G1057">
        <v>536303</v>
      </c>
      <c r="H1057" s="116"/>
      <c r="I1057" s="116"/>
      <c r="L1057" s="170">
        <v>43558</v>
      </c>
      <c r="M1057" s="116">
        <v>71.45</v>
      </c>
      <c r="N1057" s="116">
        <v>74.55</v>
      </c>
      <c r="O1057" s="116">
        <v>71.05</v>
      </c>
      <c r="P1057" s="116">
        <v>74.55</v>
      </c>
      <c r="Q1057" s="116">
        <v>71.45</v>
      </c>
      <c r="R1057">
        <v>6417056</v>
      </c>
    </row>
    <row r="1058" spans="1:18" x14ac:dyDescent="0.25">
      <c r="A1058" s="170">
        <v>43559</v>
      </c>
      <c r="B1058" s="116">
        <v>72.25</v>
      </c>
      <c r="C1058" s="116">
        <v>70.900000000000006</v>
      </c>
      <c r="D1058" s="116">
        <v>70.5</v>
      </c>
      <c r="E1058" s="116">
        <v>70.650000000000006</v>
      </c>
      <c r="F1058" s="116">
        <v>70.900000000000006</v>
      </c>
      <c r="G1058">
        <v>401004</v>
      </c>
      <c r="H1058" s="116"/>
      <c r="I1058" s="116"/>
      <c r="L1058" s="170">
        <v>43559</v>
      </c>
      <c r="M1058" s="116">
        <v>70.75</v>
      </c>
      <c r="N1058" s="116">
        <v>72.400000000000006</v>
      </c>
      <c r="O1058" s="116">
        <v>70.25</v>
      </c>
      <c r="P1058" s="116">
        <v>71.5</v>
      </c>
      <c r="Q1058" s="116">
        <v>70.75</v>
      </c>
      <c r="R1058">
        <v>6416069</v>
      </c>
    </row>
    <row r="1059" spans="1:18" x14ac:dyDescent="0.25">
      <c r="A1059" s="170">
        <v>43560</v>
      </c>
      <c r="B1059" s="116">
        <v>72.95</v>
      </c>
      <c r="C1059" s="116">
        <v>71.75</v>
      </c>
      <c r="D1059" s="116">
        <v>70.5</v>
      </c>
      <c r="E1059" s="116">
        <v>71.05</v>
      </c>
      <c r="F1059" s="116">
        <v>71.75</v>
      </c>
      <c r="G1059">
        <v>2086373</v>
      </c>
      <c r="H1059" s="116"/>
      <c r="I1059" s="116"/>
      <c r="L1059" s="170">
        <v>43560</v>
      </c>
      <c r="M1059" s="116">
        <v>71.95</v>
      </c>
      <c r="N1059" s="116">
        <v>72.7</v>
      </c>
      <c r="O1059" s="116">
        <v>70.5</v>
      </c>
      <c r="P1059" s="116">
        <v>71</v>
      </c>
      <c r="Q1059" s="116">
        <v>71.95</v>
      </c>
      <c r="R1059">
        <v>7793935</v>
      </c>
    </row>
    <row r="1060" spans="1:18" x14ac:dyDescent="0.25">
      <c r="A1060" s="170">
        <v>43563</v>
      </c>
      <c r="B1060" s="116">
        <v>73.349999999999994</v>
      </c>
      <c r="C1060" s="116">
        <v>71.900000000000006</v>
      </c>
      <c r="D1060" s="116">
        <v>70.650000000000006</v>
      </c>
      <c r="E1060" s="116">
        <v>73.3</v>
      </c>
      <c r="F1060" s="116">
        <v>71.900000000000006</v>
      </c>
      <c r="G1060">
        <v>2222037</v>
      </c>
      <c r="H1060" s="116"/>
      <c r="I1060" s="116"/>
      <c r="L1060" s="170">
        <v>43563</v>
      </c>
      <c r="M1060" s="116">
        <v>71.900000000000006</v>
      </c>
      <c r="N1060" s="116">
        <v>73.55</v>
      </c>
      <c r="O1060" s="116">
        <v>70.75</v>
      </c>
      <c r="P1060" s="116">
        <v>73</v>
      </c>
      <c r="Q1060" s="116">
        <v>71.900000000000006</v>
      </c>
      <c r="R1060">
        <v>8540124</v>
      </c>
    </row>
    <row r="1061" spans="1:18" x14ac:dyDescent="0.25">
      <c r="A1061" s="170">
        <v>43564</v>
      </c>
      <c r="B1061" s="116">
        <v>73</v>
      </c>
      <c r="C1061" s="116">
        <v>72.5</v>
      </c>
      <c r="D1061" s="116">
        <v>70.8</v>
      </c>
      <c r="E1061" s="116">
        <v>72</v>
      </c>
      <c r="F1061" s="116">
        <v>72.5</v>
      </c>
      <c r="G1061">
        <v>2492066</v>
      </c>
      <c r="H1061" s="116"/>
      <c r="I1061" s="116"/>
      <c r="L1061" s="170">
        <v>43564</v>
      </c>
      <c r="M1061" s="116">
        <v>72.599999999999994</v>
      </c>
      <c r="N1061" s="116">
        <v>73</v>
      </c>
      <c r="O1061" s="116">
        <v>70.75</v>
      </c>
      <c r="P1061" s="116">
        <v>71.900000000000006</v>
      </c>
      <c r="Q1061" s="116">
        <v>72.599999999999994</v>
      </c>
      <c r="R1061">
        <v>7591689</v>
      </c>
    </row>
    <row r="1062" spans="1:18" x14ac:dyDescent="0.25">
      <c r="A1062" s="170">
        <v>43565</v>
      </c>
      <c r="B1062" s="116">
        <v>73.150000000000006</v>
      </c>
      <c r="C1062" s="116">
        <v>71</v>
      </c>
      <c r="D1062" s="116">
        <v>70.75</v>
      </c>
      <c r="E1062" s="116">
        <v>72.8</v>
      </c>
      <c r="F1062" s="116">
        <v>71</v>
      </c>
      <c r="G1062">
        <v>628070</v>
      </c>
      <c r="H1062" s="116"/>
      <c r="I1062" s="116"/>
      <c r="L1062" s="170">
        <v>43565</v>
      </c>
      <c r="M1062" s="116">
        <v>70.900000000000006</v>
      </c>
      <c r="N1062" s="116">
        <v>73.2</v>
      </c>
      <c r="O1062" s="116">
        <v>70.599999999999994</v>
      </c>
      <c r="P1062" s="116">
        <v>72.599999999999994</v>
      </c>
      <c r="Q1062" s="116">
        <v>70.900000000000006</v>
      </c>
      <c r="R1062">
        <v>6360330</v>
      </c>
    </row>
    <row r="1063" spans="1:18" x14ac:dyDescent="0.25">
      <c r="A1063" s="170">
        <v>43566</v>
      </c>
      <c r="B1063" s="116">
        <v>73.150000000000006</v>
      </c>
      <c r="C1063" s="116">
        <v>72.45</v>
      </c>
      <c r="D1063" s="116">
        <v>70.650000000000006</v>
      </c>
      <c r="E1063" s="116">
        <v>71.05</v>
      </c>
      <c r="F1063" s="116">
        <v>72.45</v>
      </c>
      <c r="G1063">
        <v>1648960</v>
      </c>
      <c r="H1063" s="116"/>
      <c r="I1063" s="116"/>
      <c r="L1063" s="170">
        <v>43566</v>
      </c>
      <c r="M1063" s="116">
        <v>72.7</v>
      </c>
      <c r="N1063" s="116">
        <v>73.150000000000006</v>
      </c>
      <c r="O1063" s="116">
        <v>70.599999999999994</v>
      </c>
      <c r="P1063" s="116">
        <v>71.400000000000006</v>
      </c>
      <c r="Q1063" s="116">
        <v>72.7</v>
      </c>
      <c r="R1063">
        <v>9396530</v>
      </c>
    </row>
    <row r="1064" spans="1:18" x14ac:dyDescent="0.25">
      <c r="A1064" s="170">
        <v>43567</v>
      </c>
      <c r="B1064" s="116">
        <v>74.5</v>
      </c>
      <c r="C1064" s="116">
        <v>72.95</v>
      </c>
      <c r="D1064" s="116">
        <v>71.900000000000006</v>
      </c>
      <c r="E1064" s="116">
        <v>73.150000000000006</v>
      </c>
      <c r="F1064" s="116">
        <v>72.95</v>
      </c>
      <c r="G1064">
        <v>1790419</v>
      </c>
      <c r="H1064" s="116"/>
      <c r="I1064" s="116"/>
      <c r="L1064" s="170">
        <v>43567</v>
      </c>
      <c r="M1064" s="116">
        <v>73.25</v>
      </c>
      <c r="N1064" s="116">
        <v>74.599999999999994</v>
      </c>
      <c r="O1064" s="116">
        <v>71.900000000000006</v>
      </c>
      <c r="P1064" s="116">
        <v>73.05</v>
      </c>
      <c r="Q1064" s="116">
        <v>73.25</v>
      </c>
      <c r="R1064">
        <v>11615133</v>
      </c>
    </row>
    <row r="1065" spans="1:18" x14ac:dyDescent="0.25">
      <c r="A1065" s="170">
        <v>43570</v>
      </c>
      <c r="B1065" s="116">
        <v>73.2</v>
      </c>
      <c r="C1065" s="116">
        <v>71.349999999999994</v>
      </c>
      <c r="D1065" s="116">
        <v>71.25</v>
      </c>
      <c r="E1065" s="116">
        <v>73.2</v>
      </c>
      <c r="F1065" s="116">
        <v>71.349999999999994</v>
      </c>
      <c r="G1065">
        <v>2344257</v>
      </c>
      <c r="H1065" s="116"/>
      <c r="I1065" s="116"/>
      <c r="L1065" s="170">
        <v>43570</v>
      </c>
      <c r="M1065" s="116">
        <v>71.349999999999994</v>
      </c>
      <c r="N1065" s="116">
        <v>73.2</v>
      </c>
      <c r="O1065" s="116">
        <v>71.2</v>
      </c>
      <c r="P1065" s="116">
        <v>73</v>
      </c>
      <c r="Q1065" s="116">
        <v>71.349999999999994</v>
      </c>
      <c r="R1065">
        <v>11147566</v>
      </c>
    </row>
    <row r="1066" spans="1:18" x14ac:dyDescent="0.25">
      <c r="A1066" s="170">
        <v>43571</v>
      </c>
      <c r="B1066" s="116">
        <v>71.95</v>
      </c>
      <c r="C1066" s="116">
        <v>71.349999999999994</v>
      </c>
      <c r="D1066" s="116">
        <v>71.2</v>
      </c>
      <c r="E1066" s="116">
        <v>71.900000000000006</v>
      </c>
      <c r="F1066" s="116">
        <v>71.349999999999994</v>
      </c>
      <c r="G1066">
        <v>511713</v>
      </c>
      <c r="H1066" s="116"/>
      <c r="I1066" s="116"/>
      <c r="L1066" s="170">
        <v>43571</v>
      </c>
      <c r="M1066" s="116">
        <v>71.45</v>
      </c>
      <c r="N1066" s="116">
        <v>71.95</v>
      </c>
      <c r="O1066" s="116">
        <v>71.099999999999994</v>
      </c>
      <c r="P1066" s="116">
        <v>71.75</v>
      </c>
      <c r="Q1066" s="116">
        <v>71.45</v>
      </c>
      <c r="R1066">
        <v>8590291</v>
      </c>
    </row>
    <row r="1067" spans="1:18" x14ac:dyDescent="0.25">
      <c r="A1067" s="170">
        <v>43573</v>
      </c>
      <c r="B1067" s="116">
        <v>71.599999999999994</v>
      </c>
      <c r="C1067" s="116">
        <v>70.55</v>
      </c>
      <c r="D1067" s="116">
        <v>70</v>
      </c>
      <c r="E1067" s="116">
        <v>71.349999999999994</v>
      </c>
      <c r="F1067" s="116">
        <v>70.55</v>
      </c>
      <c r="G1067">
        <v>466951</v>
      </c>
      <c r="H1067" s="116"/>
      <c r="I1067" s="116"/>
      <c r="L1067" s="170">
        <v>43573</v>
      </c>
      <c r="M1067" s="116">
        <v>70.55</v>
      </c>
      <c r="N1067" s="116">
        <v>71.75</v>
      </c>
      <c r="O1067" s="116">
        <v>70</v>
      </c>
      <c r="P1067" s="116">
        <v>71.75</v>
      </c>
      <c r="Q1067" s="116">
        <v>70.55</v>
      </c>
      <c r="R1067">
        <v>7272249</v>
      </c>
    </row>
    <row r="1068" spans="1:18" x14ac:dyDescent="0.25">
      <c r="A1068" s="170">
        <v>43577</v>
      </c>
      <c r="B1068" s="116">
        <v>70.349999999999994</v>
      </c>
      <c r="C1068" s="116">
        <v>69.2</v>
      </c>
      <c r="D1068" s="116">
        <v>68.900000000000006</v>
      </c>
      <c r="E1068" s="116">
        <v>70.2</v>
      </c>
      <c r="F1068" s="116">
        <v>69.2</v>
      </c>
      <c r="G1068">
        <v>372773</v>
      </c>
      <c r="H1068" s="116"/>
      <c r="I1068" s="116"/>
      <c r="L1068" s="170">
        <v>43577</v>
      </c>
      <c r="M1068" s="116">
        <v>69.2</v>
      </c>
      <c r="N1068" s="116">
        <v>70.2</v>
      </c>
      <c r="O1068" s="116">
        <v>69</v>
      </c>
      <c r="P1068" s="116">
        <v>70</v>
      </c>
      <c r="Q1068" s="116">
        <v>69.2</v>
      </c>
      <c r="R1068">
        <v>7738634</v>
      </c>
    </row>
    <row r="1069" spans="1:18" x14ac:dyDescent="0.25">
      <c r="A1069" s="170">
        <v>43578</v>
      </c>
      <c r="B1069" s="116">
        <v>69.7</v>
      </c>
      <c r="C1069" s="116">
        <v>68.3</v>
      </c>
      <c r="D1069" s="116">
        <v>68.150000000000006</v>
      </c>
      <c r="E1069" s="116">
        <v>69.3</v>
      </c>
      <c r="F1069" s="116">
        <v>68.3</v>
      </c>
      <c r="G1069">
        <v>324874</v>
      </c>
      <c r="H1069" s="116"/>
      <c r="I1069" s="116"/>
      <c r="L1069" s="170">
        <v>43578</v>
      </c>
      <c r="M1069" s="116">
        <v>68.25</v>
      </c>
      <c r="N1069" s="116">
        <v>69.7</v>
      </c>
      <c r="O1069" s="116">
        <v>68.099999999999994</v>
      </c>
      <c r="P1069" s="116">
        <v>69.5</v>
      </c>
      <c r="Q1069" s="116">
        <v>68.25</v>
      </c>
      <c r="R1069">
        <v>4138151</v>
      </c>
    </row>
    <row r="1070" spans="1:18" x14ac:dyDescent="0.25">
      <c r="A1070" s="170">
        <v>43579</v>
      </c>
      <c r="B1070" s="116">
        <v>68.75</v>
      </c>
      <c r="C1070" s="116">
        <v>67.75</v>
      </c>
      <c r="D1070" s="116">
        <v>67.400000000000006</v>
      </c>
      <c r="E1070" s="116">
        <v>68.5</v>
      </c>
      <c r="F1070" s="116">
        <v>67.75</v>
      </c>
      <c r="G1070">
        <v>779805</v>
      </c>
      <c r="H1070" s="116"/>
      <c r="I1070" s="116"/>
      <c r="L1070" s="170">
        <v>43579</v>
      </c>
      <c r="M1070" s="116">
        <v>67.8</v>
      </c>
      <c r="N1070" s="116">
        <v>68.5</v>
      </c>
      <c r="O1070" s="116">
        <v>67.5</v>
      </c>
      <c r="P1070" s="116">
        <v>68.349999999999994</v>
      </c>
      <c r="Q1070" s="116">
        <v>67.8</v>
      </c>
      <c r="R1070">
        <v>7350305</v>
      </c>
    </row>
    <row r="1071" spans="1:18" x14ac:dyDescent="0.25">
      <c r="A1071" s="170">
        <v>43580</v>
      </c>
      <c r="B1071" s="116">
        <v>69.5</v>
      </c>
      <c r="C1071" s="116">
        <v>67.5</v>
      </c>
      <c r="D1071" s="116">
        <v>67.2</v>
      </c>
      <c r="E1071" s="116">
        <v>69.400000000000006</v>
      </c>
      <c r="F1071" s="116">
        <v>67.5</v>
      </c>
      <c r="G1071">
        <v>1685239</v>
      </c>
      <c r="H1071" s="116"/>
      <c r="I1071" s="116"/>
      <c r="L1071" s="170">
        <v>43580</v>
      </c>
      <c r="M1071" s="116">
        <v>67.7</v>
      </c>
      <c r="N1071" s="116">
        <v>69.55</v>
      </c>
      <c r="O1071" s="116">
        <v>67.400000000000006</v>
      </c>
      <c r="P1071" s="116">
        <v>68</v>
      </c>
      <c r="Q1071" s="116">
        <v>67.7</v>
      </c>
      <c r="R1071">
        <v>6836123</v>
      </c>
    </row>
    <row r="1072" spans="1:18" x14ac:dyDescent="0.25">
      <c r="A1072" s="170">
        <v>43581</v>
      </c>
      <c r="B1072" s="116">
        <v>68.25</v>
      </c>
      <c r="C1072" s="116">
        <v>67.7</v>
      </c>
      <c r="D1072" s="116">
        <v>67.150000000000006</v>
      </c>
      <c r="E1072" s="116">
        <v>67.900000000000006</v>
      </c>
      <c r="F1072" s="116">
        <v>67.7</v>
      </c>
      <c r="G1072">
        <v>464169</v>
      </c>
      <c r="H1072" s="116"/>
      <c r="I1072" s="116"/>
      <c r="L1072" s="170">
        <v>43581</v>
      </c>
      <c r="M1072" s="116">
        <v>67.900000000000006</v>
      </c>
      <c r="N1072" s="116">
        <v>68.2</v>
      </c>
      <c r="O1072" s="116">
        <v>67.150000000000006</v>
      </c>
      <c r="P1072" s="116">
        <v>68.099999999999994</v>
      </c>
      <c r="Q1072" s="116">
        <v>67.900000000000006</v>
      </c>
      <c r="R1072">
        <v>4838776</v>
      </c>
    </row>
    <row r="1073" spans="1:18" x14ac:dyDescent="0.25">
      <c r="A1073" s="170">
        <v>43585</v>
      </c>
      <c r="B1073" s="116">
        <v>68</v>
      </c>
      <c r="C1073" s="116">
        <v>67.75</v>
      </c>
      <c r="D1073" s="116">
        <v>66.599999999999994</v>
      </c>
      <c r="E1073" s="116">
        <v>67.599999999999994</v>
      </c>
      <c r="F1073" s="116">
        <v>67.75</v>
      </c>
      <c r="G1073">
        <v>435922</v>
      </c>
      <c r="H1073" s="116"/>
      <c r="I1073" s="116"/>
      <c r="L1073" s="170">
        <v>43585</v>
      </c>
      <c r="M1073" s="116">
        <v>67.8</v>
      </c>
      <c r="N1073" s="116">
        <v>68.099999999999994</v>
      </c>
      <c r="O1073" s="116">
        <v>66.55</v>
      </c>
      <c r="P1073" s="116">
        <v>67.900000000000006</v>
      </c>
      <c r="Q1073" s="116">
        <v>67.8</v>
      </c>
      <c r="R1073">
        <v>5128196</v>
      </c>
    </row>
    <row r="1074" spans="1:18" x14ac:dyDescent="0.25">
      <c r="A1074" s="170">
        <v>43587</v>
      </c>
      <c r="B1074" s="116">
        <v>68.2</v>
      </c>
      <c r="C1074" s="116">
        <v>66.75</v>
      </c>
      <c r="D1074" s="116">
        <v>66.349999999999994</v>
      </c>
      <c r="E1074" s="116">
        <v>68.150000000000006</v>
      </c>
      <c r="F1074" s="116">
        <v>66.75</v>
      </c>
      <c r="G1074">
        <v>701285</v>
      </c>
      <c r="H1074" s="116"/>
      <c r="I1074" s="116"/>
      <c r="L1074" s="170">
        <v>43587</v>
      </c>
      <c r="M1074" s="116">
        <v>66.599999999999994</v>
      </c>
      <c r="N1074" s="116">
        <v>68.2</v>
      </c>
      <c r="O1074" s="116">
        <v>66.25</v>
      </c>
      <c r="P1074" s="116">
        <v>67.55</v>
      </c>
      <c r="Q1074" s="116">
        <v>66.599999999999994</v>
      </c>
      <c r="R1074">
        <v>8983855</v>
      </c>
    </row>
    <row r="1075" spans="1:18" x14ac:dyDescent="0.25">
      <c r="A1075" s="170">
        <v>43588</v>
      </c>
      <c r="B1075" s="116">
        <v>68.099999999999994</v>
      </c>
      <c r="C1075" s="116">
        <v>67.150000000000006</v>
      </c>
      <c r="D1075" s="116">
        <v>65.5</v>
      </c>
      <c r="E1075" s="116">
        <v>65.75</v>
      </c>
      <c r="F1075" s="116">
        <v>67.150000000000006</v>
      </c>
      <c r="G1075">
        <v>767102</v>
      </c>
      <c r="H1075" s="116"/>
      <c r="I1075" s="116"/>
      <c r="L1075" s="170">
        <v>43588</v>
      </c>
      <c r="M1075" s="116">
        <v>66.95</v>
      </c>
      <c r="N1075" s="116">
        <v>68.150000000000006</v>
      </c>
      <c r="O1075" s="116">
        <v>65.400000000000006</v>
      </c>
      <c r="P1075" s="116">
        <v>65.599999999999994</v>
      </c>
      <c r="Q1075" s="116">
        <v>66.95</v>
      </c>
      <c r="R1075">
        <v>10461436</v>
      </c>
    </row>
    <row r="1076" spans="1:18" x14ac:dyDescent="0.25">
      <c r="A1076" s="170">
        <v>43591</v>
      </c>
      <c r="B1076" s="116">
        <v>66.95</v>
      </c>
      <c r="C1076" s="116">
        <v>65.849999999999994</v>
      </c>
      <c r="D1076" s="116">
        <v>65.599999999999994</v>
      </c>
      <c r="E1076" s="116">
        <v>66.95</v>
      </c>
      <c r="F1076" s="116">
        <v>65.849999999999994</v>
      </c>
      <c r="G1076">
        <v>449316</v>
      </c>
      <c r="H1076" s="116"/>
      <c r="I1076" s="116"/>
      <c r="L1076" s="170">
        <v>43591</v>
      </c>
      <c r="M1076" s="116">
        <v>65.849999999999994</v>
      </c>
      <c r="N1076" s="116">
        <v>67</v>
      </c>
      <c r="O1076" s="116">
        <v>65.599999999999994</v>
      </c>
      <c r="P1076" s="116">
        <v>66.650000000000006</v>
      </c>
      <c r="Q1076" s="116">
        <v>65.849999999999994</v>
      </c>
      <c r="R1076">
        <v>3484887</v>
      </c>
    </row>
    <row r="1077" spans="1:18" x14ac:dyDescent="0.25">
      <c r="A1077" s="170">
        <v>43592</v>
      </c>
      <c r="B1077" s="116">
        <v>66.400000000000006</v>
      </c>
      <c r="C1077" s="116">
        <v>64.400000000000006</v>
      </c>
      <c r="D1077" s="116">
        <v>64.099999999999994</v>
      </c>
      <c r="E1077" s="116">
        <v>66.3</v>
      </c>
      <c r="F1077" s="116">
        <v>64.400000000000006</v>
      </c>
      <c r="G1077">
        <v>600661</v>
      </c>
      <c r="H1077" s="116"/>
      <c r="I1077" s="116"/>
      <c r="L1077" s="170">
        <v>43592</v>
      </c>
      <c r="M1077" s="116">
        <v>64.349999999999994</v>
      </c>
      <c r="N1077" s="116">
        <v>66.5</v>
      </c>
      <c r="O1077" s="116">
        <v>64.099999999999994</v>
      </c>
      <c r="P1077" s="116">
        <v>66.5</v>
      </c>
      <c r="Q1077" s="116">
        <v>64.349999999999994</v>
      </c>
      <c r="R1077">
        <v>6153618</v>
      </c>
    </row>
    <row r="1078" spans="1:18" x14ac:dyDescent="0.25">
      <c r="A1078" s="170">
        <v>43593</v>
      </c>
      <c r="B1078" s="116">
        <v>64.8</v>
      </c>
      <c r="C1078" s="116">
        <v>64.5</v>
      </c>
      <c r="D1078" s="116">
        <v>63.2</v>
      </c>
      <c r="E1078" s="116">
        <v>64.25</v>
      </c>
      <c r="F1078" s="116">
        <v>64.5</v>
      </c>
      <c r="G1078">
        <v>347287</v>
      </c>
      <c r="H1078" s="116"/>
      <c r="I1078" s="116"/>
      <c r="L1078" s="170">
        <v>43593</v>
      </c>
      <c r="M1078" s="116">
        <v>64.5</v>
      </c>
      <c r="N1078" s="116">
        <v>64.8</v>
      </c>
      <c r="O1078" s="116">
        <v>63.2</v>
      </c>
      <c r="P1078" s="116">
        <v>64</v>
      </c>
      <c r="Q1078" s="116">
        <v>64.5</v>
      </c>
      <c r="R1078">
        <v>6615929</v>
      </c>
    </row>
    <row r="1079" spans="1:18" x14ac:dyDescent="0.25">
      <c r="A1079" s="170">
        <v>43594</v>
      </c>
      <c r="B1079" s="116">
        <v>65</v>
      </c>
      <c r="C1079" s="116">
        <v>64.45</v>
      </c>
      <c r="D1079" s="116">
        <v>63.95</v>
      </c>
      <c r="E1079" s="116">
        <v>65</v>
      </c>
      <c r="F1079" s="116">
        <v>64.45</v>
      </c>
      <c r="G1079">
        <v>270650</v>
      </c>
      <c r="H1079" s="116"/>
      <c r="I1079" s="116"/>
      <c r="L1079" s="170">
        <v>43594</v>
      </c>
      <c r="M1079" s="116">
        <v>64.400000000000006</v>
      </c>
      <c r="N1079" s="116">
        <v>64.95</v>
      </c>
      <c r="O1079" s="116">
        <v>63.9</v>
      </c>
      <c r="P1079" s="116">
        <v>64.099999999999994</v>
      </c>
      <c r="Q1079" s="116">
        <v>64.400000000000006</v>
      </c>
      <c r="R1079">
        <v>5987301</v>
      </c>
    </row>
    <row r="1080" spans="1:18" x14ac:dyDescent="0.25">
      <c r="A1080" s="170">
        <v>43595</v>
      </c>
      <c r="B1080" s="116">
        <v>65.3</v>
      </c>
      <c r="C1080" s="116">
        <v>63.9</v>
      </c>
      <c r="D1080" s="116">
        <v>63.65</v>
      </c>
      <c r="E1080" s="116">
        <v>64.25</v>
      </c>
      <c r="F1080" s="116">
        <v>63.9</v>
      </c>
      <c r="G1080">
        <v>479052</v>
      </c>
      <c r="H1080" s="116"/>
      <c r="I1080" s="116"/>
      <c r="L1080" s="170">
        <v>43595</v>
      </c>
      <c r="M1080" s="116">
        <v>63.8</v>
      </c>
      <c r="N1080" s="116">
        <v>65.3</v>
      </c>
      <c r="O1080" s="116">
        <v>63.6</v>
      </c>
      <c r="P1080" s="116">
        <v>64.400000000000006</v>
      </c>
      <c r="Q1080" s="116">
        <v>63.8</v>
      </c>
      <c r="R1080">
        <v>5801249</v>
      </c>
    </row>
    <row r="1081" spans="1:18" x14ac:dyDescent="0.25">
      <c r="A1081" s="170">
        <v>43598</v>
      </c>
      <c r="B1081" s="116">
        <v>64.349999999999994</v>
      </c>
      <c r="C1081" s="116">
        <v>62.65</v>
      </c>
      <c r="D1081" s="116">
        <v>62</v>
      </c>
      <c r="E1081" s="116">
        <v>63.3</v>
      </c>
      <c r="F1081" s="116">
        <v>62.65</v>
      </c>
      <c r="G1081">
        <v>426025</v>
      </c>
      <c r="H1081" s="116"/>
      <c r="I1081" s="116"/>
      <c r="L1081" s="170">
        <v>43598</v>
      </c>
      <c r="M1081" s="116">
        <v>62.6</v>
      </c>
      <c r="N1081" s="116">
        <v>64.3</v>
      </c>
      <c r="O1081" s="116">
        <v>61.75</v>
      </c>
      <c r="P1081" s="116">
        <v>63.8</v>
      </c>
      <c r="Q1081" s="116">
        <v>62.6</v>
      </c>
      <c r="R1081">
        <v>5045201</v>
      </c>
    </row>
    <row r="1082" spans="1:18" x14ac:dyDescent="0.25">
      <c r="A1082" s="170">
        <v>43599</v>
      </c>
      <c r="B1082" s="116">
        <v>63.85</v>
      </c>
      <c r="C1082" s="116">
        <v>63</v>
      </c>
      <c r="D1082" s="116">
        <v>61.45</v>
      </c>
      <c r="E1082" s="116">
        <v>62</v>
      </c>
      <c r="F1082" s="116">
        <v>63</v>
      </c>
      <c r="G1082">
        <v>949768</v>
      </c>
      <c r="H1082" s="116"/>
      <c r="I1082" s="116"/>
      <c r="L1082" s="170">
        <v>43599</v>
      </c>
      <c r="M1082" s="116">
        <v>63.2</v>
      </c>
      <c r="N1082" s="116">
        <v>63.9</v>
      </c>
      <c r="O1082" s="116">
        <v>61.5</v>
      </c>
      <c r="P1082" s="116">
        <v>62</v>
      </c>
      <c r="Q1082" s="116">
        <v>63.2</v>
      </c>
      <c r="R1082">
        <v>5023042</v>
      </c>
    </row>
    <row r="1083" spans="1:18" x14ac:dyDescent="0.25">
      <c r="A1083" s="170">
        <v>43600</v>
      </c>
      <c r="B1083" s="116">
        <v>63.7</v>
      </c>
      <c r="C1083" s="116">
        <v>61.35</v>
      </c>
      <c r="D1083" s="116">
        <v>61</v>
      </c>
      <c r="E1083" s="116">
        <v>63</v>
      </c>
      <c r="F1083" s="116">
        <v>61.35</v>
      </c>
      <c r="G1083">
        <v>411387</v>
      </c>
      <c r="H1083" s="116"/>
      <c r="I1083" s="116"/>
      <c r="L1083" s="170">
        <v>43600</v>
      </c>
      <c r="M1083" s="116">
        <v>61.35</v>
      </c>
      <c r="N1083" s="116">
        <v>63.6</v>
      </c>
      <c r="O1083" s="116">
        <v>61</v>
      </c>
      <c r="P1083" s="116">
        <v>63.4</v>
      </c>
      <c r="Q1083" s="116">
        <v>61.35</v>
      </c>
      <c r="R1083">
        <v>3881241</v>
      </c>
    </row>
    <row r="1084" spans="1:18" x14ac:dyDescent="0.25">
      <c r="A1084" s="170">
        <v>43601</v>
      </c>
      <c r="B1084" s="116">
        <v>61.9</v>
      </c>
      <c r="C1084" s="116">
        <v>61.2</v>
      </c>
      <c r="D1084" s="116">
        <v>60.9</v>
      </c>
      <c r="E1084" s="116">
        <v>61.85</v>
      </c>
      <c r="F1084" s="116">
        <v>61.2</v>
      </c>
      <c r="G1084">
        <v>663893</v>
      </c>
      <c r="H1084" s="116"/>
      <c r="I1084" s="116"/>
      <c r="L1084" s="170">
        <v>43601</v>
      </c>
      <c r="M1084" s="116">
        <v>61.35</v>
      </c>
      <c r="N1084" s="116">
        <v>61.9</v>
      </c>
      <c r="O1084" s="116">
        <v>60.85</v>
      </c>
      <c r="P1084" s="116">
        <v>61.6</v>
      </c>
      <c r="Q1084" s="116">
        <v>61.35</v>
      </c>
      <c r="R1084">
        <v>4252067</v>
      </c>
    </row>
    <row r="1085" spans="1:18" x14ac:dyDescent="0.25">
      <c r="A1085" s="170">
        <v>43602</v>
      </c>
      <c r="B1085" s="116">
        <v>61.8</v>
      </c>
      <c r="C1085" s="116">
        <v>61.45</v>
      </c>
      <c r="D1085" s="116">
        <v>61</v>
      </c>
      <c r="E1085" s="116">
        <v>61.25</v>
      </c>
      <c r="F1085" s="116">
        <v>61.45</v>
      </c>
      <c r="G1085">
        <v>324881</v>
      </c>
      <c r="H1085" s="116"/>
      <c r="I1085" s="116"/>
      <c r="L1085" s="170">
        <v>43602</v>
      </c>
      <c r="M1085" s="116">
        <v>61.4</v>
      </c>
      <c r="N1085" s="116">
        <v>61.85</v>
      </c>
      <c r="O1085" s="116">
        <v>60.85</v>
      </c>
      <c r="P1085" s="116">
        <v>61.4</v>
      </c>
      <c r="Q1085" s="116">
        <v>61.4</v>
      </c>
      <c r="R1085">
        <v>3714715</v>
      </c>
    </row>
    <row r="1086" spans="1:18" x14ac:dyDescent="0.25">
      <c r="A1086" s="170">
        <v>43605</v>
      </c>
      <c r="B1086" s="116">
        <v>67.849999999999994</v>
      </c>
      <c r="C1086" s="116">
        <v>65.849999999999994</v>
      </c>
      <c r="D1086" s="116">
        <v>63</v>
      </c>
      <c r="E1086" s="116">
        <v>63</v>
      </c>
      <c r="F1086" s="116">
        <v>65.849999999999994</v>
      </c>
      <c r="G1086">
        <v>1074330</v>
      </c>
      <c r="H1086" s="116"/>
      <c r="I1086" s="116"/>
      <c r="L1086" s="170">
        <v>43605</v>
      </c>
      <c r="M1086" s="116">
        <v>65.75</v>
      </c>
      <c r="N1086" s="116">
        <v>67.900000000000006</v>
      </c>
      <c r="O1086" s="116">
        <v>63.25</v>
      </c>
      <c r="P1086" s="116">
        <v>63.4</v>
      </c>
      <c r="Q1086" s="116">
        <v>65.75</v>
      </c>
      <c r="R1086">
        <v>12597503</v>
      </c>
    </row>
    <row r="1087" spans="1:18" x14ac:dyDescent="0.25">
      <c r="A1087" s="170">
        <v>43606</v>
      </c>
      <c r="B1087" s="116">
        <v>66.45</v>
      </c>
      <c r="C1087" s="116">
        <v>64.400000000000006</v>
      </c>
      <c r="D1087" s="116">
        <v>63.6</v>
      </c>
      <c r="E1087" s="116">
        <v>66.45</v>
      </c>
      <c r="F1087" s="116">
        <v>64.400000000000006</v>
      </c>
      <c r="G1087">
        <v>1646439</v>
      </c>
      <c r="H1087" s="116"/>
      <c r="I1087" s="116"/>
      <c r="L1087" s="170">
        <v>43606</v>
      </c>
      <c r="M1087" s="116">
        <v>64.400000000000006</v>
      </c>
      <c r="N1087" s="116">
        <v>66.349999999999994</v>
      </c>
      <c r="O1087" s="116">
        <v>63.6</v>
      </c>
      <c r="P1087" s="116">
        <v>66.349999999999994</v>
      </c>
      <c r="Q1087" s="116">
        <v>64.400000000000006</v>
      </c>
      <c r="R1087">
        <v>5274759</v>
      </c>
    </row>
    <row r="1088" spans="1:18" x14ac:dyDescent="0.25">
      <c r="A1088" s="170">
        <v>43607</v>
      </c>
      <c r="B1088" s="116">
        <v>65.2</v>
      </c>
      <c r="C1088" s="116">
        <v>64.849999999999994</v>
      </c>
      <c r="D1088" s="116">
        <v>64.150000000000006</v>
      </c>
      <c r="E1088" s="116">
        <v>64.8</v>
      </c>
      <c r="F1088" s="116">
        <v>64.849999999999994</v>
      </c>
      <c r="G1088">
        <v>448932</v>
      </c>
      <c r="H1088" s="116"/>
      <c r="I1088" s="116"/>
      <c r="L1088" s="170">
        <v>43607</v>
      </c>
      <c r="M1088" s="116">
        <v>64.8</v>
      </c>
      <c r="N1088" s="116">
        <v>65.05</v>
      </c>
      <c r="O1088" s="116">
        <v>64.099999999999994</v>
      </c>
      <c r="P1088" s="116">
        <v>64.5</v>
      </c>
      <c r="Q1088" s="116">
        <v>64.8</v>
      </c>
      <c r="R1088">
        <v>10055230</v>
      </c>
    </row>
    <row r="1089" spans="1:18" x14ac:dyDescent="0.25">
      <c r="A1089" s="170">
        <v>43608</v>
      </c>
      <c r="B1089" s="116">
        <v>67.45</v>
      </c>
      <c r="C1089" s="116">
        <v>64.599999999999994</v>
      </c>
      <c r="D1089" s="116">
        <v>64.25</v>
      </c>
      <c r="E1089" s="116">
        <v>65.5</v>
      </c>
      <c r="F1089" s="116">
        <v>64.599999999999994</v>
      </c>
      <c r="G1089">
        <v>1011128</v>
      </c>
      <c r="H1089" s="116"/>
      <c r="I1089" s="116"/>
      <c r="L1089" s="170">
        <v>43608</v>
      </c>
      <c r="M1089" s="116">
        <v>64.599999999999994</v>
      </c>
      <c r="N1089" s="116">
        <v>67.5</v>
      </c>
      <c r="O1089" s="116">
        <v>64.3</v>
      </c>
      <c r="P1089" s="116">
        <v>66</v>
      </c>
      <c r="Q1089" s="116">
        <v>64.599999999999994</v>
      </c>
      <c r="R1089">
        <v>8012364</v>
      </c>
    </row>
    <row r="1090" spans="1:18" x14ac:dyDescent="0.25">
      <c r="A1090" s="170">
        <v>43609</v>
      </c>
      <c r="B1090" s="116">
        <v>68</v>
      </c>
      <c r="C1090" s="116">
        <v>67.7</v>
      </c>
      <c r="D1090" s="116">
        <v>64.7</v>
      </c>
      <c r="E1090" s="116">
        <v>64.7</v>
      </c>
      <c r="F1090" s="116">
        <v>67.7</v>
      </c>
      <c r="G1090">
        <v>847989</v>
      </c>
      <c r="H1090" s="116"/>
      <c r="I1090" s="116"/>
      <c r="L1090" s="170">
        <v>43609</v>
      </c>
      <c r="M1090" s="116">
        <v>67.7</v>
      </c>
      <c r="N1090" s="116">
        <v>68</v>
      </c>
      <c r="O1090" s="116">
        <v>64.8</v>
      </c>
      <c r="P1090" s="116">
        <v>65</v>
      </c>
      <c r="Q1090" s="116">
        <v>67.7</v>
      </c>
      <c r="R1090">
        <v>7448138</v>
      </c>
    </row>
    <row r="1091" spans="1:18" x14ac:dyDescent="0.25">
      <c r="A1091" s="170">
        <v>43612</v>
      </c>
      <c r="B1091" s="116">
        <v>70.900000000000006</v>
      </c>
      <c r="C1091" s="116">
        <v>70.650000000000006</v>
      </c>
      <c r="D1091" s="116">
        <v>67</v>
      </c>
      <c r="E1091" s="116">
        <v>67</v>
      </c>
      <c r="F1091" s="116">
        <v>70.650000000000006</v>
      </c>
      <c r="G1091">
        <v>2258310</v>
      </c>
      <c r="H1091" s="116"/>
      <c r="I1091" s="116"/>
      <c r="L1091" s="170">
        <v>43612</v>
      </c>
      <c r="M1091" s="116">
        <v>70.8</v>
      </c>
      <c r="N1091" s="116">
        <v>71</v>
      </c>
      <c r="O1091" s="116">
        <v>67.099999999999994</v>
      </c>
      <c r="P1091" s="116">
        <v>67.5</v>
      </c>
      <c r="Q1091" s="116">
        <v>70.8</v>
      </c>
      <c r="R1091">
        <v>7770706</v>
      </c>
    </row>
    <row r="1092" spans="1:18" x14ac:dyDescent="0.25">
      <c r="A1092" s="170">
        <v>43613</v>
      </c>
      <c r="B1092" s="116">
        <v>71.150000000000006</v>
      </c>
      <c r="C1092" s="116">
        <v>70.45</v>
      </c>
      <c r="D1092" s="116">
        <v>70</v>
      </c>
      <c r="E1092" s="116">
        <v>71</v>
      </c>
      <c r="F1092" s="116">
        <v>70.45</v>
      </c>
      <c r="G1092">
        <v>1380929</v>
      </c>
      <c r="H1092" s="116"/>
      <c r="I1092" s="116"/>
      <c r="L1092" s="170">
        <v>43613</v>
      </c>
      <c r="M1092" s="116">
        <v>70.55</v>
      </c>
      <c r="N1092" s="116">
        <v>71.45</v>
      </c>
      <c r="O1092" s="116">
        <v>69.95</v>
      </c>
      <c r="P1092" s="116">
        <v>71.45</v>
      </c>
      <c r="Q1092" s="116">
        <v>70.55</v>
      </c>
      <c r="R1092">
        <v>10842080</v>
      </c>
    </row>
    <row r="1093" spans="1:18" x14ac:dyDescent="0.25">
      <c r="A1093" s="170">
        <v>43614</v>
      </c>
      <c r="B1093" s="116">
        <v>70.900000000000006</v>
      </c>
      <c r="C1093" s="116">
        <v>68.599999999999994</v>
      </c>
      <c r="D1093" s="116">
        <v>68.25</v>
      </c>
      <c r="E1093" s="116">
        <v>70.900000000000006</v>
      </c>
      <c r="F1093" s="116">
        <v>68.599999999999994</v>
      </c>
      <c r="G1093">
        <v>493429</v>
      </c>
      <c r="H1093" s="116"/>
      <c r="I1093" s="116"/>
      <c r="L1093" s="170">
        <v>43614</v>
      </c>
      <c r="M1093" s="116">
        <v>68.650000000000006</v>
      </c>
      <c r="N1093" s="116">
        <v>70.7</v>
      </c>
      <c r="O1093" s="116">
        <v>68.2</v>
      </c>
      <c r="P1093" s="116">
        <v>70.5</v>
      </c>
      <c r="Q1093" s="116">
        <v>68.650000000000006</v>
      </c>
      <c r="R1093">
        <v>4104774</v>
      </c>
    </row>
    <row r="1094" spans="1:18" x14ac:dyDescent="0.25">
      <c r="A1094" s="170">
        <v>43615</v>
      </c>
      <c r="B1094" s="116">
        <v>70.7</v>
      </c>
      <c r="C1094" s="116">
        <v>70.3</v>
      </c>
      <c r="D1094" s="116">
        <v>67.95</v>
      </c>
      <c r="E1094" s="116">
        <v>68.95</v>
      </c>
      <c r="F1094" s="116">
        <v>70.3</v>
      </c>
      <c r="G1094">
        <v>1232205</v>
      </c>
      <c r="H1094" s="116"/>
      <c r="I1094" s="116"/>
      <c r="L1094" s="170">
        <v>43615</v>
      </c>
      <c r="M1094" s="116">
        <v>70.5</v>
      </c>
      <c r="N1094" s="116">
        <v>71</v>
      </c>
      <c r="O1094" s="116">
        <v>67.8</v>
      </c>
      <c r="P1094" s="116">
        <v>68</v>
      </c>
      <c r="Q1094" s="116">
        <v>70.5</v>
      </c>
      <c r="R1094">
        <v>4710748</v>
      </c>
    </row>
    <row r="1095" spans="1:18" x14ac:dyDescent="0.25">
      <c r="A1095" s="170">
        <v>43616</v>
      </c>
      <c r="B1095" s="116">
        <v>70.75</v>
      </c>
      <c r="C1095" s="116">
        <v>68.849999999999994</v>
      </c>
      <c r="D1095" s="116">
        <v>68</v>
      </c>
      <c r="E1095" s="116">
        <v>70.2</v>
      </c>
      <c r="F1095" s="116">
        <v>68.849999999999994</v>
      </c>
      <c r="G1095">
        <v>773634</v>
      </c>
      <c r="H1095" s="116"/>
      <c r="I1095" s="116"/>
      <c r="L1095" s="170">
        <v>43616</v>
      </c>
      <c r="M1095" s="116">
        <v>68.8</v>
      </c>
      <c r="N1095" s="116">
        <v>70.599999999999994</v>
      </c>
      <c r="O1095" s="116">
        <v>68</v>
      </c>
      <c r="P1095" s="116">
        <v>70.5</v>
      </c>
      <c r="Q1095" s="116">
        <v>68.8</v>
      </c>
      <c r="R1095">
        <v>7040284</v>
      </c>
    </row>
    <row r="1096" spans="1:18" x14ac:dyDescent="0.25">
      <c r="A1096" s="170">
        <v>43619</v>
      </c>
      <c r="B1096" s="116">
        <v>69.099999999999994</v>
      </c>
      <c r="C1096" s="116">
        <v>68.400000000000006</v>
      </c>
      <c r="D1096" s="116">
        <v>67.75</v>
      </c>
      <c r="E1096" s="116">
        <v>68.95</v>
      </c>
      <c r="F1096" s="116">
        <v>68.400000000000006</v>
      </c>
      <c r="G1096">
        <v>355929</v>
      </c>
      <c r="H1096" s="116"/>
      <c r="I1096" s="116"/>
      <c r="L1096" s="170">
        <v>43619</v>
      </c>
      <c r="M1096" s="116">
        <v>68.349999999999994</v>
      </c>
      <c r="N1096" s="116">
        <v>69.25</v>
      </c>
      <c r="O1096" s="116">
        <v>67.75</v>
      </c>
      <c r="P1096" s="116">
        <v>69</v>
      </c>
      <c r="Q1096" s="116">
        <v>68.349999999999994</v>
      </c>
      <c r="R1096">
        <v>4792922</v>
      </c>
    </row>
    <row r="1097" spans="1:18" x14ac:dyDescent="0.25">
      <c r="A1097" s="170">
        <v>43620</v>
      </c>
      <c r="B1097" s="116">
        <v>67.95</v>
      </c>
      <c r="C1097" s="116">
        <v>66.75</v>
      </c>
      <c r="D1097" s="116">
        <v>66.45</v>
      </c>
      <c r="E1097" s="116">
        <v>67.45</v>
      </c>
      <c r="F1097" s="116">
        <v>66.75</v>
      </c>
      <c r="G1097">
        <v>555077</v>
      </c>
      <c r="H1097" s="116"/>
      <c r="I1097" s="116"/>
      <c r="L1097" s="170">
        <v>43620</v>
      </c>
      <c r="M1097" s="116">
        <v>66.7</v>
      </c>
      <c r="N1097" s="116">
        <v>68</v>
      </c>
      <c r="O1097" s="116">
        <v>66.45</v>
      </c>
      <c r="P1097" s="116">
        <v>67.5</v>
      </c>
      <c r="Q1097" s="116">
        <v>66.7</v>
      </c>
      <c r="R1097">
        <v>4864404</v>
      </c>
    </row>
    <row r="1098" spans="1:18" x14ac:dyDescent="0.25">
      <c r="A1098" s="170">
        <v>43622</v>
      </c>
      <c r="B1098" s="116">
        <v>68.400000000000006</v>
      </c>
      <c r="C1098" s="116">
        <v>65.25</v>
      </c>
      <c r="D1098" s="116">
        <v>64.849999999999994</v>
      </c>
      <c r="E1098" s="116">
        <v>68.400000000000006</v>
      </c>
      <c r="F1098" s="116">
        <v>65.25</v>
      </c>
      <c r="G1098">
        <v>491994</v>
      </c>
      <c r="H1098" s="116"/>
      <c r="I1098" s="116"/>
      <c r="L1098" s="170">
        <v>43622</v>
      </c>
      <c r="M1098" s="116">
        <v>65.099999999999994</v>
      </c>
      <c r="N1098" s="116">
        <v>66.95</v>
      </c>
      <c r="O1098" s="116">
        <v>64.650000000000006</v>
      </c>
      <c r="P1098" s="116">
        <v>66.75</v>
      </c>
      <c r="Q1098" s="116">
        <v>65.099999999999994</v>
      </c>
      <c r="R1098">
        <v>4982307</v>
      </c>
    </row>
    <row r="1099" spans="1:18" x14ac:dyDescent="0.25">
      <c r="A1099" s="170">
        <v>43623</v>
      </c>
      <c r="B1099" s="116">
        <v>66.25</v>
      </c>
      <c r="C1099" s="116">
        <v>66.099999999999994</v>
      </c>
      <c r="D1099" s="116">
        <v>64</v>
      </c>
      <c r="E1099" s="116">
        <v>65.5</v>
      </c>
      <c r="F1099" s="116">
        <v>66.099999999999994</v>
      </c>
      <c r="G1099">
        <v>359903</v>
      </c>
      <c r="H1099" s="116"/>
      <c r="I1099" s="116"/>
      <c r="L1099" s="170">
        <v>43623</v>
      </c>
      <c r="M1099" s="116">
        <v>66.3</v>
      </c>
      <c r="N1099" s="116">
        <v>66.599999999999994</v>
      </c>
      <c r="O1099" s="116">
        <v>64.05</v>
      </c>
      <c r="P1099" s="116">
        <v>65</v>
      </c>
      <c r="Q1099" s="116">
        <v>66.3</v>
      </c>
      <c r="R1099">
        <v>4984037</v>
      </c>
    </row>
    <row r="1100" spans="1:18" x14ac:dyDescent="0.25">
      <c r="A1100" s="170">
        <v>43626</v>
      </c>
      <c r="B1100" s="116">
        <v>67.3</v>
      </c>
      <c r="C1100" s="116">
        <v>66.349999999999994</v>
      </c>
      <c r="D1100" s="116">
        <v>66</v>
      </c>
      <c r="E1100" s="116">
        <v>66.5</v>
      </c>
      <c r="F1100" s="116">
        <v>66.349999999999994</v>
      </c>
      <c r="G1100">
        <v>346740</v>
      </c>
      <c r="H1100" s="116"/>
      <c r="I1100" s="116"/>
      <c r="L1100" s="170">
        <v>43626</v>
      </c>
      <c r="M1100" s="116">
        <v>66.55</v>
      </c>
      <c r="N1100" s="116">
        <v>67.3</v>
      </c>
      <c r="O1100" s="116">
        <v>65.95</v>
      </c>
      <c r="P1100" s="116">
        <v>66.650000000000006</v>
      </c>
      <c r="Q1100" s="116">
        <v>66.55</v>
      </c>
      <c r="R1100">
        <v>4586585</v>
      </c>
    </row>
    <row r="1101" spans="1:18" x14ac:dyDescent="0.25">
      <c r="A1101" s="170">
        <v>43627</v>
      </c>
      <c r="B1101" s="116">
        <v>67.2</v>
      </c>
      <c r="C1101" s="116">
        <v>66.3</v>
      </c>
      <c r="D1101" s="116">
        <v>66</v>
      </c>
      <c r="E1101" s="116">
        <v>66.400000000000006</v>
      </c>
      <c r="F1101" s="116">
        <v>66.3</v>
      </c>
      <c r="G1101">
        <v>510430</v>
      </c>
      <c r="H1101" s="116"/>
      <c r="I1101" s="116"/>
      <c r="L1101" s="170">
        <v>43627</v>
      </c>
      <c r="M1101" s="116">
        <v>66.349999999999994</v>
      </c>
      <c r="N1101" s="116">
        <v>67.2</v>
      </c>
      <c r="O1101" s="116">
        <v>66.05</v>
      </c>
      <c r="P1101" s="116">
        <v>66.5</v>
      </c>
      <c r="Q1101" s="116">
        <v>66.349999999999994</v>
      </c>
      <c r="R1101">
        <v>2979053</v>
      </c>
    </row>
    <row r="1102" spans="1:18" x14ac:dyDescent="0.25">
      <c r="A1102" s="170">
        <v>43628</v>
      </c>
      <c r="B1102" s="116">
        <v>67.75</v>
      </c>
      <c r="C1102" s="116">
        <v>66.349999999999994</v>
      </c>
      <c r="D1102" s="116">
        <v>66</v>
      </c>
      <c r="E1102" s="116">
        <v>66.8</v>
      </c>
      <c r="F1102" s="116">
        <v>66.349999999999994</v>
      </c>
      <c r="G1102">
        <v>346847</v>
      </c>
      <c r="H1102" s="116"/>
      <c r="I1102" s="116"/>
      <c r="L1102" s="170">
        <v>43628</v>
      </c>
      <c r="M1102" s="116">
        <v>66.25</v>
      </c>
      <c r="N1102" s="116">
        <v>67.75</v>
      </c>
      <c r="O1102" s="116">
        <v>65.849999999999994</v>
      </c>
      <c r="P1102" s="116">
        <v>66.55</v>
      </c>
      <c r="Q1102" s="116">
        <v>66.25</v>
      </c>
      <c r="R1102">
        <v>4196963</v>
      </c>
    </row>
    <row r="1103" spans="1:18" x14ac:dyDescent="0.25">
      <c r="A1103" s="170">
        <v>43629</v>
      </c>
      <c r="B1103" s="116">
        <v>66.849999999999994</v>
      </c>
      <c r="C1103" s="116">
        <v>66</v>
      </c>
      <c r="D1103" s="116">
        <v>65.150000000000006</v>
      </c>
      <c r="E1103" s="116">
        <v>66.849999999999994</v>
      </c>
      <c r="F1103" s="116">
        <v>66</v>
      </c>
      <c r="G1103">
        <v>1077809</v>
      </c>
      <c r="H1103" s="116"/>
      <c r="I1103" s="116"/>
      <c r="L1103" s="170">
        <v>43629</v>
      </c>
      <c r="M1103" s="116">
        <v>65.849999999999994</v>
      </c>
      <c r="N1103" s="116">
        <v>66.349999999999994</v>
      </c>
      <c r="O1103" s="116">
        <v>65.099999999999994</v>
      </c>
      <c r="P1103" s="116">
        <v>66.099999999999994</v>
      </c>
      <c r="Q1103" s="116">
        <v>65.849999999999994</v>
      </c>
      <c r="R1103">
        <v>10026686</v>
      </c>
    </row>
    <row r="1104" spans="1:18" x14ac:dyDescent="0.25">
      <c r="A1104" s="170">
        <v>43630</v>
      </c>
      <c r="B1104" s="116">
        <v>66.849999999999994</v>
      </c>
      <c r="C1104" s="116">
        <v>65.150000000000006</v>
      </c>
      <c r="D1104" s="116">
        <v>64.849999999999994</v>
      </c>
      <c r="E1104" s="116">
        <v>66</v>
      </c>
      <c r="F1104" s="116">
        <v>65.150000000000006</v>
      </c>
      <c r="G1104">
        <v>1432272</v>
      </c>
      <c r="H1104" s="116"/>
      <c r="I1104" s="116"/>
      <c r="L1104" s="170">
        <v>43630</v>
      </c>
      <c r="M1104" s="116">
        <v>65.150000000000006</v>
      </c>
      <c r="N1104" s="116">
        <v>66.95</v>
      </c>
      <c r="O1104" s="116">
        <v>64.900000000000006</v>
      </c>
      <c r="P1104" s="116">
        <v>66</v>
      </c>
      <c r="Q1104" s="116">
        <v>65.150000000000006</v>
      </c>
      <c r="R1104">
        <v>7474667</v>
      </c>
    </row>
    <row r="1105" spans="1:18" x14ac:dyDescent="0.25">
      <c r="A1105" s="170">
        <v>43633</v>
      </c>
      <c r="B1105" s="116">
        <v>65.8</v>
      </c>
      <c r="C1105" s="116">
        <v>64.55</v>
      </c>
      <c r="D1105" s="116">
        <v>63.75</v>
      </c>
      <c r="E1105" s="116">
        <v>65.8</v>
      </c>
      <c r="F1105" s="116">
        <v>64.55</v>
      </c>
      <c r="G1105">
        <v>963703</v>
      </c>
      <c r="H1105" s="116"/>
      <c r="I1105" s="116"/>
      <c r="L1105" s="170">
        <v>43633</v>
      </c>
      <c r="M1105" s="116">
        <v>64.5</v>
      </c>
      <c r="N1105" s="116">
        <v>65.55</v>
      </c>
      <c r="O1105" s="116">
        <v>63.6</v>
      </c>
      <c r="P1105" s="116">
        <v>65.55</v>
      </c>
      <c r="Q1105" s="116">
        <v>64.5</v>
      </c>
      <c r="R1105">
        <v>6489309</v>
      </c>
    </row>
    <row r="1106" spans="1:18" x14ac:dyDescent="0.25">
      <c r="A1106" s="170">
        <v>43634</v>
      </c>
      <c r="B1106" s="116">
        <v>65.05</v>
      </c>
      <c r="C1106" s="116">
        <v>64.349999999999994</v>
      </c>
      <c r="D1106" s="116">
        <v>64</v>
      </c>
      <c r="E1106" s="116">
        <v>64.75</v>
      </c>
      <c r="F1106" s="116">
        <v>64.349999999999994</v>
      </c>
      <c r="G1106">
        <v>283910</v>
      </c>
      <c r="H1106" s="116"/>
      <c r="I1106" s="116"/>
      <c r="L1106" s="170">
        <v>43634</v>
      </c>
      <c r="M1106" s="116">
        <v>64.3</v>
      </c>
      <c r="N1106" s="116">
        <v>65.099999999999994</v>
      </c>
      <c r="O1106" s="116">
        <v>63.9</v>
      </c>
      <c r="P1106" s="116">
        <v>64.25</v>
      </c>
      <c r="Q1106" s="116">
        <v>64.3</v>
      </c>
      <c r="R1106">
        <v>2523540</v>
      </c>
    </row>
    <row r="1107" spans="1:18" x14ac:dyDescent="0.25">
      <c r="A1107" s="170">
        <v>43635</v>
      </c>
      <c r="B1107" s="116">
        <v>65.349999999999994</v>
      </c>
      <c r="C1107" s="116">
        <v>63.55</v>
      </c>
      <c r="D1107" s="116">
        <v>63.2</v>
      </c>
      <c r="E1107" s="116">
        <v>64.900000000000006</v>
      </c>
      <c r="F1107" s="116">
        <v>63.55</v>
      </c>
      <c r="G1107">
        <v>372830</v>
      </c>
      <c r="H1107" s="116"/>
      <c r="I1107" s="116"/>
      <c r="L1107" s="170">
        <v>43635</v>
      </c>
      <c r="M1107" s="116">
        <v>63.5</v>
      </c>
      <c r="N1107" s="116">
        <v>65.349999999999994</v>
      </c>
      <c r="O1107" s="116">
        <v>63.2</v>
      </c>
      <c r="P1107" s="116">
        <v>65.2</v>
      </c>
      <c r="Q1107" s="116">
        <v>63.5</v>
      </c>
      <c r="R1107">
        <v>6911446</v>
      </c>
    </row>
    <row r="1108" spans="1:18" x14ac:dyDescent="0.25">
      <c r="A1108" s="170">
        <v>43636</v>
      </c>
      <c r="B1108" s="116">
        <v>64.8</v>
      </c>
      <c r="C1108" s="116">
        <v>64.650000000000006</v>
      </c>
      <c r="D1108" s="116">
        <v>63</v>
      </c>
      <c r="E1108" s="116">
        <v>63.5</v>
      </c>
      <c r="F1108" s="116">
        <v>64.650000000000006</v>
      </c>
      <c r="G1108">
        <v>216962</v>
      </c>
      <c r="H1108" s="116"/>
      <c r="I1108" s="116"/>
      <c r="L1108" s="170">
        <v>43636</v>
      </c>
      <c r="M1108" s="116">
        <v>64.599999999999994</v>
      </c>
      <c r="N1108" s="116">
        <v>64.849999999999994</v>
      </c>
      <c r="O1108" s="116">
        <v>63</v>
      </c>
      <c r="P1108" s="116">
        <v>63.5</v>
      </c>
      <c r="Q1108" s="116">
        <v>64.599999999999994</v>
      </c>
      <c r="R1108">
        <v>3388105</v>
      </c>
    </row>
    <row r="1109" spans="1:18" x14ac:dyDescent="0.25">
      <c r="A1109" s="170">
        <v>43637</v>
      </c>
      <c r="B1109" s="116">
        <v>65.5</v>
      </c>
      <c r="C1109" s="116">
        <v>65.2</v>
      </c>
      <c r="D1109" s="116">
        <v>64.099999999999994</v>
      </c>
      <c r="E1109" s="116">
        <v>64.599999999999994</v>
      </c>
      <c r="F1109" s="116">
        <v>65.2</v>
      </c>
      <c r="G1109">
        <v>982262</v>
      </c>
      <c r="H1109" s="116"/>
      <c r="I1109" s="116"/>
      <c r="L1109" s="170">
        <v>43637</v>
      </c>
      <c r="M1109" s="116">
        <v>65.25</v>
      </c>
      <c r="N1109" s="116">
        <v>65.5</v>
      </c>
      <c r="O1109" s="116">
        <v>64.099999999999994</v>
      </c>
      <c r="P1109" s="116">
        <v>64.599999999999994</v>
      </c>
      <c r="Q1109" s="116">
        <v>65.25</v>
      </c>
      <c r="R1109">
        <v>7069181</v>
      </c>
    </row>
    <row r="1110" spans="1:18" x14ac:dyDescent="0.25">
      <c r="A1110" s="170">
        <v>43640</v>
      </c>
      <c r="B1110" s="116">
        <v>65.7</v>
      </c>
      <c r="C1110" s="116">
        <v>65.05</v>
      </c>
      <c r="D1110" s="116">
        <v>64.5</v>
      </c>
      <c r="E1110" s="116">
        <v>65.7</v>
      </c>
      <c r="F1110" s="116">
        <v>65.05</v>
      </c>
      <c r="G1110">
        <v>176387</v>
      </c>
      <c r="H1110" s="116"/>
      <c r="I1110" s="116"/>
      <c r="L1110" s="170">
        <v>43640</v>
      </c>
      <c r="M1110" s="116">
        <v>65.05</v>
      </c>
      <c r="N1110" s="116">
        <v>65.7</v>
      </c>
      <c r="O1110" s="116">
        <v>64.5</v>
      </c>
      <c r="P1110" s="116">
        <v>65</v>
      </c>
      <c r="Q1110" s="116">
        <v>65.05</v>
      </c>
      <c r="R1110">
        <v>3456625</v>
      </c>
    </row>
    <row r="1111" spans="1:18" x14ac:dyDescent="0.25">
      <c r="A1111" s="170">
        <v>43641</v>
      </c>
      <c r="B1111" s="116">
        <v>67.55</v>
      </c>
      <c r="C1111" s="116">
        <v>66.150000000000006</v>
      </c>
      <c r="D1111" s="116">
        <v>64.7</v>
      </c>
      <c r="E1111" s="116">
        <v>65.150000000000006</v>
      </c>
      <c r="F1111" s="116">
        <v>66.150000000000006</v>
      </c>
      <c r="G1111">
        <v>989314</v>
      </c>
      <c r="H1111" s="116"/>
      <c r="I1111" s="116"/>
      <c r="L1111" s="170">
        <v>43641</v>
      </c>
      <c r="M1111" s="116">
        <v>66.3</v>
      </c>
      <c r="N1111" s="116">
        <v>67.55</v>
      </c>
      <c r="O1111" s="116">
        <v>64.75</v>
      </c>
      <c r="P1111" s="116">
        <v>65</v>
      </c>
      <c r="Q1111" s="116">
        <v>66.3</v>
      </c>
      <c r="R1111">
        <v>8164192</v>
      </c>
    </row>
    <row r="1112" spans="1:18" x14ac:dyDescent="0.25">
      <c r="A1112" s="170">
        <v>43642</v>
      </c>
      <c r="B1112" s="116">
        <v>69.45</v>
      </c>
      <c r="C1112" s="116">
        <v>68.599999999999994</v>
      </c>
      <c r="D1112" s="116">
        <v>66.8</v>
      </c>
      <c r="E1112" s="116">
        <v>66.95</v>
      </c>
      <c r="F1112" s="116">
        <v>68.599999999999994</v>
      </c>
      <c r="G1112">
        <v>542902</v>
      </c>
      <c r="H1112" s="116"/>
      <c r="I1112" s="116"/>
      <c r="L1112" s="170">
        <v>43642</v>
      </c>
      <c r="M1112" s="116">
        <v>68.55</v>
      </c>
      <c r="N1112" s="116">
        <v>69.5</v>
      </c>
      <c r="O1112" s="116">
        <v>66.7</v>
      </c>
      <c r="P1112" s="116">
        <v>67</v>
      </c>
      <c r="Q1112" s="116">
        <v>68.55</v>
      </c>
      <c r="R1112">
        <v>7878180</v>
      </c>
    </row>
    <row r="1113" spans="1:18" x14ac:dyDescent="0.25">
      <c r="A1113" s="170">
        <v>43643</v>
      </c>
      <c r="B1113" s="116">
        <v>69.3</v>
      </c>
      <c r="C1113" s="116">
        <v>68.650000000000006</v>
      </c>
      <c r="D1113" s="116">
        <v>68.349999999999994</v>
      </c>
      <c r="E1113" s="116">
        <v>68.599999999999994</v>
      </c>
      <c r="F1113" s="116">
        <v>68.650000000000006</v>
      </c>
      <c r="G1113">
        <v>233186</v>
      </c>
      <c r="H1113" s="116"/>
      <c r="I1113" s="116"/>
      <c r="L1113" s="170">
        <v>43643</v>
      </c>
      <c r="M1113" s="116">
        <v>68.650000000000006</v>
      </c>
      <c r="N1113" s="116">
        <v>69.3</v>
      </c>
      <c r="O1113" s="116">
        <v>68.349999999999994</v>
      </c>
      <c r="P1113" s="116">
        <v>68.55</v>
      </c>
      <c r="Q1113" s="116">
        <v>68.650000000000006</v>
      </c>
      <c r="R1113">
        <v>3985838</v>
      </c>
    </row>
    <row r="1114" spans="1:18" x14ac:dyDescent="0.25">
      <c r="A1114" s="170">
        <v>43644</v>
      </c>
      <c r="B1114" s="116">
        <v>70.150000000000006</v>
      </c>
      <c r="C1114" s="116">
        <v>69</v>
      </c>
      <c r="D1114" s="116">
        <v>68.099999999999994</v>
      </c>
      <c r="E1114" s="116">
        <v>69</v>
      </c>
      <c r="F1114" s="116">
        <v>69</v>
      </c>
      <c r="G1114">
        <v>540397</v>
      </c>
      <c r="H1114" s="116"/>
      <c r="I1114" s="116"/>
      <c r="L1114" s="170">
        <v>43644</v>
      </c>
      <c r="M1114" s="116">
        <v>69</v>
      </c>
      <c r="N1114" s="116">
        <v>70.2</v>
      </c>
      <c r="O1114" s="116">
        <v>68.099999999999994</v>
      </c>
      <c r="P1114" s="116">
        <v>68.849999999999994</v>
      </c>
      <c r="Q1114" s="116">
        <v>69</v>
      </c>
      <c r="R1114">
        <v>6407062</v>
      </c>
    </row>
    <row r="1115" spans="1:18" x14ac:dyDescent="0.25">
      <c r="A1115" s="170">
        <v>43647</v>
      </c>
      <c r="B1115" s="116">
        <v>70.95</v>
      </c>
      <c r="C1115" s="116">
        <v>70.7</v>
      </c>
      <c r="D1115" s="116">
        <v>68.2</v>
      </c>
      <c r="E1115" s="116">
        <v>69.3</v>
      </c>
      <c r="F1115" s="116">
        <v>70.7</v>
      </c>
      <c r="G1115">
        <v>608906</v>
      </c>
      <c r="H1115" s="116"/>
      <c r="I1115" s="116"/>
      <c r="L1115" s="170">
        <v>43647</v>
      </c>
      <c r="M1115" s="116">
        <v>70.7</v>
      </c>
      <c r="N1115" s="116">
        <v>71</v>
      </c>
      <c r="O1115" s="116">
        <v>68.150000000000006</v>
      </c>
      <c r="P1115" s="116">
        <v>69.349999999999994</v>
      </c>
      <c r="Q1115" s="116">
        <v>70.7</v>
      </c>
      <c r="R1115">
        <v>6683580</v>
      </c>
    </row>
    <row r="1116" spans="1:18" x14ac:dyDescent="0.25">
      <c r="A1116" s="170">
        <v>43648</v>
      </c>
      <c r="B1116" s="116">
        <v>73.349999999999994</v>
      </c>
      <c r="C1116" s="116">
        <v>73.099999999999994</v>
      </c>
      <c r="D1116" s="116">
        <v>70.099999999999994</v>
      </c>
      <c r="E1116" s="116">
        <v>71</v>
      </c>
      <c r="F1116" s="116">
        <v>73.099999999999994</v>
      </c>
      <c r="G1116">
        <v>918199</v>
      </c>
      <c r="H1116" s="116"/>
      <c r="I1116" s="116"/>
      <c r="L1116" s="170">
        <v>43648</v>
      </c>
      <c r="M1116" s="116">
        <v>73.099999999999994</v>
      </c>
      <c r="N1116" s="116">
        <v>73.400000000000006</v>
      </c>
      <c r="O1116" s="116">
        <v>70.150000000000006</v>
      </c>
      <c r="P1116" s="116">
        <v>71.05</v>
      </c>
      <c r="Q1116" s="116">
        <v>73.099999999999994</v>
      </c>
      <c r="R1116">
        <v>20164926</v>
      </c>
    </row>
    <row r="1117" spans="1:18" x14ac:dyDescent="0.25">
      <c r="A1117" s="170">
        <v>43649</v>
      </c>
      <c r="B1117" s="116">
        <v>74.05</v>
      </c>
      <c r="C1117" s="116">
        <v>73.900000000000006</v>
      </c>
      <c r="D1117" s="116">
        <v>71.599999999999994</v>
      </c>
      <c r="E1117" s="116">
        <v>73.400000000000006</v>
      </c>
      <c r="F1117" s="116">
        <v>73.900000000000006</v>
      </c>
      <c r="G1117">
        <v>743388</v>
      </c>
      <c r="H1117" s="116"/>
      <c r="I1117" s="116"/>
      <c r="L1117" s="170">
        <v>43649</v>
      </c>
      <c r="M1117" s="116">
        <v>73.849999999999994</v>
      </c>
      <c r="N1117" s="116">
        <v>74.150000000000006</v>
      </c>
      <c r="O1117" s="116">
        <v>71.5</v>
      </c>
      <c r="P1117" s="116">
        <v>73.400000000000006</v>
      </c>
      <c r="Q1117" s="116">
        <v>73.849999999999994</v>
      </c>
      <c r="R1117">
        <v>13757355</v>
      </c>
    </row>
    <row r="1118" spans="1:18" x14ac:dyDescent="0.25">
      <c r="A1118" s="170">
        <v>43650</v>
      </c>
      <c r="B1118" s="116">
        <v>74.05</v>
      </c>
      <c r="C1118" s="116">
        <v>72.150000000000006</v>
      </c>
      <c r="D1118" s="116">
        <v>71.75</v>
      </c>
      <c r="E1118" s="116">
        <v>73.3</v>
      </c>
      <c r="F1118" s="116">
        <v>72.150000000000006</v>
      </c>
      <c r="G1118">
        <v>519877</v>
      </c>
      <c r="H1118" s="116"/>
      <c r="I1118" s="116"/>
      <c r="L1118" s="170">
        <v>43650</v>
      </c>
      <c r="M1118" s="116">
        <v>72.150000000000006</v>
      </c>
      <c r="N1118" s="116">
        <v>74.05</v>
      </c>
      <c r="O1118" s="116">
        <v>71.8</v>
      </c>
      <c r="P1118" s="116">
        <v>73.5</v>
      </c>
      <c r="Q1118" s="116">
        <v>72.150000000000006</v>
      </c>
      <c r="R1118">
        <v>4570483</v>
      </c>
    </row>
    <row r="1119" spans="1:18" x14ac:dyDescent="0.25">
      <c r="A1119" s="170">
        <v>43651</v>
      </c>
      <c r="B1119" s="116">
        <v>72.400000000000006</v>
      </c>
      <c r="C1119" s="116">
        <v>70.650000000000006</v>
      </c>
      <c r="D1119" s="116">
        <v>70.25</v>
      </c>
      <c r="E1119" s="116">
        <v>72.150000000000006</v>
      </c>
      <c r="F1119" s="116">
        <v>70.650000000000006</v>
      </c>
      <c r="G1119">
        <v>339162</v>
      </c>
      <c r="H1119" s="116"/>
      <c r="I1119" s="116"/>
      <c r="L1119" s="170">
        <v>43651</v>
      </c>
      <c r="M1119" s="116">
        <v>70.599999999999994</v>
      </c>
      <c r="N1119" s="116">
        <v>72.5</v>
      </c>
      <c r="O1119" s="116">
        <v>70.2</v>
      </c>
      <c r="P1119" s="116">
        <v>72.150000000000006</v>
      </c>
      <c r="Q1119" s="116">
        <v>70.599999999999994</v>
      </c>
      <c r="R1119">
        <v>4542388</v>
      </c>
    </row>
    <row r="1120" spans="1:18" x14ac:dyDescent="0.25">
      <c r="A1120" s="170">
        <v>43654</v>
      </c>
      <c r="B1120" s="116">
        <v>70.45</v>
      </c>
      <c r="C1120" s="116">
        <v>68.349999999999994</v>
      </c>
      <c r="D1120" s="116">
        <v>67.349999999999994</v>
      </c>
      <c r="E1120" s="116">
        <v>70.45</v>
      </c>
      <c r="F1120" s="116">
        <v>68.349999999999994</v>
      </c>
      <c r="G1120">
        <v>414888</v>
      </c>
      <c r="H1120" s="116"/>
      <c r="I1120" s="116"/>
      <c r="L1120" s="170">
        <v>43654</v>
      </c>
      <c r="M1120" s="116">
        <v>68.599999999999994</v>
      </c>
      <c r="N1120" s="116">
        <v>70.400000000000006</v>
      </c>
      <c r="O1120" s="116">
        <v>67.349999999999994</v>
      </c>
      <c r="P1120" s="116">
        <v>70.2</v>
      </c>
      <c r="Q1120" s="116">
        <v>68.599999999999994</v>
      </c>
      <c r="R1120">
        <v>5025170</v>
      </c>
    </row>
    <row r="1121" spans="1:18" x14ac:dyDescent="0.25">
      <c r="A1121" s="170">
        <v>43655</v>
      </c>
      <c r="B1121" s="116">
        <v>69</v>
      </c>
      <c r="C1121" s="116">
        <v>68.45</v>
      </c>
      <c r="D1121" s="116">
        <v>67.849999999999994</v>
      </c>
      <c r="E1121" s="116">
        <v>68.5</v>
      </c>
      <c r="F1121" s="116">
        <v>68.45</v>
      </c>
      <c r="G1121">
        <v>327558</v>
      </c>
      <c r="H1121" s="116"/>
      <c r="I1121" s="116"/>
      <c r="L1121" s="170">
        <v>43655</v>
      </c>
      <c r="M1121" s="116">
        <v>68.5</v>
      </c>
      <c r="N1121" s="116">
        <v>69.05</v>
      </c>
      <c r="O1121" s="116">
        <v>67.849999999999994</v>
      </c>
      <c r="P1121" s="116">
        <v>68.2</v>
      </c>
      <c r="Q1121" s="116">
        <v>68.5</v>
      </c>
      <c r="R1121">
        <v>4835452</v>
      </c>
    </row>
    <row r="1122" spans="1:18" x14ac:dyDescent="0.25">
      <c r="A1122" s="170">
        <v>43656</v>
      </c>
      <c r="B1122" s="116">
        <v>69.05</v>
      </c>
      <c r="C1122" s="116">
        <v>66.400000000000006</v>
      </c>
      <c r="D1122" s="116">
        <v>66.2</v>
      </c>
      <c r="E1122" s="116">
        <v>69.05</v>
      </c>
      <c r="F1122" s="116">
        <v>66.400000000000006</v>
      </c>
      <c r="G1122">
        <v>259891</v>
      </c>
      <c r="H1122" s="116"/>
      <c r="I1122" s="116"/>
      <c r="L1122" s="170">
        <v>43656</v>
      </c>
      <c r="M1122" s="116">
        <v>66.349999999999994</v>
      </c>
      <c r="N1122" s="116">
        <v>69.099999999999994</v>
      </c>
      <c r="O1122" s="116">
        <v>66.099999999999994</v>
      </c>
      <c r="P1122" s="116">
        <v>68.95</v>
      </c>
      <c r="Q1122" s="116">
        <v>66.349999999999994</v>
      </c>
      <c r="R1122">
        <v>6342661</v>
      </c>
    </row>
    <row r="1123" spans="1:18" x14ac:dyDescent="0.25">
      <c r="A1123" s="170">
        <v>43657</v>
      </c>
      <c r="B1123" s="116">
        <v>67.8</v>
      </c>
      <c r="C1123" s="116">
        <v>67.400000000000006</v>
      </c>
      <c r="D1123" s="116">
        <v>66.650000000000006</v>
      </c>
      <c r="E1123" s="116">
        <v>66.75</v>
      </c>
      <c r="F1123" s="116">
        <v>67.400000000000006</v>
      </c>
      <c r="G1123">
        <v>216282</v>
      </c>
      <c r="H1123" s="116"/>
      <c r="I1123" s="116"/>
      <c r="L1123" s="170">
        <v>43657</v>
      </c>
      <c r="M1123" s="116">
        <v>67.400000000000006</v>
      </c>
      <c r="N1123" s="116">
        <v>67.75</v>
      </c>
      <c r="O1123" s="116">
        <v>66.650000000000006</v>
      </c>
      <c r="P1123" s="116">
        <v>67</v>
      </c>
      <c r="Q1123" s="116">
        <v>67.400000000000006</v>
      </c>
      <c r="R1123">
        <v>3017441</v>
      </c>
    </row>
    <row r="1124" spans="1:18" x14ac:dyDescent="0.25">
      <c r="A1124" s="170">
        <v>43658</v>
      </c>
      <c r="B1124" s="116">
        <v>69</v>
      </c>
      <c r="C1124" s="116">
        <v>68.150000000000006</v>
      </c>
      <c r="D1124" s="116">
        <v>67.2</v>
      </c>
      <c r="E1124" s="116">
        <v>67.95</v>
      </c>
      <c r="F1124" s="116">
        <v>68.150000000000006</v>
      </c>
      <c r="G1124">
        <v>263980</v>
      </c>
      <c r="H1124" s="116"/>
      <c r="I1124" s="116"/>
      <c r="L1124" s="170">
        <v>43658</v>
      </c>
      <c r="M1124" s="116">
        <v>68.150000000000006</v>
      </c>
      <c r="N1124" s="116">
        <v>69.05</v>
      </c>
      <c r="O1124" s="116">
        <v>67.2</v>
      </c>
      <c r="P1124" s="116">
        <v>67.650000000000006</v>
      </c>
      <c r="Q1124" s="116">
        <v>68.150000000000006</v>
      </c>
      <c r="R1124">
        <v>5451127</v>
      </c>
    </row>
    <row r="1125" spans="1:18" x14ac:dyDescent="0.25">
      <c r="A1125" s="170">
        <v>43661</v>
      </c>
      <c r="B1125" s="116">
        <v>69.150000000000006</v>
      </c>
      <c r="C1125" s="116">
        <v>68.599999999999994</v>
      </c>
      <c r="D1125" s="116">
        <v>67.05</v>
      </c>
      <c r="E1125" s="116">
        <v>68.349999999999994</v>
      </c>
      <c r="F1125" s="116">
        <v>68.599999999999994</v>
      </c>
      <c r="G1125">
        <v>293333</v>
      </c>
      <c r="H1125" s="116"/>
      <c r="I1125" s="116"/>
      <c r="L1125" s="170">
        <v>43661</v>
      </c>
      <c r="M1125" s="116">
        <v>68.55</v>
      </c>
      <c r="N1125" s="116">
        <v>69.150000000000006</v>
      </c>
      <c r="O1125" s="116">
        <v>67</v>
      </c>
      <c r="P1125" s="116">
        <v>68.55</v>
      </c>
      <c r="Q1125" s="116">
        <v>68.55</v>
      </c>
      <c r="R1125">
        <v>5917414</v>
      </c>
    </row>
    <row r="1126" spans="1:18" x14ac:dyDescent="0.25">
      <c r="A1126" s="170">
        <v>43662</v>
      </c>
      <c r="B1126" s="116">
        <v>69.400000000000006</v>
      </c>
      <c r="C1126" s="116">
        <v>67.95</v>
      </c>
      <c r="D1126" s="116">
        <v>67.7</v>
      </c>
      <c r="E1126" s="116">
        <v>68.75</v>
      </c>
      <c r="F1126" s="116">
        <v>67.95</v>
      </c>
      <c r="G1126">
        <v>219736</v>
      </c>
      <c r="H1126" s="116"/>
      <c r="I1126" s="116"/>
      <c r="L1126" s="170">
        <v>43662</v>
      </c>
      <c r="M1126" s="116">
        <v>67.95</v>
      </c>
      <c r="N1126" s="116">
        <v>69.400000000000006</v>
      </c>
      <c r="O1126" s="116">
        <v>67.55</v>
      </c>
      <c r="P1126" s="116">
        <v>68.599999999999994</v>
      </c>
      <c r="Q1126" s="116">
        <v>67.95</v>
      </c>
      <c r="R1126">
        <v>4176351</v>
      </c>
    </row>
    <row r="1127" spans="1:18" x14ac:dyDescent="0.25">
      <c r="A1127" s="170">
        <v>43663</v>
      </c>
      <c r="B1127" s="116">
        <v>69.650000000000006</v>
      </c>
      <c r="C1127" s="116">
        <v>69</v>
      </c>
      <c r="D1127" s="116">
        <v>67.95</v>
      </c>
      <c r="E1127" s="116">
        <v>68.349999999999994</v>
      </c>
      <c r="F1127" s="116">
        <v>69</v>
      </c>
      <c r="G1127">
        <v>342979</v>
      </c>
      <c r="H1127" s="116"/>
      <c r="I1127" s="116"/>
      <c r="L1127" s="170">
        <v>43663</v>
      </c>
      <c r="M1127" s="116">
        <v>69.05</v>
      </c>
      <c r="N1127" s="116">
        <v>69.7</v>
      </c>
      <c r="O1127" s="116">
        <v>68</v>
      </c>
      <c r="P1127" s="116">
        <v>68.099999999999994</v>
      </c>
      <c r="Q1127" s="116">
        <v>69.05</v>
      </c>
      <c r="R1127">
        <v>5283091</v>
      </c>
    </row>
    <row r="1128" spans="1:18" x14ac:dyDescent="0.25">
      <c r="A1128" s="170">
        <v>43664</v>
      </c>
      <c r="B1128" s="116">
        <v>70</v>
      </c>
      <c r="C1128" s="116">
        <v>66.349999999999994</v>
      </c>
      <c r="D1128" s="116">
        <v>66.099999999999994</v>
      </c>
      <c r="E1128" s="116">
        <v>70</v>
      </c>
      <c r="F1128" s="116">
        <v>66.349999999999994</v>
      </c>
      <c r="G1128">
        <v>354974</v>
      </c>
      <c r="H1128" s="116"/>
      <c r="I1128" s="116"/>
      <c r="L1128" s="170">
        <v>43664</v>
      </c>
      <c r="M1128" s="116">
        <v>66.349999999999994</v>
      </c>
      <c r="N1128" s="116">
        <v>70</v>
      </c>
      <c r="O1128" s="116">
        <v>66.099999999999994</v>
      </c>
      <c r="P1128" s="116">
        <v>69.650000000000006</v>
      </c>
      <c r="Q1128" s="116">
        <v>66.349999999999994</v>
      </c>
      <c r="R1128">
        <v>6841872</v>
      </c>
    </row>
    <row r="1129" spans="1:18" x14ac:dyDescent="0.25">
      <c r="A1129" s="170">
        <v>43665</v>
      </c>
      <c r="B1129" s="116">
        <v>67.25</v>
      </c>
      <c r="C1129" s="116">
        <v>66.45</v>
      </c>
      <c r="D1129" s="116">
        <v>65.2</v>
      </c>
      <c r="E1129" s="116">
        <v>66.05</v>
      </c>
      <c r="F1129" s="116">
        <v>66.45</v>
      </c>
      <c r="G1129">
        <v>389191</v>
      </c>
      <c r="H1129" s="116"/>
      <c r="I1129" s="116"/>
      <c r="L1129" s="170">
        <v>43665</v>
      </c>
      <c r="M1129" s="116">
        <v>66.55</v>
      </c>
      <c r="N1129" s="116">
        <v>67.3</v>
      </c>
      <c r="O1129" s="116">
        <v>65.2</v>
      </c>
      <c r="P1129" s="116">
        <v>66.349999999999994</v>
      </c>
      <c r="Q1129" s="116">
        <v>66.55</v>
      </c>
      <c r="R1129">
        <v>6236877</v>
      </c>
    </row>
    <row r="1130" spans="1:18" x14ac:dyDescent="0.25">
      <c r="A1130" s="170">
        <v>43668</v>
      </c>
      <c r="B1130" s="116">
        <v>67.3</v>
      </c>
      <c r="C1130" s="116">
        <v>67.05</v>
      </c>
      <c r="D1130" s="116">
        <v>65.5</v>
      </c>
      <c r="E1130" s="116">
        <v>66.8</v>
      </c>
      <c r="F1130" s="116">
        <v>67.05</v>
      </c>
      <c r="G1130">
        <v>268289</v>
      </c>
      <c r="H1130" s="116"/>
      <c r="I1130" s="116"/>
      <c r="L1130" s="170">
        <v>43668</v>
      </c>
      <c r="M1130" s="116">
        <v>67.099999999999994</v>
      </c>
      <c r="N1130" s="116">
        <v>67.3</v>
      </c>
      <c r="O1130" s="116">
        <v>65.5</v>
      </c>
      <c r="P1130" s="116">
        <v>66.7</v>
      </c>
      <c r="Q1130" s="116">
        <v>67.099999999999994</v>
      </c>
      <c r="R1130">
        <v>3031714</v>
      </c>
    </row>
    <row r="1131" spans="1:18" x14ac:dyDescent="0.25">
      <c r="A1131" s="170">
        <v>43669</v>
      </c>
      <c r="B1131" s="116">
        <v>67.95</v>
      </c>
      <c r="C1131" s="116">
        <v>66.25</v>
      </c>
      <c r="D1131" s="116">
        <v>66.05</v>
      </c>
      <c r="E1131" s="116">
        <v>67.25</v>
      </c>
      <c r="F1131" s="116">
        <v>66.25</v>
      </c>
      <c r="G1131">
        <v>244834</v>
      </c>
      <c r="H1131" s="116"/>
      <c r="I1131" s="116"/>
      <c r="L1131" s="170">
        <v>43669</v>
      </c>
      <c r="M1131" s="116">
        <v>66.25</v>
      </c>
      <c r="N1131" s="116">
        <v>67.95</v>
      </c>
      <c r="O1131" s="116">
        <v>66.05</v>
      </c>
      <c r="P1131" s="116">
        <v>67.2</v>
      </c>
      <c r="Q1131" s="116">
        <v>66.25</v>
      </c>
      <c r="R1131">
        <v>4302826</v>
      </c>
    </row>
    <row r="1132" spans="1:18" x14ac:dyDescent="0.25">
      <c r="A1132" s="170">
        <v>43670</v>
      </c>
      <c r="B1132" s="116">
        <v>66.75</v>
      </c>
      <c r="C1132" s="116">
        <v>63.75</v>
      </c>
      <c r="D1132" s="116">
        <v>62.95</v>
      </c>
      <c r="E1132" s="116">
        <v>65.7</v>
      </c>
      <c r="F1132" s="116">
        <v>63.75</v>
      </c>
      <c r="G1132">
        <v>4134015</v>
      </c>
      <c r="H1132" s="116"/>
      <c r="I1132" s="116"/>
      <c r="L1132" s="170">
        <v>43670</v>
      </c>
      <c r="M1132" s="116">
        <v>63.85</v>
      </c>
      <c r="N1132" s="116">
        <v>66.599999999999994</v>
      </c>
      <c r="O1132" s="116">
        <v>63</v>
      </c>
      <c r="P1132" s="116">
        <v>66.400000000000006</v>
      </c>
      <c r="Q1132" s="116">
        <v>63.85</v>
      </c>
      <c r="R1132">
        <v>12131637</v>
      </c>
    </row>
    <row r="1133" spans="1:18" x14ac:dyDescent="0.25">
      <c r="A1133" s="170">
        <v>43671</v>
      </c>
      <c r="B1133" s="116">
        <v>64.3</v>
      </c>
      <c r="C1133" s="116">
        <v>61.55</v>
      </c>
      <c r="D1133" s="116">
        <v>61.3</v>
      </c>
      <c r="E1133" s="116">
        <v>63.65</v>
      </c>
      <c r="F1133" s="116">
        <v>61.55</v>
      </c>
      <c r="G1133">
        <v>501309</v>
      </c>
      <c r="H1133" s="116"/>
      <c r="I1133" s="116"/>
      <c r="L1133" s="170">
        <v>43671</v>
      </c>
      <c r="M1133" s="116">
        <v>61.55</v>
      </c>
      <c r="N1133" s="116">
        <v>64.3</v>
      </c>
      <c r="O1133" s="116">
        <v>61.25</v>
      </c>
      <c r="P1133" s="116">
        <v>64</v>
      </c>
      <c r="Q1133" s="116">
        <v>61.55</v>
      </c>
      <c r="R1133">
        <v>10579797</v>
      </c>
    </row>
    <row r="1134" spans="1:18" x14ac:dyDescent="0.25">
      <c r="A1134" s="170">
        <v>43672</v>
      </c>
      <c r="B1134" s="116">
        <v>63.1</v>
      </c>
      <c r="C1134" s="116">
        <v>62.3</v>
      </c>
      <c r="D1134" s="116">
        <v>61</v>
      </c>
      <c r="E1134" s="116">
        <v>61.35</v>
      </c>
      <c r="F1134" s="116">
        <v>62.3</v>
      </c>
      <c r="G1134">
        <v>358426</v>
      </c>
      <c r="H1134" s="116"/>
      <c r="I1134" s="116"/>
      <c r="L1134" s="170">
        <v>43672</v>
      </c>
      <c r="M1134" s="116">
        <v>62.3</v>
      </c>
      <c r="N1134" s="116">
        <v>63.15</v>
      </c>
      <c r="O1134" s="116">
        <v>60.95</v>
      </c>
      <c r="P1134" s="116">
        <v>61.3</v>
      </c>
      <c r="Q1134" s="116">
        <v>62.3</v>
      </c>
      <c r="R1134">
        <v>5026025</v>
      </c>
    </row>
    <row r="1135" spans="1:18" x14ac:dyDescent="0.25">
      <c r="A1135" s="170">
        <v>43675</v>
      </c>
      <c r="B1135" s="116">
        <v>63.25</v>
      </c>
      <c r="C1135" s="116">
        <v>61.4</v>
      </c>
      <c r="D1135" s="116">
        <v>61.1</v>
      </c>
      <c r="E1135" s="116">
        <v>62.3</v>
      </c>
      <c r="F1135" s="116">
        <v>61.4</v>
      </c>
      <c r="G1135">
        <v>407833</v>
      </c>
      <c r="H1135" s="116"/>
      <c r="I1135" s="116"/>
      <c r="L1135" s="170">
        <v>43675</v>
      </c>
      <c r="M1135" s="116">
        <v>61.4</v>
      </c>
      <c r="N1135" s="116">
        <v>63.25</v>
      </c>
      <c r="O1135" s="116">
        <v>61.15</v>
      </c>
      <c r="P1135" s="116">
        <v>62.35</v>
      </c>
      <c r="Q1135" s="116">
        <v>61.4</v>
      </c>
      <c r="R1135">
        <v>8028637</v>
      </c>
    </row>
    <row r="1136" spans="1:18" x14ac:dyDescent="0.25">
      <c r="A1136" s="170">
        <v>43676</v>
      </c>
      <c r="B1136" s="116">
        <v>62.05</v>
      </c>
      <c r="C1136" s="116">
        <v>58.9</v>
      </c>
      <c r="D1136" s="116">
        <v>58.4</v>
      </c>
      <c r="E1136" s="116">
        <v>62</v>
      </c>
      <c r="F1136" s="116">
        <v>58.9</v>
      </c>
      <c r="G1136">
        <v>530395</v>
      </c>
      <c r="H1136" s="116"/>
      <c r="I1136" s="116"/>
      <c r="L1136" s="170">
        <v>43676</v>
      </c>
      <c r="M1136" s="116">
        <v>58.9</v>
      </c>
      <c r="N1136" s="116">
        <v>61.95</v>
      </c>
      <c r="O1136" s="116">
        <v>58.4</v>
      </c>
      <c r="P1136" s="116">
        <v>61.95</v>
      </c>
      <c r="Q1136" s="116">
        <v>58.9</v>
      </c>
      <c r="R1136">
        <v>8542201</v>
      </c>
    </row>
    <row r="1137" spans="1:18" x14ac:dyDescent="0.25">
      <c r="A1137" s="170">
        <v>43677</v>
      </c>
      <c r="B1137" s="116">
        <v>60.8</v>
      </c>
      <c r="C1137" s="116">
        <v>60.55</v>
      </c>
      <c r="D1137" s="116">
        <v>57.9</v>
      </c>
      <c r="E1137" s="116">
        <v>58.5</v>
      </c>
      <c r="F1137" s="116">
        <v>60.55</v>
      </c>
      <c r="G1137">
        <v>427550</v>
      </c>
      <c r="H1137" s="116"/>
      <c r="I1137" s="116"/>
      <c r="L1137" s="170">
        <v>43677</v>
      </c>
      <c r="M1137" s="116">
        <v>60.55</v>
      </c>
      <c r="N1137" s="116">
        <v>60.8</v>
      </c>
      <c r="O1137" s="116">
        <v>57.85</v>
      </c>
      <c r="P1137" s="116">
        <v>58.9</v>
      </c>
      <c r="Q1137" s="116">
        <v>60.55</v>
      </c>
      <c r="R1137">
        <v>8823980</v>
      </c>
    </row>
    <row r="1138" spans="1:18" x14ac:dyDescent="0.25">
      <c r="A1138" s="170">
        <v>43678</v>
      </c>
      <c r="B1138" s="116">
        <v>60.85</v>
      </c>
      <c r="C1138" s="116">
        <v>59.9</v>
      </c>
      <c r="D1138" s="116">
        <v>58.55</v>
      </c>
      <c r="E1138" s="116">
        <v>60.5</v>
      </c>
      <c r="F1138" s="116">
        <v>59.9</v>
      </c>
      <c r="G1138">
        <v>629269</v>
      </c>
      <c r="H1138" s="116"/>
      <c r="I1138" s="116"/>
      <c r="L1138" s="170">
        <v>43678</v>
      </c>
      <c r="M1138" s="116">
        <v>59.75</v>
      </c>
      <c r="N1138" s="116">
        <v>60.85</v>
      </c>
      <c r="O1138" s="116">
        <v>58.5</v>
      </c>
      <c r="P1138" s="116">
        <v>60.3</v>
      </c>
      <c r="Q1138" s="116">
        <v>59.75</v>
      </c>
      <c r="R1138">
        <v>6467008</v>
      </c>
    </row>
    <row r="1139" spans="1:18" x14ac:dyDescent="0.25">
      <c r="A1139" s="170">
        <v>43679</v>
      </c>
      <c r="B1139" s="116">
        <v>60.35</v>
      </c>
      <c r="C1139" s="116">
        <v>59.2</v>
      </c>
      <c r="D1139" s="116">
        <v>57.7</v>
      </c>
      <c r="E1139" s="116">
        <v>59.35</v>
      </c>
      <c r="F1139" s="116">
        <v>59.2</v>
      </c>
      <c r="G1139">
        <v>827613</v>
      </c>
      <c r="H1139" s="116"/>
      <c r="I1139" s="116"/>
      <c r="L1139" s="170">
        <v>43679</v>
      </c>
      <c r="M1139" s="116">
        <v>59.15</v>
      </c>
      <c r="N1139" s="116">
        <v>60.45</v>
      </c>
      <c r="O1139" s="116">
        <v>57.75</v>
      </c>
      <c r="P1139" s="116">
        <v>58.9</v>
      </c>
      <c r="Q1139" s="116">
        <v>59.15</v>
      </c>
      <c r="R1139">
        <v>9264426</v>
      </c>
    </row>
    <row r="1140" spans="1:18" x14ac:dyDescent="0.25">
      <c r="A1140" s="170">
        <v>43682</v>
      </c>
      <c r="B1140" s="116">
        <v>59</v>
      </c>
      <c r="C1140" s="116">
        <v>57.95</v>
      </c>
      <c r="D1140" s="116">
        <v>57.35</v>
      </c>
      <c r="E1140" s="116">
        <v>58.75</v>
      </c>
      <c r="F1140" s="116">
        <v>57.95</v>
      </c>
      <c r="G1140">
        <v>403327</v>
      </c>
      <c r="H1140" s="116"/>
      <c r="I1140" s="116"/>
      <c r="L1140" s="170">
        <v>43682</v>
      </c>
      <c r="M1140" s="116">
        <v>57.9</v>
      </c>
      <c r="N1140" s="116">
        <v>58.95</v>
      </c>
      <c r="O1140" s="116">
        <v>57.35</v>
      </c>
      <c r="P1140" s="116">
        <v>58.5</v>
      </c>
      <c r="Q1140" s="116">
        <v>57.9</v>
      </c>
      <c r="R1140">
        <v>4471359</v>
      </c>
    </row>
    <row r="1141" spans="1:18" x14ac:dyDescent="0.25">
      <c r="A1141" s="170">
        <v>43683</v>
      </c>
      <c r="B1141" s="116">
        <v>59.95</v>
      </c>
      <c r="C1141" s="116">
        <v>59.3</v>
      </c>
      <c r="D1141" s="116">
        <v>57.95</v>
      </c>
      <c r="E1141" s="116">
        <v>57.95</v>
      </c>
      <c r="F1141" s="116">
        <v>59.3</v>
      </c>
      <c r="G1141">
        <v>240102</v>
      </c>
      <c r="H1141" s="116"/>
      <c r="I1141" s="116"/>
      <c r="L1141" s="170">
        <v>43683</v>
      </c>
      <c r="M1141" s="116">
        <v>59.3</v>
      </c>
      <c r="N1141" s="116">
        <v>59.95</v>
      </c>
      <c r="O1141" s="116">
        <v>58.05</v>
      </c>
      <c r="P1141" s="116">
        <v>58.05</v>
      </c>
      <c r="Q1141" s="116">
        <v>59.3</v>
      </c>
      <c r="R1141">
        <v>5274512</v>
      </c>
    </row>
    <row r="1142" spans="1:18" x14ac:dyDescent="0.25">
      <c r="A1142" s="170">
        <v>43684</v>
      </c>
      <c r="B1142" s="116">
        <v>60.25</v>
      </c>
      <c r="C1142" s="116">
        <v>59.05</v>
      </c>
      <c r="D1142" s="116">
        <v>58.7</v>
      </c>
      <c r="E1142" s="116">
        <v>59.3</v>
      </c>
      <c r="F1142" s="116">
        <v>59.05</v>
      </c>
      <c r="G1142">
        <v>386539</v>
      </c>
      <c r="H1142" s="116"/>
      <c r="I1142" s="116"/>
      <c r="L1142" s="170">
        <v>43684</v>
      </c>
      <c r="M1142" s="116">
        <v>59.05</v>
      </c>
      <c r="N1142" s="116">
        <v>60.2</v>
      </c>
      <c r="O1142" s="116">
        <v>58.65</v>
      </c>
      <c r="P1142" s="116">
        <v>59.4</v>
      </c>
      <c r="Q1142" s="116">
        <v>59.05</v>
      </c>
      <c r="R1142">
        <v>5497938</v>
      </c>
    </row>
    <row r="1143" spans="1:18" x14ac:dyDescent="0.25">
      <c r="A1143" s="170">
        <v>43685</v>
      </c>
      <c r="B1143" s="116">
        <v>59.6</v>
      </c>
      <c r="C1143" s="116">
        <v>57.8</v>
      </c>
      <c r="D1143" s="116">
        <v>57.2</v>
      </c>
      <c r="E1143" s="116">
        <v>59.25</v>
      </c>
      <c r="F1143" s="116">
        <v>57.8</v>
      </c>
      <c r="G1143">
        <v>1170811</v>
      </c>
      <c r="H1143" s="116"/>
      <c r="I1143" s="116"/>
      <c r="L1143" s="170">
        <v>43685</v>
      </c>
      <c r="M1143" s="116">
        <v>57.75</v>
      </c>
      <c r="N1143" s="116">
        <v>59.45</v>
      </c>
      <c r="O1143" s="116">
        <v>57.15</v>
      </c>
      <c r="P1143" s="116">
        <v>59.2</v>
      </c>
      <c r="Q1143" s="116">
        <v>57.75</v>
      </c>
      <c r="R1143">
        <v>16880937</v>
      </c>
    </row>
    <row r="1144" spans="1:18" x14ac:dyDescent="0.25">
      <c r="A1144" s="170">
        <v>43686</v>
      </c>
      <c r="B1144" s="116">
        <v>59.7</v>
      </c>
      <c r="C1144" s="116">
        <v>57.55</v>
      </c>
      <c r="D1144" s="116">
        <v>56.8</v>
      </c>
      <c r="E1144" s="116">
        <v>58.85</v>
      </c>
      <c r="F1144" s="116">
        <v>57.55</v>
      </c>
      <c r="G1144">
        <v>589306</v>
      </c>
      <c r="H1144" s="116"/>
      <c r="I1144" s="116"/>
      <c r="L1144" s="170">
        <v>43686</v>
      </c>
      <c r="M1144" s="116">
        <v>57.5</v>
      </c>
      <c r="N1144" s="116">
        <v>59.7</v>
      </c>
      <c r="O1144" s="116">
        <v>56.75</v>
      </c>
      <c r="P1144" s="116">
        <v>58.2</v>
      </c>
      <c r="Q1144" s="116">
        <v>57.5</v>
      </c>
      <c r="R1144">
        <v>12338857</v>
      </c>
    </row>
    <row r="1145" spans="1:18" x14ac:dyDescent="0.25">
      <c r="A1145" s="170">
        <v>43690</v>
      </c>
      <c r="B1145" s="116">
        <v>58.3</v>
      </c>
      <c r="C1145" s="116">
        <v>55.8</v>
      </c>
      <c r="D1145" s="116">
        <v>55.4</v>
      </c>
      <c r="E1145" s="116">
        <v>58.3</v>
      </c>
      <c r="F1145" s="116">
        <v>55.8</v>
      </c>
      <c r="G1145">
        <v>638708</v>
      </c>
      <c r="H1145" s="116"/>
      <c r="I1145" s="116"/>
      <c r="L1145" s="170">
        <v>43690</v>
      </c>
      <c r="M1145" s="116">
        <v>55.75</v>
      </c>
      <c r="N1145" s="116">
        <v>58</v>
      </c>
      <c r="O1145" s="116">
        <v>55.4</v>
      </c>
      <c r="P1145" s="116">
        <v>58</v>
      </c>
      <c r="Q1145" s="116">
        <v>55.75</v>
      </c>
      <c r="R1145">
        <v>9698903</v>
      </c>
    </row>
    <row r="1146" spans="1:18" x14ac:dyDescent="0.25">
      <c r="A1146" s="170">
        <v>43691</v>
      </c>
      <c r="B1146" s="116">
        <v>56.4</v>
      </c>
      <c r="C1146" s="116">
        <v>55.5</v>
      </c>
      <c r="D1146" s="116">
        <v>54.7</v>
      </c>
      <c r="E1146" s="116">
        <v>56.1</v>
      </c>
      <c r="F1146" s="116">
        <v>55.5</v>
      </c>
      <c r="G1146">
        <v>526632</v>
      </c>
      <c r="H1146" s="116"/>
      <c r="I1146" s="116"/>
      <c r="L1146" s="170">
        <v>43691</v>
      </c>
      <c r="M1146" s="116">
        <v>55.5</v>
      </c>
      <c r="N1146" s="116">
        <v>56.4</v>
      </c>
      <c r="O1146" s="116">
        <v>54.7</v>
      </c>
      <c r="P1146" s="116">
        <v>56.3</v>
      </c>
      <c r="Q1146" s="116">
        <v>55.5</v>
      </c>
      <c r="R1146">
        <v>7587853</v>
      </c>
    </row>
    <row r="1147" spans="1:18" x14ac:dyDescent="0.25">
      <c r="A1147" s="170">
        <v>43693</v>
      </c>
      <c r="B1147" s="116">
        <v>56.35</v>
      </c>
      <c r="C1147" s="116">
        <v>56.1</v>
      </c>
      <c r="D1147" s="116">
        <v>54.05</v>
      </c>
      <c r="E1147" s="116">
        <v>55.5</v>
      </c>
      <c r="F1147" s="116">
        <v>56.1</v>
      </c>
      <c r="G1147">
        <v>363694</v>
      </c>
      <c r="H1147" s="116"/>
      <c r="I1147" s="116"/>
      <c r="L1147" s="170">
        <v>43693</v>
      </c>
      <c r="M1147" s="116">
        <v>56.1</v>
      </c>
      <c r="N1147" s="116">
        <v>56.35</v>
      </c>
      <c r="O1147" s="116">
        <v>54.05</v>
      </c>
      <c r="P1147" s="116">
        <v>55.6</v>
      </c>
      <c r="Q1147" s="116">
        <v>56.1</v>
      </c>
      <c r="R1147">
        <v>5629413</v>
      </c>
    </row>
    <row r="1148" spans="1:18" x14ac:dyDescent="0.25">
      <c r="A1148" s="170">
        <v>43696</v>
      </c>
      <c r="B1148" s="116">
        <v>58.05</v>
      </c>
      <c r="C1148" s="116">
        <v>57.25</v>
      </c>
      <c r="D1148" s="116">
        <v>56.1</v>
      </c>
      <c r="E1148" s="116">
        <v>56.8</v>
      </c>
      <c r="F1148" s="116">
        <v>57.25</v>
      </c>
      <c r="G1148">
        <v>408448</v>
      </c>
      <c r="H1148" s="116"/>
      <c r="I1148" s="116"/>
      <c r="L1148" s="170">
        <v>43696</v>
      </c>
      <c r="M1148" s="116">
        <v>57.25</v>
      </c>
      <c r="N1148" s="116">
        <v>58.1</v>
      </c>
      <c r="O1148" s="116">
        <v>56.15</v>
      </c>
      <c r="P1148" s="116">
        <v>56.15</v>
      </c>
      <c r="Q1148" s="116">
        <v>57.25</v>
      </c>
      <c r="R1148">
        <v>5798705</v>
      </c>
    </row>
    <row r="1149" spans="1:18" x14ac:dyDescent="0.25">
      <c r="A1149" s="170">
        <v>43697</v>
      </c>
      <c r="B1149" s="116">
        <v>57.2</v>
      </c>
      <c r="C1149" s="116">
        <v>55.95</v>
      </c>
      <c r="D1149" s="116">
        <v>54.1</v>
      </c>
      <c r="E1149" s="116">
        <v>57.2</v>
      </c>
      <c r="F1149" s="116">
        <v>55.95</v>
      </c>
      <c r="G1149">
        <v>659583</v>
      </c>
      <c r="H1149" s="116"/>
      <c r="I1149" s="116"/>
      <c r="L1149" s="170">
        <v>43697</v>
      </c>
      <c r="M1149" s="116">
        <v>56</v>
      </c>
      <c r="N1149" s="116">
        <v>57.45</v>
      </c>
      <c r="O1149" s="116">
        <v>54.05</v>
      </c>
      <c r="P1149" s="116">
        <v>57.25</v>
      </c>
      <c r="Q1149" s="116">
        <v>56</v>
      </c>
      <c r="R1149">
        <v>8336718</v>
      </c>
    </row>
    <row r="1150" spans="1:18" x14ac:dyDescent="0.25">
      <c r="A1150" s="170">
        <v>43698</v>
      </c>
      <c r="B1150" s="116">
        <v>55.95</v>
      </c>
      <c r="C1150" s="116">
        <v>51.1</v>
      </c>
      <c r="D1150" s="116">
        <v>50.4</v>
      </c>
      <c r="E1150" s="116">
        <v>55.7</v>
      </c>
      <c r="F1150" s="116">
        <v>51.1</v>
      </c>
      <c r="G1150">
        <v>1122580</v>
      </c>
      <c r="H1150" s="116"/>
      <c r="I1150" s="116"/>
      <c r="L1150" s="170">
        <v>43698</v>
      </c>
      <c r="M1150" s="116">
        <v>51.1</v>
      </c>
      <c r="N1150" s="116">
        <v>56</v>
      </c>
      <c r="O1150" s="116">
        <v>50.35</v>
      </c>
      <c r="P1150" s="116">
        <v>56</v>
      </c>
      <c r="Q1150" s="116">
        <v>51.1</v>
      </c>
      <c r="R1150">
        <v>20675582</v>
      </c>
    </row>
    <row r="1151" spans="1:18" x14ac:dyDescent="0.25">
      <c r="A1151" s="170">
        <v>43699</v>
      </c>
      <c r="B1151" s="116">
        <v>55.7</v>
      </c>
      <c r="C1151" s="116">
        <v>53.45</v>
      </c>
      <c r="D1151" s="116">
        <v>50.7</v>
      </c>
      <c r="E1151" s="116">
        <v>51.1</v>
      </c>
      <c r="F1151" s="116">
        <v>53.45</v>
      </c>
      <c r="G1151">
        <v>1125896</v>
      </c>
      <c r="H1151" s="116"/>
      <c r="I1151" s="116"/>
      <c r="L1151" s="170">
        <v>43699</v>
      </c>
      <c r="M1151" s="116">
        <v>53.4</v>
      </c>
      <c r="N1151" s="116">
        <v>55.75</v>
      </c>
      <c r="O1151" s="116">
        <v>50.95</v>
      </c>
      <c r="P1151" s="116">
        <v>51.4</v>
      </c>
      <c r="Q1151" s="116">
        <v>53.4</v>
      </c>
      <c r="R1151">
        <v>20698816</v>
      </c>
    </row>
    <row r="1152" spans="1:18" x14ac:dyDescent="0.25">
      <c r="A1152" s="170">
        <v>43700</v>
      </c>
      <c r="B1152" s="116">
        <v>55.8</v>
      </c>
      <c r="C1152" s="116">
        <v>54.45</v>
      </c>
      <c r="D1152" s="116">
        <v>52.4</v>
      </c>
      <c r="E1152" s="116">
        <v>53.45</v>
      </c>
      <c r="F1152" s="116">
        <v>54.45</v>
      </c>
      <c r="G1152">
        <v>1279787</v>
      </c>
      <c r="H1152" s="116"/>
      <c r="I1152" s="116"/>
      <c r="L1152" s="170">
        <v>43700</v>
      </c>
      <c r="M1152" s="116">
        <v>54.5</v>
      </c>
      <c r="N1152" s="116">
        <v>55.8</v>
      </c>
      <c r="O1152" s="116">
        <v>52.2</v>
      </c>
      <c r="P1152" s="116">
        <v>53.45</v>
      </c>
      <c r="Q1152" s="116">
        <v>54.5</v>
      </c>
      <c r="R1152">
        <v>11745308</v>
      </c>
    </row>
    <row r="1153" spans="1:18" x14ac:dyDescent="0.25">
      <c r="A1153" s="170">
        <v>43703</v>
      </c>
      <c r="B1153" s="116">
        <v>56.4</v>
      </c>
      <c r="C1153" s="116">
        <v>55.95</v>
      </c>
      <c r="D1153" s="116">
        <v>53.9</v>
      </c>
      <c r="E1153" s="116">
        <v>55</v>
      </c>
      <c r="F1153" s="116">
        <v>55.95</v>
      </c>
      <c r="G1153">
        <v>937010</v>
      </c>
      <c r="H1153" s="116"/>
      <c r="I1153" s="116"/>
      <c r="L1153" s="170">
        <v>43703</v>
      </c>
      <c r="M1153" s="116">
        <v>55.95</v>
      </c>
      <c r="N1153" s="116">
        <v>56.45</v>
      </c>
      <c r="O1153" s="116">
        <v>53.85</v>
      </c>
      <c r="P1153" s="116">
        <v>54.85</v>
      </c>
      <c r="Q1153" s="116">
        <v>55.95</v>
      </c>
      <c r="R1153">
        <v>7338648</v>
      </c>
    </row>
    <row r="1154" spans="1:18" x14ac:dyDescent="0.25">
      <c r="A1154" s="170">
        <v>43704</v>
      </c>
      <c r="B1154" s="116">
        <v>56.8</v>
      </c>
      <c r="C1154" s="116">
        <v>55.35</v>
      </c>
      <c r="D1154" s="116">
        <v>55.15</v>
      </c>
      <c r="E1154" s="116">
        <v>56</v>
      </c>
      <c r="F1154" s="116">
        <v>55.35</v>
      </c>
      <c r="G1154">
        <v>1002263</v>
      </c>
      <c r="H1154" s="116"/>
      <c r="I1154" s="116"/>
      <c r="L1154" s="170">
        <v>43704</v>
      </c>
      <c r="M1154" s="116">
        <v>55.35</v>
      </c>
      <c r="N1154" s="116">
        <v>56.7</v>
      </c>
      <c r="O1154" s="116">
        <v>55.1</v>
      </c>
      <c r="P1154" s="116">
        <v>56.1</v>
      </c>
      <c r="Q1154" s="116">
        <v>55.35</v>
      </c>
      <c r="R1154">
        <v>11904371</v>
      </c>
    </row>
    <row r="1155" spans="1:18" x14ac:dyDescent="0.25">
      <c r="A1155" s="170">
        <v>43705</v>
      </c>
      <c r="B1155" s="116">
        <v>55.8</v>
      </c>
      <c r="C1155" s="116">
        <v>55.35</v>
      </c>
      <c r="D1155" s="116">
        <v>53.8</v>
      </c>
      <c r="E1155" s="116">
        <v>55.3</v>
      </c>
      <c r="F1155" s="116">
        <v>55.35</v>
      </c>
      <c r="G1155">
        <v>454058</v>
      </c>
      <c r="H1155" s="116"/>
      <c r="I1155" s="116"/>
      <c r="L1155" s="170">
        <v>43705</v>
      </c>
      <c r="M1155" s="116">
        <v>55.45</v>
      </c>
      <c r="N1155" s="116">
        <v>55.85</v>
      </c>
      <c r="O1155" s="116">
        <v>53.75</v>
      </c>
      <c r="P1155" s="116">
        <v>55.4</v>
      </c>
      <c r="Q1155" s="116">
        <v>55.45</v>
      </c>
      <c r="R1155">
        <v>7447749</v>
      </c>
    </row>
    <row r="1156" spans="1:18" x14ac:dyDescent="0.25">
      <c r="A1156" s="170">
        <v>43706</v>
      </c>
      <c r="B1156" s="116">
        <v>56</v>
      </c>
      <c r="C1156" s="116">
        <v>55.6</v>
      </c>
      <c r="D1156" s="116">
        <v>54.5</v>
      </c>
      <c r="E1156" s="116">
        <v>55.4</v>
      </c>
      <c r="F1156" s="116">
        <v>55.6</v>
      </c>
      <c r="G1156">
        <v>607708</v>
      </c>
      <c r="H1156" s="116"/>
      <c r="I1156" s="116"/>
      <c r="L1156" s="170">
        <v>43706</v>
      </c>
      <c r="M1156" s="116">
        <v>55.5</v>
      </c>
      <c r="N1156" s="116">
        <v>55.95</v>
      </c>
      <c r="O1156" s="116">
        <v>54.4</v>
      </c>
      <c r="P1156" s="116">
        <v>54.85</v>
      </c>
      <c r="Q1156" s="116">
        <v>55.5</v>
      </c>
      <c r="R1156">
        <v>7509337</v>
      </c>
    </row>
    <row r="1157" spans="1:18" x14ac:dyDescent="0.25">
      <c r="A1157" s="170">
        <v>43707</v>
      </c>
      <c r="B1157" s="116">
        <v>57</v>
      </c>
      <c r="C1157" s="116">
        <v>56.75</v>
      </c>
      <c r="D1157" s="116">
        <v>55</v>
      </c>
      <c r="E1157" s="116">
        <v>55.6</v>
      </c>
      <c r="F1157" s="116">
        <v>56.75</v>
      </c>
      <c r="G1157">
        <v>619799</v>
      </c>
      <c r="H1157" s="116"/>
      <c r="I1157" s="116"/>
      <c r="L1157" s="170">
        <v>43707</v>
      </c>
      <c r="M1157" s="116">
        <v>56.75</v>
      </c>
      <c r="N1157" s="116">
        <v>57</v>
      </c>
      <c r="O1157" s="116">
        <v>55</v>
      </c>
      <c r="P1157" s="116">
        <v>55.5</v>
      </c>
      <c r="Q1157" s="116">
        <v>56.75</v>
      </c>
      <c r="R1157">
        <v>8245510</v>
      </c>
    </row>
    <row r="1158" spans="1:18" x14ac:dyDescent="0.25">
      <c r="A1158" s="170">
        <v>43711</v>
      </c>
      <c r="B1158" s="116">
        <v>57</v>
      </c>
      <c r="C1158" s="116">
        <v>53.85</v>
      </c>
      <c r="D1158" s="116">
        <v>53.7</v>
      </c>
      <c r="E1158" s="116">
        <v>55.35</v>
      </c>
      <c r="F1158" s="116">
        <v>53.85</v>
      </c>
      <c r="G1158">
        <v>603493</v>
      </c>
      <c r="H1158" s="116"/>
      <c r="I1158" s="116"/>
      <c r="L1158" s="170">
        <v>43711</v>
      </c>
      <c r="M1158" s="116">
        <v>53.85</v>
      </c>
      <c r="N1158" s="116">
        <v>56.15</v>
      </c>
      <c r="O1158" s="116">
        <v>53.7</v>
      </c>
      <c r="P1158" s="116">
        <v>55.1</v>
      </c>
      <c r="Q1158" s="116">
        <v>53.85</v>
      </c>
      <c r="R1158">
        <v>7278914</v>
      </c>
    </row>
    <row r="1159" spans="1:18" x14ac:dyDescent="0.25">
      <c r="A1159" s="170">
        <v>43712</v>
      </c>
      <c r="B1159" s="116">
        <v>54.9</v>
      </c>
      <c r="C1159" s="116">
        <v>54.15</v>
      </c>
      <c r="D1159" s="116">
        <v>53</v>
      </c>
      <c r="E1159" s="116">
        <v>54.9</v>
      </c>
      <c r="F1159" s="116">
        <v>54.15</v>
      </c>
      <c r="G1159">
        <v>788064</v>
      </c>
      <c r="H1159" s="116"/>
      <c r="I1159" s="116"/>
      <c r="L1159" s="170">
        <v>43712</v>
      </c>
      <c r="M1159" s="116">
        <v>54.1</v>
      </c>
      <c r="N1159" s="116">
        <v>54.6</v>
      </c>
      <c r="O1159" s="116">
        <v>53</v>
      </c>
      <c r="P1159" s="116">
        <v>53.9</v>
      </c>
      <c r="Q1159" s="116">
        <v>54.1</v>
      </c>
      <c r="R1159">
        <v>7314423</v>
      </c>
    </row>
    <row r="1160" spans="1:18" x14ac:dyDescent="0.25">
      <c r="A1160" s="170">
        <v>43713</v>
      </c>
      <c r="B1160" s="116">
        <v>55.7</v>
      </c>
      <c r="C1160" s="116">
        <v>55.3</v>
      </c>
      <c r="D1160" s="116">
        <v>53.9</v>
      </c>
      <c r="E1160" s="116">
        <v>54</v>
      </c>
      <c r="F1160" s="116">
        <v>55.3</v>
      </c>
      <c r="G1160">
        <v>521446</v>
      </c>
      <c r="H1160" s="116"/>
      <c r="I1160" s="116"/>
      <c r="L1160" s="170">
        <v>43713</v>
      </c>
      <c r="M1160" s="116">
        <v>55.3</v>
      </c>
      <c r="N1160" s="116">
        <v>55.7</v>
      </c>
      <c r="O1160" s="116">
        <v>53.9</v>
      </c>
      <c r="P1160" s="116">
        <v>54.1</v>
      </c>
      <c r="Q1160" s="116">
        <v>55.3</v>
      </c>
      <c r="R1160">
        <v>5761504</v>
      </c>
    </row>
    <row r="1161" spans="1:18" x14ac:dyDescent="0.25">
      <c r="A1161" s="170">
        <v>43714</v>
      </c>
      <c r="B1161" s="116">
        <v>59.35</v>
      </c>
      <c r="C1161" s="116">
        <v>58</v>
      </c>
      <c r="D1161" s="116">
        <v>55.25</v>
      </c>
      <c r="E1161" s="116">
        <v>55.4</v>
      </c>
      <c r="F1161" s="116">
        <v>58</v>
      </c>
      <c r="G1161">
        <v>1820496</v>
      </c>
      <c r="H1161" s="116"/>
      <c r="I1161" s="116"/>
      <c r="L1161" s="170">
        <v>43714</v>
      </c>
      <c r="M1161" s="116">
        <v>58.2</v>
      </c>
      <c r="N1161" s="116">
        <v>59.25</v>
      </c>
      <c r="O1161" s="116">
        <v>55.2</v>
      </c>
      <c r="P1161" s="116">
        <v>56</v>
      </c>
      <c r="Q1161" s="116">
        <v>58.2</v>
      </c>
      <c r="R1161">
        <v>10295942</v>
      </c>
    </row>
    <row r="1162" spans="1:18" x14ac:dyDescent="0.25">
      <c r="A1162" s="170">
        <v>43717</v>
      </c>
      <c r="B1162" s="116">
        <v>61.7</v>
      </c>
      <c r="C1162" s="116">
        <v>60.3</v>
      </c>
      <c r="D1162" s="116">
        <v>57.85</v>
      </c>
      <c r="E1162" s="116">
        <v>58.5</v>
      </c>
      <c r="F1162" s="116">
        <v>60.3</v>
      </c>
      <c r="G1162">
        <v>1093879</v>
      </c>
      <c r="H1162" s="116"/>
      <c r="I1162" s="116"/>
      <c r="L1162" s="170">
        <v>43717</v>
      </c>
      <c r="M1162" s="116">
        <v>60.4</v>
      </c>
      <c r="N1162" s="116">
        <v>61.75</v>
      </c>
      <c r="O1162" s="116">
        <v>57.75</v>
      </c>
      <c r="P1162" s="116">
        <v>58.9</v>
      </c>
      <c r="Q1162" s="116">
        <v>60.4</v>
      </c>
      <c r="R1162">
        <v>13876046</v>
      </c>
    </row>
    <row r="1163" spans="1:18" x14ac:dyDescent="0.25">
      <c r="A1163" s="170">
        <v>43719</v>
      </c>
      <c r="B1163" s="116">
        <v>61.65</v>
      </c>
      <c r="C1163" s="116">
        <v>61.2</v>
      </c>
      <c r="D1163" s="116">
        <v>58.8</v>
      </c>
      <c r="E1163" s="116">
        <v>59</v>
      </c>
      <c r="F1163" s="116">
        <v>61.2</v>
      </c>
      <c r="G1163">
        <v>624524</v>
      </c>
      <c r="H1163" s="116"/>
      <c r="I1163" s="116"/>
      <c r="L1163" s="170">
        <v>43719</v>
      </c>
      <c r="M1163" s="116">
        <v>61.2</v>
      </c>
      <c r="N1163" s="116">
        <v>61.7</v>
      </c>
      <c r="O1163" s="116">
        <v>59</v>
      </c>
      <c r="P1163" s="116">
        <v>59</v>
      </c>
      <c r="Q1163" s="116">
        <v>61.2</v>
      </c>
      <c r="R1163">
        <v>9565117</v>
      </c>
    </row>
    <row r="1164" spans="1:18" x14ac:dyDescent="0.25">
      <c r="A1164" s="170">
        <v>43720</v>
      </c>
      <c r="B1164" s="116">
        <v>65.05</v>
      </c>
      <c r="C1164" s="116">
        <v>64</v>
      </c>
      <c r="D1164" s="116">
        <v>61.7</v>
      </c>
      <c r="E1164" s="116">
        <v>61.75</v>
      </c>
      <c r="F1164" s="116">
        <v>64</v>
      </c>
      <c r="G1164">
        <v>13662419</v>
      </c>
      <c r="H1164" s="116"/>
      <c r="I1164" s="116"/>
      <c r="L1164" s="170">
        <v>43720</v>
      </c>
      <c r="M1164" s="116">
        <v>63.9</v>
      </c>
      <c r="N1164" s="116">
        <v>65.099999999999994</v>
      </c>
      <c r="O1164" s="116">
        <v>61.65</v>
      </c>
      <c r="P1164" s="116">
        <v>62</v>
      </c>
      <c r="Q1164" s="116">
        <v>63.9</v>
      </c>
      <c r="R1164">
        <v>33622571</v>
      </c>
    </row>
    <row r="1165" spans="1:18" x14ac:dyDescent="0.25">
      <c r="A1165" s="170">
        <v>43721</v>
      </c>
      <c r="B1165" s="116">
        <v>64.650000000000006</v>
      </c>
      <c r="C1165" s="116">
        <v>64.3</v>
      </c>
      <c r="D1165" s="116">
        <v>62.5</v>
      </c>
      <c r="E1165" s="116">
        <v>64.5</v>
      </c>
      <c r="F1165" s="116">
        <v>64.3</v>
      </c>
      <c r="G1165">
        <v>2712960</v>
      </c>
      <c r="H1165" s="116"/>
      <c r="I1165" s="116"/>
      <c r="L1165" s="170">
        <v>43721</v>
      </c>
      <c r="M1165" s="116">
        <v>64.3</v>
      </c>
      <c r="N1165" s="116">
        <v>64.75</v>
      </c>
      <c r="O1165" s="116">
        <v>62.5</v>
      </c>
      <c r="P1165" s="116">
        <v>64.25</v>
      </c>
      <c r="Q1165" s="116">
        <v>64.3</v>
      </c>
      <c r="R1165">
        <v>10918356</v>
      </c>
    </row>
    <row r="1166" spans="1:18" x14ac:dyDescent="0.25">
      <c r="A1166" s="170">
        <v>43724</v>
      </c>
      <c r="B1166" s="116">
        <v>64.5</v>
      </c>
      <c r="C1166" s="116">
        <v>64.349999999999994</v>
      </c>
      <c r="D1166" s="116">
        <v>63.2</v>
      </c>
      <c r="E1166" s="116">
        <v>63.95</v>
      </c>
      <c r="F1166" s="116">
        <v>64.349999999999994</v>
      </c>
      <c r="G1166">
        <v>1580259</v>
      </c>
      <c r="H1166" s="116"/>
      <c r="I1166" s="116"/>
      <c r="L1166" s="170">
        <v>43724</v>
      </c>
      <c r="M1166" s="116">
        <v>64.400000000000006</v>
      </c>
      <c r="N1166" s="116">
        <v>64.5</v>
      </c>
      <c r="O1166" s="116">
        <v>63.2</v>
      </c>
      <c r="P1166" s="116">
        <v>63.8</v>
      </c>
      <c r="Q1166" s="116">
        <v>64.400000000000006</v>
      </c>
      <c r="R1166">
        <v>10435287</v>
      </c>
    </row>
    <row r="1167" spans="1:18" x14ac:dyDescent="0.25">
      <c r="A1167" s="170">
        <v>43725</v>
      </c>
      <c r="B1167" s="116">
        <v>64.55</v>
      </c>
      <c r="C1167" s="116">
        <v>63.95</v>
      </c>
      <c r="D1167" s="116">
        <v>63.45</v>
      </c>
      <c r="E1167" s="116">
        <v>64.25</v>
      </c>
      <c r="F1167" s="116">
        <v>63.95</v>
      </c>
      <c r="G1167">
        <v>1668777</v>
      </c>
      <c r="H1167" s="116"/>
      <c r="I1167" s="116"/>
      <c r="L1167" s="170">
        <v>43725</v>
      </c>
      <c r="M1167" s="116">
        <v>63.95</v>
      </c>
      <c r="N1167" s="116">
        <v>64.650000000000006</v>
      </c>
      <c r="O1167" s="116">
        <v>63.5</v>
      </c>
      <c r="P1167" s="116">
        <v>64.599999999999994</v>
      </c>
      <c r="Q1167" s="116">
        <v>63.95</v>
      </c>
      <c r="R1167">
        <v>12557507</v>
      </c>
    </row>
    <row r="1168" spans="1:18" x14ac:dyDescent="0.25">
      <c r="A1168" s="170">
        <v>43726</v>
      </c>
      <c r="B1168" s="116">
        <v>64.8</v>
      </c>
      <c r="C1168" s="116">
        <v>64.05</v>
      </c>
      <c r="D1168" s="116">
        <v>63.1</v>
      </c>
      <c r="E1168" s="116">
        <v>64.8</v>
      </c>
      <c r="F1168" s="116">
        <v>64.05</v>
      </c>
      <c r="G1168">
        <v>1730802</v>
      </c>
      <c r="H1168" s="116"/>
      <c r="I1168" s="116"/>
      <c r="L1168" s="170">
        <v>43726</v>
      </c>
      <c r="M1168" s="116">
        <v>64.05</v>
      </c>
      <c r="N1168" s="116">
        <v>64.5</v>
      </c>
      <c r="O1168" s="116">
        <v>63.05</v>
      </c>
      <c r="P1168" s="116">
        <v>64.05</v>
      </c>
      <c r="Q1168" s="116">
        <v>64.05</v>
      </c>
      <c r="R1168">
        <v>10420154</v>
      </c>
    </row>
    <row r="1169" spans="1:18" x14ac:dyDescent="0.25">
      <c r="A1169" s="170">
        <v>43727</v>
      </c>
      <c r="B1169" s="116">
        <v>65.099999999999994</v>
      </c>
      <c r="C1169" s="116">
        <v>64.650000000000006</v>
      </c>
      <c r="D1169" s="116">
        <v>63.65</v>
      </c>
      <c r="E1169" s="116">
        <v>64.2</v>
      </c>
      <c r="F1169" s="116">
        <v>64.650000000000006</v>
      </c>
      <c r="G1169">
        <v>9841620</v>
      </c>
      <c r="H1169" s="116"/>
      <c r="I1169" s="116"/>
      <c r="L1169" s="170">
        <v>43727</v>
      </c>
      <c r="M1169" s="116">
        <v>64.75</v>
      </c>
      <c r="N1169" s="116">
        <v>65.099999999999994</v>
      </c>
      <c r="O1169" s="116">
        <v>63.6</v>
      </c>
      <c r="P1169" s="116">
        <v>64.099999999999994</v>
      </c>
      <c r="Q1169" s="116">
        <v>64.75</v>
      </c>
      <c r="R1169">
        <v>18037975</v>
      </c>
    </row>
    <row r="1170" spans="1:18" x14ac:dyDescent="0.25">
      <c r="A1170" s="170">
        <v>43728</v>
      </c>
      <c r="B1170" s="116">
        <v>68.45</v>
      </c>
      <c r="C1170" s="116">
        <v>67</v>
      </c>
      <c r="D1170" s="116">
        <v>64.099999999999994</v>
      </c>
      <c r="E1170" s="116">
        <v>65.099999999999994</v>
      </c>
      <c r="F1170" s="116">
        <v>67</v>
      </c>
      <c r="G1170">
        <v>2488103</v>
      </c>
      <c r="H1170" s="116"/>
      <c r="I1170" s="116"/>
      <c r="L1170" s="170">
        <v>43728</v>
      </c>
      <c r="M1170" s="116">
        <v>67.05</v>
      </c>
      <c r="N1170" s="116">
        <v>68.5</v>
      </c>
      <c r="O1170" s="116">
        <v>64.099999999999994</v>
      </c>
      <c r="P1170" s="116">
        <v>65.150000000000006</v>
      </c>
      <c r="Q1170" s="116">
        <v>67.05</v>
      </c>
      <c r="R1170">
        <v>18160706</v>
      </c>
    </row>
    <row r="1171" spans="1:18" x14ac:dyDescent="0.25">
      <c r="A1171" s="170">
        <v>43731</v>
      </c>
      <c r="B1171" s="116">
        <v>68.8</v>
      </c>
      <c r="C1171" s="116">
        <v>67.25</v>
      </c>
      <c r="D1171" s="116">
        <v>65.75</v>
      </c>
      <c r="E1171" s="116">
        <v>68</v>
      </c>
      <c r="F1171" s="116">
        <v>67.25</v>
      </c>
      <c r="G1171">
        <v>1187434</v>
      </c>
      <c r="H1171" s="116"/>
      <c r="I1171" s="116"/>
      <c r="L1171" s="170">
        <v>43731</v>
      </c>
      <c r="M1171" s="116">
        <v>67.2</v>
      </c>
      <c r="N1171" s="116">
        <v>68.849999999999994</v>
      </c>
      <c r="O1171" s="116">
        <v>65.650000000000006</v>
      </c>
      <c r="P1171" s="116">
        <v>67.75</v>
      </c>
      <c r="Q1171" s="116">
        <v>67.2</v>
      </c>
      <c r="R1171">
        <v>13710399</v>
      </c>
    </row>
    <row r="1172" spans="1:18" x14ac:dyDescent="0.25">
      <c r="A1172" s="170">
        <v>43732</v>
      </c>
      <c r="B1172" s="116">
        <v>67.95</v>
      </c>
      <c r="C1172" s="116">
        <v>66.25</v>
      </c>
      <c r="D1172" s="116">
        <v>65.400000000000006</v>
      </c>
      <c r="E1172" s="116">
        <v>67.95</v>
      </c>
      <c r="F1172" s="116">
        <v>66.25</v>
      </c>
      <c r="G1172">
        <v>927531</v>
      </c>
      <c r="H1172" s="116"/>
      <c r="I1172" s="116"/>
      <c r="L1172" s="170">
        <v>43732</v>
      </c>
      <c r="M1172" s="116">
        <v>66.400000000000006</v>
      </c>
      <c r="N1172" s="116">
        <v>67.95</v>
      </c>
      <c r="O1172" s="116">
        <v>65.349999999999994</v>
      </c>
      <c r="P1172" s="116">
        <v>67.7</v>
      </c>
      <c r="Q1172" s="116">
        <v>66.400000000000006</v>
      </c>
      <c r="R1172">
        <v>7243291</v>
      </c>
    </row>
    <row r="1173" spans="1:18" x14ac:dyDescent="0.25">
      <c r="A1173" s="170">
        <v>43733</v>
      </c>
      <c r="B1173" s="116">
        <v>66.45</v>
      </c>
      <c r="C1173" s="116">
        <v>63.65</v>
      </c>
      <c r="D1173" s="116">
        <v>62.9</v>
      </c>
      <c r="E1173" s="116">
        <v>65.7</v>
      </c>
      <c r="F1173" s="116">
        <v>63.65</v>
      </c>
      <c r="G1173">
        <v>1425860</v>
      </c>
      <c r="H1173" s="116"/>
      <c r="I1173" s="116"/>
      <c r="L1173" s="170">
        <v>43733</v>
      </c>
      <c r="M1173" s="116">
        <v>63.8</v>
      </c>
      <c r="N1173" s="116">
        <v>65.95</v>
      </c>
      <c r="O1173" s="116">
        <v>62.85</v>
      </c>
      <c r="P1173" s="116">
        <v>65.400000000000006</v>
      </c>
      <c r="Q1173" s="116">
        <v>63.8</v>
      </c>
      <c r="R1173">
        <v>16576534</v>
      </c>
    </row>
    <row r="1174" spans="1:18" x14ac:dyDescent="0.25">
      <c r="A1174" s="170">
        <v>43734</v>
      </c>
      <c r="B1174" s="116">
        <v>64.2</v>
      </c>
      <c r="C1174" s="116">
        <v>63.7</v>
      </c>
      <c r="D1174" s="116">
        <v>62.8</v>
      </c>
      <c r="E1174" s="116">
        <v>64</v>
      </c>
      <c r="F1174" s="116">
        <v>63.7</v>
      </c>
      <c r="G1174">
        <v>1128855</v>
      </c>
      <c r="H1174" s="116"/>
      <c r="I1174" s="116"/>
      <c r="L1174" s="170">
        <v>43734</v>
      </c>
      <c r="M1174" s="116">
        <v>63.65</v>
      </c>
      <c r="N1174" s="116">
        <v>64.25</v>
      </c>
      <c r="O1174" s="116">
        <v>62.8</v>
      </c>
      <c r="P1174" s="116">
        <v>64.099999999999994</v>
      </c>
      <c r="Q1174" s="116">
        <v>63.65</v>
      </c>
      <c r="R1174">
        <v>10135989</v>
      </c>
    </row>
    <row r="1175" spans="1:18" x14ac:dyDescent="0.25">
      <c r="A1175" s="170">
        <v>43735</v>
      </c>
      <c r="B1175" s="116">
        <v>63.9</v>
      </c>
      <c r="C1175" s="116">
        <v>62.1</v>
      </c>
      <c r="D1175" s="116">
        <v>61.95</v>
      </c>
      <c r="E1175" s="116">
        <v>63.7</v>
      </c>
      <c r="F1175" s="116">
        <v>62.1</v>
      </c>
      <c r="G1175">
        <v>705916</v>
      </c>
      <c r="H1175" s="116"/>
      <c r="I1175" s="116"/>
      <c r="L1175" s="170">
        <v>43735</v>
      </c>
      <c r="M1175" s="116">
        <v>62.1</v>
      </c>
      <c r="N1175" s="116">
        <v>64</v>
      </c>
      <c r="O1175" s="116">
        <v>61.9</v>
      </c>
      <c r="P1175" s="116">
        <v>63.7</v>
      </c>
      <c r="Q1175" s="116">
        <v>62.1</v>
      </c>
      <c r="R1175">
        <v>5874118</v>
      </c>
    </row>
    <row r="1176" spans="1:18" x14ac:dyDescent="0.25">
      <c r="A1176" s="170">
        <v>43738</v>
      </c>
      <c r="B1176" s="116">
        <v>62.9</v>
      </c>
      <c r="C1176" s="116">
        <v>62.5</v>
      </c>
      <c r="D1176" s="116">
        <v>61.05</v>
      </c>
      <c r="E1176" s="116">
        <v>62.2</v>
      </c>
      <c r="F1176" s="116">
        <v>62.5</v>
      </c>
      <c r="G1176">
        <v>1462841</v>
      </c>
      <c r="H1176" s="116"/>
      <c r="I1176" s="116"/>
      <c r="L1176" s="170">
        <v>43738</v>
      </c>
      <c r="M1176" s="116">
        <v>62.5</v>
      </c>
      <c r="N1176" s="116">
        <v>62.8</v>
      </c>
      <c r="O1176" s="116">
        <v>61</v>
      </c>
      <c r="P1176" s="116">
        <v>62.5</v>
      </c>
      <c r="Q1176" s="116">
        <v>62.5</v>
      </c>
      <c r="R1176">
        <v>7001421</v>
      </c>
    </row>
    <row r="1177" spans="1:18" x14ac:dyDescent="0.25">
      <c r="A1177" s="170">
        <v>43739</v>
      </c>
      <c r="B1177" s="116">
        <v>62.95</v>
      </c>
      <c r="C1177" s="116">
        <v>59.4</v>
      </c>
      <c r="D1177" s="116">
        <v>58.8</v>
      </c>
      <c r="E1177" s="116">
        <v>62.95</v>
      </c>
      <c r="F1177" s="116">
        <v>59.4</v>
      </c>
      <c r="G1177">
        <v>1432934</v>
      </c>
      <c r="H1177" s="116"/>
      <c r="I1177" s="116"/>
      <c r="L1177" s="170">
        <v>43739</v>
      </c>
      <c r="M1177" s="116">
        <v>59.35</v>
      </c>
      <c r="N1177" s="116">
        <v>62.85</v>
      </c>
      <c r="O1177" s="116">
        <v>58.75</v>
      </c>
      <c r="P1177" s="116">
        <v>62.5</v>
      </c>
      <c r="Q1177" s="116">
        <v>59.35</v>
      </c>
      <c r="R1177">
        <v>9081992</v>
      </c>
    </row>
    <row r="1178" spans="1:18" x14ac:dyDescent="0.25">
      <c r="A1178" s="170">
        <v>43741</v>
      </c>
      <c r="B1178" s="116">
        <v>59.7</v>
      </c>
      <c r="C1178" s="116">
        <v>59.35</v>
      </c>
      <c r="D1178" s="116">
        <v>58.7</v>
      </c>
      <c r="E1178" s="116">
        <v>59.45</v>
      </c>
      <c r="F1178" s="116">
        <v>59.35</v>
      </c>
      <c r="G1178">
        <v>729994</v>
      </c>
      <c r="H1178" s="116"/>
      <c r="I1178" s="116"/>
      <c r="L1178" s="170">
        <v>43741</v>
      </c>
      <c r="M1178" s="116">
        <v>59.35</v>
      </c>
      <c r="N1178" s="116">
        <v>59.75</v>
      </c>
      <c r="O1178" s="116">
        <v>58.6</v>
      </c>
      <c r="P1178" s="116">
        <v>58.95</v>
      </c>
      <c r="Q1178" s="116">
        <v>59.35</v>
      </c>
      <c r="R1178">
        <v>5139225</v>
      </c>
    </row>
    <row r="1179" spans="1:18" x14ac:dyDescent="0.25">
      <c r="A1179" s="170">
        <v>43742</v>
      </c>
      <c r="B1179" s="116">
        <v>59.85</v>
      </c>
      <c r="C1179" s="116">
        <v>58.05</v>
      </c>
      <c r="D1179" s="116">
        <v>57.8</v>
      </c>
      <c r="E1179" s="116">
        <v>59.85</v>
      </c>
      <c r="F1179" s="116">
        <v>58.05</v>
      </c>
      <c r="G1179">
        <v>403628</v>
      </c>
      <c r="H1179" s="116"/>
      <c r="I1179" s="116"/>
      <c r="L1179" s="170">
        <v>43742</v>
      </c>
      <c r="M1179" s="116">
        <v>58</v>
      </c>
      <c r="N1179" s="116">
        <v>59.95</v>
      </c>
      <c r="O1179" s="116">
        <v>57.8</v>
      </c>
      <c r="P1179" s="116">
        <v>59.8</v>
      </c>
      <c r="Q1179" s="116">
        <v>58</v>
      </c>
      <c r="R1179">
        <v>4218735</v>
      </c>
    </row>
    <row r="1180" spans="1:18" x14ac:dyDescent="0.25">
      <c r="A1180" s="170">
        <v>43745</v>
      </c>
      <c r="B1180" s="116">
        <v>59</v>
      </c>
      <c r="C1180" s="116">
        <v>58.3</v>
      </c>
      <c r="D1180" s="116">
        <v>56.75</v>
      </c>
      <c r="E1180" s="116">
        <v>58.65</v>
      </c>
      <c r="F1180" s="116">
        <v>58.3</v>
      </c>
      <c r="G1180">
        <v>3077358</v>
      </c>
      <c r="H1180" s="116"/>
      <c r="I1180" s="116"/>
      <c r="L1180" s="170">
        <v>43745</v>
      </c>
      <c r="M1180" s="116">
        <v>58.2</v>
      </c>
      <c r="N1180" s="116">
        <v>59</v>
      </c>
      <c r="O1180" s="116">
        <v>56.75</v>
      </c>
      <c r="P1180" s="116">
        <v>58.25</v>
      </c>
      <c r="Q1180" s="116">
        <v>58.2</v>
      </c>
      <c r="R1180">
        <v>8486582</v>
      </c>
    </row>
    <row r="1181" spans="1:18" x14ac:dyDescent="0.25">
      <c r="A1181" s="170">
        <v>43747</v>
      </c>
      <c r="B1181" s="116">
        <v>61.9</v>
      </c>
      <c r="C1181" s="116">
        <v>61.45</v>
      </c>
      <c r="D1181" s="116">
        <v>58.05</v>
      </c>
      <c r="E1181" s="116">
        <v>59</v>
      </c>
      <c r="F1181" s="116">
        <v>61.45</v>
      </c>
      <c r="G1181">
        <v>2384796</v>
      </c>
      <c r="H1181" s="116"/>
      <c r="I1181" s="116"/>
      <c r="L1181" s="170">
        <v>43747</v>
      </c>
      <c r="M1181" s="116">
        <v>61.45</v>
      </c>
      <c r="N1181" s="116">
        <v>61.75</v>
      </c>
      <c r="O1181" s="116">
        <v>58.05</v>
      </c>
      <c r="P1181" s="116">
        <v>58.5</v>
      </c>
      <c r="Q1181" s="116">
        <v>61.45</v>
      </c>
      <c r="R1181">
        <v>12749464</v>
      </c>
    </row>
    <row r="1182" spans="1:18" x14ac:dyDescent="0.25">
      <c r="A1182" s="170">
        <v>43748</v>
      </c>
      <c r="B1182" s="116">
        <v>62.2</v>
      </c>
      <c r="C1182" s="116">
        <v>61.5</v>
      </c>
      <c r="D1182" s="116">
        <v>60.5</v>
      </c>
      <c r="E1182" s="116">
        <v>61.75</v>
      </c>
      <c r="F1182" s="116">
        <v>61.5</v>
      </c>
      <c r="G1182">
        <v>2375406</v>
      </c>
      <c r="H1182" s="116"/>
      <c r="I1182" s="116"/>
      <c r="L1182" s="170">
        <v>43748</v>
      </c>
      <c r="M1182" s="116">
        <v>61.6</v>
      </c>
      <c r="N1182" s="116">
        <v>62.1</v>
      </c>
      <c r="O1182" s="116">
        <v>60.4</v>
      </c>
      <c r="P1182" s="116">
        <v>61.1</v>
      </c>
      <c r="Q1182" s="116">
        <v>61.6</v>
      </c>
      <c r="R1182">
        <v>7059183</v>
      </c>
    </row>
    <row r="1183" spans="1:18" x14ac:dyDescent="0.25">
      <c r="A1183" s="170">
        <v>43749</v>
      </c>
      <c r="B1183" s="116">
        <v>61.95</v>
      </c>
      <c r="C1183" s="116">
        <v>61.05</v>
      </c>
      <c r="D1183" s="116">
        <v>60.75</v>
      </c>
      <c r="E1183" s="116">
        <v>61.7</v>
      </c>
      <c r="F1183" s="116">
        <v>61.05</v>
      </c>
      <c r="G1183">
        <v>543945</v>
      </c>
      <c r="H1183" s="116"/>
      <c r="I1183" s="116"/>
      <c r="L1183" s="170">
        <v>43749</v>
      </c>
      <c r="M1183" s="116">
        <v>61.1</v>
      </c>
      <c r="N1183" s="116">
        <v>62</v>
      </c>
      <c r="O1183" s="116">
        <v>60.7</v>
      </c>
      <c r="P1183" s="116">
        <v>62</v>
      </c>
      <c r="Q1183" s="116">
        <v>61.1</v>
      </c>
      <c r="R1183">
        <v>6976429</v>
      </c>
    </row>
    <row r="1184" spans="1:18" x14ac:dyDescent="0.25">
      <c r="A1184" s="170">
        <v>43752</v>
      </c>
      <c r="B1184" s="116">
        <v>61.4</v>
      </c>
      <c r="C1184" s="116">
        <v>59.8</v>
      </c>
      <c r="D1184" s="116">
        <v>59.6</v>
      </c>
      <c r="E1184" s="116">
        <v>60.95</v>
      </c>
      <c r="F1184" s="116">
        <v>59.8</v>
      </c>
      <c r="G1184">
        <v>640286</v>
      </c>
      <c r="H1184" s="116"/>
      <c r="I1184" s="116"/>
      <c r="L1184" s="170">
        <v>43752</v>
      </c>
      <c r="M1184" s="116">
        <v>59.8</v>
      </c>
      <c r="N1184" s="116">
        <v>61.6</v>
      </c>
      <c r="O1184" s="116">
        <v>59.55</v>
      </c>
      <c r="P1184" s="116">
        <v>60.75</v>
      </c>
      <c r="Q1184" s="116">
        <v>59.8</v>
      </c>
      <c r="R1184">
        <v>4814837</v>
      </c>
    </row>
    <row r="1185" spans="1:18" x14ac:dyDescent="0.25">
      <c r="A1185" s="170">
        <v>43753</v>
      </c>
      <c r="B1185" s="116">
        <v>60.3</v>
      </c>
      <c r="C1185" s="116">
        <v>59.7</v>
      </c>
      <c r="D1185" s="116">
        <v>59.15</v>
      </c>
      <c r="E1185" s="116">
        <v>59.8</v>
      </c>
      <c r="F1185" s="116">
        <v>59.7</v>
      </c>
      <c r="G1185">
        <v>435005</v>
      </c>
      <c r="H1185" s="116"/>
      <c r="I1185" s="116"/>
      <c r="L1185" s="170">
        <v>43753</v>
      </c>
      <c r="M1185" s="116">
        <v>59.75</v>
      </c>
      <c r="N1185" s="116">
        <v>60.3</v>
      </c>
      <c r="O1185" s="116">
        <v>59.15</v>
      </c>
      <c r="P1185" s="116">
        <v>60</v>
      </c>
      <c r="Q1185" s="116">
        <v>59.75</v>
      </c>
      <c r="R1185">
        <v>4933745</v>
      </c>
    </row>
    <row r="1186" spans="1:18" x14ac:dyDescent="0.25">
      <c r="A1186" s="170">
        <v>43754</v>
      </c>
      <c r="B1186" s="116">
        <v>59.9</v>
      </c>
      <c r="C1186" s="116">
        <v>58.05</v>
      </c>
      <c r="D1186" s="116">
        <v>57.85</v>
      </c>
      <c r="E1186" s="116">
        <v>59.5</v>
      </c>
      <c r="F1186" s="116">
        <v>58.05</v>
      </c>
      <c r="G1186">
        <v>932951</v>
      </c>
      <c r="H1186" s="116"/>
      <c r="I1186" s="116"/>
      <c r="L1186" s="170">
        <v>43754</v>
      </c>
      <c r="M1186" s="116">
        <v>58.1</v>
      </c>
      <c r="N1186" s="116">
        <v>60.05</v>
      </c>
      <c r="O1186" s="116">
        <v>57.8</v>
      </c>
      <c r="P1186" s="116">
        <v>60</v>
      </c>
      <c r="Q1186" s="116">
        <v>58.1</v>
      </c>
      <c r="R1186">
        <v>7716452</v>
      </c>
    </row>
    <row r="1187" spans="1:18" x14ac:dyDescent="0.25">
      <c r="A1187" s="170">
        <v>43755</v>
      </c>
      <c r="B1187" s="116">
        <v>60.15</v>
      </c>
      <c r="C1187" s="116">
        <v>59.8</v>
      </c>
      <c r="D1187" s="116">
        <v>57.6</v>
      </c>
      <c r="E1187" s="116">
        <v>58.2</v>
      </c>
      <c r="F1187" s="116">
        <v>59.8</v>
      </c>
      <c r="G1187">
        <v>950076</v>
      </c>
      <c r="H1187" s="116"/>
      <c r="I1187" s="116"/>
      <c r="L1187" s="170">
        <v>43755</v>
      </c>
      <c r="M1187" s="116">
        <v>59.85</v>
      </c>
      <c r="N1187" s="116">
        <v>60.2</v>
      </c>
      <c r="O1187" s="116">
        <v>57.6</v>
      </c>
      <c r="P1187" s="116">
        <v>58.15</v>
      </c>
      <c r="Q1187" s="116">
        <v>59.85</v>
      </c>
      <c r="R1187">
        <v>11906599</v>
      </c>
    </row>
    <row r="1188" spans="1:18" x14ac:dyDescent="0.25">
      <c r="A1188" s="170">
        <v>43756</v>
      </c>
      <c r="B1188" s="116">
        <v>60.5</v>
      </c>
      <c r="C1188" s="116">
        <v>60.05</v>
      </c>
      <c r="D1188" s="116">
        <v>59.25</v>
      </c>
      <c r="E1188" s="116">
        <v>60</v>
      </c>
      <c r="F1188" s="116">
        <v>60.05</v>
      </c>
      <c r="G1188">
        <v>1020501</v>
      </c>
      <c r="H1188" s="116"/>
      <c r="I1188" s="116"/>
      <c r="L1188" s="170">
        <v>43756</v>
      </c>
      <c r="M1188" s="116">
        <v>59.95</v>
      </c>
      <c r="N1188" s="116">
        <v>60.5</v>
      </c>
      <c r="O1188" s="116">
        <v>59.2</v>
      </c>
      <c r="P1188" s="116">
        <v>60</v>
      </c>
      <c r="Q1188" s="116">
        <v>59.95</v>
      </c>
      <c r="R1188">
        <v>10786215</v>
      </c>
    </row>
    <row r="1189" spans="1:18" x14ac:dyDescent="0.25">
      <c r="A1189" s="170">
        <v>43760</v>
      </c>
      <c r="B1189" s="116">
        <v>60.7</v>
      </c>
      <c r="C1189" s="116">
        <v>59.25</v>
      </c>
      <c r="D1189" s="116">
        <v>58.9</v>
      </c>
      <c r="E1189" s="116">
        <v>59.85</v>
      </c>
      <c r="F1189" s="116">
        <v>59.25</v>
      </c>
      <c r="G1189">
        <v>1359961</v>
      </c>
      <c r="H1189" s="116"/>
      <c r="I1189" s="116"/>
      <c r="L1189" s="170">
        <v>43760</v>
      </c>
      <c r="M1189" s="116">
        <v>59.2</v>
      </c>
      <c r="N1189" s="116">
        <v>60.7</v>
      </c>
      <c r="O1189" s="116">
        <v>58.85</v>
      </c>
      <c r="P1189" s="116">
        <v>59.85</v>
      </c>
      <c r="Q1189" s="116">
        <v>59.2</v>
      </c>
      <c r="R1189">
        <v>8748155</v>
      </c>
    </row>
    <row r="1190" spans="1:18" x14ac:dyDescent="0.25">
      <c r="A1190" s="170">
        <v>43761</v>
      </c>
      <c r="B1190" s="116">
        <v>62.2</v>
      </c>
      <c r="C1190" s="116">
        <v>61.15</v>
      </c>
      <c r="D1190" s="116">
        <v>59.25</v>
      </c>
      <c r="E1190" s="116">
        <v>59.6</v>
      </c>
      <c r="F1190" s="116">
        <v>61.15</v>
      </c>
      <c r="G1190">
        <v>1599465</v>
      </c>
      <c r="H1190" s="116"/>
      <c r="I1190" s="116"/>
      <c r="L1190" s="170">
        <v>43761</v>
      </c>
      <c r="M1190" s="116">
        <v>61.1</v>
      </c>
      <c r="N1190" s="116">
        <v>62.25</v>
      </c>
      <c r="O1190" s="116">
        <v>59.25</v>
      </c>
      <c r="P1190" s="116">
        <v>59.55</v>
      </c>
      <c r="Q1190" s="116">
        <v>61.1</v>
      </c>
      <c r="R1190">
        <v>9254939</v>
      </c>
    </row>
    <row r="1191" spans="1:18" x14ac:dyDescent="0.25">
      <c r="A1191" s="170">
        <v>43762</v>
      </c>
      <c r="B1191" s="116">
        <v>61.9</v>
      </c>
      <c r="C1191" s="116">
        <v>59.1</v>
      </c>
      <c r="D1191" s="116">
        <v>58.55</v>
      </c>
      <c r="E1191" s="116">
        <v>61.9</v>
      </c>
      <c r="F1191" s="116">
        <v>59.1</v>
      </c>
      <c r="G1191">
        <v>780605</v>
      </c>
      <c r="H1191" s="116"/>
      <c r="I1191" s="116"/>
      <c r="L1191" s="170">
        <v>43762</v>
      </c>
      <c r="M1191" s="116">
        <v>59.15</v>
      </c>
      <c r="N1191" s="116">
        <v>61.5</v>
      </c>
      <c r="O1191" s="116">
        <v>58.5</v>
      </c>
      <c r="P1191" s="116">
        <v>61.5</v>
      </c>
      <c r="Q1191" s="116">
        <v>59.15</v>
      </c>
      <c r="R1191">
        <v>5162218</v>
      </c>
    </row>
    <row r="1192" spans="1:18" x14ac:dyDescent="0.25">
      <c r="A1192" s="170">
        <v>43763</v>
      </c>
      <c r="B1192" s="116">
        <v>59.3</v>
      </c>
      <c r="C1192" s="116">
        <v>57.65</v>
      </c>
      <c r="D1192" s="116">
        <v>57.3</v>
      </c>
      <c r="E1192" s="116">
        <v>59.25</v>
      </c>
      <c r="F1192" s="116">
        <v>57.65</v>
      </c>
      <c r="G1192">
        <v>371900</v>
      </c>
      <c r="H1192" s="116"/>
      <c r="I1192" s="116"/>
      <c r="L1192" s="170">
        <v>43763</v>
      </c>
      <c r="M1192" s="116">
        <v>57.6</v>
      </c>
      <c r="N1192" s="116">
        <v>59.65</v>
      </c>
      <c r="O1192" s="116">
        <v>57.25</v>
      </c>
      <c r="P1192" s="116">
        <v>59.65</v>
      </c>
      <c r="Q1192" s="116">
        <v>57.6</v>
      </c>
      <c r="R1192">
        <v>4657499</v>
      </c>
    </row>
    <row r="1193" spans="1:18" x14ac:dyDescent="0.25">
      <c r="A1193" s="170">
        <v>43765</v>
      </c>
      <c r="B1193" s="116">
        <v>58.75</v>
      </c>
      <c r="C1193" s="116">
        <v>58.3</v>
      </c>
      <c r="D1193" s="116">
        <v>58</v>
      </c>
      <c r="E1193" s="116">
        <v>58.75</v>
      </c>
      <c r="F1193" s="116">
        <v>58.3</v>
      </c>
      <c r="G1193">
        <v>45573</v>
      </c>
      <c r="H1193" s="116"/>
      <c r="I1193" s="116"/>
      <c r="L1193" s="170">
        <v>43765</v>
      </c>
      <c r="M1193" s="116">
        <v>58.15</v>
      </c>
      <c r="N1193" s="116">
        <v>58.6</v>
      </c>
      <c r="O1193" s="116">
        <v>57.65</v>
      </c>
      <c r="P1193" s="116">
        <v>58.45</v>
      </c>
      <c r="Q1193" s="116">
        <v>58.15</v>
      </c>
      <c r="R1193">
        <v>674171</v>
      </c>
    </row>
    <row r="1194" spans="1:18" x14ac:dyDescent="0.25">
      <c r="A1194" s="170">
        <v>43767</v>
      </c>
      <c r="B1194" s="116">
        <v>59.25</v>
      </c>
      <c r="C1194" s="116">
        <v>58.4</v>
      </c>
      <c r="D1194" s="116">
        <v>58</v>
      </c>
      <c r="E1194" s="116">
        <v>58.85</v>
      </c>
      <c r="F1194" s="116">
        <v>58.4</v>
      </c>
      <c r="G1194">
        <v>1988137</v>
      </c>
      <c r="H1194" s="116"/>
      <c r="I1194" s="116"/>
      <c r="L1194" s="170">
        <v>43767</v>
      </c>
      <c r="M1194" s="116">
        <v>58.45</v>
      </c>
      <c r="N1194" s="116">
        <v>59.3</v>
      </c>
      <c r="O1194" s="116">
        <v>57.9</v>
      </c>
      <c r="P1194" s="116">
        <v>58.5</v>
      </c>
      <c r="Q1194" s="116">
        <v>58.45</v>
      </c>
      <c r="R1194">
        <v>14361888</v>
      </c>
    </row>
    <row r="1195" spans="1:18" x14ac:dyDescent="0.25">
      <c r="A1195" s="170">
        <v>43768</v>
      </c>
      <c r="B1195" s="116">
        <v>58.95</v>
      </c>
      <c r="C1195" s="116">
        <v>58.55</v>
      </c>
      <c r="D1195" s="116">
        <v>58.3</v>
      </c>
      <c r="E1195" s="116">
        <v>58.8</v>
      </c>
      <c r="F1195" s="116">
        <v>58.55</v>
      </c>
      <c r="G1195">
        <v>305547</v>
      </c>
      <c r="H1195" s="116"/>
      <c r="I1195" s="116"/>
      <c r="L1195" s="170">
        <v>43768</v>
      </c>
      <c r="M1195" s="116">
        <v>58.6</v>
      </c>
      <c r="N1195" s="116">
        <v>59</v>
      </c>
      <c r="O1195" s="116">
        <v>58.25</v>
      </c>
      <c r="P1195" s="116">
        <v>58.7</v>
      </c>
      <c r="Q1195" s="116">
        <v>58.6</v>
      </c>
      <c r="R1195">
        <v>4477801</v>
      </c>
    </row>
    <row r="1196" spans="1:18" x14ac:dyDescent="0.25">
      <c r="A1196" s="170">
        <v>43769</v>
      </c>
      <c r="B1196" s="116">
        <v>59.7</v>
      </c>
      <c r="C1196" s="116">
        <v>59.3</v>
      </c>
      <c r="D1196" s="116">
        <v>58.4</v>
      </c>
      <c r="E1196" s="116">
        <v>58.8</v>
      </c>
      <c r="F1196" s="116">
        <v>59.3</v>
      </c>
      <c r="G1196">
        <v>416732</v>
      </c>
      <c r="H1196" s="116"/>
      <c r="I1196" s="116"/>
      <c r="L1196" s="170">
        <v>43769</v>
      </c>
      <c r="M1196" s="116">
        <v>59.3</v>
      </c>
      <c r="N1196" s="116">
        <v>59.7</v>
      </c>
      <c r="O1196" s="116">
        <v>58.4</v>
      </c>
      <c r="P1196" s="116">
        <v>58.9</v>
      </c>
      <c r="Q1196" s="116">
        <v>59.3</v>
      </c>
      <c r="R1196">
        <v>8154223</v>
      </c>
    </row>
    <row r="1197" spans="1:18" x14ac:dyDescent="0.25">
      <c r="A1197" s="170">
        <v>43770</v>
      </c>
      <c r="B1197" s="116">
        <v>60.25</v>
      </c>
      <c r="C1197" s="116">
        <v>59.55</v>
      </c>
      <c r="D1197" s="116">
        <v>59.15</v>
      </c>
      <c r="E1197" s="116">
        <v>59.45</v>
      </c>
      <c r="F1197" s="116">
        <v>59.55</v>
      </c>
      <c r="G1197">
        <v>408061</v>
      </c>
      <c r="H1197" s="116"/>
      <c r="I1197" s="116"/>
      <c r="L1197" s="170">
        <v>43770</v>
      </c>
      <c r="M1197" s="116">
        <v>59.5</v>
      </c>
      <c r="N1197" s="116">
        <v>60.3</v>
      </c>
      <c r="O1197" s="116">
        <v>59.15</v>
      </c>
      <c r="P1197" s="116">
        <v>59.6</v>
      </c>
      <c r="Q1197" s="116">
        <v>59.5</v>
      </c>
      <c r="R1197">
        <v>6997405</v>
      </c>
    </row>
    <row r="1198" spans="1:18" x14ac:dyDescent="0.25">
      <c r="A1198" s="170">
        <v>43773</v>
      </c>
      <c r="B1198" s="116">
        <v>60.8</v>
      </c>
      <c r="C1198" s="116">
        <v>59.6</v>
      </c>
      <c r="D1198" s="116">
        <v>59.25</v>
      </c>
      <c r="E1198" s="116">
        <v>59.85</v>
      </c>
      <c r="F1198" s="116">
        <v>59.6</v>
      </c>
      <c r="G1198">
        <v>517062</v>
      </c>
      <c r="H1198" s="116"/>
      <c r="I1198" s="116"/>
      <c r="L1198" s="170">
        <v>43773</v>
      </c>
      <c r="M1198" s="116">
        <v>59.7</v>
      </c>
      <c r="N1198" s="116">
        <v>60.8</v>
      </c>
      <c r="O1198" s="116">
        <v>59.2</v>
      </c>
      <c r="P1198" s="116">
        <v>59.75</v>
      </c>
      <c r="Q1198" s="116">
        <v>59.7</v>
      </c>
      <c r="R1198">
        <v>9648773</v>
      </c>
    </row>
    <row r="1199" spans="1:18" x14ac:dyDescent="0.25">
      <c r="A1199" s="170">
        <v>43774</v>
      </c>
      <c r="B1199" s="116">
        <v>60.15</v>
      </c>
      <c r="C1199" s="116">
        <v>58.65</v>
      </c>
      <c r="D1199" s="116">
        <v>58.45</v>
      </c>
      <c r="E1199" s="116">
        <v>60</v>
      </c>
      <c r="F1199" s="116">
        <v>58.65</v>
      </c>
      <c r="G1199">
        <v>444478</v>
      </c>
      <c r="H1199" s="116"/>
      <c r="I1199" s="116"/>
      <c r="L1199" s="170">
        <v>43774</v>
      </c>
      <c r="M1199" s="116">
        <v>58.7</v>
      </c>
      <c r="N1199" s="116">
        <v>60.15</v>
      </c>
      <c r="O1199" s="116">
        <v>58.45</v>
      </c>
      <c r="P1199" s="116">
        <v>60.1</v>
      </c>
      <c r="Q1199" s="116">
        <v>58.7</v>
      </c>
      <c r="R1199">
        <v>5308306</v>
      </c>
    </row>
    <row r="1200" spans="1:18" x14ac:dyDescent="0.25">
      <c r="A1200" s="170">
        <v>43775</v>
      </c>
      <c r="B1200" s="116">
        <v>59.4</v>
      </c>
      <c r="C1200" s="116">
        <v>58.95</v>
      </c>
      <c r="D1200" s="116">
        <v>57.95</v>
      </c>
      <c r="E1200" s="116">
        <v>59.4</v>
      </c>
      <c r="F1200" s="116">
        <v>58.95</v>
      </c>
      <c r="G1200">
        <v>349270</v>
      </c>
      <c r="H1200" s="116"/>
      <c r="I1200" s="116"/>
      <c r="L1200" s="170">
        <v>43775</v>
      </c>
      <c r="M1200" s="116">
        <v>58.9</v>
      </c>
      <c r="N1200" s="116">
        <v>59.25</v>
      </c>
      <c r="O1200" s="116">
        <v>57.9</v>
      </c>
      <c r="P1200" s="116">
        <v>58.7</v>
      </c>
      <c r="Q1200" s="116">
        <v>58.9</v>
      </c>
      <c r="R1200">
        <v>8233444</v>
      </c>
    </row>
    <row r="1201" spans="1:18" x14ac:dyDescent="0.25">
      <c r="A1201" s="170">
        <v>43776</v>
      </c>
      <c r="B1201" s="116">
        <v>59.3</v>
      </c>
      <c r="C1201" s="116">
        <v>58.65</v>
      </c>
      <c r="D1201" s="116">
        <v>57.55</v>
      </c>
      <c r="E1201" s="116">
        <v>59.25</v>
      </c>
      <c r="F1201" s="116">
        <v>58.65</v>
      </c>
      <c r="G1201">
        <v>566109</v>
      </c>
      <c r="H1201" s="116"/>
      <c r="I1201" s="116"/>
      <c r="L1201" s="170">
        <v>43776</v>
      </c>
      <c r="M1201" s="116">
        <v>58.75</v>
      </c>
      <c r="N1201" s="116">
        <v>59.4</v>
      </c>
      <c r="O1201" s="116">
        <v>57.5</v>
      </c>
      <c r="P1201" s="116">
        <v>59.4</v>
      </c>
      <c r="Q1201" s="116">
        <v>58.75</v>
      </c>
      <c r="R1201">
        <v>9181608</v>
      </c>
    </row>
    <row r="1202" spans="1:18" x14ac:dyDescent="0.25">
      <c r="A1202" s="170">
        <v>43777</v>
      </c>
      <c r="B1202" s="116">
        <v>60.35</v>
      </c>
      <c r="C1202" s="116">
        <v>59.5</v>
      </c>
      <c r="D1202" s="116">
        <v>58.75</v>
      </c>
      <c r="E1202" s="116">
        <v>58.8</v>
      </c>
      <c r="F1202" s="116">
        <v>59.5</v>
      </c>
      <c r="G1202">
        <v>1159145</v>
      </c>
      <c r="H1202" s="116"/>
      <c r="I1202" s="116"/>
      <c r="L1202" s="170">
        <v>43777</v>
      </c>
      <c r="M1202" s="116">
        <v>59.55</v>
      </c>
      <c r="N1202" s="116">
        <v>60.35</v>
      </c>
      <c r="O1202" s="116">
        <v>58.65</v>
      </c>
      <c r="P1202" s="116">
        <v>59.55</v>
      </c>
      <c r="Q1202" s="116">
        <v>59.55</v>
      </c>
      <c r="R1202">
        <v>25224076</v>
      </c>
    </row>
    <row r="1203" spans="1:18" x14ac:dyDescent="0.25">
      <c r="A1203" s="170">
        <v>43780</v>
      </c>
      <c r="B1203" s="116">
        <v>61</v>
      </c>
      <c r="C1203" s="116">
        <v>57.3</v>
      </c>
      <c r="D1203" s="116">
        <v>56.6</v>
      </c>
      <c r="E1203" s="116">
        <v>61</v>
      </c>
      <c r="F1203" s="116">
        <v>57.3</v>
      </c>
      <c r="G1203">
        <v>11806318</v>
      </c>
      <c r="H1203" s="116"/>
      <c r="I1203" s="116"/>
      <c r="L1203" s="170">
        <v>43780</v>
      </c>
      <c r="M1203" s="116">
        <v>57.5</v>
      </c>
      <c r="N1203" s="116">
        <v>60.8</v>
      </c>
      <c r="O1203" s="116">
        <v>56.6</v>
      </c>
      <c r="P1203" s="116">
        <v>60.8</v>
      </c>
      <c r="Q1203" s="116">
        <v>57.5</v>
      </c>
      <c r="R1203">
        <v>24360351</v>
      </c>
    </row>
    <row r="1204" spans="1:18" x14ac:dyDescent="0.25">
      <c r="A1204" s="170">
        <v>43782</v>
      </c>
      <c r="B1204" s="116">
        <v>58</v>
      </c>
      <c r="C1204" s="116">
        <v>55.4</v>
      </c>
      <c r="D1204" s="116">
        <v>55.05</v>
      </c>
      <c r="E1204" s="116">
        <v>58</v>
      </c>
      <c r="F1204" s="116">
        <v>55.4</v>
      </c>
      <c r="G1204">
        <v>675786</v>
      </c>
      <c r="H1204" s="116"/>
      <c r="I1204" s="116"/>
      <c r="L1204" s="170">
        <v>43782</v>
      </c>
      <c r="M1204" s="116">
        <v>55.4</v>
      </c>
      <c r="N1204" s="116">
        <v>57.95</v>
      </c>
      <c r="O1204" s="116">
        <v>55.05</v>
      </c>
      <c r="P1204" s="116">
        <v>57.85</v>
      </c>
      <c r="Q1204" s="116">
        <v>55.4</v>
      </c>
      <c r="R1204">
        <v>10060059</v>
      </c>
    </row>
    <row r="1205" spans="1:18" x14ac:dyDescent="0.25">
      <c r="A1205" s="170">
        <v>43783</v>
      </c>
      <c r="B1205" s="116">
        <v>55.9</v>
      </c>
      <c r="C1205" s="116">
        <v>54.65</v>
      </c>
      <c r="D1205" s="116">
        <v>54.4</v>
      </c>
      <c r="E1205" s="116">
        <v>55.5</v>
      </c>
      <c r="F1205" s="116">
        <v>54.65</v>
      </c>
      <c r="G1205">
        <v>607728</v>
      </c>
      <c r="H1205" s="116"/>
      <c r="I1205" s="116"/>
      <c r="L1205" s="170">
        <v>43783</v>
      </c>
      <c r="M1205" s="116">
        <v>54.65</v>
      </c>
      <c r="N1205" s="116">
        <v>55.95</v>
      </c>
      <c r="O1205" s="116">
        <v>54.35</v>
      </c>
      <c r="P1205" s="116">
        <v>55.3</v>
      </c>
      <c r="Q1205" s="116">
        <v>54.65</v>
      </c>
      <c r="R1205">
        <v>6076033</v>
      </c>
    </row>
    <row r="1206" spans="1:18" x14ac:dyDescent="0.25">
      <c r="A1206" s="170">
        <v>43784</v>
      </c>
      <c r="B1206" s="116">
        <v>55.4</v>
      </c>
      <c r="C1206" s="116">
        <v>54.5</v>
      </c>
      <c r="D1206" s="116">
        <v>54.25</v>
      </c>
      <c r="E1206" s="116">
        <v>55</v>
      </c>
      <c r="F1206" s="116">
        <v>54.5</v>
      </c>
      <c r="G1206">
        <v>332740</v>
      </c>
      <c r="H1206" s="116"/>
      <c r="I1206" s="116"/>
      <c r="L1206" s="170">
        <v>43784</v>
      </c>
      <c r="M1206" s="116">
        <v>54.5</v>
      </c>
      <c r="N1206" s="116">
        <v>55.45</v>
      </c>
      <c r="O1206" s="116">
        <v>54.2</v>
      </c>
      <c r="P1206" s="116">
        <v>55</v>
      </c>
      <c r="Q1206" s="116">
        <v>54.5</v>
      </c>
      <c r="R1206">
        <v>5676494</v>
      </c>
    </row>
    <row r="1207" spans="1:18" x14ac:dyDescent="0.25">
      <c r="A1207" s="170">
        <v>43787</v>
      </c>
      <c r="B1207" s="116">
        <v>56.55</v>
      </c>
      <c r="C1207" s="116">
        <v>55.9</v>
      </c>
      <c r="D1207" s="116">
        <v>54.35</v>
      </c>
      <c r="E1207" s="116">
        <v>54.9</v>
      </c>
      <c r="F1207" s="116">
        <v>55.9</v>
      </c>
      <c r="G1207">
        <v>479478</v>
      </c>
      <c r="H1207" s="116"/>
      <c r="I1207" s="116"/>
      <c r="L1207" s="170">
        <v>43787</v>
      </c>
      <c r="M1207" s="116">
        <v>55.95</v>
      </c>
      <c r="N1207" s="116">
        <v>56.6</v>
      </c>
      <c r="O1207" s="116">
        <v>54.5</v>
      </c>
      <c r="P1207" s="116">
        <v>54.5</v>
      </c>
      <c r="Q1207" s="116">
        <v>55.95</v>
      </c>
      <c r="R1207">
        <v>7099868</v>
      </c>
    </row>
    <row r="1208" spans="1:18" x14ac:dyDescent="0.25">
      <c r="A1208" s="170">
        <v>43788</v>
      </c>
      <c r="B1208" s="116">
        <v>56.35</v>
      </c>
      <c r="C1208" s="116">
        <v>55.75</v>
      </c>
      <c r="D1208" s="116">
        <v>55.35</v>
      </c>
      <c r="E1208" s="116">
        <v>56</v>
      </c>
      <c r="F1208" s="116">
        <v>55.75</v>
      </c>
      <c r="G1208">
        <v>250867</v>
      </c>
      <c r="H1208" s="116"/>
      <c r="I1208" s="116"/>
      <c r="L1208" s="170">
        <v>43788</v>
      </c>
      <c r="M1208" s="116">
        <v>55.75</v>
      </c>
      <c r="N1208" s="116">
        <v>56.3</v>
      </c>
      <c r="O1208" s="116">
        <v>55.35</v>
      </c>
      <c r="P1208" s="116">
        <v>56</v>
      </c>
      <c r="Q1208" s="116">
        <v>55.75</v>
      </c>
      <c r="R1208">
        <v>3922027</v>
      </c>
    </row>
    <row r="1209" spans="1:18" x14ac:dyDescent="0.25">
      <c r="A1209" s="170">
        <v>43789</v>
      </c>
      <c r="B1209" s="116">
        <v>55.85</v>
      </c>
      <c r="C1209" s="116">
        <v>55.45</v>
      </c>
      <c r="D1209" s="116">
        <v>55.1</v>
      </c>
      <c r="E1209" s="116">
        <v>55.65</v>
      </c>
      <c r="F1209" s="116">
        <v>55.45</v>
      </c>
      <c r="G1209">
        <v>243476</v>
      </c>
      <c r="H1209" s="116"/>
      <c r="I1209" s="116"/>
      <c r="L1209" s="170">
        <v>43789</v>
      </c>
      <c r="M1209" s="116">
        <v>55.4</v>
      </c>
      <c r="N1209" s="116">
        <v>55.85</v>
      </c>
      <c r="O1209" s="116">
        <v>55.1</v>
      </c>
      <c r="P1209" s="116">
        <v>55.65</v>
      </c>
      <c r="Q1209" s="116">
        <v>55.4</v>
      </c>
      <c r="R1209">
        <v>4758920</v>
      </c>
    </row>
    <row r="1210" spans="1:18" x14ac:dyDescent="0.25">
      <c r="A1210" s="170">
        <v>43790</v>
      </c>
      <c r="B1210" s="116">
        <v>56.15</v>
      </c>
      <c r="C1210" s="116">
        <v>54.8</v>
      </c>
      <c r="D1210" s="116">
        <v>54.6</v>
      </c>
      <c r="E1210" s="116">
        <v>55.75</v>
      </c>
      <c r="F1210" s="116">
        <v>54.8</v>
      </c>
      <c r="G1210">
        <v>278090</v>
      </c>
      <c r="H1210" s="116"/>
      <c r="I1210" s="116"/>
      <c r="L1210" s="170">
        <v>43790</v>
      </c>
      <c r="M1210" s="116">
        <v>54.85</v>
      </c>
      <c r="N1210" s="116">
        <v>56.2</v>
      </c>
      <c r="O1210" s="116">
        <v>54.55</v>
      </c>
      <c r="P1210" s="116">
        <v>55.35</v>
      </c>
      <c r="Q1210" s="116">
        <v>54.85</v>
      </c>
      <c r="R1210">
        <v>7025549</v>
      </c>
    </row>
    <row r="1211" spans="1:18" x14ac:dyDescent="0.25">
      <c r="A1211" s="170">
        <v>43791</v>
      </c>
      <c r="B1211" s="116">
        <v>55.8</v>
      </c>
      <c r="C1211" s="116">
        <v>55.15</v>
      </c>
      <c r="D1211" s="116">
        <v>54.75</v>
      </c>
      <c r="E1211" s="116">
        <v>55.5</v>
      </c>
      <c r="F1211" s="116">
        <v>55.15</v>
      </c>
      <c r="G1211">
        <v>577470</v>
      </c>
      <c r="H1211" s="116"/>
      <c r="I1211" s="116"/>
      <c r="L1211" s="170">
        <v>43791</v>
      </c>
      <c r="M1211" s="116">
        <v>55.15</v>
      </c>
      <c r="N1211" s="116">
        <v>55.75</v>
      </c>
      <c r="O1211" s="116">
        <v>54.7</v>
      </c>
      <c r="P1211" s="116">
        <v>55.2</v>
      </c>
      <c r="Q1211" s="116">
        <v>55.15</v>
      </c>
      <c r="R1211">
        <v>8206981</v>
      </c>
    </row>
    <row r="1212" spans="1:18" x14ac:dyDescent="0.25">
      <c r="A1212" s="170">
        <v>43794</v>
      </c>
      <c r="B1212" s="116">
        <v>56.15</v>
      </c>
      <c r="C1212" s="116">
        <v>56</v>
      </c>
      <c r="D1212" s="116">
        <v>55.15</v>
      </c>
      <c r="E1212" s="116">
        <v>55.15</v>
      </c>
      <c r="F1212" s="116">
        <v>56</v>
      </c>
      <c r="G1212">
        <v>343100</v>
      </c>
      <c r="H1212" s="116"/>
      <c r="I1212" s="116"/>
      <c r="L1212" s="170">
        <v>43794</v>
      </c>
      <c r="M1212" s="116">
        <v>55.95</v>
      </c>
      <c r="N1212" s="116">
        <v>56.1</v>
      </c>
      <c r="O1212" s="116">
        <v>55.15</v>
      </c>
      <c r="P1212" s="116">
        <v>55.15</v>
      </c>
      <c r="Q1212" s="116">
        <v>55.95</v>
      </c>
      <c r="R1212">
        <v>5254263</v>
      </c>
    </row>
    <row r="1213" spans="1:18" x14ac:dyDescent="0.25">
      <c r="A1213" s="170">
        <v>43795</v>
      </c>
      <c r="B1213" s="116">
        <v>57.1</v>
      </c>
      <c r="C1213" s="116">
        <v>56.6</v>
      </c>
      <c r="D1213" s="116">
        <v>55.4</v>
      </c>
      <c r="E1213" s="116">
        <v>56.25</v>
      </c>
      <c r="F1213" s="116">
        <v>56.6</v>
      </c>
      <c r="G1213">
        <v>1843385</v>
      </c>
      <c r="H1213" s="116"/>
      <c r="I1213" s="116"/>
      <c r="L1213" s="170">
        <v>43795</v>
      </c>
      <c r="M1213" s="116">
        <v>56.65</v>
      </c>
      <c r="N1213" s="116">
        <v>57.1</v>
      </c>
      <c r="O1213" s="116">
        <v>55.4</v>
      </c>
      <c r="P1213" s="116">
        <v>56.25</v>
      </c>
      <c r="Q1213" s="116">
        <v>56.65</v>
      </c>
      <c r="R1213">
        <v>13251685</v>
      </c>
    </row>
    <row r="1214" spans="1:18" x14ac:dyDescent="0.25">
      <c r="A1214" s="170">
        <v>43796</v>
      </c>
      <c r="B1214" s="116">
        <v>57.45</v>
      </c>
      <c r="C1214" s="116">
        <v>56.8</v>
      </c>
      <c r="D1214" s="116">
        <v>56.55</v>
      </c>
      <c r="E1214" s="116">
        <v>56.9</v>
      </c>
      <c r="F1214" s="116">
        <v>56.8</v>
      </c>
      <c r="G1214">
        <v>285597</v>
      </c>
      <c r="H1214" s="116"/>
      <c r="I1214" s="116"/>
      <c r="L1214" s="170">
        <v>43796</v>
      </c>
      <c r="M1214" s="116">
        <v>56.8</v>
      </c>
      <c r="N1214" s="116">
        <v>57.5</v>
      </c>
      <c r="O1214" s="116">
        <v>56.55</v>
      </c>
      <c r="P1214" s="116">
        <v>57</v>
      </c>
      <c r="Q1214" s="116">
        <v>56.8</v>
      </c>
      <c r="R1214">
        <v>6969108</v>
      </c>
    </row>
    <row r="1215" spans="1:18" x14ac:dyDescent="0.25">
      <c r="A1215" s="170">
        <v>43797</v>
      </c>
      <c r="B1215" s="116">
        <v>57</v>
      </c>
      <c r="C1215" s="116">
        <v>56.45</v>
      </c>
      <c r="D1215" s="116">
        <v>55.7</v>
      </c>
      <c r="E1215" s="116">
        <v>57</v>
      </c>
      <c r="F1215" s="116">
        <v>56.45</v>
      </c>
      <c r="G1215">
        <v>706554</v>
      </c>
      <c r="H1215" s="116"/>
      <c r="I1215" s="116"/>
      <c r="L1215" s="170">
        <v>43797</v>
      </c>
      <c r="M1215" s="116">
        <v>56.45</v>
      </c>
      <c r="N1215" s="116">
        <v>56.8</v>
      </c>
      <c r="O1215" s="116">
        <v>55.7</v>
      </c>
      <c r="P1215" s="116">
        <v>56.6</v>
      </c>
      <c r="Q1215" s="116">
        <v>56.45</v>
      </c>
      <c r="R1215">
        <v>12572613</v>
      </c>
    </row>
    <row r="1216" spans="1:18" x14ac:dyDescent="0.25">
      <c r="A1216" s="170">
        <v>43798</v>
      </c>
      <c r="B1216" s="116">
        <v>58.95</v>
      </c>
      <c r="C1216" s="116">
        <v>57.4</v>
      </c>
      <c r="D1216" s="116">
        <v>56.6</v>
      </c>
      <c r="E1216" s="116">
        <v>57</v>
      </c>
      <c r="F1216" s="116">
        <v>57.4</v>
      </c>
      <c r="G1216">
        <v>955883</v>
      </c>
      <c r="H1216" s="116"/>
      <c r="I1216" s="116"/>
      <c r="L1216" s="170">
        <v>43798</v>
      </c>
      <c r="M1216" s="116">
        <v>57.35</v>
      </c>
      <c r="N1216" s="116">
        <v>58.95</v>
      </c>
      <c r="O1216" s="116">
        <v>56.55</v>
      </c>
      <c r="P1216" s="116">
        <v>56.8</v>
      </c>
      <c r="Q1216" s="116">
        <v>57.35</v>
      </c>
      <c r="R1216">
        <v>13401893</v>
      </c>
    </row>
    <row r="1217" spans="1:18" x14ac:dyDescent="0.25">
      <c r="A1217" s="170">
        <v>43801</v>
      </c>
      <c r="B1217" s="116">
        <v>57.2</v>
      </c>
      <c r="C1217" s="116">
        <v>56.3</v>
      </c>
      <c r="D1217" s="116">
        <v>55.55</v>
      </c>
      <c r="E1217" s="116">
        <v>56.6</v>
      </c>
      <c r="F1217" s="116">
        <v>56.3</v>
      </c>
      <c r="G1217">
        <v>422628</v>
      </c>
      <c r="H1217" s="116"/>
      <c r="I1217" s="116"/>
      <c r="L1217" s="170">
        <v>43801</v>
      </c>
      <c r="M1217" s="116">
        <v>56.35</v>
      </c>
      <c r="N1217" s="116">
        <v>57.4</v>
      </c>
      <c r="O1217" s="116">
        <v>55.55</v>
      </c>
      <c r="P1217" s="116">
        <v>57.35</v>
      </c>
      <c r="Q1217" s="116">
        <v>56.35</v>
      </c>
      <c r="R1217">
        <v>12052254</v>
      </c>
    </row>
    <row r="1218" spans="1:18" x14ac:dyDescent="0.25">
      <c r="A1218" s="170">
        <v>43802</v>
      </c>
      <c r="B1218" s="116">
        <v>56.75</v>
      </c>
      <c r="C1218" s="116">
        <v>55.5</v>
      </c>
      <c r="D1218" s="116">
        <v>55.05</v>
      </c>
      <c r="E1218" s="116">
        <v>56.75</v>
      </c>
      <c r="F1218" s="116">
        <v>55.5</v>
      </c>
      <c r="G1218">
        <v>315189</v>
      </c>
      <c r="H1218" s="116"/>
      <c r="I1218" s="116"/>
      <c r="L1218" s="170">
        <v>43802</v>
      </c>
      <c r="M1218" s="116">
        <v>55.45</v>
      </c>
      <c r="N1218" s="116">
        <v>56.5</v>
      </c>
      <c r="O1218" s="116">
        <v>55</v>
      </c>
      <c r="P1218" s="116">
        <v>56.5</v>
      </c>
      <c r="Q1218" s="116">
        <v>55.45</v>
      </c>
      <c r="R1218">
        <v>5536309</v>
      </c>
    </row>
    <row r="1219" spans="1:18" x14ac:dyDescent="0.25">
      <c r="A1219" s="170">
        <v>43803</v>
      </c>
      <c r="B1219" s="116">
        <v>56.1</v>
      </c>
      <c r="C1219" s="116">
        <v>55.85</v>
      </c>
      <c r="D1219" s="116">
        <v>55</v>
      </c>
      <c r="E1219" s="116">
        <v>55.4</v>
      </c>
      <c r="F1219" s="116">
        <v>55.85</v>
      </c>
      <c r="G1219">
        <v>239279</v>
      </c>
      <c r="H1219" s="116"/>
      <c r="I1219" s="116"/>
      <c r="L1219" s="170">
        <v>43803</v>
      </c>
      <c r="M1219" s="116">
        <v>55.85</v>
      </c>
      <c r="N1219" s="116">
        <v>56.15</v>
      </c>
      <c r="O1219" s="116">
        <v>54.9</v>
      </c>
      <c r="P1219" s="116">
        <v>55</v>
      </c>
      <c r="Q1219" s="116">
        <v>55.85</v>
      </c>
      <c r="R1219">
        <v>3605231</v>
      </c>
    </row>
    <row r="1220" spans="1:18" x14ac:dyDescent="0.25">
      <c r="A1220" s="170">
        <v>43804</v>
      </c>
      <c r="B1220" s="116">
        <v>56.3</v>
      </c>
      <c r="C1220" s="116">
        <v>55.8</v>
      </c>
      <c r="D1220" s="116">
        <v>55.3</v>
      </c>
      <c r="E1220" s="116">
        <v>56.3</v>
      </c>
      <c r="F1220" s="116">
        <v>55.8</v>
      </c>
      <c r="G1220">
        <v>343045</v>
      </c>
      <c r="H1220" s="116"/>
      <c r="I1220" s="116"/>
      <c r="L1220" s="170">
        <v>43804</v>
      </c>
      <c r="M1220" s="116">
        <v>55.8</v>
      </c>
      <c r="N1220" s="116">
        <v>56.15</v>
      </c>
      <c r="O1220" s="116">
        <v>55.25</v>
      </c>
      <c r="P1220" s="116">
        <v>56.15</v>
      </c>
      <c r="Q1220" s="116">
        <v>55.8</v>
      </c>
      <c r="R1220">
        <v>7119298</v>
      </c>
    </row>
    <row r="1221" spans="1:18" x14ac:dyDescent="0.25">
      <c r="A1221" s="170">
        <v>43805</v>
      </c>
      <c r="B1221" s="116">
        <v>56.7</v>
      </c>
      <c r="C1221" s="116">
        <v>53.5</v>
      </c>
      <c r="D1221" s="116">
        <v>53.25</v>
      </c>
      <c r="E1221" s="116">
        <v>56</v>
      </c>
      <c r="F1221" s="116">
        <v>53.5</v>
      </c>
      <c r="G1221">
        <v>918723</v>
      </c>
      <c r="H1221" s="116"/>
      <c r="I1221" s="116"/>
      <c r="L1221" s="170">
        <v>43805</v>
      </c>
      <c r="M1221" s="116">
        <v>53.5</v>
      </c>
      <c r="N1221" s="116">
        <v>57.35</v>
      </c>
      <c r="O1221" s="116">
        <v>53.2</v>
      </c>
      <c r="P1221" s="116">
        <v>57.35</v>
      </c>
      <c r="Q1221" s="116">
        <v>53.5</v>
      </c>
      <c r="R1221">
        <v>14587403</v>
      </c>
    </row>
    <row r="1222" spans="1:18" x14ac:dyDescent="0.25">
      <c r="A1222" s="170">
        <v>43808</v>
      </c>
      <c r="B1222" s="116">
        <v>54.6</v>
      </c>
      <c r="C1222" s="116">
        <v>52.45</v>
      </c>
      <c r="D1222" s="116">
        <v>52.35</v>
      </c>
      <c r="E1222" s="116">
        <v>53.5</v>
      </c>
      <c r="F1222" s="116">
        <v>52.45</v>
      </c>
      <c r="G1222">
        <v>517011</v>
      </c>
      <c r="H1222" s="116"/>
      <c r="I1222" s="116"/>
      <c r="L1222" s="170">
        <v>43808</v>
      </c>
      <c r="M1222" s="116">
        <v>52.45</v>
      </c>
      <c r="N1222" s="116">
        <v>54.65</v>
      </c>
      <c r="O1222" s="116">
        <v>52.25</v>
      </c>
      <c r="P1222" s="116">
        <v>53.5</v>
      </c>
      <c r="Q1222" s="116">
        <v>52.45</v>
      </c>
      <c r="R1222">
        <v>8338162</v>
      </c>
    </row>
    <row r="1223" spans="1:18" x14ac:dyDescent="0.25">
      <c r="A1223" s="170">
        <v>43809</v>
      </c>
      <c r="B1223" s="116">
        <v>53.75</v>
      </c>
      <c r="C1223" s="116">
        <v>51.4</v>
      </c>
      <c r="D1223" s="116">
        <v>51.05</v>
      </c>
      <c r="E1223" s="116">
        <v>52.85</v>
      </c>
      <c r="F1223" s="116">
        <v>51.4</v>
      </c>
      <c r="G1223">
        <v>974062</v>
      </c>
      <c r="H1223" s="116"/>
      <c r="I1223" s="116"/>
      <c r="L1223" s="170">
        <v>43809</v>
      </c>
      <c r="M1223" s="116">
        <v>51.4</v>
      </c>
      <c r="N1223" s="116">
        <v>53.75</v>
      </c>
      <c r="O1223" s="116">
        <v>51.05</v>
      </c>
      <c r="P1223" s="116">
        <v>52.7</v>
      </c>
      <c r="Q1223" s="116">
        <v>51.4</v>
      </c>
      <c r="R1223">
        <v>18892627</v>
      </c>
    </row>
    <row r="1224" spans="1:18" x14ac:dyDescent="0.25">
      <c r="A1224" s="170">
        <v>43810</v>
      </c>
      <c r="B1224" s="116">
        <v>53.1</v>
      </c>
      <c r="C1224" s="116">
        <v>52.8</v>
      </c>
      <c r="D1224" s="116">
        <v>51.25</v>
      </c>
      <c r="E1224" s="116">
        <v>51.5</v>
      </c>
      <c r="F1224" s="116">
        <v>52.8</v>
      </c>
      <c r="G1224">
        <v>370293</v>
      </c>
      <c r="H1224" s="116"/>
      <c r="I1224" s="116"/>
      <c r="L1224" s="170">
        <v>43810</v>
      </c>
      <c r="M1224" s="116">
        <v>52.8</v>
      </c>
      <c r="N1224" s="116">
        <v>53.1</v>
      </c>
      <c r="O1224" s="116">
        <v>51.15</v>
      </c>
      <c r="P1224" s="116">
        <v>51.15</v>
      </c>
      <c r="Q1224" s="116">
        <v>52.8</v>
      </c>
      <c r="R1224">
        <v>7113895</v>
      </c>
    </row>
    <row r="1225" spans="1:18" x14ac:dyDescent="0.25">
      <c r="A1225" s="170">
        <v>43811</v>
      </c>
      <c r="B1225" s="116">
        <v>53.75</v>
      </c>
      <c r="C1225" s="116">
        <v>53.4</v>
      </c>
      <c r="D1225" s="116">
        <v>52.6</v>
      </c>
      <c r="E1225" s="116">
        <v>53.1</v>
      </c>
      <c r="F1225" s="116">
        <v>53.4</v>
      </c>
      <c r="G1225">
        <v>289824</v>
      </c>
      <c r="H1225" s="116"/>
      <c r="I1225" s="116"/>
      <c r="L1225" s="170">
        <v>43811</v>
      </c>
      <c r="M1225" s="116">
        <v>53.35</v>
      </c>
      <c r="N1225" s="116">
        <v>53.75</v>
      </c>
      <c r="O1225" s="116">
        <v>52.55</v>
      </c>
      <c r="P1225" s="116">
        <v>52.7</v>
      </c>
      <c r="Q1225" s="116">
        <v>53.35</v>
      </c>
      <c r="R1225">
        <v>5730574</v>
      </c>
    </row>
    <row r="1226" spans="1:18" x14ac:dyDescent="0.25">
      <c r="A1226" s="170">
        <v>43812</v>
      </c>
      <c r="B1226" s="116">
        <v>54.65</v>
      </c>
      <c r="C1226" s="116">
        <v>54</v>
      </c>
      <c r="D1226" s="116">
        <v>52.9</v>
      </c>
      <c r="E1226" s="116">
        <v>53.65</v>
      </c>
      <c r="F1226" s="116">
        <v>54</v>
      </c>
      <c r="G1226">
        <v>624645</v>
      </c>
      <c r="H1226" s="116"/>
      <c r="I1226" s="116"/>
      <c r="L1226" s="170">
        <v>43812</v>
      </c>
      <c r="M1226" s="116">
        <v>54</v>
      </c>
      <c r="N1226" s="116">
        <v>54.6</v>
      </c>
      <c r="O1226" s="116">
        <v>52.9</v>
      </c>
      <c r="P1226" s="116">
        <v>53.6</v>
      </c>
      <c r="Q1226" s="116">
        <v>54</v>
      </c>
      <c r="R1226">
        <v>13996578</v>
      </c>
    </row>
    <row r="1227" spans="1:18" x14ac:dyDescent="0.25">
      <c r="A1227" s="170">
        <v>43815</v>
      </c>
      <c r="B1227" s="116">
        <v>55.55</v>
      </c>
      <c r="C1227" s="116">
        <v>55</v>
      </c>
      <c r="D1227" s="116">
        <v>54.1</v>
      </c>
      <c r="E1227" s="116">
        <v>54.75</v>
      </c>
      <c r="F1227" s="116">
        <v>55</v>
      </c>
      <c r="G1227">
        <v>576446</v>
      </c>
      <c r="H1227" s="116"/>
      <c r="I1227" s="116"/>
      <c r="L1227" s="170">
        <v>43815</v>
      </c>
      <c r="M1227" s="116">
        <v>55</v>
      </c>
      <c r="N1227" s="116">
        <v>55.55</v>
      </c>
      <c r="O1227" s="116">
        <v>54.05</v>
      </c>
      <c r="P1227" s="116">
        <v>54.15</v>
      </c>
      <c r="Q1227" s="116">
        <v>55</v>
      </c>
      <c r="R1227">
        <v>13368024</v>
      </c>
    </row>
    <row r="1228" spans="1:18" x14ac:dyDescent="0.25">
      <c r="A1228" s="170">
        <v>43816</v>
      </c>
      <c r="B1228" s="116">
        <v>56.2</v>
      </c>
      <c r="C1228" s="116">
        <v>56.05</v>
      </c>
      <c r="D1228" s="116">
        <v>54.75</v>
      </c>
      <c r="E1228" s="116">
        <v>55.35</v>
      </c>
      <c r="F1228" s="116">
        <v>56.05</v>
      </c>
      <c r="G1228">
        <v>460336</v>
      </c>
      <c r="H1228" s="116"/>
      <c r="I1228" s="116"/>
      <c r="L1228" s="170">
        <v>43816</v>
      </c>
      <c r="M1228" s="116">
        <v>56.05</v>
      </c>
      <c r="N1228" s="116">
        <v>56.2</v>
      </c>
      <c r="O1228" s="116">
        <v>54.65</v>
      </c>
      <c r="P1228" s="116">
        <v>55</v>
      </c>
      <c r="Q1228" s="116">
        <v>56.05</v>
      </c>
      <c r="R1228">
        <v>7255855</v>
      </c>
    </row>
    <row r="1229" spans="1:18" x14ac:dyDescent="0.25">
      <c r="A1229" s="170">
        <v>43817</v>
      </c>
      <c r="B1229" s="116">
        <v>56.25</v>
      </c>
      <c r="C1229" s="116">
        <v>55.5</v>
      </c>
      <c r="D1229" s="116">
        <v>54.8</v>
      </c>
      <c r="E1229" s="116">
        <v>56.1</v>
      </c>
      <c r="F1229" s="116">
        <v>55.5</v>
      </c>
      <c r="G1229">
        <v>383405</v>
      </c>
      <c r="H1229" s="116"/>
      <c r="I1229" s="116"/>
      <c r="L1229" s="170">
        <v>43817</v>
      </c>
      <c r="M1229" s="116">
        <v>55.5</v>
      </c>
      <c r="N1229" s="116">
        <v>56.25</v>
      </c>
      <c r="O1229" s="116">
        <v>54.8</v>
      </c>
      <c r="P1229" s="116">
        <v>56.25</v>
      </c>
      <c r="Q1229" s="116">
        <v>55.5</v>
      </c>
      <c r="R1229">
        <v>5634510</v>
      </c>
    </row>
    <row r="1230" spans="1:18" x14ac:dyDescent="0.25">
      <c r="A1230" s="170">
        <v>43818</v>
      </c>
      <c r="B1230" s="116">
        <v>56.05</v>
      </c>
      <c r="C1230" s="116">
        <v>55.7</v>
      </c>
      <c r="D1230" s="116">
        <v>54.6</v>
      </c>
      <c r="E1230" s="116">
        <v>55</v>
      </c>
      <c r="F1230" s="116">
        <v>55.7</v>
      </c>
      <c r="G1230">
        <v>446926</v>
      </c>
      <c r="H1230" s="116"/>
      <c r="I1230" s="116"/>
      <c r="L1230" s="170">
        <v>43818</v>
      </c>
      <c r="M1230" s="116">
        <v>55.7</v>
      </c>
      <c r="N1230" s="116">
        <v>56.05</v>
      </c>
      <c r="O1230" s="116">
        <v>54.55</v>
      </c>
      <c r="P1230" s="116">
        <v>54.95</v>
      </c>
      <c r="Q1230" s="116">
        <v>55.7</v>
      </c>
      <c r="R1230">
        <v>6911871</v>
      </c>
    </row>
    <row r="1231" spans="1:18" x14ac:dyDescent="0.25">
      <c r="A1231" s="170">
        <v>43819</v>
      </c>
      <c r="B1231" s="116">
        <v>56.05</v>
      </c>
      <c r="C1231" s="116">
        <v>55.4</v>
      </c>
      <c r="D1231" s="116">
        <v>55.3</v>
      </c>
      <c r="E1231" s="116">
        <v>55.5</v>
      </c>
      <c r="F1231" s="116">
        <v>55.4</v>
      </c>
      <c r="G1231">
        <v>278426</v>
      </c>
      <c r="H1231" s="116"/>
      <c r="I1231" s="116"/>
      <c r="L1231" s="170">
        <v>43819</v>
      </c>
      <c r="M1231" s="116">
        <v>55.45</v>
      </c>
      <c r="N1231" s="116">
        <v>56.1</v>
      </c>
      <c r="O1231" s="116">
        <v>55.25</v>
      </c>
      <c r="P1231" s="116">
        <v>55.65</v>
      </c>
      <c r="Q1231" s="116">
        <v>55.45</v>
      </c>
      <c r="R1231">
        <v>5836678</v>
      </c>
    </row>
    <row r="1232" spans="1:18" x14ac:dyDescent="0.25">
      <c r="A1232" s="170">
        <v>43822</v>
      </c>
      <c r="B1232" s="116">
        <v>55.95</v>
      </c>
      <c r="C1232" s="116">
        <v>55.75</v>
      </c>
      <c r="D1232" s="116">
        <v>55</v>
      </c>
      <c r="E1232" s="116">
        <v>55.1</v>
      </c>
      <c r="F1232" s="116">
        <v>55.75</v>
      </c>
      <c r="G1232">
        <v>383406</v>
      </c>
      <c r="H1232" s="116"/>
      <c r="I1232" s="116"/>
      <c r="L1232" s="170">
        <v>43822</v>
      </c>
      <c r="M1232" s="116">
        <v>55.75</v>
      </c>
      <c r="N1232" s="116">
        <v>56</v>
      </c>
      <c r="O1232" s="116">
        <v>55</v>
      </c>
      <c r="P1232" s="116">
        <v>55</v>
      </c>
      <c r="Q1232" s="116">
        <v>55.75</v>
      </c>
      <c r="R1232">
        <v>6340544</v>
      </c>
    </row>
    <row r="1233" spans="1:18" x14ac:dyDescent="0.25">
      <c r="A1233" s="170">
        <v>43823</v>
      </c>
      <c r="B1233" s="116">
        <v>56.6</v>
      </c>
      <c r="C1233" s="116">
        <v>56.05</v>
      </c>
      <c r="D1233" s="116">
        <v>55.8</v>
      </c>
      <c r="E1233" s="116">
        <v>56.4</v>
      </c>
      <c r="F1233" s="116">
        <v>56.05</v>
      </c>
      <c r="G1233">
        <v>359467</v>
      </c>
      <c r="H1233" s="116"/>
      <c r="I1233" s="116"/>
      <c r="L1233" s="170">
        <v>43823</v>
      </c>
      <c r="M1233" s="116">
        <v>56.1</v>
      </c>
      <c r="N1233" s="116">
        <v>56.65</v>
      </c>
      <c r="O1233" s="116">
        <v>55.75</v>
      </c>
      <c r="P1233" s="116">
        <v>56.45</v>
      </c>
      <c r="Q1233" s="116">
        <v>56.1</v>
      </c>
      <c r="R1233">
        <v>7649247</v>
      </c>
    </row>
    <row r="1234" spans="1:18" x14ac:dyDescent="0.25">
      <c r="A1234" s="170">
        <v>43825</v>
      </c>
      <c r="B1234" s="116">
        <v>56.3</v>
      </c>
      <c r="C1234" s="116">
        <v>55.1</v>
      </c>
      <c r="D1234" s="116">
        <v>55</v>
      </c>
      <c r="E1234" s="116">
        <v>56</v>
      </c>
      <c r="F1234" s="116">
        <v>55.1</v>
      </c>
      <c r="G1234">
        <v>234580</v>
      </c>
      <c r="H1234" s="116"/>
      <c r="I1234" s="116"/>
      <c r="L1234" s="170">
        <v>43825</v>
      </c>
      <c r="M1234" s="116">
        <v>55.15</v>
      </c>
      <c r="N1234" s="116">
        <v>56.55</v>
      </c>
      <c r="O1234" s="116">
        <v>55</v>
      </c>
      <c r="P1234" s="116">
        <v>56</v>
      </c>
      <c r="Q1234" s="116">
        <v>55.15</v>
      </c>
      <c r="R1234">
        <v>4026238</v>
      </c>
    </row>
    <row r="1235" spans="1:18" x14ac:dyDescent="0.25">
      <c r="A1235" s="170">
        <v>43826</v>
      </c>
      <c r="B1235" s="116">
        <v>56.25</v>
      </c>
      <c r="C1235" s="116">
        <v>56.15</v>
      </c>
      <c r="D1235" s="116">
        <v>55.2</v>
      </c>
      <c r="E1235" s="116">
        <v>55.2</v>
      </c>
      <c r="F1235" s="116">
        <v>56.15</v>
      </c>
      <c r="G1235">
        <v>208840</v>
      </c>
      <c r="H1235" s="116"/>
      <c r="I1235" s="116"/>
      <c r="L1235" s="170">
        <v>43826</v>
      </c>
      <c r="M1235" s="116">
        <v>56.1</v>
      </c>
      <c r="N1235" s="116">
        <v>56.3</v>
      </c>
      <c r="O1235" s="116">
        <v>55.3</v>
      </c>
      <c r="P1235" s="116">
        <v>55.3</v>
      </c>
      <c r="Q1235" s="116">
        <v>56.1</v>
      </c>
      <c r="R1235">
        <v>2983035</v>
      </c>
    </row>
    <row r="1236" spans="1:18" x14ac:dyDescent="0.25">
      <c r="A1236" s="170">
        <v>43829</v>
      </c>
      <c r="B1236" s="116">
        <v>56.7</v>
      </c>
      <c r="C1236" s="116">
        <v>56.45</v>
      </c>
      <c r="D1236" s="116">
        <v>55.75</v>
      </c>
      <c r="E1236" s="116">
        <v>56.2</v>
      </c>
      <c r="F1236" s="116">
        <v>56.45</v>
      </c>
      <c r="G1236">
        <v>221313</v>
      </c>
      <c r="H1236" s="116"/>
      <c r="I1236" s="116"/>
      <c r="L1236" s="170">
        <v>43829</v>
      </c>
      <c r="M1236" s="116">
        <v>56.45</v>
      </c>
      <c r="N1236" s="116">
        <v>56.7</v>
      </c>
      <c r="O1236" s="116">
        <v>55.7</v>
      </c>
      <c r="P1236" s="116">
        <v>55.9</v>
      </c>
      <c r="Q1236" s="116">
        <v>56.45</v>
      </c>
      <c r="R1236">
        <v>3198070</v>
      </c>
    </row>
    <row r="1237" spans="1:18" x14ac:dyDescent="0.25">
      <c r="A1237" s="170">
        <v>43830</v>
      </c>
      <c r="B1237" s="116">
        <v>56.8</v>
      </c>
      <c r="C1237" s="116">
        <v>56.5</v>
      </c>
      <c r="D1237" s="116">
        <v>56.3</v>
      </c>
      <c r="E1237" s="116">
        <v>56.5</v>
      </c>
      <c r="F1237" s="116">
        <v>56.5</v>
      </c>
      <c r="G1237">
        <v>144028</v>
      </c>
      <c r="H1237" s="116"/>
      <c r="I1237" s="116"/>
      <c r="L1237" s="170">
        <v>43830</v>
      </c>
      <c r="M1237" s="116">
        <v>56.5</v>
      </c>
      <c r="N1237" s="116">
        <v>56.9</v>
      </c>
      <c r="O1237" s="116">
        <v>56.3</v>
      </c>
      <c r="P1237" s="116">
        <v>56.5</v>
      </c>
      <c r="Q1237" s="116">
        <v>56.5</v>
      </c>
      <c r="R1237">
        <v>3504310</v>
      </c>
    </row>
    <row r="1238" spans="1:18" x14ac:dyDescent="0.25">
      <c r="A1238" s="170">
        <v>43831</v>
      </c>
      <c r="B1238" s="116">
        <v>57.85</v>
      </c>
      <c r="C1238" s="116">
        <v>57.65</v>
      </c>
      <c r="D1238" s="116">
        <v>56.7</v>
      </c>
      <c r="E1238" s="116">
        <v>56.7</v>
      </c>
      <c r="F1238" s="116">
        <v>57.65</v>
      </c>
      <c r="G1238">
        <v>319515</v>
      </c>
      <c r="H1238" s="116"/>
      <c r="I1238" s="116"/>
      <c r="L1238" s="170">
        <v>43831</v>
      </c>
      <c r="M1238" s="116">
        <v>57.6</v>
      </c>
      <c r="N1238" s="116">
        <v>57.85</v>
      </c>
      <c r="O1238" s="116">
        <v>56.65</v>
      </c>
      <c r="P1238" s="116">
        <v>56.8</v>
      </c>
      <c r="Q1238" s="116">
        <v>57.6</v>
      </c>
      <c r="R1238">
        <v>3878107</v>
      </c>
    </row>
    <row r="1239" spans="1:18" x14ac:dyDescent="0.25">
      <c r="A1239" s="170">
        <v>43832</v>
      </c>
      <c r="B1239" s="116">
        <v>58.15</v>
      </c>
      <c r="C1239" s="116">
        <v>58</v>
      </c>
      <c r="D1239" s="116">
        <v>56.85</v>
      </c>
      <c r="E1239" s="116">
        <v>57.85</v>
      </c>
      <c r="F1239" s="116">
        <v>58</v>
      </c>
      <c r="G1239">
        <v>477363</v>
      </c>
      <c r="H1239" s="116"/>
      <c r="I1239" s="116"/>
      <c r="L1239" s="170">
        <v>43832</v>
      </c>
      <c r="M1239" s="116">
        <v>58</v>
      </c>
      <c r="N1239" s="116">
        <v>58.15</v>
      </c>
      <c r="O1239" s="116">
        <v>56.8</v>
      </c>
      <c r="P1239" s="116">
        <v>57.9</v>
      </c>
      <c r="Q1239" s="116">
        <v>58</v>
      </c>
      <c r="R1239">
        <v>12142359</v>
      </c>
    </row>
    <row r="1240" spans="1:18" x14ac:dyDescent="0.25">
      <c r="A1240" s="170">
        <v>43833</v>
      </c>
      <c r="B1240" s="116">
        <v>58.5</v>
      </c>
      <c r="C1240" s="116">
        <v>57.75</v>
      </c>
      <c r="D1240" s="116">
        <v>57.35</v>
      </c>
      <c r="E1240" s="116">
        <v>58.35</v>
      </c>
      <c r="F1240" s="116">
        <v>57.75</v>
      </c>
      <c r="G1240">
        <v>386377</v>
      </c>
      <c r="H1240" s="116"/>
      <c r="I1240" s="116"/>
      <c r="L1240" s="170">
        <v>43833</v>
      </c>
      <c r="M1240" s="116">
        <v>57.75</v>
      </c>
      <c r="N1240" s="116">
        <v>58.55</v>
      </c>
      <c r="O1240" s="116">
        <v>57.3</v>
      </c>
      <c r="P1240" s="116">
        <v>58</v>
      </c>
      <c r="Q1240" s="116">
        <v>57.75</v>
      </c>
      <c r="R1240">
        <v>9746134</v>
      </c>
    </row>
    <row r="1241" spans="1:18" x14ac:dyDescent="0.25">
      <c r="A1241" s="170">
        <v>43836</v>
      </c>
      <c r="B1241" s="116">
        <v>57.7</v>
      </c>
      <c r="C1241" s="116">
        <v>56.75</v>
      </c>
      <c r="D1241" s="116">
        <v>56</v>
      </c>
      <c r="E1241" s="116">
        <v>57.7</v>
      </c>
      <c r="F1241" s="116">
        <v>56.75</v>
      </c>
      <c r="G1241">
        <v>290157</v>
      </c>
      <c r="H1241" s="116"/>
      <c r="I1241" s="116"/>
      <c r="L1241" s="170">
        <v>43836</v>
      </c>
      <c r="M1241" s="116">
        <v>56.75</v>
      </c>
      <c r="N1241" s="116">
        <v>57.5</v>
      </c>
      <c r="O1241" s="116">
        <v>55.95</v>
      </c>
      <c r="P1241" s="116">
        <v>57.05</v>
      </c>
      <c r="Q1241" s="116">
        <v>56.75</v>
      </c>
      <c r="R1241">
        <v>3833784</v>
      </c>
    </row>
    <row r="1242" spans="1:18" x14ac:dyDescent="0.25">
      <c r="A1242" s="170">
        <v>43837</v>
      </c>
      <c r="B1242" s="116">
        <v>57.45</v>
      </c>
      <c r="C1242" s="116">
        <v>56.6</v>
      </c>
      <c r="D1242" s="116">
        <v>56.05</v>
      </c>
      <c r="E1242" s="116">
        <v>57.3</v>
      </c>
      <c r="F1242" s="116">
        <v>56.6</v>
      </c>
      <c r="G1242">
        <v>265443</v>
      </c>
      <c r="H1242" s="116"/>
      <c r="I1242" s="116"/>
      <c r="L1242" s="170">
        <v>43837</v>
      </c>
      <c r="M1242" s="116">
        <v>56.6</v>
      </c>
      <c r="N1242" s="116">
        <v>57.55</v>
      </c>
      <c r="O1242" s="116">
        <v>56.05</v>
      </c>
      <c r="P1242" s="116">
        <v>57.1</v>
      </c>
      <c r="Q1242" s="116">
        <v>56.6</v>
      </c>
      <c r="R1242">
        <v>3974582</v>
      </c>
    </row>
    <row r="1243" spans="1:18" x14ac:dyDescent="0.25">
      <c r="A1243" s="170">
        <v>43838</v>
      </c>
      <c r="B1243" s="116">
        <v>56.7</v>
      </c>
      <c r="C1243" s="116">
        <v>56.25</v>
      </c>
      <c r="D1243" s="116">
        <v>55.75</v>
      </c>
      <c r="E1243" s="116">
        <v>56.2</v>
      </c>
      <c r="F1243" s="116">
        <v>56.25</v>
      </c>
      <c r="G1243">
        <v>283961</v>
      </c>
      <c r="H1243" s="116"/>
      <c r="I1243" s="116"/>
      <c r="L1243" s="170">
        <v>43838</v>
      </c>
      <c r="M1243" s="116">
        <v>56.25</v>
      </c>
      <c r="N1243" s="116">
        <v>56.75</v>
      </c>
      <c r="O1243" s="116">
        <v>55.7</v>
      </c>
      <c r="P1243" s="116">
        <v>56</v>
      </c>
      <c r="Q1243" s="116">
        <v>56.25</v>
      </c>
      <c r="R1243">
        <v>3078686</v>
      </c>
    </row>
    <row r="1244" spans="1:18" x14ac:dyDescent="0.25">
      <c r="A1244" s="170">
        <v>43839</v>
      </c>
      <c r="B1244" s="116">
        <v>58.2</v>
      </c>
      <c r="C1244" s="116">
        <v>57.8</v>
      </c>
      <c r="D1244" s="116">
        <v>56.8</v>
      </c>
      <c r="E1244" s="116">
        <v>56.9</v>
      </c>
      <c r="F1244" s="116">
        <v>57.8</v>
      </c>
      <c r="G1244">
        <v>519002</v>
      </c>
      <c r="H1244" s="116"/>
      <c r="I1244" s="116"/>
      <c r="L1244" s="170">
        <v>43839</v>
      </c>
      <c r="M1244" s="116">
        <v>57.8</v>
      </c>
      <c r="N1244" s="116">
        <v>58.2</v>
      </c>
      <c r="O1244" s="116">
        <v>56.55</v>
      </c>
      <c r="P1244" s="116">
        <v>56.55</v>
      </c>
      <c r="Q1244" s="116">
        <v>57.8</v>
      </c>
      <c r="R1244">
        <v>6282472</v>
      </c>
    </row>
    <row r="1245" spans="1:18" x14ac:dyDescent="0.25">
      <c r="A1245" s="170">
        <v>43840</v>
      </c>
      <c r="B1245" s="116">
        <v>59.5</v>
      </c>
      <c r="C1245" s="116">
        <v>58.95</v>
      </c>
      <c r="D1245" s="116">
        <v>57.4</v>
      </c>
      <c r="E1245" s="116">
        <v>57.8</v>
      </c>
      <c r="F1245" s="116">
        <v>58.95</v>
      </c>
      <c r="G1245">
        <v>606781</v>
      </c>
      <c r="H1245" s="116"/>
      <c r="I1245" s="116"/>
      <c r="L1245" s="170">
        <v>43840</v>
      </c>
      <c r="M1245" s="116">
        <v>58.95</v>
      </c>
      <c r="N1245" s="116">
        <v>59.5</v>
      </c>
      <c r="O1245" s="116">
        <v>57.35</v>
      </c>
      <c r="P1245" s="116">
        <v>57.75</v>
      </c>
      <c r="Q1245" s="116">
        <v>58.95</v>
      </c>
      <c r="R1245">
        <v>10571670</v>
      </c>
    </row>
    <row r="1246" spans="1:18" x14ac:dyDescent="0.25">
      <c r="A1246" s="170">
        <v>43843</v>
      </c>
      <c r="B1246" s="116">
        <v>59.9</v>
      </c>
      <c r="C1246" s="116">
        <v>59.4</v>
      </c>
      <c r="D1246" s="116">
        <v>58.9</v>
      </c>
      <c r="E1246" s="116">
        <v>59.9</v>
      </c>
      <c r="F1246" s="116">
        <v>59.4</v>
      </c>
      <c r="G1246">
        <v>382675</v>
      </c>
      <c r="H1246" s="116"/>
      <c r="I1246" s="116"/>
      <c r="L1246" s="170">
        <v>43843</v>
      </c>
      <c r="M1246" s="116">
        <v>59.4</v>
      </c>
      <c r="N1246" s="116">
        <v>59.85</v>
      </c>
      <c r="O1246" s="116">
        <v>58.85</v>
      </c>
      <c r="P1246" s="116">
        <v>59.2</v>
      </c>
      <c r="Q1246" s="116">
        <v>59.4</v>
      </c>
      <c r="R1246">
        <v>5570014</v>
      </c>
    </row>
    <row r="1247" spans="1:18" x14ac:dyDescent="0.25">
      <c r="A1247" s="170">
        <v>43844</v>
      </c>
      <c r="B1247" s="116">
        <v>60.3</v>
      </c>
      <c r="C1247" s="116">
        <v>60.2</v>
      </c>
      <c r="D1247" s="116">
        <v>59.2</v>
      </c>
      <c r="E1247" s="116">
        <v>59.85</v>
      </c>
      <c r="F1247" s="116">
        <v>60.2</v>
      </c>
      <c r="G1247">
        <v>394718</v>
      </c>
      <c r="H1247" s="116"/>
      <c r="I1247" s="116"/>
      <c r="L1247" s="170">
        <v>43844</v>
      </c>
      <c r="M1247" s="116">
        <v>60.2</v>
      </c>
      <c r="N1247" s="116">
        <v>60.35</v>
      </c>
      <c r="O1247" s="116">
        <v>59.2</v>
      </c>
      <c r="P1247" s="116">
        <v>59.5</v>
      </c>
      <c r="Q1247" s="116">
        <v>60.2</v>
      </c>
      <c r="R1247">
        <v>5841008</v>
      </c>
    </row>
    <row r="1248" spans="1:18" x14ac:dyDescent="0.25">
      <c r="A1248" s="170">
        <v>43845</v>
      </c>
      <c r="B1248" s="116">
        <v>61.1</v>
      </c>
      <c r="C1248" s="116">
        <v>60.95</v>
      </c>
      <c r="D1248" s="116">
        <v>59.9</v>
      </c>
      <c r="E1248" s="116">
        <v>60.5</v>
      </c>
      <c r="F1248" s="116">
        <v>60.95</v>
      </c>
      <c r="G1248">
        <v>434128</v>
      </c>
      <c r="H1248" s="116"/>
      <c r="I1248" s="116"/>
      <c r="L1248" s="170">
        <v>43845</v>
      </c>
      <c r="M1248" s="116">
        <v>60.9</v>
      </c>
      <c r="N1248" s="116">
        <v>61.1</v>
      </c>
      <c r="O1248" s="116">
        <v>59.9</v>
      </c>
      <c r="P1248" s="116">
        <v>60.3</v>
      </c>
      <c r="Q1248" s="116">
        <v>60.9</v>
      </c>
      <c r="R1248">
        <v>5808570</v>
      </c>
    </row>
    <row r="1249" spans="1:18" x14ac:dyDescent="0.25">
      <c r="A1249" s="170">
        <v>43846</v>
      </c>
      <c r="B1249" s="116">
        <v>61.75</v>
      </c>
      <c r="C1249" s="116">
        <v>60.95</v>
      </c>
      <c r="D1249" s="116">
        <v>60.35</v>
      </c>
      <c r="E1249" s="116">
        <v>61.75</v>
      </c>
      <c r="F1249" s="116">
        <v>60.95</v>
      </c>
      <c r="G1249">
        <v>294320</v>
      </c>
      <c r="H1249" s="116"/>
      <c r="I1249" s="116"/>
      <c r="L1249" s="170">
        <v>43846</v>
      </c>
      <c r="M1249" s="116">
        <v>61</v>
      </c>
      <c r="N1249" s="116">
        <v>61.35</v>
      </c>
      <c r="O1249" s="116">
        <v>60.35</v>
      </c>
      <c r="P1249" s="116">
        <v>61.1</v>
      </c>
      <c r="Q1249" s="116">
        <v>61</v>
      </c>
      <c r="R1249">
        <v>14551255</v>
      </c>
    </row>
    <row r="1250" spans="1:18" x14ac:dyDescent="0.25">
      <c r="A1250" s="170">
        <v>43847</v>
      </c>
      <c r="B1250" s="116">
        <v>62.1</v>
      </c>
      <c r="C1250" s="116">
        <v>61.5</v>
      </c>
      <c r="D1250" s="116">
        <v>60.85</v>
      </c>
      <c r="E1250" s="116">
        <v>61</v>
      </c>
      <c r="F1250" s="116">
        <v>61.5</v>
      </c>
      <c r="G1250">
        <v>343882</v>
      </c>
      <c r="H1250" s="116"/>
      <c r="I1250" s="116"/>
      <c r="L1250" s="170">
        <v>43847</v>
      </c>
      <c r="M1250" s="116">
        <v>61.55</v>
      </c>
      <c r="N1250" s="116">
        <v>62.1</v>
      </c>
      <c r="O1250" s="116">
        <v>60.8</v>
      </c>
      <c r="P1250" s="116">
        <v>61.1</v>
      </c>
      <c r="Q1250" s="116">
        <v>61.55</v>
      </c>
      <c r="R1250">
        <v>6414265</v>
      </c>
    </row>
    <row r="1251" spans="1:18" x14ac:dyDescent="0.25">
      <c r="A1251" s="170">
        <v>43850</v>
      </c>
      <c r="B1251" s="116">
        <v>61.75</v>
      </c>
      <c r="C1251" s="116">
        <v>60.2</v>
      </c>
      <c r="D1251" s="116">
        <v>59.9</v>
      </c>
      <c r="E1251" s="116">
        <v>61.6</v>
      </c>
      <c r="F1251" s="116">
        <v>60.2</v>
      </c>
      <c r="G1251">
        <v>254689</v>
      </c>
      <c r="H1251" s="116"/>
      <c r="I1251" s="116"/>
      <c r="L1251" s="170">
        <v>43850</v>
      </c>
      <c r="M1251" s="116">
        <v>60.25</v>
      </c>
      <c r="N1251" s="116">
        <v>61.7</v>
      </c>
      <c r="O1251" s="116">
        <v>59.9</v>
      </c>
      <c r="P1251" s="116">
        <v>61.55</v>
      </c>
      <c r="Q1251" s="116">
        <v>60.25</v>
      </c>
      <c r="R1251">
        <v>8384043</v>
      </c>
    </row>
    <row r="1252" spans="1:18" x14ac:dyDescent="0.25">
      <c r="A1252" s="170">
        <v>43851</v>
      </c>
      <c r="B1252" s="116">
        <v>60.25</v>
      </c>
      <c r="C1252" s="116">
        <v>59.55</v>
      </c>
      <c r="D1252" s="116">
        <v>59.25</v>
      </c>
      <c r="E1252" s="116">
        <v>59.9</v>
      </c>
      <c r="F1252" s="116">
        <v>59.55</v>
      </c>
      <c r="G1252">
        <v>138200</v>
      </c>
      <c r="H1252" s="116"/>
      <c r="I1252" s="116"/>
      <c r="L1252" s="170">
        <v>43851</v>
      </c>
      <c r="M1252" s="116">
        <v>59.55</v>
      </c>
      <c r="N1252" s="116">
        <v>60.3</v>
      </c>
      <c r="O1252" s="116">
        <v>59.35</v>
      </c>
      <c r="P1252" s="116">
        <v>59.6</v>
      </c>
      <c r="Q1252" s="116">
        <v>59.55</v>
      </c>
      <c r="R1252">
        <v>6250007</v>
      </c>
    </row>
    <row r="1253" spans="1:18" x14ac:dyDescent="0.25">
      <c r="A1253" s="170">
        <v>43852</v>
      </c>
      <c r="B1253" s="116">
        <v>60.05</v>
      </c>
      <c r="C1253" s="116">
        <v>59.15</v>
      </c>
      <c r="D1253" s="116">
        <v>58.95</v>
      </c>
      <c r="E1253" s="116">
        <v>59.6</v>
      </c>
      <c r="F1253" s="116">
        <v>59.15</v>
      </c>
      <c r="G1253">
        <v>299275</v>
      </c>
      <c r="H1253" s="116"/>
      <c r="I1253" s="116"/>
      <c r="L1253" s="170">
        <v>43852</v>
      </c>
      <c r="M1253" s="116">
        <v>59.15</v>
      </c>
      <c r="N1253" s="116">
        <v>60</v>
      </c>
      <c r="O1253" s="116">
        <v>58.9</v>
      </c>
      <c r="P1253" s="116">
        <v>59.9</v>
      </c>
      <c r="Q1253" s="116">
        <v>59.15</v>
      </c>
      <c r="R1253">
        <v>8871316</v>
      </c>
    </row>
    <row r="1254" spans="1:18" x14ac:dyDescent="0.25">
      <c r="A1254" s="170">
        <v>43853</v>
      </c>
      <c r="B1254" s="116">
        <v>60.25</v>
      </c>
      <c r="C1254" s="116">
        <v>60.15</v>
      </c>
      <c r="D1254" s="116">
        <v>59.05</v>
      </c>
      <c r="E1254" s="116">
        <v>59.15</v>
      </c>
      <c r="F1254" s="116">
        <v>60.15</v>
      </c>
      <c r="G1254">
        <v>174485</v>
      </c>
      <c r="H1254" s="116"/>
      <c r="I1254" s="116"/>
      <c r="L1254" s="170">
        <v>43853</v>
      </c>
      <c r="M1254" s="116">
        <v>60.15</v>
      </c>
      <c r="N1254" s="116">
        <v>60.25</v>
      </c>
      <c r="O1254" s="116">
        <v>58.9</v>
      </c>
      <c r="P1254" s="116">
        <v>59</v>
      </c>
      <c r="Q1254" s="116">
        <v>60.15</v>
      </c>
      <c r="R1254">
        <v>8476777</v>
      </c>
    </row>
    <row r="1255" spans="1:18" x14ac:dyDescent="0.25">
      <c r="A1255" s="170">
        <v>43854</v>
      </c>
      <c r="B1255" s="116">
        <v>61.95</v>
      </c>
      <c r="C1255" s="116">
        <v>61.15</v>
      </c>
      <c r="D1255" s="116">
        <v>59.7</v>
      </c>
      <c r="E1255" s="116">
        <v>60.15</v>
      </c>
      <c r="F1255" s="116">
        <v>61.15</v>
      </c>
      <c r="G1255">
        <v>340869</v>
      </c>
      <c r="H1255" s="116"/>
      <c r="I1255" s="116"/>
      <c r="L1255" s="170">
        <v>43854</v>
      </c>
      <c r="M1255" s="116">
        <v>61.2</v>
      </c>
      <c r="N1255" s="116">
        <v>61.95</v>
      </c>
      <c r="O1255" s="116">
        <v>59.75</v>
      </c>
      <c r="P1255" s="116">
        <v>60</v>
      </c>
      <c r="Q1255" s="116">
        <v>61.2</v>
      </c>
      <c r="R1255">
        <v>6085340</v>
      </c>
    </row>
    <row r="1256" spans="1:18" x14ac:dyDescent="0.25">
      <c r="A1256" s="170">
        <v>43857</v>
      </c>
      <c r="B1256" s="116">
        <v>62</v>
      </c>
      <c r="C1256" s="116">
        <v>60.6</v>
      </c>
      <c r="D1256" s="116">
        <v>60.3</v>
      </c>
      <c r="E1256" s="116">
        <v>61.1</v>
      </c>
      <c r="F1256" s="116">
        <v>60.6</v>
      </c>
      <c r="G1256">
        <v>226866</v>
      </c>
      <c r="H1256" s="116"/>
      <c r="I1256" s="116"/>
      <c r="L1256" s="170">
        <v>43857</v>
      </c>
      <c r="M1256" s="116">
        <v>60.7</v>
      </c>
      <c r="N1256" s="116">
        <v>62</v>
      </c>
      <c r="O1256" s="116">
        <v>60.35</v>
      </c>
      <c r="P1256" s="116">
        <v>60.8</v>
      </c>
      <c r="Q1256" s="116">
        <v>60.7</v>
      </c>
      <c r="R1256">
        <v>7343803</v>
      </c>
    </row>
    <row r="1257" spans="1:18" x14ac:dyDescent="0.25">
      <c r="A1257" s="170">
        <v>43858</v>
      </c>
      <c r="B1257" s="116">
        <v>61.75</v>
      </c>
      <c r="C1257" s="116">
        <v>60.7</v>
      </c>
      <c r="D1257" s="116">
        <v>60.3</v>
      </c>
      <c r="E1257" s="116">
        <v>60.6</v>
      </c>
      <c r="F1257" s="116">
        <v>60.7</v>
      </c>
      <c r="G1257">
        <v>244084</v>
      </c>
      <c r="H1257" s="116"/>
      <c r="I1257" s="116"/>
      <c r="L1257" s="170">
        <v>43858</v>
      </c>
      <c r="M1257" s="116">
        <v>60.75</v>
      </c>
      <c r="N1257" s="116">
        <v>61.8</v>
      </c>
      <c r="O1257" s="116">
        <v>60.25</v>
      </c>
      <c r="P1257" s="116">
        <v>60.7</v>
      </c>
      <c r="Q1257" s="116">
        <v>60.75</v>
      </c>
      <c r="R1257">
        <v>7799785</v>
      </c>
    </row>
    <row r="1258" spans="1:18" x14ac:dyDescent="0.25">
      <c r="A1258" s="170">
        <v>43859</v>
      </c>
      <c r="B1258" s="116">
        <v>62</v>
      </c>
      <c r="C1258" s="116">
        <v>60.9</v>
      </c>
      <c r="D1258" s="116">
        <v>60.35</v>
      </c>
      <c r="E1258" s="116">
        <v>61</v>
      </c>
      <c r="F1258" s="116">
        <v>60.9</v>
      </c>
      <c r="G1258">
        <v>244794</v>
      </c>
      <c r="H1258" s="116"/>
      <c r="I1258" s="116"/>
      <c r="L1258" s="170">
        <v>43859</v>
      </c>
      <c r="M1258" s="116">
        <v>60.9</v>
      </c>
      <c r="N1258" s="116">
        <v>62</v>
      </c>
      <c r="O1258" s="116">
        <v>60.4</v>
      </c>
      <c r="P1258" s="116">
        <v>61.35</v>
      </c>
      <c r="Q1258" s="116">
        <v>60.9</v>
      </c>
      <c r="R1258">
        <v>5292349</v>
      </c>
    </row>
    <row r="1259" spans="1:18" x14ac:dyDescent="0.25">
      <c r="A1259" s="170">
        <v>43860</v>
      </c>
      <c r="B1259" s="116">
        <v>61.55</v>
      </c>
      <c r="C1259" s="116">
        <v>60.25</v>
      </c>
      <c r="D1259" s="116">
        <v>59.05</v>
      </c>
      <c r="E1259" s="116">
        <v>60.9</v>
      </c>
      <c r="F1259" s="116">
        <v>60.25</v>
      </c>
      <c r="G1259">
        <v>609206</v>
      </c>
      <c r="H1259" s="116"/>
      <c r="I1259" s="116"/>
      <c r="L1259" s="170">
        <v>43860</v>
      </c>
      <c r="M1259" s="116">
        <v>60.3</v>
      </c>
      <c r="N1259" s="116">
        <v>61.55</v>
      </c>
      <c r="O1259" s="116">
        <v>59</v>
      </c>
      <c r="P1259" s="116">
        <v>60.65</v>
      </c>
      <c r="Q1259" s="116">
        <v>60.3</v>
      </c>
      <c r="R1259">
        <v>15197956</v>
      </c>
    </row>
    <row r="1260" spans="1:18" x14ac:dyDescent="0.25">
      <c r="A1260" s="170">
        <v>43861</v>
      </c>
      <c r="B1260" s="116">
        <v>60.6</v>
      </c>
      <c r="C1260" s="116">
        <v>58.05</v>
      </c>
      <c r="D1260" s="116">
        <v>57.7</v>
      </c>
      <c r="E1260" s="116">
        <v>60.6</v>
      </c>
      <c r="F1260" s="116">
        <v>58.05</v>
      </c>
      <c r="G1260">
        <v>333660</v>
      </c>
      <c r="H1260" s="116"/>
      <c r="I1260" s="116"/>
      <c r="L1260" s="170">
        <v>43861</v>
      </c>
      <c r="M1260" s="116">
        <v>58.1</v>
      </c>
      <c r="N1260" s="116">
        <v>60.6</v>
      </c>
      <c r="O1260" s="116">
        <v>57.6</v>
      </c>
      <c r="P1260" s="116">
        <v>60.5</v>
      </c>
      <c r="Q1260" s="116">
        <v>58.1</v>
      </c>
      <c r="R1260">
        <v>7977888</v>
      </c>
    </row>
    <row r="1261" spans="1:18" x14ac:dyDescent="0.25">
      <c r="A1261" s="170">
        <v>43862</v>
      </c>
      <c r="B1261" s="116">
        <v>58.35</v>
      </c>
      <c r="C1261" s="116">
        <v>55.25</v>
      </c>
      <c r="D1261" s="116">
        <v>54.8</v>
      </c>
      <c r="E1261" s="116">
        <v>57.95</v>
      </c>
      <c r="F1261" s="116">
        <v>55.25</v>
      </c>
      <c r="G1261">
        <v>421530</v>
      </c>
      <c r="H1261" s="116"/>
      <c r="I1261" s="116"/>
      <c r="L1261" s="170">
        <v>43862</v>
      </c>
      <c r="M1261" s="116">
        <v>55.25</v>
      </c>
      <c r="N1261" s="116">
        <v>58.4</v>
      </c>
      <c r="O1261" s="116">
        <v>54.65</v>
      </c>
      <c r="P1261" s="116">
        <v>57.8</v>
      </c>
      <c r="Q1261" s="116">
        <v>55.25</v>
      </c>
      <c r="R1261">
        <v>7154823</v>
      </c>
    </row>
    <row r="1262" spans="1:18" x14ac:dyDescent="0.25">
      <c r="A1262" s="170">
        <v>43864</v>
      </c>
      <c r="B1262" s="116">
        <v>56.4</v>
      </c>
      <c r="C1262" s="116">
        <v>54.9</v>
      </c>
      <c r="D1262" s="116">
        <v>54.65</v>
      </c>
      <c r="E1262" s="116">
        <v>55.7</v>
      </c>
      <c r="F1262" s="116">
        <v>54.9</v>
      </c>
      <c r="G1262">
        <v>277165</v>
      </c>
      <c r="H1262" s="116"/>
      <c r="I1262" s="116"/>
      <c r="L1262" s="170">
        <v>43864</v>
      </c>
      <c r="M1262" s="116">
        <v>54.9</v>
      </c>
      <c r="N1262" s="116">
        <v>56.4</v>
      </c>
      <c r="O1262" s="116">
        <v>54.65</v>
      </c>
      <c r="P1262" s="116">
        <v>55.1</v>
      </c>
      <c r="Q1262" s="116">
        <v>54.9</v>
      </c>
      <c r="R1262">
        <v>5011428</v>
      </c>
    </row>
    <row r="1263" spans="1:18" x14ac:dyDescent="0.25">
      <c r="A1263" s="170">
        <v>43865</v>
      </c>
      <c r="B1263" s="116">
        <v>56.85</v>
      </c>
      <c r="C1263" s="116">
        <v>56.45</v>
      </c>
      <c r="D1263" s="116">
        <v>54.65</v>
      </c>
      <c r="E1263" s="116">
        <v>55.5</v>
      </c>
      <c r="F1263" s="116">
        <v>56.45</v>
      </c>
      <c r="G1263">
        <v>659412</v>
      </c>
      <c r="H1263" s="116"/>
      <c r="I1263" s="116"/>
      <c r="L1263" s="170">
        <v>43865</v>
      </c>
      <c r="M1263" s="116">
        <v>56.4</v>
      </c>
      <c r="N1263" s="116">
        <v>56.8</v>
      </c>
      <c r="O1263" s="116">
        <v>54.6</v>
      </c>
      <c r="P1263" s="116">
        <v>55.3</v>
      </c>
      <c r="Q1263" s="116">
        <v>56.4</v>
      </c>
      <c r="R1263">
        <v>8418747</v>
      </c>
    </row>
    <row r="1264" spans="1:18" x14ac:dyDescent="0.25">
      <c r="A1264" s="170">
        <v>43866</v>
      </c>
      <c r="B1264" s="116">
        <v>57.4</v>
      </c>
      <c r="C1264" s="116">
        <v>57.2</v>
      </c>
      <c r="D1264" s="116">
        <v>56.2</v>
      </c>
      <c r="E1264" s="116">
        <v>56.9</v>
      </c>
      <c r="F1264" s="116">
        <v>57.2</v>
      </c>
      <c r="G1264">
        <v>283407</v>
      </c>
      <c r="H1264" s="116"/>
      <c r="I1264" s="116"/>
      <c r="L1264" s="170">
        <v>43866</v>
      </c>
      <c r="M1264" s="116">
        <v>57.2</v>
      </c>
      <c r="N1264" s="116">
        <v>57.35</v>
      </c>
      <c r="O1264" s="116">
        <v>56.15</v>
      </c>
      <c r="P1264" s="116">
        <v>56.9</v>
      </c>
      <c r="Q1264" s="116">
        <v>57.2</v>
      </c>
      <c r="R1264">
        <v>4115182</v>
      </c>
    </row>
    <row r="1265" spans="1:18" x14ac:dyDescent="0.25">
      <c r="A1265" s="170">
        <v>43867</v>
      </c>
      <c r="B1265" s="116">
        <v>58.15</v>
      </c>
      <c r="C1265" s="116">
        <v>57.75</v>
      </c>
      <c r="D1265" s="116">
        <v>56.85</v>
      </c>
      <c r="E1265" s="116">
        <v>57.3</v>
      </c>
      <c r="F1265" s="116">
        <v>57.75</v>
      </c>
      <c r="G1265">
        <v>185821</v>
      </c>
      <c r="H1265" s="116"/>
      <c r="I1265" s="116"/>
      <c r="L1265" s="170">
        <v>43867</v>
      </c>
      <c r="M1265" s="116">
        <v>57.7</v>
      </c>
      <c r="N1265" s="116">
        <v>58.2</v>
      </c>
      <c r="O1265" s="116">
        <v>56.85</v>
      </c>
      <c r="P1265" s="116">
        <v>57.05</v>
      </c>
      <c r="Q1265" s="116">
        <v>57.7</v>
      </c>
      <c r="R1265">
        <v>3658979</v>
      </c>
    </row>
    <row r="1266" spans="1:18" x14ac:dyDescent="0.25">
      <c r="A1266" s="170">
        <v>43868</v>
      </c>
      <c r="B1266" s="116">
        <v>58.15</v>
      </c>
      <c r="C1266" s="116">
        <v>57.95</v>
      </c>
      <c r="D1266" s="116">
        <v>57.05</v>
      </c>
      <c r="E1266" s="116">
        <v>57.75</v>
      </c>
      <c r="F1266" s="116">
        <v>57.95</v>
      </c>
      <c r="G1266">
        <v>141047</v>
      </c>
      <c r="H1266" s="116"/>
      <c r="I1266" s="116"/>
      <c r="L1266" s="170">
        <v>43868</v>
      </c>
      <c r="M1266" s="116">
        <v>58</v>
      </c>
      <c r="N1266" s="116">
        <v>58.2</v>
      </c>
      <c r="O1266" s="116">
        <v>57.35</v>
      </c>
      <c r="P1266" s="116">
        <v>57.4</v>
      </c>
      <c r="Q1266" s="116">
        <v>58</v>
      </c>
      <c r="R1266">
        <v>3340932</v>
      </c>
    </row>
    <row r="1267" spans="1:18" x14ac:dyDescent="0.25">
      <c r="A1267" s="170">
        <v>43871</v>
      </c>
      <c r="B1267" s="116">
        <v>58</v>
      </c>
      <c r="C1267" s="116">
        <v>56.95</v>
      </c>
      <c r="D1267" s="116">
        <v>55.95</v>
      </c>
      <c r="E1267" s="116">
        <v>57.9</v>
      </c>
      <c r="F1267" s="116">
        <v>56.95</v>
      </c>
      <c r="G1267">
        <v>181162</v>
      </c>
      <c r="H1267" s="116"/>
      <c r="I1267" s="116"/>
      <c r="L1267" s="170">
        <v>43871</v>
      </c>
      <c r="M1267" s="116">
        <v>56.95</v>
      </c>
      <c r="N1267" s="116">
        <v>58.15</v>
      </c>
      <c r="O1267" s="116">
        <v>55.95</v>
      </c>
      <c r="P1267" s="116">
        <v>57.7</v>
      </c>
      <c r="Q1267" s="116">
        <v>56.95</v>
      </c>
      <c r="R1267">
        <v>3640927</v>
      </c>
    </row>
    <row r="1268" spans="1:18" x14ac:dyDescent="0.25">
      <c r="A1268" s="170">
        <v>43872</v>
      </c>
      <c r="B1268" s="116">
        <v>57.9</v>
      </c>
      <c r="C1268" s="116">
        <v>57.65</v>
      </c>
      <c r="D1268" s="116">
        <v>56.7</v>
      </c>
      <c r="E1268" s="116">
        <v>57.9</v>
      </c>
      <c r="F1268" s="116">
        <v>57.65</v>
      </c>
      <c r="G1268">
        <v>116068</v>
      </c>
      <c r="H1268" s="116"/>
      <c r="I1268" s="116"/>
      <c r="L1268" s="170">
        <v>43872</v>
      </c>
      <c r="M1268" s="116">
        <v>57.65</v>
      </c>
      <c r="N1268" s="116">
        <v>57.85</v>
      </c>
      <c r="O1268" s="116">
        <v>56.85</v>
      </c>
      <c r="P1268" s="116">
        <v>57</v>
      </c>
      <c r="Q1268" s="116">
        <v>57.65</v>
      </c>
      <c r="R1268">
        <v>3188511</v>
      </c>
    </row>
    <row r="1269" spans="1:18" x14ac:dyDescent="0.25">
      <c r="A1269" s="170">
        <v>43873</v>
      </c>
      <c r="B1269" s="116">
        <v>58.25</v>
      </c>
      <c r="C1269" s="116">
        <v>56</v>
      </c>
      <c r="D1269" s="116">
        <v>55.85</v>
      </c>
      <c r="E1269" s="116">
        <v>57.35</v>
      </c>
      <c r="F1269" s="116">
        <v>56</v>
      </c>
      <c r="G1269">
        <v>220317</v>
      </c>
      <c r="H1269" s="116"/>
      <c r="I1269" s="116"/>
      <c r="L1269" s="170">
        <v>43873</v>
      </c>
      <c r="M1269" s="116">
        <v>56</v>
      </c>
      <c r="N1269" s="116">
        <v>58.25</v>
      </c>
      <c r="O1269" s="116">
        <v>55.75</v>
      </c>
      <c r="P1269" s="116">
        <v>57.8</v>
      </c>
      <c r="Q1269" s="116">
        <v>56</v>
      </c>
      <c r="R1269">
        <v>4132841</v>
      </c>
    </row>
    <row r="1270" spans="1:18" x14ac:dyDescent="0.25">
      <c r="A1270" s="170">
        <v>43874</v>
      </c>
      <c r="B1270" s="116">
        <v>55.75</v>
      </c>
      <c r="C1270" s="116">
        <v>55.25</v>
      </c>
      <c r="D1270" s="116">
        <v>54.8</v>
      </c>
      <c r="E1270" s="116">
        <v>55.75</v>
      </c>
      <c r="F1270" s="116">
        <v>55.25</v>
      </c>
      <c r="G1270">
        <v>218559</v>
      </c>
      <c r="H1270" s="116"/>
      <c r="I1270" s="116"/>
      <c r="L1270" s="170">
        <v>43874</v>
      </c>
      <c r="M1270" s="116">
        <v>55.3</v>
      </c>
      <c r="N1270" s="116">
        <v>55.95</v>
      </c>
      <c r="O1270" s="116">
        <v>54.75</v>
      </c>
      <c r="P1270" s="116">
        <v>55.85</v>
      </c>
      <c r="Q1270" s="116">
        <v>55.3</v>
      </c>
      <c r="R1270">
        <v>6687073</v>
      </c>
    </row>
    <row r="1271" spans="1:18" x14ac:dyDescent="0.25">
      <c r="A1271" s="170">
        <v>43875</v>
      </c>
      <c r="B1271" s="116">
        <v>55.8</v>
      </c>
      <c r="C1271" s="116">
        <v>53.75</v>
      </c>
      <c r="D1271" s="116">
        <v>53.55</v>
      </c>
      <c r="E1271" s="116">
        <v>55.8</v>
      </c>
      <c r="F1271" s="116">
        <v>53.75</v>
      </c>
      <c r="G1271">
        <v>298379</v>
      </c>
      <c r="H1271" s="116"/>
      <c r="I1271" s="116"/>
      <c r="L1271" s="170">
        <v>43875</v>
      </c>
      <c r="M1271" s="116">
        <v>53.8</v>
      </c>
      <c r="N1271" s="116">
        <v>55.6</v>
      </c>
      <c r="O1271" s="116">
        <v>53.55</v>
      </c>
      <c r="P1271" s="116">
        <v>55.3</v>
      </c>
      <c r="Q1271" s="116">
        <v>53.8</v>
      </c>
      <c r="R1271">
        <v>7158438</v>
      </c>
    </row>
    <row r="1272" spans="1:18" x14ac:dyDescent="0.25">
      <c r="A1272" s="170">
        <v>43878</v>
      </c>
      <c r="B1272" s="116">
        <v>54.1</v>
      </c>
      <c r="C1272" s="116">
        <v>51.7</v>
      </c>
      <c r="D1272" s="116">
        <v>51.55</v>
      </c>
      <c r="E1272" s="116">
        <v>54</v>
      </c>
      <c r="F1272" s="116">
        <v>51.7</v>
      </c>
      <c r="G1272">
        <v>309986</v>
      </c>
      <c r="H1272" s="116"/>
      <c r="I1272" s="116"/>
      <c r="L1272" s="170">
        <v>43878</v>
      </c>
      <c r="M1272" s="116">
        <v>51.75</v>
      </c>
      <c r="N1272" s="116">
        <v>53.95</v>
      </c>
      <c r="O1272" s="116">
        <v>51.5</v>
      </c>
      <c r="P1272" s="116">
        <v>53.9</v>
      </c>
      <c r="Q1272" s="116">
        <v>51.75</v>
      </c>
      <c r="R1272">
        <v>5167878</v>
      </c>
    </row>
    <row r="1273" spans="1:18" x14ac:dyDescent="0.25">
      <c r="A1273" s="170">
        <v>43879</v>
      </c>
      <c r="B1273" s="116">
        <v>52.25</v>
      </c>
      <c r="C1273" s="116">
        <v>51.5</v>
      </c>
      <c r="D1273" s="116">
        <v>50.55</v>
      </c>
      <c r="E1273" s="116">
        <v>52.25</v>
      </c>
      <c r="F1273" s="116">
        <v>51.5</v>
      </c>
      <c r="G1273">
        <v>353266</v>
      </c>
      <c r="H1273" s="116"/>
      <c r="I1273" s="116"/>
      <c r="L1273" s="170">
        <v>43879</v>
      </c>
      <c r="M1273" s="116">
        <v>51.55</v>
      </c>
      <c r="N1273" s="116">
        <v>51.95</v>
      </c>
      <c r="O1273" s="116">
        <v>50.6</v>
      </c>
      <c r="P1273" s="116">
        <v>51.75</v>
      </c>
      <c r="Q1273" s="116">
        <v>51.55</v>
      </c>
      <c r="R1273">
        <v>5096324</v>
      </c>
    </row>
    <row r="1274" spans="1:18" x14ac:dyDescent="0.25">
      <c r="A1274" s="170">
        <v>43880</v>
      </c>
      <c r="B1274" s="116">
        <v>52.8</v>
      </c>
      <c r="C1274" s="116">
        <v>51.4</v>
      </c>
      <c r="D1274" s="116">
        <v>50.8</v>
      </c>
      <c r="E1274" s="116">
        <v>52.8</v>
      </c>
      <c r="F1274" s="116">
        <v>51.4</v>
      </c>
      <c r="G1274">
        <v>351169</v>
      </c>
      <c r="H1274" s="116"/>
      <c r="I1274" s="116"/>
      <c r="L1274" s="170">
        <v>43880</v>
      </c>
      <c r="M1274" s="116">
        <v>51.35</v>
      </c>
      <c r="N1274" s="116">
        <v>52.35</v>
      </c>
      <c r="O1274" s="116">
        <v>50.8</v>
      </c>
      <c r="P1274" s="116">
        <v>52</v>
      </c>
      <c r="Q1274" s="116">
        <v>51.35</v>
      </c>
      <c r="R1274">
        <v>7216081</v>
      </c>
    </row>
    <row r="1275" spans="1:18" x14ac:dyDescent="0.25">
      <c r="A1275" s="170">
        <v>43881</v>
      </c>
      <c r="B1275" s="116">
        <v>52.6</v>
      </c>
      <c r="C1275" s="116">
        <v>51.6</v>
      </c>
      <c r="D1275" s="116">
        <v>50.95</v>
      </c>
      <c r="E1275" s="116">
        <v>51.8</v>
      </c>
      <c r="F1275" s="116">
        <v>51.6</v>
      </c>
      <c r="G1275">
        <v>986973</v>
      </c>
      <c r="H1275" s="116"/>
      <c r="I1275" s="116"/>
      <c r="L1275" s="170">
        <v>43881</v>
      </c>
      <c r="M1275" s="116">
        <v>51.6</v>
      </c>
      <c r="N1275" s="116">
        <v>52.65</v>
      </c>
      <c r="O1275" s="116">
        <v>50.9</v>
      </c>
      <c r="P1275" s="116">
        <v>51.85</v>
      </c>
      <c r="Q1275" s="116">
        <v>51.6</v>
      </c>
      <c r="R1275">
        <v>22312622</v>
      </c>
    </row>
    <row r="1276" spans="1:18" x14ac:dyDescent="0.25">
      <c r="A1276" s="170">
        <v>43885</v>
      </c>
      <c r="B1276" s="116">
        <v>52.65</v>
      </c>
      <c r="C1276" s="116">
        <v>51.85</v>
      </c>
      <c r="D1276" s="116">
        <v>50.9</v>
      </c>
      <c r="E1276" s="116">
        <v>51.9</v>
      </c>
      <c r="F1276" s="116">
        <v>51.85</v>
      </c>
      <c r="G1276">
        <v>551374</v>
      </c>
      <c r="H1276" s="116"/>
      <c r="I1276" s="116"/>
      <c r="L1276" s="170">
        <v>43885</v>
      </c>
      <c r="M1276" s="116">
        <v>51.85</v>
      </c>
      <c r="N1276" s="116">
        <v>52.65</v>
      </c>
      <c r="O1276" s="116">
        <v>50.85</v>
      </c>
      <c r="P1276" s="116">
        <v>51.5</v>
      </c>
      <c r="Q1276" s="116">
        <v>51.85</v>
      </c>
      <c r="R1276">
        <v>8835835</v>
      </c>
    </row>
    <row r="1277" spans="1:18" x14ac:dyDescent="0.25">
      <c r="A1277" s="170">
        <v>43886</v>
      </c>
      <c r="B1277" s="116">
        <v>52.9</v>
      </c>
      <c r="C1277" s="116">
        <v>51.7</v>
      </c>
      <c r="D1277" s="116">
        <v>51.5</v>
      </c>
      <c r="E1277" s="116">
        <v>51.85</v>
      </c>
      <c r="F1277" s="116">
        <v>51.7</v>
      </c>
      <c r="G1277">
        <v>225007</v>
      </c>
      <c r="H1277" s="116"/>
      <c r="I1277" s="116"/>
      <c r="L1277" s="170">
        <v>43886</v>
      </c>
      <c r="M1277" s="116">
        <v>51.7</v>
      </c>
      <c r="N1277" s="116">
        <v>52.95</v>
      </c>
      <c r="O1277" s="116">
        <v>51.55</v>
      </c>
      <c r="P1277" s="116">
        <v>52.15</v>
      </c>
      <c r="Q1277" s="116">
        <v>51.7</v>
      </c>
      <c r="R1277">
        <v>7099808</v>
      </c>
    </row>
    <row r="1278" spans="1:18" x14ac:dyDescent="0.25">
      <c r="A1278" s="170">
        <v>43887</v>
      </c>
      <c r="B1278" s="116">
        <v>51.3</v>
      </c>
      <c r="C1278" s="116">
        <v>49.3</v>
      </c>
      <c r="D1278" s="116">
        <v>48.85</v>
      </c>
      <c r="E1278" s="116">
        <v>51.3</v>
      </c>
      <c r="F1278" s="116">
        <v>49.3</v>
      </c>
      <c r="G1278">
        <v>703930</v>
      </c>
      <c r="H1278" s="116"/>
      <c r="I1278" s="116"/>
      <c r="L1278" s="170">
        <v>43887</v>
      </c>
      <c r="M1278" s="116">
        <v>49.35</v>
      </c>
      <c r="N1278" s="116">
        <v>51.15</v>
      </c>
      <c r="O1278" s="116">
        <v>48.8</v>
      </c>
      <c r="P1278" s="116">
        <v>51.1</v>
      </c>
      <c r="Q1278" s="116">
        <v>49.35</v>
      </c>
      <c r="R1278">
        <v>22209900</v>
      </c>
    </row>
    <row r="1279" spans="1:18" x14ac:dyDescent="0.25">
      <c r="A1279" s="170">
        <v>43888</v>
      </c>
      <c r="B1279" s="116">
        <v>49.8</v>
      </c>
      <c r="C1279" s="116">
        <v>49.35</v>
      </c>
      <c r="D1279" s="116">
        <v>47.5</v>
      </c>
      <c r="E1279" s="116">
        <v>49.25</v>
      </c>
      <c r="F1279" s="116">
        <v>49.35</v>
      </c>
      <c r="G1279">
        <v>685102</v>
      </c>
      <c r="H1279" s="116"/>
      <c r="I1279" s="116"/>
      <c r="L1279" s="170">
        <v>43888</v>
      </c>
      <c r="M1279" s="116">
        <v>49.3</v>
      </c>
      <c r="N1279" s="116">
        <v>49.65</v>
      </c>
      <c r="O1279" s="116">
        <v>47.5</v>
      </c>
      <c r="P1279" s="116">
        <v>49.45</v>
      </c>
      <c r="Q1279" s="116">
        <v>49.3</v>
      </c>
      <c r="R1279">
        <v>18385687</v>
      </c>
    </row>
    <row r="1280" spans="1:18" x14ac:dyDescent="0.25">
      <c r="A1280" s="170">
        <v>43889</v>
      </c>
      <c r="B1280" s="116">
        <v>48.55</v>
      </c>
      <c r="C1280" s="116">
        <v>46.65</v>
      </c>
      <c r="D1280" s="116">
        <v>46.1</v>
      </c>
      <c r="E1280" s="116">
        <v>48</v>
      </c>
      <c r="F1280" s="116">
        <v>46.65</v>
      </c>
      <c r="G1280">
        <v>1659435</v>
      </c>
      <c r="H1280" s="116"/>
      <c r="I1280" s="116"/>
      <c r="L1280" s="170">
        <v>43889</v>
      </c>
      <c r="M1280" s="116">
        <v>46.7</v>
      </c>
      <c r="N1280" s="116">
        <v>48.55</v>
      </c>
      <c r="O1280" s="116">
        <v>46.05</v>
      </c>
      <c r="P1280" s="116">
        <v>47.7</v>
      </c>
      <c r="Q1280" s="116">
        <v>46.7</v>
      </c>
      <c r="R1280">
        <v>24044762</v>
      </c>
    </row>
    <row r="1281" spans="1:18" x14ac:dyDescent="0.25">
      <c r="A1281" s="170">
        <v>43892</v>
      </c>
      <c r="B1281" s="116">
        <v>47.8</v>
      </c>
      <c r="C1281" s="116">
        <v>43.65</v>
      </c>
      <c r="D1281" s="116">
        <v>43.3</v>
      </c>
      <c r="E1281" s="116">
        <v>47</v>
      </c>
      <c r="F1281" s="116">
        <v>43.65</v>
      </c>
      <c r="G1281">
        <v>1535801</v>
      </c>
      <c r="H1281" s="116"/>
      <c r="I1281" s="116"/>
      <c r="L1281" s="170">
        <v>43892</v>
      </c>
      <c r="M1281" s="116">
        <v>43.8</v>
      </c>
      <c r="N1281" s="116">
        <v>47.8</v>
      </c>
      <c r="O1281" s="116">
        <v>43.25</v>
      </c>
      <c r="P1281" s="116">
        <v>47.1</v>
      </c>
      <c r="Q1281" s="116">
        <v>43.8</v>
      </c>
      <c r="R1281">
        <v>17866454</v>
      </c>
    </row>
    <row r="1282" spans="1:18" x14ac:dyDescent="0.25">
      <c r="A1282" s="170">
        <v>43893</v>
      </c>
      <c r="B1282" s="116">
        <v>44.8</v>
      </c>
      <c r="C1282" s="116">
        <v>44.45</v>
      </c>
      <c r="D1282" s="116">
        <v>43.45</v>
      </c>
      <c r="E1282" s="116">
        <v>44.8</v>
      </c>
      <c r="F1282" s="116">
        <v>44.45</v>
      </c>
      <c r="G1282">
        <v>406535</v>
      </c>
      <c r="H1282" s="116"/>
      <c r="I1282" s="116"/>
      <c r="L1282" s="170">
        <v>43893</v>
      </c>
      <c r="M1282" s="116">
        <v>44.4</v>
      </c>
      <c r="N1282" s="116">
        <v>45.05</v>
      </c>
      <c r="O1282" s="116">
        <v>43.4</v>
      </c>
      <c r="P1282" s="116">
        <v>44.35</v>
      </c>
      <c r="Q1282" s="116">
        <v>44.4</v>
      </c>
      <c r="R1282">
        <v>11775256</v>
      </c>
    </row>
    <row r="1283" spans="1:18" x14ac:dyDescent="0.25">
      <c r="A1283" s="170">
        <v>43894</v>
      </c>
      <c r="B1283" s="116">
        <v>45.2</v>
      </c>
      <c r="C1283" s="116">
        <v>44.65</v>
      </c>
      <c r="D1283" s="116">
        <v>43.4</v>
      </c>
      <c r="E1283" s="116">
        <v>44.45</v>
      </c>
      <c r="F1283" s="116">
        <v>44.65</v>
      </c>
      <c r="G1283">
        <v>331503</v>
      </c>
      <c r="H1283" s="116"/>
      <c r="I1283" s="116"/>
      <c r="L1283" s="170">
        <v>43894</v>
      </c>
      <c r="M1283" s="116">
        <v>44.75</v>
      </c>
      <c r="N1283" s="116">
        <v>45.25</v>
      </c>
      <c r="O1283" s="116">
        <v>43.35</v>
      </c>
      <c r="P1283" s="116">
        <v>44.05</v>
      </c>
      <c r="Q1283" s="116">
        <v>44.75</v>
      </c>
      <c r="R1283">
        <v>8268039</v>
      </c>
    </row>
    <row r="1284" spans="1:18" x14ac:dyDescent="0.25">
      <c r="A1284" s="170">
        <v>43895</v>
      </c>
      <c r="B1284" s="116">
        <v>45.8</v>
      </c>
      <c r="C1284" s="116">
        <v>44.25</v>
      </c>
      <c r="D1284" s="116">
        <v>43.9</v>
      </c>
      <c r="E1284" s="116">
        <v>44.3</v>
      </c>
      <c r="F1284" s="116">
        <v>44.25</v>
      </c>
      <c r="G1284">
        <v>741854</v>
      </c>
      <c r="H1284" s="116"/>
      <c r="I1284" s="116"/>
      <c r="L1284" s="170">
        <v>43895</v>
      </c>
      <c r="M1284" s="116">
        <v>44.25</v>
      </c>
      <c r="N1284" s="116">
        <v>45.8</v>
      </c>
      <c r="O1284" s="116">
        <v>43.9</v>
      </c>
      <c r="P1284" s="116">
        <v>44.45</v>
      </c>
      <c r="Q1284" s="116">
        <v>44.25</v>
      </c>
      <c r="R1284">
        <v>11568670</v>
      </c>
    </row>
    <row r="1285" spans="1:18" x14ac:dyDescent="0.25">
      <c r="A1285" s="170">
        <v>43896</v>
      </c>
      <c r="B1285" s="116">
        <v>44.15</v>
      </c>
      <c r="C1285" s="116">
        <v>43.05</v>
      </c>
      <c r="D1285" s="116">
        <v>41.55</v>
      </c>
      <c r="E1285" s="116">
        <v>43</v>
      </c>
      <c r="F1285" s="116">
        <v>43.05</v>
      </c>
      <c r="G1285">
        <v>414019</v>
      </c>
      <c r="H1285" s="116"/>
      <c r="I1285" s="116"/>
      <c r="L1285" s="170">
        <v>43896</v>
      </c>
      <c r="M1285" s="116">
        <v>43.05</v>
      </c>
      <c r="N1285" s="116">
        <v>44.15</v>
      </c>
      <c r="O1285" s="116">
        <v>41.45</v>
      </c>
      <c r="P1285" s="116">
        <v>43.3</v>
      </c>
      <c r="Q1285" s="116">
        <v>43.05</v>
      </c>
      <c r="R1285">
        <v>8034080</v>
      </c>
    </row>
    <row r="1286" spans="1:18" x14ac:dyDescent="0.25">
      <c r="A1286" s="170">
        <v>43899</v>
      </c>
      <c r="B1286" s="116">
        <v>43</v>
      </c>
      <c r="C1286" s="116">
        <v>39.65</v>
      </c>
      <c r="D1286" s="116">
        <v>38.450000000000003</v>
      </c>
      <c r="E1286" s="116">
        <v>43</v>
      </c>
      <c r="F1286" s="116">
        <v>39.65</v>
      </c>
      <c r="G1286">
        <v>653071</v>
      </c>
      <c r="H1286" s="116"/>
      <c r="I1286" s="116"/>
      <c r="L1286" s="170">
        <v>43899</v>
      </c>
      <c r="M1286" s="116">
        <v>39.75</v>
      </c>
      <c r="N1286" s="116">
        <v>42.25</v>
      </c>
      <c r="O1286" s="116">
        <v>38.4</v>
      </c>
      <c r="P1286" s="116">
        <v>42.05</v>
      </c>
      <c r="Q1286" s="116">
        <v>39.75</v>
      </c>
      <c r="R1286">
        <v>12060078</v>
      </c>
    </row>
    <row r="1287" spans="1:18" x14ac:dyDescent="0.25">
      <c r="A1287" s="170">
        <v>43901</v>
      </c>
      <c r="B1287" s="116">
        <v>40.1</v>
      </c>
      <c r="C1287" s="116">
        <v>37.950000000000003</v>
      </c>
      <c r="D1287" s="116">
        <v>37.75</v>
      </c>
      <c r="E1287" s="116">
        <v>39.5</v>
      </c>
      <c r="F1287" s="116">
        <v>37.950000000000003</v>
      </c>
      <c r="G1287">
        <v>601913</v>
      </c>
      <c r="H1287" s="116"/>
      <c r="I1287" s="116"/>
      <c r="L1287" s="170">
        <v>43901</v>
      </c>
      <c r="M1287" s="116">
        <v>37.9</v>
      </c>
      <c r="N1287" s="116">
        <v>40.049999999999997</v>
      </c>
      <c r="O1287" s="116">
        <v>37.799999999999997</v>
      </c>
      <c r="P1287" s="116">
        <v>39.4</v>
      </c>
      <c r="Q1287" s="116">
        <v>37.9</v>
      </c>
      <c r="R1287">
        <v>13031474</v>
      </c>
    </row>
    <row r="1288" spans="1:18" x14ac:dyDescent="0.25">
      <c r="A1288" s="170">
        <v>43902</v>
      </c>
      <c r="B1288" s="116">
        <v>41.2</v>
      </c>
      <c r="C1288" s="116">
        <v>40.5</v>
      </c>
      <c r="D1288" s="116">
        <v>34</v>
      </c>
      <c r="E1288" s="116">
        <v>36.450000000000003</v>
      </c>
      <c r="F1288" s="116">
        <v>40.5</v>
      </c>
      <c r="G1288">
        <v>2151719</v>
      </c>
      <c r="H1288" s="116"/>
      <c r="I1288" s="116"/>
      <c r="L1288" s="170">
        <v>43902</v>
      </c>
      <c r="M1288" s="116">
        <v>40.35</v>
      </c>
      <c r="N1288" s="116">
        <v>41.35</v>
      </c>
      <c r="O1288" s="116">
        <v>33.85</v>
      </c>
      <c r="P1288" s="116">
        <v>36</v>
      </c>
      <c r="Q1288" s="116">
        <v>40.35</v>
      </c>
      <c r="R1288">
        <v>41975166</v>
      </c>
    </row>
    <row r="1289" spans="1:18" x14ac:dyDescent="0.25">
      <c r="A1289" s="170">
        <v>43903</v>
      </c>
      <c r="B1289" s="116">
        <v>42.85</v>
      </c>
      <c r="C1289" s="116">
        <v>42.15</v>
      </c>
      <c r="D1289" s="116">
        <v>36.450000000000003</v>
      </c>
      <c r="E1289" s="116">
        <v>39</v>
      </c>
      <c r="F1289" s="116">
        <v>42.15</v>
      </c>
      <c r="G1289">
        <v>2871997</v>
      </c>
      <c r="H1289" s="116"/>
      <c r="I1289" s="116"/>
      <c r="L1289" s="170">
        <v>43903</v>
      </c>
      <c r="M1289" s="116">
        <v>42.15</v>
      </c>
      <c r="N1289" s="116">
        <v>42.8</v>
      </c>
      <c r="O1289" s="116">
        <v>34.6</v>
      </c>
      <c r="P1289" s="116">
        <v>37.9</v>
      </c>
      <c r="Q1289" s="116">
        <v>42.15</v>
      </c>
      <c r="R1289">
        <v>36149619</v>
      </c>
    </row>
    <row r="1290" spans="1:18" x14ac:dyDescent="0.25">
      <c r="A1290" s="170">
        <v>43906</v>
      </c>
      <c r="B1290" s="116">
        <v>41.9</v>
      </c>
      <c r="C1290" s="116">
        <v>40.4</v>
      </c>
      <c r="D1290" s="116">
        <v>39.799999999999997</v>
      </c>
      <c r="E1290" s="116">
        <v>41.9</v>
      </c>
      <c r="F1290" s="116">
        <v>40.4</v>
      </c>
      <c r="G1290">
        <v>342027</v>
      </c>
      <c r="H1290" s="116"/>
      <c r="I1290" s="116"/>
      <c r="L1290" s="170">
        <v>43906</v>
      </c>
      <c r="M1290" s="116">
        <v>40.450000000000003</v>
      </c>
      <c r="N1290" s="116">
        <v>41.45</v>
      </c>
      <c r="O1290" s="116">
        <v>39.65</v>
      </c>
      <c r="P1290" s="116">
        <v>40.799999999999997</v>
      </c>
      <c r="Q1290" s="116">
        <v>40.450000000000003</v>
      </c>
      <c r="R1290">
        <v>11112173</v>
      </c>
    </row>
    <row r="1291" spans="1:18" x14ac:dyDescent="0.25">
      <c r="A1291" s="170">
        <v>43907</v>
      </c>
      <c r="B1291" s="116">
        <v>42.4</v>
      </c>
      <c r="C1291" s="116">
        <v>38.950000000000003</v>
      </c>
      <c r="D1291" s="116">
        <v>38.549999999999997</v>
      </c>
      <c r="E1291" s="116">
        <v>41</v>
      </c>
      <c r="F1291" s="116">
        <v>38.950000000000003</v>
      </c>
      <c r="G1291">
        <v>499513</v>
      </c>
      <c r="H1291" s="116"/>
      <c r="I1291" s="116"/>
      <c r="L1291" s="170">
        <v>43907</v>
      </c>
      <c r="M1291" s="116">
        <v>38.950000000000003</v>
      </c>
      <c r="N1291" s="116">
        <v>42.55</v>
      </c>
      <c r="O1291" s="116">
        <v>38.5</v>
      </c>
      <c r="P1291" s="116">
        <v>40.450000000000003</v>
      </c>
      <c r="Q1291" s="116">
        <v>38.950000000000003</v>
      </c>
      <c r="R1291">
        <v>9356850</v>
      </c>
    </row>
    <row r="1292" spans="1:18" x14ac:dyDescent="0.25">
      <c r="A1292" s="170">
        <v>43908</v>
      </c>
      <c r="B1292" s="116">
        <v>40</v>
      </c>
      <c r="C1292" s="116">
        <v>35.200000000000003</v>
      </c>
      <c r="D1292" s="116">
        <v>34.799999999999997</v>
      </c>
      <c r="E1292" s="116">
        <v>39.75</v>
      </c>
      <c r="F1292" s="116">
        <v>35.200000000000003</v>
      </c>
      <c r="G1292">
        <v>1444699</v>
      </c>
      <c r="H1292" s="116"/>
      <c r="I1292" s="116"/>
      <c r="L1292" s="170">
        <v>43908</v>
      </c>
      <c r="M1292" s="116">
        <v>35.1</v>
      </c>
      <c r="N1292" s="116">
        <v>39.950000000000003</v>
      </c>
      <c r="O1292" s="116">
        <v>34.700000000000003</v>
      </c>
      <c r="P1292" s="116">
        <v>39.549999999999997</v>
      </c>
      <c r="Q1292" s="116">
        <v>35.1</v>
      </c>
      <c r="R1292">
        <v>12715433</v>
      </c>
    </row>
    <row r="1293" spans="1:18" x14ac:dyDescent="0.25">
      <c r="A1293" s="170">
        <v>43909</v>
      </c>
      <c r="B1293" s="116">
        <v>36.700000000000003</v>
      </c>
      <c r="C1293" s="116">
        <v>34.200000000000003</v>
      </c>
      <c r="D1293" s="116">
        <v>32.700000000000003</v>
      </c>
      <c r="E1293" s="116">
        <v>34.4</v>
      </c>
      <c r="F1293" s="116">
        <v>34.200000000000003</v>
      </c>
      <c r="G1293">
        <v>1036922</v>
      </c>
      <c r="H1293" s="116"/>
      <c r="I1293" s="116"/>
      <c r="L1293" s="170">
        <v>43909</v>
      </c>
      <c r="M1293" s="116">
        <v>34.200000000000003</v>
      </c>
      <c r="N1293" s="116">
        <v>36.700000000000003</v>
      </c>
      <c r="O1293" s="116">
        <v>32.75</v>
      </c>
      <c r="P1293" s="116">
        <v>33.200000000000003</v>
      </c>
      <c r="Q1293" s="116">
        <v>34.200000000000003</v>
      </c>
      <c r="R1293">
        <v>11398319</v>
      </c>
    </row>
    <row r="1294" spans="1:18" x14ac:dyDescent="0.25">
      <c r="A1294" s="170">
        <v>43910</v>
      </c>
      <c r="B1294" s="116">
        <v>37.5</v>
      </c>
      <c r="C1294" s="116">
        <v>36.799999999999997</v>
      </c>
      <c r="D1294" s="116">
        <v>34.1</v>
      </c>
      <c r="E1294" s="116">
        <v>34.549999999999997</v>
      </c>
      <c r="F1294" s="116">
        <v>36.799999999999997</v>
      </c>
      <c r="G1294">
        <v>620653</v>
      </c>
      <c r="H1294" s="116"/>
      <c r="I1294" s="116"/>
      <c r="L1294" s="170">
        <v>43910</v>
      </c>
      <c r="M1294" s="116">
        <v>36.700000000000003</v>
      </c>
      <c r="N1294" s="116">
        <v>37.5</v>
      </c>
      <c r="O1294" s="116">
        <v>34</v>
      </c>
      <c r="P1294" s="116">
        <v>34.35</v>
      </c>
      <c r="Q1294" s="116">
        <v>36.700000000000003</v>
      </c>
      <c r="R1294">
        <v>12777728</v>
      </c>
    </row>
    <row r="1295" spans="1:18" x14ac:dyDescent="0.25">
      <c r="A1295" s="170">
        <v>43913</v>
      </c>
      <c r="B1295" s="116">
        <v>34.700000000000003</v>
      </c>
      <c r="C1295" s="116">
        <v>32.950000000000003</v>
      </c>
      <c r="D1295" s="116">
        <v>31.45</v>
      </c>
      <c r="E1295" s="116">
        <v>34.5</v>
      </c>
      <c r="F1295" s="116">
        <v>32.950000000000003</v>
      </c>
      <c r="G1295">
        <v>422207</v>
      </c>
      <c r="H1295" s="116"/>
      <c r="I1295" s="116"/>
      <c r="L1295" s="170">
        <v>43913</v>
      </c>
      <c r="M1295" s="116">
        <v>32.9</v>
      </c>
      <c r="N1295" s="116">
        <v>35</v>
      </c>
      <c r="O1295" s="116">
        <v>31.2</v>
      </c>
      <c r="P1295" s="116">
        <v>34.35</v>
      </c>
      <c r="Q1295" s="116">
        <v>32.9</v>
      </c>
      <c r="R1295">
        <v>7632572</v>
      </c>
    </row>
    <row r="1296" spans="1:18" x14ac:dyDescent="0.25">
      <c r="A1296" s="170">
        <v>43914</v>
      </c>
      <c r="B1296" s="116">
        <v>34.950000000000003</v>
      </c>
      <c r="C1296" s="116">
        <v>34.450000000000003</v>
      </c>
      <c r="D1296" s="116">
        <v>31.3</v>
      </c>
      <c r="E1296" s="116">
        <v>32.75</v>
      </c>
      <c r="F1296" s="116">
        <v>34.450000000000003</v>
      </c>
      <c r="G1296">
        <v>507401</v>
      </c>
      <c r="H1296" s="116"/>
      <c r="I1296" s="116"/>
      <c r="L1296" s="170">
        <v>43914</v>
      </c>
      <c r="M1296" s="116">
        <v>34.4</v>
      </c>
      <c r="N1296" s="116">
        <v>34.950000000000003</v>
      </c>
      <c r="O1296" s="116">
        <v>31.2</v>
      </c>
      <c r="P1296" s="116">
        <v>33.15</v>
      </c>
      <c r="Q1296" s="116">
        <v>34.4</v>
      </c>
      <c r="R1296">
        <v>11652363</v>
      </c>
    </row>
    <row r="1297" spans="1:18" x14ac:dyDescent="0.25">
      <c r="A1297" s="170">
        <v>43915</v>
      </c>
      <c r="B1297" s="116">
        <v>35.65</v>
      </c>
      <c r="C1297" s="116">
        <v>35</v>
      </c>
      <c r="D1297" s="116">
        <v>34</v>
      </c>
      <c r="E1297" s="116">
        <v>34.15</v>
      </c>
      <c r="F1297" s="116">
        <v>35</v>
      </c>
      <c r="G1297">
        <v>316761</v>
      </c>
      <c r="H1297" s="116"/>
      <c r="I1297" s="116"/>
      <c r="L1297" s="170">
        <v>43915</v>
      </c>
      <c r="M1297" s="116">
        <v>35</v>
      </c>
      <c r="N1297" s="116">
        <v>35.65</v>
      </c>
      <c r="O1297" s="116">
        <v>34</v>
      </c>
      <c r="P1297" s="116">
        <v>34.299999999999997</v>
      </c>
      <c r="Q1297" s="116">
        <v>35</v>
      </c>
      <c r="R1297">
        <v>5874352</v>
      </c>
    </row>
    <row r="1298" spans="1:18" x14ac:dyDescent="0.25">
      <c r="A1298" s="170">
        <v>43916</v>
      </c>
      <c r="B1298" s="116">
        <v>35.75</v>
      </c>
      <c r="C1298" s="116">
        <v>35.25</v>
      </c>
      <c r="D1298" s="116">
        <v>33.5</v>
      </c>
      <c r="E1298" s="116">
        <v>35</v>
      </c>
      <c r="F1298" s="116">
        <v>35.25</v>
      </c>
      <c r="G1298">
        <v>501817</v>
      </c>
      <c r="H1298" s="116"/>
      <c r="I1298" s="116"/>
      <c r="L1298" s="170">
        <v>43916</v>
      </c>
      <c r="M1298" s="116">
        <v>35.200000000000003</v>
      </c>
      <c r="N1298" s="116">
        <v>35.75</v>
      </c>
      <c r="O1298" s="116">
        <v>33.450000000000003</v>
      </c>
      <c r="P1298" s="116">
        <v>35.35</v>
      </c>
      <c r="Q1298" s="116">
        <v>35.200000000000003</v>
      </c>
      <c r="R1298">
        <v>11152318</v>
      </c>
    </row>
    <row r="1299" spans="1:18" x14ac:dyDescent="0.25">
      <c r="A1299" s="170">
        <v>43917</v>
      </c>
      <c r="B1299" s="116">
        <v>36.9</v>
      </c>
      <c r="C1299" s="116">
        <v>33.950000000000003</v>
      </c>
      <c r="D1299" s="116">
        <v>33.25</v>
      </c>
      <c r="E1299" s="116">
        <v>35.950000000000003</v>
      </c>
      <c r="F1299" s="116">
        <v>33.950000000000003</v>
      </c>
      <c r="G1299">
        <v>531375</v>
      </c>
      <c r="H1299" s="116"/>
      <c r="I1299" s="116"/>
      <c r="L1299" s="170">
        <v>43917</v>
      </c>
      <c r="M1299" s="116">
        <v>33.950000000000003</v>
      </c>
      <c r="N1299" s="116">
        <v>36.85</v>
      </c>
      <c r="O1299" s="116">
        <v>33.25</v>
      </c>
      <c r="P1299" s="116">
        <v>35.85</v>
      </c>
      <c r="Q1299" s="116">
        <v>33.950000000000003</v>
      </c>
      <c r="R1299">
        <v>9984777</v>
      </c>
    </row>
    <row r="1300" spans="1:18" x14ac:dyDescent="0.25">
      <c r="A1300" s="170">
        <v>43920</v>
      </c>
      <c r="B1300" s="116">
        <v>34.35</v>
      </c>
      <c r="C1300" s="116">
        <v>32.35</v>
      </c>
      <c r="D1300" s="116">
        <v>32.049999999999997</v>
      </c>
      <c r="E1300" s="116">
        <v>34.200000000000003</v>
      </c>
      <c r="F1300" s="116">
        <v>32.35</v>
      </c>
      <c r="G1300">
        <v>359200</v>
      </c>
      <c r="H1300" s="116"/>
      <c r="I1300" s="116"/>
      <c r="L1300" s="170">
        <v>43920</v>
      </c>
      <c r="M1300" s="116">
        <v>32.299999999999997</v>
      </c>
      <c r="N1300" s="116">
        <v>33.950000000000003</v>
      </c>
      <c r="O1300" s="116">
        <v>32.049999999999997</v>
      </c>
      <c r="P1300" s="116">
        <v>33.950000000000003</v>
      </c>
      <c r="Q1300" s="116">
        <v>32.299999999999997</v>
      </c>
      <c r="R1300">
        <v>9090303</v>
      </c>
    </row>
    <row r="1301" spans="1:18" x14ac:dyDescent="0.25">
      <c r="A1301" s="170">
        <v>43921</v>
      </c>
      <c r="B1301" s="116">
        <v>34</v>
      </c>
      <c r="C1301" s="116">
        <v>32.85</v>
      </c>
      <c r="D1301" s="116">
        <v>32.5</v>
      </c>
      <c r="E1301" s="116">
        <v>34</v>
      </c>
      <c r="F1301" s="116">
        <v>32.85</v>
      </c>
      <c r="G1301">
        <v>283665</v>
      </c>
      <c r="H1301" s="116"/>
      <c r="I1301" s="116"/>
      <c r="L1301" s="170">
        <v>43921</v>
      </c>
      <c r="M1301" s="116">
        <v>32.85</v>
      </c>
      <c r="N1301" s="116">
        <v>33.6</v>
      </c>
      <c r="O1301" s="116">
        <v>32.450000000000003</v>
      </c>
      <c r="P1301" s="116">
        <v>32.799999999999997</v>
      </c>
      <c r="Q1301" s="116">
        <v>32.85</v>
      </c>
      <c r="R1301">
        <v>7034291</v>
      </c>
    </row>
    <row r="1302" spans="1:18" x14ac:dyDescent="0.25">
      <c r="A1302" s="170">
        <v>43922</v>
      </c>
      <c r="B1302" s="116">
        <v>32.799999999999997</v>
      </c>
      <c r="C1302" s="116">
        <v>31.55</v>
      </c>
      <c r="D1302" s="116">
        <v>31.4</v>
      </c>
      <c r="E1302" s="116">
        <v>32.75</v>
      </c>
      <c r="F1302" s="116">
        <v>31.55</v>
      </c>
      <c r="G1302">
        <v>239511</v>
      </c>
      <c r="H1302" s="116"/>
      <c r="I1302" s="116"/>
      <c r="L1302" s="170">
        <v>43922</v>
      </c>
      <c r="M1302" s="116">
        <v>31.55</v>
      </c>
      <c r="N1302" s="116">
        <v>32.799999999999997</v>
      </c>
      <c r="O1302" s="116">
        <v>31.35</v>
      </c>
      <c r="P1302" s="116">
        <v>32.299999999999997</v>
      </c>
      <c r="Q1302" s="116">
        <v>31.55</v>
      </c>
      <c r="R1302">
        <v>5645202</v>
      </c>
    </row>
    <row r="1303" spans="1:18" x14ac:dyDescent="0.25">
      <c r="A1303" s="170">
        <v>43924</v>
      </c>
      <c r="B1303" s="116">
        <v>32</v>
      </c>
      <c r="C1303" s="116">
        <v>30.2</v>
      </c>
      <c r="D1303" s="116">
        <v>30</v>
      </c>
      <c r="E1303" s="116">
        <v>32</v>
      </c>
      <c r="F1303" s="116">
        <v>30.2</v>
      </c>
      <c r="G1303">
        <v>390027</v>
      </c>
      <c r="H1303" s="116"/>
      <c r="I1303" s="116"/>
      <c r="L1303" s="170">
        <v>43924</v>
      </c>
      <c r="M1303" s="116">
        <v>30.15</v>
      </c>
      <c r="N1303" s="116">
        <v>31.9</v>
      </c>
      <c r="O1303" s="116">
        <v>29.95</v>
      </c>
      <c r="P1303" s="116">
        <v>31.75</v>
      </c>
      <c r="Q1303" s="116">
        <v>30.15</v>
      </c>
      <c r="R1303">
        <v>10639666</v>
      </c>
    </row>
    <row r="1304" spans="1:18" x14ac:dyDescent="0.25">
      <c r="A1304" s="170">
        <v>43928</v>
      </c>
      <c r="B1304" s="116">
        <v>34.35</v>
      </c>
      <c r="C1304" s="116">
        <v>33.65</v>
      </c>
      <c r="D1304" s="116">
        <v>30.8</v>
      </c>
      <c r="E1304" s="116">
        <v>31.1</v>
      </c>
      <c r="F1304" s="116">
        <v>33.65</v>
      </c>
      <c r="G1304">
        <v>878282</v>
      </c>
      <c r="H1304" s="116"/>
      <c r="I1304" s="116"/>
      <c r="L1304" s="170">
        <v>43928</v>
      </c>
      <c r="M1304" s="116">
        <v>33.65</v>
      </c>
      <c r="N1304" s="116">
        <v>34.299999999999997</v>
      </c>
      <c r="O1304" s="116">
        <v>30.8</v>
      </c>
      <c r="P1304" s="116">
        <v>31.8</v>
      </c>
      <c r="Q1304" s="116">
        <v>33.65</v>
      </c>
      <c r="R1304">
        <v>12216411</v>
      </c>
    </row>
    <row r="1305" spans="1:18" x14ac:dyDescent="0.25">
      <c r="A1305" s="170">
        <v>43929</v>
      </c>
      <c r="B1305" s="116">
        <v>36.4</v>
      </c>
      <c r="C1305" s="116">
        <v>35.65</v>
      </c>
      <c r="D1305" s="116">
        <v>32.950000000000003</v>
      </c>
      <c r="E1305" s="116">
        <v>34.9</v>
      </c>
      <c r="F1305" s="116">
        <v>35.65</v>
      </c>
      <c r="G1305">
        <v>683057</v>
      </c>
      <c r="H1305" s="116"/>
      <c r="I1305" s="116"/>
      <c r="L1305" s="170">
        <v>43929</v>
      </c>
      <c r="M1305" s="116">
        <v>35.65</v>
      </c>
      <c r="N1305" s="116">
        <v>36.450000000000003</v>
      </c>
      <c r="O1305" s="116">
        <v>32.950000000000003</v>
      </c>
      <c r="P1305" s="116">
        <v>33.65</v>
      </c>
      <c r="Q1305" s="116">
        <v>35.65</v>
      </c>
      <c r="R1305">
        <v>13337228</v>
      </c>
    </row>
    <row r="1306" spans="1:18" x14ac:dyDescent="0.25">
      <c r="A1306" s="170">
        <v>43930</v>
      </c>
      <c r="B1306" s="116">
        <v>36.799999999999997</v>
      </c>
      <c r="C1306" s="116">
        <v>36.5</v>
      </c>
      <c r="D1306" s="116">
        <v>35.65</v>
      </c>
      <c r="E1306" s="116">
        <v>36</v>
      </c>
      <c r="F1306" s="116">
        <v>36.5</v>
      </c>
      <c r="G1306">
        <v>331164</v>
      </c>
      <c r="H1306" s="116"/>
      <c r="I1306" s="116"/>
      <c r="L1306" s="170">
        <v>43930</v>
      </c>
      <c r="M1306" s="116">
        <v>36.5</v>
      </c>
      <c r="N1306" s="116">
        <v>37</v>
      </c>
      <c r="O1306" s="116">
        <v>35.6</v>
      </c>
      <c r="P1306" s="116">
        <v>36.299999999999997</v>
      </c>
      <c r="Q1306" s="116">
        <v>36.5</v>
      </c>
      <c r="R1306">
        <v>6744006</v>
      </c>
    </row>
    <row r="1307" spans="1:18" x14ac:dyDescent="0.25">
      <c r="A1307" s="170">
        <v>43934</v>
      </c>
      <c r="B1307" s="116">
        <v>36.9</v>
      </c>
      <c r="C1307" s="116">
        <v>35.9</v>
      </c>
      <c r="D1307" s="116">
        <v>35</v>
      </c>
      <c r="E1307" s="116">
        <v>36.549999999999997</v>
      </c>
      <c r="F1307" s="116">
        <v>35.9</v>
      </c>
      <c r="G1307">
        <v>321624</v>
      </c>
      <c r="H1307" s="116"/>
      <c r="I1307" s="116"/>
      <c r="L1307" s="170">
        <v>43934</v>
      </c>
      <c r="M1307" s="116">
        <v>35.9</v>
      </c>
      <c r="N1307" s="116">
        <v>36.9</v>
      </c>
      <c r="O1307" s="116">
        <v>35</v>
      </c>
      <c r="P1307" s="116">
        <v>36.65</v>
      </c>
      <c r="Q1307" s="116">
        <v>35.9</v>
      </c>
      <c r="R1307">
        <v>4971865</v>
      </c>
    </row>
    <row r="1308" spans="1:18" x14ac:dyDescent="0.25">
      <c r="A1308" s="170">
        <v>43936</v>
      </c>
      <c r="B1308" s="116">
        <v>37.5</v>
      </c>
      <c r="C1308" s="116">
        <v>35.15</v>
      </c>
      <c r="D1308" s="116">
        <v>34.6</v>
      </c>
      <c r="E1308" s="116">
        <v>36.950000000000003</v>
      </c>
      <c r="F1308" s="116">
        <v>35.15</v>
      </c>
      <c r="G1308">
        <v>501379</v>
      </c>
      <c r="H1308" s="116"/>
      <c r="I1308" s="116"/>
      <c r="L1308" s="170">
        <v>43936</v>
      </c>
      <c r="M1308" s="116">
        <v>35.049999999999997</v>
      </c>
      <c r="N1308" s="116">
        <v>37.5</v>
      </c>
      <c r="O1308" s="116">
        <v>34.549999999999997</v>
      </c>
      <c r="P1308" s="116">
        <v>36.6</v>
      </c>
      <c r="Q1308" s="116">
        <v>35.049999999999997</v>
      </c>
      <c r="R1308">
        <v>8243453</v>
      </c>
    </row>
    <row r="1309" spans="1:18" x14ac:dyDescent="0.25">
      <c r="A1309" s="170">
        <v>43937</v>
      </c>
      <c r="B1309" s="116">
        <v>35.5</v>
      </c>
      <c r="C1309" s="116">
        <v>34.75</v>
      </c>
      <c r="D1309" s="116">
        <v>34.549999999999997</v>
      </c>
      <c r="E1309" s="116">
        <v>35</v>
      </c>
      <c r="F1309" s="116">
        <v>34.75</v>
      </c>
      <c r="G1309">
        <v>423285</v>
      </c>
      <c r="H1309" s="116"/>
      <c r="I1309" s="116"/>
      <c r="L1309" s="170">
        <v>43937</v>
      </c>
      <c r="M1309" s="116">
        <v>34.700000000000003</v>
      </c>
      <c r="N1309" s="116">
        <v>35.5</v>
      </c>
      <c r="O1309" s="116">
        <v>34.5</v>
      </c>
      <c r="P1309" s="116">
        <v>35.049999999999997</v>
      </c>
      <c r="Q1309" s="116">
        <v>34.700000000000003</v>
      </c>
      <c r="R1309">
        <v>9452841</v>
      </c>
    </row>
    <row r="1310" spans="1:18" x14ac:dyDescent="0.25">
      <c r="A1310" s="170">
        <v>43938</v>
      </c>
      <c r="B1310" s="116">
        <v>36.299999999999997</v>
      </c>
      <c r="C1310" s="116">
        <v>34.450000000000003</v>
      </c>
      <c r="D1310" s="116">
        <v>34.200000000000003</v>
      </c>
      <c r="E1310" s="116">
        <v>35.35</v>
      </c>
      <c r="F1310" s="116">
        <v>34.450000000000003</v>
      </c>
      <c r="G1310">
        <v>675099</v>
      </c>
      <c r="H1310" s="116"/>
      <c r="I1310" s="116"/>
      <c r="L1310" s="170">
        <v>43938</v>
      </c>
      <c r="M1310" s="116">
        <v>34.4</v>
      </c>
      <c r="N1310" s="116">
        <v>36.299999999999997</v>
      </c>
      <c r="O1310" s="116">
        <v>34.049999999999997</v>
      </c>
      <c r="P1310" s="116">
        <v>35.6</v>
      </c>
      <c r="Q1310" s="116">
        <v>34.4</v>
      </c>
      <c r="R1310">
        <v>11838672</v>
      </c>
    </row>
    <row r="1311" spans="1:18" x14ac:dyDescent="0.25">
      <c r="A1311" s="170">
        <v>43941</v>
      </c>
      <c r="B1311" s="116">
        <v>34.799999999999997</v>
      </c>
      <c r="C1311" s="116">
        <v>33.549999999999997</v>
      </c>
      <c r="D1311" s="116">
        <v>33.299999999999997</v>
      </c>
      <c r="E1311" s="116">
        <v>34.799999999999997</v>
      </c>
      <c r="F1311" s="116">
        <v>33.549999999999997</v>
      </c>
      <c r="G1311">
        <v>986681</v>
      </c>
      <c r="H1311" s="116"/>
      <c r="I1311" s="116"/>
      <c r="L1311" s="170">
        <v>43941</v>
      </c>
      <c r="M1311" s="116">
        <v>33.549999999999997</v>
      </c>
      <c r="N1311" s="116">
        <v>34.65</v>
      </c>
      <c r="O1311" s="116">
        <v>33.200000000000003</v>
      </c>
      <c r="P1311" s="116">
        <v>34.65</v>
      </c>
      <c r="Q1311" s="116">
        <v>33.549999999999997</v>
      </c>
      <c r="R1311">
        <v>24635627</v>
      </c>
    </row>
    <row r="1312" spans="1:18" x14ac:dyDescent="0.25">
      <c r="A1312" s="170">
        <v>43942</v>
      </c>
      <c r="B1312" s="116">
        <v>33.549999999999997</v>
      </c>
      <c r="C1312" s="116">
        <v>32.450000000000003</v>
      </c>
      <c r="D1312" s="116">
        <v>32.200000000000003</v>
      </c>
      <c r="E1312" s="116">
        <v>33.549999999999997</v>
      </c>
      <c r="F1312" s="116">
        <v>32.450000000000003</v>
      </c>
      <c r="G1312">
        <v>440798</v>
      </c>
      <c r="H1312" s="116"/>
      <c r="I1312" s="116"/>
      <c r="L1312" s="170">
        <v>43942</v>
      </c>
      <c r="M1312" s="116">
        <v>32.450000000000003</v>
      </c>
      <c r="N1312" s="116">
        <v>33.15</v>
      </c>
      <c r="O1312" s="116">
        <v>32.15</v>
      </c>
      <c r="P1312" s="116">
        <v>32.9</v>
      </c>
      <c r="Q1312" s="116">
        <v>32.450000000000003</v>
      </c>
      <c r="R1312">
        <v>11655142</v>
      </c>
    </row>
    <row r="1313" spans="1:18" x14ac:dyDescent="0.25">
      <c r="A1313" s="170">
        <v>43943</v>
      </c>
      <c r="B1313" s="116">
        <v>33.299999999999997</v>
      </c>
      <c r="C1313" s="116">
        <v>32.5</v>
      </c>
      <c r="D1313" s="116">
        <v>31.65</v>
      </c>
      <c r="E1313" s="116">
        <v>32.75</v>
      </c>
      <c r="F1313" s="116">
        <v>32.5</v>
      </c>
      <c r="G1313">
        <v>463387</v>
      </c>
      <c r="H1313" s="116"/>
      <c r="I1313" s="116"/>
      <c r="L1313" s="170">
        <v>43943</v>
      </c>
      <c r="M1313" s="116">
        <v>32.4</v>
      </c>
      <c r="N1313" s="116">
        <v>33.299999999999997</v>
      </c>
      <c r="O1313" s="116">
        <v>31.7</v>
      </c>
      <c r="P1313" s="116">
        <v>32.4</v>
      </c>
      <c r="Q1313" s="116">
        <v>32.4</v>
      </c>
      <c r="R1313">
        <v>11600504</v>
      </c>
    </row>
    <row r="1314" spans="1:18" x14ac:dyDescent="0.25">
      <c r="A1314" s="170">
        <v>43944</v>
      </c>
      <c r="B1314" s="116">
        <v>33.4</v>
      </c>
      <c r="C1314" s="116">
        <v>32.700000000000003</v>
      </c>
      <c r="D1314" s="116">
        <v>32.450000000000003</v>
      </c>
      <c r="E1314" s="116">
        <v>32.6</v>
      </c>
      <c r="F1314" s="116">
        <v>32.700000000000003</v>
      </c>
      <c r="G1314">
        <v>366345</v>
      </c>
      <c r="H1314" s="116"/>
      <c r="I1314" s="116"/>
      <c r="L1314" s="170">
        <v>43944</v>
      </c>
      <c r="M1314" s="116">
        <v>32.700000000000003</v>
      </c>
      <c r="N1314" s="116">
        <v>33.4</v>
      </c>
      <c r="O1314" s="116">
        <v>32.4</v>
      </c>
      <c r="P1314" s="116">
        <v>32.6</v>
      </c>
      <c r="Q1314" s="116">
        <v>32.700000000000003</v>
      </c>
      <c r="R1314">
        <v>8034445</v>
      </c>
    </row>
    <row r="1315" spans="1:18" x14ac:dyDescent="0.25">
      <c r="A1315" s="170">
        <v>43945</v>
      </c>
      <c r="B1315" s="116">
        <v>32.700000000000003</v>
      </c>
      <c r="C1315" s="116">
        <v>31.1</v>
      </c>
      <c r="D1315" s="116">
        <v>30.85</v>
      </c>
      <c r="E1315" s="116">
        <v>32.700000000000003</v>
      </c>
      <c r="F1315" s="116">
        <v>31.1</v>
      </c>
      <c r="G1315">
        <v>540233</v>
      </c>
      <c r="H1315" s="116"/>
      <c r="I1315" s="116"/>
      <c r="L1315" s="170">
        <v>43945</v>
      </c>
      <c r="M1315" s="116">
        <v>31.05</v>
      </c>
      <c r="N1315" s="116">
        <v>32.6</v>
      </c>
      <c r="O1315" s="116">
        <v>30.8</v>
      </c>
      <c r="P1315" s="116">
        <v>32.6</v>
      </c>
      <c r="Q1315" s="116">
        <v>31.05</v>
      </c>
      <c r="R1315">
        <v>13996811</v>
      </c>
    </row>
    <row r="1316" spans="1:18" x14ac:dyDescent="0.25">
      <c r="A1316" s="170">
        <v>43948</v>
      </c>
      <c r="B1316" s="116">
        <v>31.9</v>
      </c>
      <c r="C1316" s="116">
        <v>31.05</v>
      </c>
      <c r="D1316" s="116">
        <v>30.8</v>
      </c>
      <c r="E1316" s="116">
        <v>31.25</v>
      </c>
      <c r="F1316" s="116">
        <v>31.05</v>
      </c>
      <c r="G1316">
        <v>406241</v>
      </c>
      <c r="H1316" s="116"/>
      <c r="I1316" s="116"/>
      <c r="L1316" s="170">
        <v>43948</v>
      </c>
      <c r="M1316" s="116">
        <v>31.05</v>
      </c>
      <c r="N1316" s="116">
        <v>32</v>
      </c>
      <c r="O1316" s="116">
        <v>30.75</v>
      </c>
      <c r="P1316" s="116">
        <v>31.5</v>
      </c>
      <c r="Q1316" s="116">
        <v>31.05</v>
      </c>
      <c r="R1316">
        <v>10333718</v>
      </c>
    </row>
    <row r="1317" spans="1:18" x14ac:dyDescent="0.25">
      <c r="A1317" s="170">
        <v>43949</v>
      </c>
      <c r="B1317" s="116">
        <v>31.45</v>
      </c>
      <c r="C1317" s="116">
        <v>30.75</v>
      </c>
      <c r="D1317" s="116">
        <v>30.55</v>
      </c>
      <c r="E1317" s="116">
        <v>31.2</v>
      </c>
      <c r="F1317" s="116">
        <v>30.75</v>
      </c>
      <c r="G1317">
        <v>457540</v>
      </c>
      <c r="H1317" s="116"/>
      <c r="I1317" s="116"/>
      <c r="L1317" s="170">
        <v>43949</v>
      </c>
      <c r="M1317" s="116">
        <v>30.7</v>
      </c>
      <c r="N1317" s="116">
        <v>31.45</v>
      </c>
      <c r="O1317" s="116">
        <v>30.5</v>
      </c>
      <c r="P1317" s="116">
        <v>31.4</v>
      </c>
      <c r="Q1317" s="116">
        <v>30.7</v>
      </c>
      <c r="R1317">
        <v>10619659</v>
      </c>
    </row>
    <row r="1318" spans="1:18" x14ac:dyDescent="0.25">
      <c r="A1318" s="170">
        <v>43950</v>
      </c>
      <c r="B1318" s="116">
        <v>31.5</v>
      </c>
      <c r="C1318" s="116">
        <v>31.1</v>
      </c>
      <c r="D1318" s="116">
        <v>31</v>
      </c>
      <c r="E1318" s="116">
        <v>31.2</v>
      </c>
      <c r="F1318" s="116">
        <v>31.1</v>
      </c>
      <c r="G1318">
        <v>582740</v>
      </c>
      <c r="H1318" s="116"/>
      <c r="I1318" s="116"/>
      <c r="L1318" s="170">
        <v>43950</v>
      </c>
      <c r="M1318" s="116">
        <v>31.1</v>
      </c>
      <c r="N1318" s="116">
        <v>31.5</v>
      </c>
      <c r="O1318" s="116">
        <v>31</v>
      </c>
      <c r="P1318" s="116">
        <v>31.1</v>
      </c>
      <c r="Q1318" s="116">
        <v>31.1</v>
      </c>
      <c r="R1318">
        <v>14336257</v>
      </c>
    </row>
    <row r="1319" spans="1:18" x14ac:dyDescent="0.25">
      <c r="A1319" s="170">
        <v>43951</v>
      </c>
      <c r="B1319" s="116">
        <v>32.15</v>
      </c>
      <c r="C1319" s="116">
        <v>31.75</v>
      </c>
      <c r="D1319" s="116">
        <v>31.1</v>
      </c>
      <c r="E1319" s="116">
        <v>31.15</v>
      </c>
      <c r="F1319" s="116">
        <v>31.75</v>
      </c>
      <c r="G1319">
        <v>1108652</v>
      </c>
      <c r="H1319" s="116"/>
      <c r="I1319" s="116"/>
      <c r="L1319" s="170">
        <v>43951</v>
      </c>
      <c r="M1319" s="116">
        <v>31.7</v>
      </c>
      <c r="N1319" s="116">
        <v>32.15</v>
      </c>
      <c r="O1319" s="116">
        <v>31.05</v>
      </c>
      <c r="P1319" s="116">
        <v>31.4</v>
      </c>
      <c r="Q1319" s="116">
        <v>31.7</v>
      </c>
      <c r="R1319">
        <v>32596006</v>
      </c>
    </row>
    <row r="1320" spans="1:18" x14ac:dyDescent="0.25">
      <c r="A1320" s="170">
        <v>43955</v>
      </c>
      <c r="B1320" s="116">
        <v>31.9</v>
      </c>
      <c r="C1320" s="116">
        <v>30.15</v>
      </c>
      <c r="D1320" s="116">
        <v>30.05</v>
      </c>
      <c r="E1320" s="116">
        <v>31.9</v>
      </c>
      <c r="F1320" s="116">
        <v>30.15</v>
      </c>
      <c r="G1320">
        <v>671060</v>
      </c>
      <c r="H1320" s="116"/>
      <c r="I1320" s="116"/>
      <c r="L1320" s="170">
        <v>43955</v>
      </c>
      <c r="M1320" s="116">
        <v>30.1</v>
      </c>
      <c r="N1320" s="116">
        <v>31.5</v>
      </c>
      <c r="O1320" s="116">
        <v>30</v>
      </c>
      <c r="P1320" s="116">
        <v>31.5</v>
      </c>
      <c r="Q1320" s="116">
        <v>30.1</v>
      </c>
      <c r="R1320">
        <v>15845975</v>
      </c>
    </row>
    <row r="1321" spans="1:18" x14ac:dyDescent="0.25">
      <c r="A1321" s="170">
        <v>43956</v>
      </c>
      <c r="B1321" s="116">
        <v>31.5</v>
      </c>
      <c r="C1321" s="116">
        <v>30.45</v>
      </c>
      <c r="D1321" s="116">
        <v>30.35</v>
      </c>
      <c r="E1321" s="116">
        <v>30.9</v>
      </c>
      <c r="F1321" s="116">
        <v>30.45</v>
      </c>
      <c r="G1321">
        <v>477295</v>
      </c>
      <c r="H1321" s="116"/>
      <c r="I1321" s="116"/>
      <c r="L1321" s="170">
        <v>43956</v>
      </c>
      <c r="M1321" s="116">
        <v>30.5</v>
      </c>
      <c r="N1321" s="116">
        <v>31.5</v>
      </c>
      <c r="O1321" s="116">
        <v>30.35</v>
      </c>
      <c r="P1321" s="116">
        <v>30.85</v>
      </c>
      <c r="Q1321" s="116">
        <v>30.5</v>
      </c>
      <c r="R1321">
        <v>11704376</v>
      </c>
    </row>
    <row r="1322" spans="1:18" x14ac:dyDescent="0.25">
      <c r="A1322" s="170">
        <v>43957</v>
      </c>
      <c r="B1322" s="116">
        <v>30.95</v>
      </c>
      <c r="C1322" s="116">
        <v>29</v>
      </c>
      <c r="D1322" s="116">
        <v>28.85</v>
      </c>
      <c r="E1322" s="116">
        <v>30.95</v>
      </c>
      <c r="F1322" s="116">
        <v>29</v>
      </c>
      <c r="G1322">
        <v>1040094</v>
      </c>
      <c r="H1322" s="116"/>
      <c r="I1322" s="116"/>
      <c r="L1322" s="170">
        <v>43957</v>
      </c>
      <c r="M1322" s="116">
        <v>29</v>
      </c>
      <c r="N1322" s="116">
        <v>30.75</v>
      </c>
      <c r="O1322" s="116">
        <v>28.85</v>
      </c>
      <c r="P1322" s="116">
        <v>30.75</v>
      </c>
      <c r="Q1322" s="116">
        <v>29</v>
      </c>
      <c r="R1322">
        <v>31848714</v>
      </c>
    </row>
    <row r="1323" spans="1:18" x14ac:dyDescent="0.25">
      <c r="A1323" s="170">
        <v>43958</v>
      </c>
      <c r="B1323" s="116">
        <v>29.45</v>
      </c>
      <c r="C1323" s="116">
        <v>29</v>
      </c>
      <c r="D1323" s="116">
        <v>28.85</v>
      </c>
      <c r="E1323" s="116">
        <v>29.2</v>
      </c>
      <c r="F1323" s="116">
        <v>29</v>
      </c>
      <c r="G1323">
        <v>505437</v>
      </c>
      <c r="H1323" s="116"/>
      <c r="I1323" s="116"/>
      <c r="L1323" s="170">
        <v>43958</v>
      </c>
      <c r="M1323" s="116">
        <v>29</v>
      </c>
      <c r="N1323" s="116">
        <v>29.45</v>
      </c>
      <c r="O1323" s="116">
        <v>28.8</v>
      </c>
      <c r="P1323" s="116">
        <v>29.1</v>
      </c>
      <c r="Q1323" s="116">
        <v>29</v>
      </c>
      <c r="R1323">
        <v>13470623</v>
      </c>
    </row>
    <row r="1324" spans="1:18" x14ac:dyDescent="0.25">
      <c r="A1324" s="170">
        <v>43959</v>
      </c>
      <c r="B1324" s="116">
        <v>29.7</v>
      </c>
      <c r="C1324" s="116">
        <v>28.45</v>
      </c>
      <c r="D1324" s="116">
        <v>27.7</v>
      </c>
      <c r="E1324" s="116">
        <v>29.4</v>
      </c>
      <c r="F1324" s="116">
        <v>28.45</v>
      </c>
      <c r="G1324">
        <v>690730</v>
      </c>
      <c r="H1324" s="116"/>
      <c r="I1324" s="116"/>
      <c r="L1324" s="170">
        <v>43959</v>
      </c>
      <c r="M1324" s="116">
        <v>28.5</v>
      </c>
      <c r="N1324" s="116">
        <v>29.8</v>
      </c>
      <c r="O1324" s="116">
        <v>27.65</v>
      </c>
      <c r="P1324" s="116">
        <v>29.8</v>
      </c>
      <c r="Q1324" s="116">
        <v>28.5</v>
      </c>
      <c r="R1324">
        <v>20381903</v>
      </c>
    </row>
    <row r="1325" spans="1:18" x14ac:dyDescent="0.25">
      <c r="A1325" s="170">
        <v>43962</v>
      </c>
      <c r="B1325" s="116">
        <v>29.3</v>
      </c>
      <c r="C1325" s="116">
        <v>27.35</v>
      </c>
      <c r="D1325" s="116">
        <v>27.15</v>
      </c>
      <c r="E1325" s="116">
        <v>29.3</v>
      </c>
      <c r="F1325" s="116">
        <v>27.35</v>
      </c>
      <c r="G1325">
        <v>1423793</v>
      </c>
      <c r="H1325" s="116"/>
      <c r="I1325" s="116"/>
      <c r="L1325" s="170">
        <v>43962</v>
      </c>
      <c r="M1325" s="116">
        <v>27.3</v>
      </c>
      <c r="N1325" s="116">
        <v>29</v>
      </c>
      <c r="O1325" s="116">
        <v>27.15</v>
      </c>
      <c r="P1325" s="116">
        <v>29</v>
      </c>
      <c r="Q1325" s="116">
        <v>27.3</v>
      </c>
      <c r="R1325">
        <v>36503825</v>
      </c>
    </row>
    <row r="1326" spans="1:18" x14ac:dyDescent="0.25">
      <c r="A1326" s="170">
        <v>43963</v>
      </c>
      <c r="B1326" s="116">
        <v>28.6</v>
      </c>
      <c r="C1326" s="116">
        <v>28.45</v>
      </c>
      <c r="D1326" s="116">
        <v>27</v>
      </c>
      <c r="E1326" s="116">
        <v>27.45</v>
      </c>
      <c r="F1326" s="116">
        <v>28.45</v>
      </c>
      <c r="G1326">
        <v>1200549</v>
      </c>
      <c r="H1326" s="116"/>
      <c r="I1326" s="116"/>
      <c r="L1326" s="170">
        <v>43963</v>
      </c>
      <c r="M1326" s="116">
        <v>28.4</v>
      </c>
      <c r="N1326" s="116">
        <v>28.6</v>
      </c>
      <c r="O1326" s="116">
        <v>27</v>
      </c>
      <c r="P1326" s="116">
        <v>27.25</v>
      </c>
      <c r="Q1326" s="116">
        <v>28.4</v>
      </c>
      <c r="R1326">
        <v>27227530</v>
      </c>
    </row>
    <row r="1327" spans="1:18" x14ac:dyDescent="0.25">
      <c r="A1327" s="170">
        <v>43964</v>
      </c>
      <c r="B1327" s="116">
        <v>31</v>
      </c>
      <c r="C1327" s="116">
        <v>30.3</v>
      </c>
      <c r="D1327" s="116">
        <v>28.85</v>
      </c>
      <c r="E1327" s="116">
        <v>30.65</v>
      </c>
      <c r="F1327" s="116">
        <v>30.3</v>
      </c>
      <c r="G1327">
        <v>1867918</v>
      </c>
      <c r="H1327" s="116"/>
      <c r="I1327" s="116"/>
      <c r="L1327" s="170">
        <v>43964</v>
      </c>
      <c r="M1327" s="116">
        <v>30.3</v>
      </c>
      <c r="N1327" s="116">
        <v>31</v>
      </c>
      <c r="O1327" s="116">
        <v>28.85</v>
      </c>
      <c r="P1327" s="116">
        <v>30</v>
      </c>
      <c r="Q1327" s="116">
        <v>30.3</v>
      </c>
      <c r="R1327">
        <v>53614387</v>
      </c>
    </row>
    <row r="1328" spans="1:18" x14ac:dyDescent="0.25">
      <c r="A1328" s="170">
        <v>43965</v>
      </c>
      <c r="B1328" s="116">
        <v>33.200000000000003</v>
      </c>
      <c r="C1328" s="116">
        <v>30.95</v>
      </c>
      <c r="D1328" s="116">
        <v>30.65</v>
      </c>
      <c r="E1328" s="116">
        <v>31.4</v>
      </c>
      <c r="F1328" s="116">
        <v>30.95</v>
      </c>
      <c r="G1328">
        <v>3245639</v>
      </c>
      <c r="H1328" s="116"/>
      <c r="I1328" s="116"/>
      <c r="L1328" s="170">
        <v>43965</v>
      </c>
      <c r="M1328" s="116">
        <v>30.9</v>
      </c>
      <c r="N1328" s="116">
        <v>33.200000000000003</v>
      </c>
      <c r="O1328" s="116">
        <v>30.5</v>
      </c>
      <c r="P1328" s="116">
        <v>31</v>
      </c>
      <c r="Q1328" s="116">
        <v>30.9</v>
      </c>
      <c r="R1328">
        <v>69089728</v>
      </c>
    </row>
    <row r="1329" spans="1:18" x14ac:dyDescent="0.25">
      <c r="A1329" s="170">
        <v>43966</v>
      </c>
      <c r="B1329" s="116">
        <v>31.75</v>
      </c>
      <c r="C1329" s="116">
        <v>31.4</v>
      </c>
      <c r="D1329" s="116">
        <v>29.75</v>
      </c>
      <c r="E1329" s="116">
        <v>31.45</v>
      </c>
      <c r="F1329" s="116">
        <v>31.4</v>
      </c>
      <c r="G1329">
        <v>1823943</v>
      </c>
      <c r="H1329" s="116"/>
      <c r="I1329" s="116"/>
      <c r="L1329" s="170">
        <v>43966</v>
      </c>
      <c r="M1329" s="116">
        <v>31.4</v>
      </c>
      <c r="N1329" s="116">
        <v>31.8</v>
      </c>
      <c r="O1329" s="116">
        <v>29.75</v>
      </c>
      <c r="P1329" s="116">
        <v>31</v>
      </c>
      <c r="Q1329" s="116">
        <v>31.4</v>
      </c>
      <c r="R1329">
        <v>36970466</v>
      </c>
    </row>
    <row r="1330" spans="1:18" x14ac:dyDescent="0.25">
      <c r="A1330" s="170">
        <v>43969</v>
      </c>
      <c r="B1330" s="116">
        <v>32.4</v>
      </c>
      <c r="C1330" s="116">
        <v>31.25</v>
      </c>
      <c r="D1330" s="116">
        <v>30.25</v>
      </c>
      <c r="E1330" s="116">
        <v>32.4</v>
      </c>
      <c r="F1330" s="116">
        <v>31.25</v>
      </c>
      <c r="G1330">
        <v>1297317</v>
      </c>
      <c r="H1330" s="116"/>
      <c r="I1330" s="116"/>
      <c r="L1330" s="170">
        <v>43969</v>
      </c>
      <c r="M1330" s="116">
        <v>31.3</v>
      </c>
      <c r="N1330" s="116">
        <v>32.1</v>
      </c>
      <c r="O1330" s="116">
        <v>30.25</v>
      </c>
      <c r="P1330" s="116">
        <v>31.95</v>
      </c>
      <c r="Q1330" s="116">
        <v>31.3</v>
      </c>
      <c r="R1330">
        <v>33654822</v>
      </c>
    </row>
    <row r="1331" spans="1:18" x14ac:dyDescent="0.25">
      <c r="A1331" s="170">
        <v>43970</v>
      </c>
      <c r="B1331" s="116">
        <v>32.799999999999997</v>
      </c>
      <c r="C1331" s="116">
        <v>32.35</v>
      </c>
      <c r="D1331" s="116">
        <v>30.4</v>
      </c>
      <c r="E1331" s="116">
        <v>32</v>
      </c>
      <c r="F1331" s="116">
        <v>32.35</v>
      </c>
      <c r="G1331">
        <v>2549511</v>
      </c>
      <c r="H1331" s="116"/>
      <c r="I1331" s="116"/>
      <c r="L1331" s="170">
        <v>43970</v>
      </c>
      <c r="M1331" s="116">
        <v>32.450000000000003</v>
      </c>
      <c r="N1331" s="116">
        <v>32.85</v>
      </c>
      <c r="O1331" s="116">
        <v>30.6</v>
      </c>
      <c r="P1331" s="116">
        <v>31.5</v>
      </c>
      <c r="Q1331" s="116">
        <v>32.450000000000003</v>
      </c>
      <c r="R1331">
        <v>37941203</v>
      </c>
    </row>
    <row r="1332" spans="1:18" x14ac:dyDescent="0.25">
      <c r="A1332" s="170">
        <v>43971</v>
      </c>
      <c r="B1332" s="116">
        <v>34.6</v>
      </c>
      <c r="C1332" s="116">
        <v>33.35</v>
      </c>
      <c r="D1332" s="116">
        <v>32.85</v>
      </c>
      <c r="E1332" s="116">
        <v>34</v>
      </c>
      <c r="F1332" s="116">
        <v>33.35</v>
      </c>
      <c r="G1332">
        <v>5238429</v>
      </c>
      <c r="H1332" s="116"/>
      <c r="I1332" s="116"/>
      <c r="L1332" s="170">
        <v>43971</v>
      </c>
      <c r="M1332" s="116">
        <v>33.25</v>
      </c>
      <c r="N1332" s="116">
        <v>34.6</v>
      </c>
      <c r="O1332" s="116">
        <v>32.799999999999997</v>
      </c>
      <c r="P1332" s="116">
        <v>34.15</v>
      </c>
      <c r="Q1332" s="116">
        <v>33.25</v>
      </c>
      <c r="R1332">
        <v>91642346</v>
      </c>
    </row>
    <row r="1333" spans="1:18" x14ac:dyDescent="0.25">
      <c r="A1333" s="170">
        <v>43972</v>
      </c>
      <c r="B1333" s="116">
        <v>34.200000000000003</v>
      </c>
      <c r="C1333" s="116">
        <v>32.9</v>
      </c>
      <c r="D1333" s="116">
        <v>32.6</v>
      </c>
      <c r="E1333" s="116">
        <v>34</v>
      </c>
      <c r="F1333" s="116">
        <v>32.9</v>
      </c>
      <c r="G1333">
        <v>1831714</v>
      </c>
      <c r="H1333" s="116"/>
      <c r="I1333" s="116"/>
      <c r="L1333" s="170">
        <v>43972</v>
      </c>
      <c r="M1333" s="116">
        <v>32.85</v>
      </c>
      <c r="N1333" s="116">
        <v>33.9</v>
      </c>
      <c r="O1333" s="116">
        <v>32.549999999999997</v>
      </c>
      <c r="P1333" s="116">
        <v>33.65</v>
      </c>
      <c r="Q1333" s="116">
        <v>32.85</v>
      </c>
      <c r="R1333">
        <v>35029406</v>
      </c>
    </row>
    <row r="1334" spans="1:18" x14ac:dyDescent="0.25">
      <c r="A1334" s="170">
        <v>43973</v>
      </c>
      <c r="B1334" s="116">
        <v>34.1</v>
      </c>
      <c r="C1334" s="116">
        <v>33.75</v>
      </c>
      <c r="D1334" s="116">
        <v>31.9</v>
      </c>
      <c r="E1334" s="116">
        <v>32.950000000000003</v>
      </c>
      <c r="F1334" s="116">
        <v>33.75</v>
      </c>
      <c r="G1334">
        <v>2418263</v>
      </c>
      <c r="H1334" s="116"/>
      <c r="I1334" s="116"/>
      <c r="L1334" s="170">
        <v>43973</v>
      </c>
      <c r="M1334" s="116">
        <v>33.75</v>
      </c>
      <c r="N1334" s="116">
        <v>34.1</v>
      </c>
      <c r="O1334" s="116">
        <v>31.9</v>
      </c>
      <c r="P1334" s="116">
        <v>32.5</v>
      </c>
      <c r="Q1334" s="116">
        <v>33.75</v>
      </c>
      <c r="R1334">
        <v>40499126</v>
      </c>
    </row>
    <row r="1335" spans="1:18" x14ac:dyDescent="0.25">
      <c r="A1335" s="170">
        <v>43977</v>
      </c>
      <c r="B1335" s="116">
        <v>36</v>
      </c>
      <c r="C1335" s="116">
        <v>35.75</v>
      </c>
      <c r="D1335" s="116">
        <v>33.6</v>
      </c>
      <c r="E1335" s="116">
        <v>33.6</v>
      </c>
      <c r="F1335" s="116">
        <v>35.75</v>
      </c>
      <c r="G1335">
        <v>3154933</v>
      </c>
      <c r="H1335" s="116"/>
      <c r="I1335" s="116"/>
      <c r="L1335" s="170">
        <v>43977</v>
      </c>
      <c r="M1335" s="116">
        <v>35.75</v>
      </c>
      <c r="N1335" s="116">
        <v>36</v>
      </c>
      <c r="O1335" s="116">
        <v>33.6</v>
      </c>
      <c r="P1335" s="116">
        <v>33.75</v>
      </c>
      <c r="Q1335" s="116">
        <v>35.75</v>
      </c>
      <c r="R1335">
        <v>51053714</v>
      </c>
    </row>
    <row r="1336" spans="1:18" x14ac:dyDescent="0.25">
      <c r="A1336" s="170">
        <v>43978</v>
      </c>
      <c r="B1336" s="116">
        <v>36.4</v>
      </c>
      <c r="C1336" s="116">
        <v>35.700000000000003</v>
      </c>
      <c r="D1336" s="116">
        <v>35.4</v>
      </c>
      <c r="E1336" s="116">
        <v>36</v>
      </c>
      <c r="F1336" s="116">
        <v>35.700000000000003</v>
      </c>
      <c r="G1336">
        <v>2081940</v>
      </c>
      <c r="H1336" s="116"/>
      <c r="I1336" s="116"/>
      <c r="L1336" s="170">
        <v>43978</v>
      </c>
      <c r="M1336" s="116">
        <v>35.75</v>
      </c>
      <c r="N1336" s="116">
        <v>36.450000000000003</v>
      </c>
      <c r="O1336" s="116">
        <v>35.35</v>
      </c>
      <c r="P1336" s="116">
        <v>36</v>
      </c>
      <c r="Q1336" s="116">
        <v>35.75</v>
      </c>
      <c r="R1336">
        <v>41541631</v>
      </c>
    </row>
    <row r="1337" spans="1:18" x14ac:dyDescent="0.25">
      <c r="A1337" s="170">
        <v>43979</v>
      </c>
      <c r="B1337" s="116">
        <v>37.549999999999997</v>
      </c>
      <c r="C1337" s="116">
        <v>36.9</v>
      </c>
      <c r="D1337" s="116">
        <v>36</v>
      </c>
      <c r="E1337" s="116">
        <v>36</v>
      </c>
      <c r="F1337" s="116">
        <v>36.9</v>
      </c>
      <c r="G1337">
        <v>2055369</v>
      </c>
      <c r="H1337" s="116"/>
      <c r="I1337" s="116"/>
      <c r="L1337" s="170">
        <v>43979</v>
      </c>
      <c r="M1337" s="116">
        <v>36.9</v>
      </c>
      <c r="N1337" s="116">
        <v>37.5</v>
      </c>
      <c r="O1337" s="116">
        <v>35.9</v>
      </c>
      <c r="P1337" s="116">
        <v>35.950000000000003</v>
      </c>
      <c r="Q1337" s="116">
        <v>36.9</v>
      </c>
      <c r="R1337">
        <v>45715750</v>
      </c>
    </row>
    <row r="1338" spans="1:18" x14ac:dyDescent="0.25">
      <c r="A1338" s="170">
        <v>43980</v>
      </c>
      <c r="B1338" s="116">
        <v>37.15</v>
      </c>
      <c r="C1338" s="116">
        <v>36.6</v>
      </c>
      <c r="D1338" s="116">
        <v>35.65</v>
      </c>
      <c r="E1338" s="116">
        <v>36.799999999999997</v>
      </c>
      <c r="F1338" s="116">
        <v>36.6</v>
      </c>
      <c r="G1338">
        <v>2153042</v>
      </c>
      <c r="H1338" s="116"/>
      <c r="I1338" s="116"/>
      <c r="L1338" s="170">
        <v>43980</v>
      </c>
      <c r="M1338" s="116">
        <v>36.549999999999997</v>
      </c>
      <c r="N1338" s="116">
        <v>37.15</v>
      </c>
      <c r="O1338" s="116">
        <v>35.6</v>
      </c>
      <c r="P1338" s="116">
        <v>36.200000000000003</v>
      </c>
      <c r="Q1338" s="116">
        <v>36.549999999999997</v>
      </c>
      <c r="R1338">
        <v>149707993</v>
      </c>
    </row>
    <row r="1339" spans="1:18" x14ac:dyDescent="0.25">
      <c r="A1339" s="170">
        <v>43983</v>
      </c>
      <c r="B1339" s="116">
        <v>40.1</v>
      </c>
      <c r="C1339" s="116">
        <v>39.549999999999997</v>
      </c>
      <c r="D1339" s="116">
        <v>37.299999999999997</v>
      </c>
      <c r="E1339" s="116">
        <v>37.4</v>
      </c>
      <c r="F1339" s="116">
        <v>39.549999999999997</v>
      </c>
      <c r="G1339">
        <v>2259827</v>
      </c>
      <c r="H1339" s="116"/>
      <c r="I1339" s="116"/>
      <c r="L1339" s="170">
        <v>43983</v>
      </c>
      <c r="M1339" s="116">
        <v>39.450000000000003</v>
      </c>
      <c r="N1339" s="116">
        <v>40.049999999999997</v>
      </c>
      <c r="O1339" s="116">
        <v>37.200000000000003</v>
      </c>
      <c r="P1339" s="116">
        <v>37.6</v>
      </c>
      <c r="Q1339" s="116">
        <v>39.450000000000003</v>
      </c>
      <c r="R1339">
        <v>64630599</v>
      </c>
    </row>
    <row r="1340" spans="1:18" x14ac:dyDescent="0.25">
      <c r="A1340" s="170">
        <v>43984</v>
      </c>
      <c r="B1340" s="116">
        <v>42.85</v>
      </c>
      <c r="C1340" s="116">
        <v>42.5</v>
      </c>
      <c r="D1340" s="116">
        <v>40.549999999999997</v>
      </c>
      <c r="E1340" s="116">
        <v>41.05</v>
      </c>
      <c r="F1340" s="116">
        <v>42.5</v>
      </c>
      <c r="G1340">
        <v>3729775</v>
      </c>
      <c r="H1340" s="116"/>
      <c r="I1340" s="116"/>
      <c r="L1340" s="170">
        <v>43984</v>
      </c>
      <c r="M1340" s="116">
        <v>42.55</v>
      </c>
      <c r="N1340" s="116">
        <v>42.95</v>
      </c>
      <c r="O1340" s="116">
        <v>40.6</v>
      </c>
      <c r="P1340" s="116">
        <v>41.45</v>
      </c>
      <c r="Q1340" s="116">
        <v>42.55</v>
      </c>
      <c r="R1340">
        <v>75509875</v>
      </c>
    </row>
    <row r="1341" spans="1:18" x14ac:dyDescent="0.25">
      <c r="A1341" s="170">
        <v>43985</v>
      </c>
      <c r="B1341" s="116">
        <v>43.75</v>
      </c>
      <c r="C1341" s="116">
        <v>41.8</v>
      </c>
      <c r="D1341" s="116">
        <v>41.1</v>
      </c>
      <c r="E1341" s="116">
        <v>43.5</v>
      </c>
      <c r="F1341" s="116">
        <v>41.8</v>
      </c>
      <c r="G1341">
        <v>3016752</v>
      </c>
      <c r="H1341" s="116"/>
      <c r="I1341" s="116"/>
      <c r="L1341" s="170">
        <v>43985</v>
      </c>
      <c r="M1341" s="116">
        <v>41.7</v>
      </c>
      <c r="N1341" s="116">
        <v>43.75</v>
      </c>
      <c r="O1341" s="116">
        <v>41.1</v>
      </c>
      <c r="P1341" s="116">
        <v>43.35</v>
      </c>
      <c r="Q1341" s="116">
        <v>41.7</v>
      </c>
      <c r="R1341">
        <v>70318245</v>
      </c>
    </row>
    <row r="1342" spans="1:18" x14ac:dyDescent="0.25">
      <c r="A1342" s="170">
        <v>43986</v>
      </c>
      <c r="B1342" s="116">
        <v>43.15</v>
      </c>
      <c r="C1342" s="116">
        <v>42.5</v>
      </c>
      <c r="D1342" s="116">
        <v>40.299999999999997</v>
      </c>
      <c r="E1342" s="116">
        <v>40.85</v>
      </c>
      <c r="F1342" s="116">
        <v>42.5</v>
      </c>
      <c r="G1342">
        <v>2816550</v>
      </c>
      <c r="H1342" s="116"/>
      <c r="I1342" s="116"/>
      <c r="L1342" s="170">
        <v>43986</v>
      </c>
      <c r="M1342" s="116">
        <v>42.5</v>
      </c>
      <c r="N1342" s="116">
        <v>43.2</v>
      </c>
      <c r="O1342" s="116">
        <v>40.299999999999997</v>
      </c>
      <c r="P1342" s="116">
        <v>41.1</v>
      </c>
      <c r="Q1342" s="116">
        <v>42.5</v>
      </c>
      <c r="R1342">
        <v>81868961</v>
      </c>
    </row>
    <row r="1343" spans="1:18" x14ac:dyDescent="0.25">
      <c r="A1343" s="170">
        <v>43987</v>
      </c>
      <c r="B1343" s="116">
        <v>44.3</v>
      </c>
      <c r="C1343" s="116">
        <v>43.95</v>
      </c>
      <c r="D1343" s="116">
        <v>42.8</v>
      </c>
      <c r="E1343" s="116">
        <v>44.1</v>
      </c>
      <c r="F1343" s="116">
        <v>43.95</v>
      </c>
      <c r="G1343">
        <v>2992780</v>
      </c>
      <c r="H1343" s="116"/>
      <c r="I1343" s="116"/>
      <c r="L1343" s="170">
        <v>43987</v>
      </c>
      <c r="M1343" s="116">
        <v>43.9</v>
      </c>
      <c r="N1343" s="116">
        <v>44.35</v>
      </c>
      <c r="O1343" s="116">
        <v>42.8</v>
      </c>
      <c r="P1343" s="116">
        <v>43.95</v>
      </c>
      <c r="Q1343" s="116">
        <v>43.9</v>
      </c>
      <c r="R1343">
        <v>55225627</v>
      </c>
    </row>
    <row r="1344" spans="1:18" x14ac:dyDescent="0.25">
      <c r="A1344" s="170">
        <v>43990</v>
      </c>
      <c r="B1344" s="116">
        <v>44.8</v>
      </c>
      <c r="C1344" s="116">
        <v>42.7</v>
      </c>
      <c r="D1344" s="116">
        <v>42.4</v>
      </c>
      <c r="E1344" s="116">
        <v>44.55</v>
      </c>
      <c r="F1344" s="116">
        <v>42.7</v>
      </c>
      <c r="G1344">
        <v>2261274</v>
      </c>
      <c r="H1344" s="116"/>
      <c r="I1344" s="116"/>
      <c r="L1344" s="170">
        <v>43990</v>
      </c>
      <c r="M1344" s="116">
        <v>42.65</v>
      </c>
      <c r="N1344" s="116">
        <v>44.9</v>
      </c>
      <c r="O1344" s="116">
        <v>42.3</v>
      </c>
      <c r="P1344" s="116">
        <v>44.9</v>
      </c>
      <c r="Q1344" s="116">
        <v>42.65</v>
      </c>
      <c r="R1344">
        <v>42629869</v>
      </c>
    </row>
    <row r="1345" spans="1:18" x14ac:dyDescent="0.25">
      <c r="A1345" s="170">
        <v>43991</v>
      </c>
      <c r="B1345" s="116">
        <v>43.65</v>
      </c>
      <c r="C1345" s="116">
        <v>42.8</v>
      </c>
      <c r="D1345" s="116">
        <v>42.25</v>
      </c>
      <c r="E1345" s="116">
        <v>43.5</v>
      </c>
      <c r="F1345" s="116">
        <v>42.8</v>
      </c>
      <c r="G1345">
        <v>1486394</v>
      </c>
      <c r="H1345" s="116"/>
      <c r="I1345" s="116"/>
      <c r="L1345" s="170">
        <v>43991</v>
      </c>
      <c r="M1345" s="116">
        <v>42.75</v>
      </c>
      <c r="N1345" s="116">
        <v>43.7</v>
      </c>
      <c r="O1345" s="116">
        <v>42.2</v>
      </c>
      <c r="P1345" s="116">
        <v>43</v>
      </c>
      <c r="Q1345" s="116">
        <v>42.75</v>
      </c>
      <c r="R1345">
        <v>34471526</v>
      </c>
    </row>
    <row r="1346" spans="1:18" x14ac:dyDescent="0.25">
      <c r="A1346" s="170">
        <v>43992</v>
      </c>
      <c r="B1346" s="116">
        <v>43.5</v>
      </c>
      <c r="C1346" s="116">
        <v>42.85</v>
      </c>
      <c r="D1346" s="116">
        <v>42.55</v>
      </c>
      <c r="E1346" s="116">
        <v>42.8</v>
      </c>
      <c r="F1346" s="116">
        <v>42.85</v>
      </c>
      <c r="G1346">
        <v>1161315</v>
      </c>
      <c r="H1346" s="116"/>
      <c r="I1346" s="116"/>
      <c r="L1346" s="170">
        <v>43992</v>
      </c>
      <c r="M1346" s="116">
        <v>42.8</v>
      </c>
      <c r="N1346" s="116">
        <v>43.55</v>
      </c>
      <c r="O1346" s="116">
        <v>42.5</v>
      </c>
      <c r="P1346" s="116">
        <v>42.75</v>
      </c>
      <c r="Q1346" s="116">
        <v>42.8</v>
      </c>
      <c r="R1346">
        <v>19799689</v>
      </c>
    </row>
    <row r="1347" spans="1:18" x14ac:dyDescent="0.25">
      <c r="A1347" s="170">
        <v>43993</v>
      </c>
      <c r="B1347" s="116">
        <v>42.8</v>
      </c>
      <c r="C1347" s="116">
        <v>41.1</v>
      </c>
      <c r="D1347" s="116">
        <v>40.9</v>
      </c>
      <c r="E1347" s="116">
        <v>42.8</v>
      </c>
      <c r="F1347" s="116">
        <v>41.1</v>
      </c>
      <c r="G1347">
        <v>1364948</v>
      </c>
      <c r="H1347" s="116"/>
      <c r="I1347" s="116"/>
      <c r="L1347" s="170">
        <v>43993</v>
      </c>
      <c r="M1347" s="116">
        <v>41.2</v>
      </c>
      <c r="N1347" s="116">
        <v>42.8</v>
      </c>
      <c r="O1347" s="116">
        <v>41</v>
      </c>
      <c r="P1347" s="116">
        <v>42.8</v>
      </c>
      <c r="Q1347" s="116">
        <v>41.2</v>
      </c>
      <c r="R1347">
        <v>23571592</v>
      </c>
    </row>
    <row r="1348" spans="1:18" x14ac:dyDescent="0.25">
      <c r="A1348" s="170">
        <v>43994</v>
      </c>
      <c r="B1348" s="116">
        <v>42.1</v>
      </c>
      <c r="C1348" s="116">
        <v>41.75</v>
      </c>
      <c r="D1348" s="116">
        <v>38</v>
      </c>
      <c r="E1348" s="116">
        <v>39</v>
      </c>
      <c r="F1348" s="116">
        <v>41.75</v>
      </c>
      <c r="G1348">
        <v>2237790</v>
      </c>
      <c r="H1348" s="116"/>
      <c r="I1348" s="116"/>
      <c r="L1348" s="170">
        <v>43994</v>
      </c>
      <c r="M1348" s="116">
        <v>41.7</v>
      </c>
      <c r="N1348" s="116">
        <v>42.15</v>
      </c>
      <c r="O1348" s="116">
        <v>37.799999999999997</v>
      </c>
      <c r="P1348" s="116">
        <v>38</v>
      </c>
      <c r="Q1348" s="116">
        <v>41.7</v>
      </c>
      <c r="R1348">
        <v>43585696</v>
      </c>
    </row>
    <row r="1349" spans="1:18" x14ac:dyDescent="0.25">
      <c r="A1349" s="170">
        <v>43997</v>
      </c>
      <c r="B1349" s="116">
        <v>43</v>
      </c>
      <c r="C1349" s="116">
        <v>42.4</v>
      </c>
      <c r="D1349" s="116">
        <v>41.75</v>
      </c>
      <c r="E1349" s="116">
        <v>42.35</v>
      </c>
      <c r="F1349" s="116">
        <v>42.4</v>
      </c>
      <c r="G1349">
        <v>2196691</v>
      </c>
      <c r="H1349" s="116"/>
      <c r="I1349" s="116"/>
      <c r="L1349" s="170">
        <v>43997</v>
      </c>
      <c r="M1349" s="116">
        <v>42.4</v>
      </c>
      <c r="N1349" s="116">
        <v>43</v>
      </c>
      <c r="O1349" s="116">
        <v>41.55</v>
      </c>
      <c r="P1349" s="116">
        <v>41.7</v>
      </c>
      <c r="Q1349" s="116">
        <v>42.4</v>
      </c>
      <c r="R1349">
        <v>32174680</v>
      </c>
    </row>
    <row r="1350" spans="1:18" x14ac:dyDescent="0.25">
      <c r="A1350" s="170">
        <v>43998</v>
      </c>
      <c r="B1350" s="116">
        <v>43.85</v>
      </c>
      <c r="C1350" s="116">
        <v>41.05</v>
      </c>
      <c r="D1350" s="116">
        <v>40.25</v>
      </c>
      <c r="E1350" s="116">
        <v>43.85</v>
      </c>
      <c r="F1350" s="116">
        <v>41.05</v>
      </c>
      <c r="G1350">
        <v>2767402</v>
      </c>
      <c r="H1350" s="116"/>
      <c r="I1350" s="116"/>
      <c r="L1350" s="170">
        <v>43998</v>
      </c>
      <c r="M1350" s="116">
        <v>41.05</v>
      </c>
      <c r="N1350" s="116">
        <v>43.45</v>
      </c>
      <c r="O1350" s="116">
        <v>40.200000000000003</v>
      </c>
      <c r="P1350" s="116">
        <v>43.45</v>
      </c>
      <c r="Q1350" s="116">
        <v>41.05</v>
      </c>
      <c r="R1350">
        <v>33915142</v>
      </c>
    </row>
    <row r="1351" spans="1:18" x14ac:dyDescent="0.25">
      <c r="A1351" s="170">
        <v>43999</v>
      </c>
      <c r="B1351" s="116">
        <v>42.2</v>
      </c>
      <c r="C1351" s="116">
        <v>41.35</v>
      </c>
      <c r="D1351" s="116">
        <v>40.200000000000003</v>
      </c>
      <c r="E1351" s="116">
        <v>40.799999999999997</v>
      </c>
      <c r="F1351" s="116">
        <v>41.35</v>
      </c>
      <c r="G1351">
        <v>2687851</v>
      </c>
      <c r="H1351" s="116"/>
      <c r="I1351" s="116"/>
      <c r="L1351" s="170">
        <v>43999</v>
      </c>
      <c r="M1351" s="116">
        <v>41.25</v>
      </c>
      <c r="N1351" s="116">
        <v>42.2</v>
      </c>
      <c r="O1351" s="116">
        <v>40.15</v>
      </c>
      <c r="P1351" s="116">
        <v>40.9</v>
      </c>
      <c r="Q1351" s="116">
        <v>41.25</v>
      </c>
      <c r="R1351">
        <v>30297033</v>
      </c>
    </row>
    <row r="1352" spans="1:18" x14ac:dyDescent="0.25">
      <c r="A1352" s="170">
        <v>44000</v>
      </c>
      <c r="B1352" s="116">
        <v>43.35</v>
      </c>
      <c r="C1352" s="116">
        <v>42.9</v>
      </c>
      <c r="D1352" s="116">
        <v>41.1</v>
      </c>
      <c r="E1352" s="116">
        <v>41.2</v>
      </c>
      <c r="F1352" s="116">
        <v>42.9</v>
      </c>
      <c r="G1352">
        <v>3261744</v>
      </c>
      <c r="H1352" s="116"/>
      <c r="I1352" s="116"/>
      <c r="L1352" s="170">
        <v>44000</v>
      </c>
      <c r="M1352" s="116">
        <v>42.95</v>
      </c>
      <c r="N1352" s="116">
        <v>43.35</v>
      </c>
      <c r="O1352" s="116">
        <v>41.1</v>
      </c>
      <c r="P1352" s="116">
        <v>41.1</v>
      </c>
      <c r="Q1352" s="116">
        <v>42.95</v>
      </c>
      <c r="R1352">
        <v>29310786</v>
      </c>
    </row>
    <row r="1353" spans="1:18" x14ac:dyDescent="0.25">
      <c r="A1353" s="170">
        <v>44001</v>
      </c>
      <c r="B1353" s="116">
        <v>43.9</v>
      </c>
      <c r="C1353" s="116">
        <v>43.25</v>
      </c>
      <c r="D1353" s="116">
        <v>42.85</v>
      </c>
      <c r="E1353" s="116">
        <v>43.2</v>
      </c>
      <c r="F1353" s="116">
        <v>43.25</v>
      </c>
      <c r="G1353">
        <v>1407259</v>
      </c>
      <c r="H1353" s="116"/>
      <c r="I1353" s="116"/>
      <c r="L1353" s="170">
        <v>44001</v>
      </c>
      <c r="M1353" s="116">
        <v>43.2</v>
      </c>
      <c r="N1353" s="116">
        <v>43.95</v>
      </c>
      <c r="O1353" s="116">
        <v>42.8</v>
      </c>
      <c r="P1353" s="116">
        <v>43.45</v>
      </c>
      <c r="Q1353" s="116">
        <v>43.2</v>
      </c>
      <c r="R1353">
        <v>28219725</v>
      </c>
    </row>
    <row r="1354" spans="1:18" x14ac:dyDescent="0.25">
      <c r="A1354" s="170">
        <v>44004</v>
      </c>
      <c r="B1354" s="116">
        <v>43.85</v>
      </c>
      <c r="C1354" s="116">
        <v>43.55</v>
      </c>
      <c r="D1354" s="116">
        <v>43</v>
      </c>
      <c r="E1354" s="116">
        <v>43.4</v>
      </c>
      <c r="F1354" s="116">
        <v>43.55</v>
      </c>
      <c r="G1354">
        <v>1881804</v>
      </c>
      <c r="H1354" s="116"/>
      <c r="I1354" s="116"/>
      <c r="L1354" s="170">
        <v>44004</v>
      </c>
      <c r="M1354" s="116">
        <v>43.65</v>
      </c>
      <c r="N1354" s="116">
        <v>43.9</v>
      </c>
      <c r="O1354" s="116">
        <v>43</v>
      </c>
      <c r="P1354" s="116">
        <v>43.7</v>
      </c>
      <c r="Q1354" s="116">
        <v>43.65</v>
      </c>
      <c r="R1354">
        <v>21166732</v>
      </c>
    </row>
    <row r="1355" spans="1:18" x14ac:dyDescent="0.25">
      <c r="A1355" s="170">
        <v>44005</v>
      </c>
      <c r="B1355" s="116">
        <v>44.95</v>
      </c>
      <c r="C1355" s="116">
        <v>44.65</v>
      </c>
      <c r="D1355" s="116">
        <v>42.85</v>
      </c>
      <c r="E1355" s="116">
        <v>43.9</v>
      </c>
      <c r="F1355" s="116">
        <v>44.65</v>
      </c>
      <c r="G1355">
        <v>1791681</v>
      </c>
      <c r="H1355" s="116"/>
      <c r="I1355" s="116"/>
      <c r="L1355" s="170">
        <v>44005</v>
      </c>
      <c r="M1355" s="116">
        <v>44.45</v>
      </c>
      <c r="N1355" s="116">
        <v>44.95</v>
      </c>
      <c r="O1355" s="116">
        <v>42.9</v>
      </c>
      <c r="P1355" s="116">
        <v>43.7</v>
      </c>
      <c r="Q1355" s="116">
        <v>44.45</v>
      </c>
      <c r="R1355">
        <v>36866233</v>
      </c>
    </row>
    <row r="1356" spans="1:18" x14ac:dyDescent="0.25">
      <c r="A1356" s="170">
        <v>44006</v>
      </c>
      <c r="B1356" s="116">
        <v>44.65</v>
      </c>
      <c r="C1356" s="116">
        <v>43.3</v>
      </c>
      <c r="D1356" s="116">
        <v>42.8</v>
      </c>
      <c r="E1356" s="116">
        <v>44.65</v>
      </c>
      <c r="F1356" s="116">
        <v>43.3</v>
      </c>
      <c r="G1356">
        <v>4727821</v>
      </c>
      <c r="H1356" s="116"/>
      <c r="I1356" s="116"/>
      <c r="L1356" s="170">
        <v>44006</v>
      </c>
      <c r="M1356" s="116">
        <v>43.25</v>
      </c>
      <c r="N1356" s="116">
        <v>44.65</v>
      </c>
      <c r="O1356" s="116">
        <v>42.7</v>
      </c>
      <c r="P1356" s="116">
        <v>44.4</v>
      </c>
      <c r="Q1356" s="116">
        <v>43.25</v>
      </c>
      <c r="R1356">
        <v>40592891</v>
      </c>
    </row>
    <row r="1357" spans="1:18" x14ac:dyDescent="0.25">
      <c r="A1357" s="170">
        <v>44007</v>
      </c>
      <c r="B1357" s="116">
        <v>44.6</v>
      </c>
      <c r="C1357" s="116">
        <v>43.9</v>
      </c>
      <c r="D1357" s="116">
        <v>43</v>
      </c>
      <c r="E1357" s="116">
        <v>43</v>
      </c>
      <c r="F1357" s="116">
        <v>43.9</v>
      </c>
      <c r="G1357">
        <v>3192279</v>
      </c>
      <c r="H1357" s="116"/>
      <c r="I1357" s="116"/>
      <c r="L1357" s="170">
        <v>44007</v>
      </c>
      <c r="M1357" s="116">
        <v>44</v>
      </c>
      <c r="N1357" s="116">
        <v>44.6</v>
      </c>
      <c r="O1357" s="116">
        <v>43.1</v>
      </c>
      <c r="P1357" s="116">
        <v>43.15</v>
      </c>
      <c r="Q1357" s="116">
        <v>44</v>
      </c>
      <c r="R1357">
        <v>35940234</v>
      </c>
    </row>
    <row r="1358" spans="1:18" x14ac:dyDescent="0.25">
      <c r="A1358" s="170">
        <v>44008</v>
      </c>
      <c r="B1358" s="116">
        <v>47.35</v>
      </c>
      <c r="C1358" s="116">
        <v>46.35</v>
      </c>
      <c r="D1358" s="116">
        <v>44.25</v>
      </c>
      <c r="E1358" s="116">
        <v>44.25</v>
      </c>
      <c r="F1358" s="116">
        <v>46.35</v>
      </c>
      <c r="G1358">
        <v>3401088</v>
      </c>
      <c r="H1358" s="116"/>
      <c r="I1358" s="116"/>
      <c r="L1358" s="170">
        <v>44008</v>
      </c>
      <c r="M1358" s="116">
        <v>46.35</v>
      </c>
      <c r="N1358" s="116">
        <v>47.4</v>
      </c>
      <c r="O1358" s="116">
        <v>44.3</v>
      </c>
      <c r="P1358" s="116">
        <v>44.45</v>
      </c>
      <c r="Q1358" s="116">
        <v>46.35</v>
      </c>
      <c r="R1358">
        <v>46056290</v>
      </c>
    </row>
    <row r="1359" spans="1:18" x14ac:dyDescent="0.25">
      <c r="A1359" s="170">
        <v>44011</v>
      </c>
      <c r="B1359" s="116">
        <v>47.2</v>
      </c>
      <c r="C1359" s="116">
        <v>44.75</v>
      </c>
      <c r="D1359" s="116">
        <v>44.5</v>
      </c>
      <c r="E1359" s="116">
        <v>46.75</v>
      </c>
      <c r="F1359" s="116">
        <v>44.75</v>
      </c>
      <c r="G1359">
        <v>1713913</v>
      </c>
      <c r="H1359" s="116"/>
      <c r="I1359" s="116"/>
      <c r="L1359" s="170">
        <v>44011</v>
      </c>
      <c r="M1359" s="116">
        <v>44.85</v>
      </c>
      <c r="N1359" s="116">
        <v>47.25</v>
      </c>
      <c r="O1359" s="116">
        <v>44.45</v>
      </c>
      <c r="P1359" s="116">
        <v>46.45</v>
      </c>
      <c r="Q1359" s="116">
        <v>44.85</v>
      </c>
      <c r="R1359">
        <v>29330081</v>
      </c>
    </row>
    <row r="1360" spans="1:18" x14ac:dyDescent="0.25">
      <c r="A1360" s="170">
        <v>44012</v>
      </c>
      <c r="B1360" s="116">
        <v>45.8</v>
      </c>
      <c r="C1360" s="116">
        <v>44.9</v>
      </c>
      <c r="D1360" s="116">
        <v>44.15</v>
      </c>
      <c r="E1360" s="116">
        <v>45.1</v>
      </c>
      <c r="F1360" s="116">
        <v>44.9</v>
      </c>
      <c r="G1360">
        <v>1485868</v>
      </c>
      <c r="H1360" s="116"/>
      <c r="I1360" s="116"/>
      <c r="L1360" s="170">
        <v>44012</v>
      </c>
      <c r="M1360" s="116">
        <v>44.85</v>
      </c>
      <c r="N1360" s="116">
        <v>45.85</v>
      </c>
      <c r="O1360" s="116">
        <v>44.1</v>
      </c>
      <c r="P1360" s="116">
        <v>45.7</v>
      </c>
      <c r="Q1360" s="116">
        <v>44.85</v>
      </c>
      <c r="R1360">
        <v>26717577</v>
      </c>
    </row>
    <row r="1361" spans="1:18" x14ac:dyDescent="0.25">
      <c r="A1361" s="170">
        <v>44013</v>
      </c>
      <c r="B1361" s="116">
        <v>46.6</v>
      </c>
      <c r="C1361" s="116">
        <v>46</v>
      </c>
      <c r="D1361" s="116">
        <v>44.05</v>
      </c>
      <c r="E1361" s="116">
        <v>44.9</v>
      </c>
      <c r="F1361" s="116">
        <v>46</v>
      </c>
      <c r="G1361">
        <v>1601212</v>
      </c>
      <c r="H1361" s="116"/>
      <c r="I1361" s="116"/>
      <c r="L1361" s="170">
        <v>44013</v>
      </c>
      <c r="M1361" s="116">
        <v>46.1</v>
      </c>
      <c r="N1361" s="116">
        <v>46.7</v>
      </c>
      <c r="O1361" s="116">
        <v>44.05</v>
      </c>
      <c r="P1361" s="116">
        <v>45</v>
      </c>
      <c r="Q1361" s="116">
        <v>46.1</v>
      </c>
      <c r="R1361">
        <v>28894350</v>
      </c>
    </row>
    <row r="1362" spans="1:18" x14ac:dyDescent="0.25">
      <c r="A1362" s="170">
        <v>44014</v>
      </c>
      <c r="B1362" s="116">
        <v>50.6</v>
      </c>
      <c r="C1362" s="116">
        <v>49.85</v>
      </c>
      <c r="D1362" s="116">
        <v>45.8</v>
      </c>
      <c r="E1362" s="116">
        <v>46.95</v>
      </c>
      <c r="F1362" s="116">
        <v>49.85</v>
      </c>
      <c r="G1362">
        <v>5878422</v>
      </c>
      <c r="H1362" s="116"/>
      <c r="I1362" s="116"/>
      <c r="L1362" s="170">
        <v>44014</v>
      </c>
      <c r="M1362" s="116">
        <v>49.8</v>
      </c>
      <c r="N1362" s="116">
        <v>50.7</v>
      </c>
      <c r="O1362" s="116">
        <v>45.75</v>
      </c>
      <c r="P1362" s="116">
        <v>46.65</v>
      </c>
      <c r="Q1362" s="116">
        <v>49.8</v>
      </c>
      <c r="R1362">
        <v>112208004</v>
      </c>
    </row>
    <row r="1363" spans="1:18" x14ac:dyDescent="0.25">
      <c r="A1363" s="170">
        <v>44015</v>
      </c>
      <c r="B1363" s="116">
        <v>51.15</v>
      </c>
      <c r="C1363" s="116">
        <v>49.95</v>
      </c>
      <c r="D1363" s="116">
        <v>49.5</v>
      </c>
      <c r="E1363" s="116">
        <v>50.7</v>
      </c>
      <c r="F1363" s="116">
        <v>49.95</v>
      </c>
      <c r="G1363">
        <v>4780535</v>
      </c>
      <c r="H1363" s="116"/>
      <c r="I1363" s="116"/>
      <c r="L1363" s="170">
        <v>44015</v>
      </c>
      <c r="M1363" s="116">
        <v>49.9</v>
      </c>
      <c r="N1363" s="116">
        <v>51.2</v>
      </c>
      <c r="O1363" s="116">
        <v>49.35</v>
      </c>
      <c r="P1363" s="116">
        <v>50.45</v>
      </c>
      <c r="Q1363" s="116">
        <v>49.9</v>
      </c>
      <c r="R1363">
        <v>62702080</v>
      </c>
    </row>
    <row r="1364" spans="1:18" x14ac:dyDescent="0.25">
      <c r="A1364" s="170">
        <v>44018</v>
      </c>
      <c r="B1364" s="116">
        <v>50.9</v>
      </c>
      <c r="C1364" s="116">
        <v>50.4</v>
      </c>
      <c r="D1364" s="116">
        <v>49.95</v>
      </c>
      <c r="E1364" s="116">
        <v>50.9</v>
      </c>
      <c r="F1364" s="116">
        <v>50.4</v>
      </c>
      <c r="G1364">
        <v>2564624</v>
      </c>
      <c r="H1364" s="116"/>
      <c r="I1364" s="116"/>
      <c r="L1364" s="170">
        <v>44018</v>
      </c>
      <c r="M1364" s="116">
        <v>50.35</v>
      </c>
      <c r="N1364" s="116">
        <v>50.9</v>
      </c>
      <c r="O1364" s="116">
        <v>49.9</v>
      </c>
      <c r="P1364" s="116">
        <v>50.65</v>
      </c>
      <c r="Q1364" s="116">
        <v>50.35</v>
      </c>
      <c r="R1364">
        <v>33196343</v>
      </c>
    </row>
    <row r="1365" spans="1:18" x14ac:dyDescent="0.25">
      <c r="A1365" s="170">
        <v>44019</v>
      </c>
      <c r="B1365" s="116">
        <v>51.2</v>
      </c>
      <c r="C1365" s="116">
        <v>50.9</v>
      </c>
      <c r="D1365" s="116">
        <v>50.1</v>
      </c>
      <c r="E1365" s="116">
        <v>50.5</v>
      </c>
      <c r="F1365" s="116">
        <v>50.9</v>
      </c>
      <c r="G1365">
        <v>2500167</v>
      </c>
      <c r="H1365" s="116"/>
      <c r="I1365" s="116"/>
      <c r="L1365" s="170">
        <v>44019</v>
      </c>
      <c r="M1365" s="116">
        <v>50.85</v>
      </c>
      <c r="N1365" s="116">
        <v>51.2</v>
      </c>
      <c r="O1365" s="116">
        <v>50</v>
      </c>
      <c r="P1365" s="116">
        <v>50.35</v>
      </c>
      <c r="Q1365" s="116">
        <v>50.85</v>
      </c>
      <c r="R1365">
        <v>25556074</v>
      </c>
    </row>
    <row r="1366" spans="1:18" x14ac:dyDescent="0.25">
      <c r="A1366" s="170">
        <v>44020</v>
      </c>
      <c r="B1366" s="116">
        <v>52.65</v>
      </c>
      <c r="C1366" s="116">
        <v>52.15</v>
      </c>
      <c r="D1366" s="116">
        <v>50.7</v>
      </c>
      <c r="E1366" s="116">
        <v>51.35</v>
      </c>
      <c r="F1366" s="116">
        <v>52.15</v>
      </c>
      <c r="G1366">
        <v>3263675</v>
      </c>
      <c r="H1366" s="116"/>
      <c r="I1366" s="116"/>
      <c r="L1366" s="170">
        <v>44020</v>
      </c>
      <c r="M1366" s="116">
        <v>52.2</v>
      </c>
      <c r="N1366" s="116">
        <v>52.7</v>
      </c>
      <c r="O1366" s="116">
        <v>50.7</v>
      </c>
      <c r="P1366" s="116">
        <v>50.85</v>
      </c>
      <c r="Q1366" s="116">
        <v>52.2</v>
      </c>
      <c r="R1366">
        <v>41927852</v>
      </c>
    </row>
    <row r="1367" spans="1:18" x14ac:dyDescent="0.25">
      <c r="A1367" s="170">
        <v>44021</v>
      </c>
      <c r="B1367" s="116">
        <v>53.2</v>
      </c>
      <c r="C1367" s="116">
        <v>52.55</v>
      </c>
      <c r="D1367" s="116">
        <v>52.15</v>
      </c>
      <c r="E1367" s="116">
        <v>52.25</v>
      </c>
      <c r="F1367" s="116">
        <v>52.55</v>
      </c>
      <c r="G1367">
        <v>1053434</v>
      </c>
      <c r="H1367" s="116"/>
      <c r="I1367" s="116"/>
      <c r="L1367" s="170">
        <v>44021</v>
      </c>
      <c r="M1367" s="116">
        <v>52.5</v>
      </c>
      <c r="N1367" s="116">
        <v>53.2</v>
      </c>
      <c r="O1367" s="116">
        <v>52.1</v>
      </c>
      <c r="P1367" s="116">
        <v>52.45</v>
      </c>
      <c r="Q1367" s="116">
        <v>52.5</v>
      </c>
      <c r="R1367">
        <v>26307686</v>
      </c>
    </row>
    <row r="1368" spans="1:18" x14ac:dyDescent="0.25">
      <c r="A1368" s="170">
        <v>44022</v>
      </c>
      <c r="B1368" s="116">
        <v>52.45</v>
      </c>
      <c r="C1368" s="116">
        <v>50.35</v>
      </c>
      <c r="D1368" s="116">
        <v>49.65</v>
      </c>
      <c r="E1368" s="116">
        <v>50.2</v>
      </c>
      <c r="F1368" s="116">
        <v>50.35</v>
      </c>
      <c r="G1368">
        <v>3661585</v>
      </c>
      <c r="H1368" s="116"/>
      <c r="I1368" s="116"/>
      <c r="L1368" s="170">
        <v>44022</v>
      </c>
      <c r="M1368" s="116">
        <v>50.3</v>
      </c>
      <c r="N1368" s="116">
        <v>52.45</v>
      </c>
      <c r="O1368" s="116">
        <v>49.7</v>
      </c>
      <c r="P1368" s="116">
        <v>50.6</v>
      </c>
      <c r="Q1368" s="116">
        <v>50.3</v>
      </c>
      <c r="R1368">
        <v>53816347</v>
      </c>
    </row>
    <row r="1369" spans="1:18" x14ac:dyDescent="0.25">
      <c r="A1369" s="170">
        <v>44025</v>
      </c>
      <c r="B1369" s="116">
        <v>51</v>
      </c>
      <c r="C1369" s="116">
        <v>49.6</v>
      </c>
      <c r="D1369" s="116">
        <v>49.15</v>
      </c>
      <c r="E1369" s="116">
        <v>51</v>
      </c>
      <c r="F1369" s="116">
        <v>49.6</v>
      </c>
      <c r="G1369">
        <v>1496616</v>
      </c>
      <c r="H1369" s="116"/>
      <c r="I1369" s="116"/>
      <c r="L1369" s="170">
        <v>44025</v>
      </c>
      <c r="M1369" s="116">
        <v>49.65</v>
      </c>
      <c r="N1369" s="116">
        <v>51.1</v>
      </c>
      <c r="O1369" s="116">
        <v>49.15</v>
      </c>
      <c r="P1369" s="116">
        <v>50.9</v>
      </c>
      <c r="Q1369" s="116">
        <v>49.65</v>
      </c>
      <c r="R1369">
        <v>23184293</v>
      </c>
    </row>
    <row r="1370" spans="1:18" x14ac:dyDescent="0.25">
      <c r="A1370" s="170">
        <v>44026</v>
      </c>
      <c r="B1370" s="116">
        <v>49.05</v>
      </c>
      <c r="C1370" s="116">
        <v>48.15</v>
      </c>
      <c r="D1370" s="116">
        <v>47</v>
      </c>
      <c r="E1370" s="116">
        <v>48.95</v>
      </c>
      <c r="F1370" s="116">
        <v>48.15</v>
      </c>
      <c r="G1370">
        <v>1534696</v>
      </c>
      <c r="H1370" s="116"/>
      <c r="I1370" s="116"/>
      <c r="L1370" s="170">
        <v>44026</v>
      </c>
      <c r="M1370" s="116">
        <v>48.15</v>
      </c>
      <c r="N1370" s="116">
        <v>49.1</v>
      </c>
      <c r="O1370" s="116">
        <v>46.9</v>
      </c>
      <c r="P1370" s="116">
        <v>49.1</v>
      </c>
      <c r="Q1370" s="116">
        <v>48.15</v>
      </c>
      <c r="R1370">
        <v>29076742</v>
      </c>
    </row>
    <row r="1371" spans="1:18" x14ac:dyDescent="0.25">
      <c r="A1371" s="170">
        <v>44027</v>
      </c>
      <c r="B1371" s="116">
        <v>48.85</v>
      </c>
      <c r="C1371" s="116">
        <v>47.1</v>
      </c>
      <c r="D1371" s="116">
        <v>46.9</v>
      </c>
      <c r="E1371" s="116">
        <v>48.15</v>
      </c>
      <c r="F1371" s="116">
        <v>47.1</v>
      </c>
      <c r="G1371">
        <v>863820</v>
      </c>
      <c r="H1371" s="116"/>
      <c r="I1371" s="116"/>
      <c r="L1371" s="170">
        <v>44027</v>
      </c>
      <c r="M1371" s="116">
        <v>47.15</v>
      </c>
      <c r="N1371" s="116">
        <v>49</v>
      </c>
      <c r="O1371" s="116">
        <v>46.8</v>
      </c>
      <c r="P1371" s="116">
        <v>48.5</v>
      </c>
      <c r="Q1371" s="116">
        <v>47.15</v>
      </c>
      <c r="R1371">
        <v>18653252</v>
      </c>
    </row>
    <row r="1372" spans="1:18" x14ac:dyDescent="0.25">
      <c r="A1372" s="170">
        <v>44028</v>
      </c>
      <c r="B1372" s="116">
        <v>47.65</v>
      </c>
      <c r="C1372" s="116">
        <v>46.65</v>
      </c>
      <c r="D1372" s="116">
        <v>46</v>
      </c>
      <c r="E1372" s="116">
        <v>47.65</v>
      </c>
      <c r="F1372" s="116">
        <v>46.65</v>
      </c>
      <c r="G1372">
        <v>1231120</v>
      </c>
      <c r="H1372" s="116"/>
      <c r="I1372" s="116"/>
      <c r="L1372" s="170">
        <v>44028</v>
      </c>
      <c r="M1372" s="116">
        <v>46.7</v>
      </c>
      <c r="N1372" s="116">
        <v>47.7</v>
      </c>
      <c r="O1372" s="116">
        <v>45.95</v>
      </c>
      <c r="P1372" s="116">
        <v>47</v>
      </c>
      <c r="Q1372" s="116">
        <v>46.7</v>
      </c>
      <c r="R1372">
        <v>17980352</v>
      </c>
    </row>
    <row r="1373" spans="1:18" x14ac:dyDescent="0.25">
      <c r="A1373" s="170">
        <v>44029</v>
      </c>
      <c r="B1373" s="116">
        <v>49.5</v>
      </c>
      <c r="C1373" s="116">
        <v>49.3</v>
      </c>
      <c r="D1373" s="116">
        <v>47.25</v>
      </c>
      <c r="E1373" s="116">
        <v>47.8</v>
      </c>
      <c r="F1373" s="116">
        <v>49.3</v>
      </c>
      <c r="G1373">
        <v>2096205</v>
      </c>
      <c r="H1373" s="116"/>
      <c r="I1373" s="116"/>
      <c r="L1373" s="170">
        <v>44029</v>
      </c>
      <c r="M1373" s="116">
        <v>49.3</v>
      </c>
      <c r="N1373" s="116">
        <v>49.6</v>
      </c>
      <c r="O1373" s="116">
        <v>47.2</v>
      </c>
      <c r="P1373" s="116">
        <v>47.2</v>
      </c>
      <c r="Q1373" s="116">
        <v>49.3</v>
      </c>
      <c r="R1373">
        <v>31130318</v>
      </c>
    </row>
    <row r="1374" spans="1:18" x14ac:dyDescent="0.25">
      <c r="A1374" s="170">
        <v>44032</v>
      </c>
      <c r="B1374" s="116">
        <v>49.95</v>
      </c>
      <c r="C1374" s="116">
        <v>49.05</v>
      </c>
      <c r="D1374" s="116">
        <v>48.75</v>
      </c>
      <c r="E1374" s="116">
        <v>49.6</v>
      </c>
      <c r="F1374" s="116">
        <v>49.05</v>
      </c>
      <c r="G1374">
        <v>1155462</v>
      </c>
      <c r="H1374" s="116"/>
      <c r="I1374" s="116"/>
      <c r="L1374" s="170">
        <v>44032</v>
      </c>
      <c r="M1374" s="116">
        <v>49.05</v>
      </c>
      <c r="N1374" s="116">
        <v>50</v>
      </c>
      <c r="O1374" s="116">
        <v>48.75</v>
      </c>
      <c r="P1374" s="116">
        <v>50</v>
      </c>
      <c r="Q1374" s="116">
        <v>49.05</v>
      </c>
      <c r="R1374">
        <v>16779115</v>
      </c>
    </row>
    <row r="1375" spans="1:18" x14ac:dyDescent="0.25">
      <c r="A1375" s="170">
        <v>44033</v>
      </c>
      <c r="B1375" s="116">
        <v>49.5</v>
      </c>
      <c r="C1375" s="116">
        <v>48.85</v>
      </c>
      <c r="D1375" s="116">
        <v>48.55</v>
      </c>
      <c r="E1375" s="116">
        <v>49.1</v>
      </c>
      <c r="F1375" s="116">
        <v>48.85</v>
      </c>
      <c r="G1375">
        <v>846889</v>
      </c>
      <c r="H1375" s="116"/>
      <c r="I1375" s="116"/>
      <c r="L1375" s="170">
        <v>44033</v>
      </c>
      <c r="M1375" s="116">
        <v>48.85</v>
      </c>
      <c r="N1375" s="116">
        <v>49.5</v>
      </c>
      <c r="O1375" s="116">
        <v>48.55</v>
      </c>
      <c r="P1375" s="116">
        <v>49.5</v>
      </c>
      <c r="Q1375" s="116">
        <v>48.85</v>
      </c>
      <c r="R1375">
        <v>11941141</v>
      </c>
    </row>
    <row r="1376" spans="1:18" x14ac:dyDescent="0.25">
      <c r="A1376" s="170">
        <v>44034</v>
      </c>
      <c r="B1376" s="116">
        <v>51.45</v>
      </c>
      <c r="C1376" s="116">
        <v>50</v>
      </c>
      <c r="D1376" s="116">
        <v>48.55</v>
      </c>
      <c r="E1376" s="116">
        <v>49</v>
      </c>
      <c r="F1376" s="116">
        <v>50</v>
      </c>
      <c r="G1376">
        <v>1634292</v>
      </c>
      <c r="H1376" s="116"/>
      <c r="I1376" s="116"/>
      <c r="L1376" s="170">
        <v>44034</v>
      </c>
      <c r="M1376" s="116">
        <v>50.05</v>
      </c>
      <c r="N1376" s="116">
        <v>51.45</v>
      </c>
      <c r="O1376" s="116">
        <v>48.55</v>
      </c>
      <c r="P1376" s="116">
        <v>48.65</v>
      </c>
      <c r="Q1376" s="116">
        <v>50.05</v>
      </c>
      <c r="R1376">
        <v>30638770</v>
      </c>
    </row>
    <row r="1377" spans="1:18" x14ac:dyDescent="0.25">
      <c r="A1377" s="170">
        <v>44035</v>
      </c>
      <c r="B1377" s="116">
        <v>50.35</v>
      </c>
      <c r="C1377" s="116">
        <v>50</v>
      </c>
      <c r="D1377" s="116">
        <v>49.5</v>
      </c>
      <c r="E1377" s="116">
        <v>50.2</v>
      </c>
      <c r="F1377" s="116">
        <v>50</v>
      </c>
      <c r="G1377">
        <v>629835</v>
      </c>
      <c r="H1377" s="116"/>
      <c r="I1377" s="116"/>
      <c r="L1377" s="170">
        <v>44035</v>
      </c>
      <c r="M1377" s="116">
        <v>50</v>
      </c>
      <c r="N1377" s="116">
        <v>50.35</v>
      </c>
      <c r="O1377" s="116">
        <v>49.55</v>
      </c>
      <c r="P1377" s="116">
        <v>50</v>
      </c>
      <c r="Q1377" s="116">
        <v>50</v>
      </c>
      <c r="R1377">
        <v>18215827</v>
      </c>
    </row>
    <row r="1378" spans="1:18" x14ac:dyDescent="0.25">
      <c r="A1378" s="170">
        <v>44036</v>
      </c>
      <c r="B1378" s="116">
        <v>50.4</v>
      </c>
      <c r="C1378" s="116">
        <v>48.9</v>
      </c>
      <c r="D1378" s="116">
        <v>48.7</v>
      </c>
      <c r="E1378" s="116">
        <v>50.15</v>
      </c>
      <c r="F1378" s="116">
        <v>48.9</v>
      </c>
      <c r="G1378">
        <v>835483</v>
      </c>
      <c r="H1378" s="116"/>
      <c r="I1378" s="116"/>
      <c r="L1378" s="170">
        <v>44036</v>
      </c>
      <c r="M1378" s="116">
        <v>48.9</v>
      </c>
      <c r="N1378" s="116">
        <v>50.4</v>
      </c>
      <c r="O1378" s="116">
        <v>48.65</v>
      </c>
      <c r="P1378" s="116">
        <v>49.95</v>
      </c>
      <c r="Q1378" s="116">
        <v>48.9</v>
      </c>
      <c r="R1378">
        <v>15734708</v>
      </c>
    </row>
    <row r="1379" spans="1:18" x14ac:dyDescent="0.25">
      <c r="A1379" s="170">
        <v>44039</v>
      </c>
      <c r="B1379" s="116">
        <v>50.35</v>
      </c>
      <c r="C1379" s="116">
        <v>49.5</v>
      </c>
      <c r="D1379" s="116">
        <v>47.75</v>
      </c>
      <c r="E1379" s="116">
        <v>48.9</v>
      </c>
      <c r="F1379" s="116">
        <v>49.5</v>
      </c>
      <c r="G1379">
        <v>1046769</v>
      </c>
      <c r="H1379" s="116"/>
      <c r="I1379" s="116"/>
      <c r="L1379" s="170">
        <v>44039</v>
      </c>
      <c r="M1379" s="116">
        <v>49.5</v>
      </c>
      <c r="N1379" s="116">
        <v>50.4</v>
      </c>
      <c r="O1379" s="116">
        <v>47.7</v>
      </c>
      <c r="P1379" s="116">
        <v>48.8</v>
      </c>
      <c r="Q1379" s="116">
        <v>49.5</v>
      </c>
      <c r="R1379">
        <v>26232321</v>
      </c>
    </row>
    <row r="1380" spans="1:18" x14ac:dyDescent="0.25">
      <c r="A1380" s="170">
        <v>44040</v>
      </c>
      <c r="B1380" s="116">
        <v>50.45</v>
      </c>
      <c r="C1380" s="116">
        <v>49.2</v>
      </c>
      <c r="D1380" s="116">
        <v>48.6</v>
      </c>
      <c r="E1380" s="116">
        <v>49.75</v>
      </c>
      <c r="F1380" s="116">
        <v>49.2</v>
      </c>
      <c r="G1380">
        <v>641842</v>
      </c>
      <c r="H1380" s="116"/>
      <c r="I1380" s="116"/>
      <c r="L1380" s="170">
        <v>44040</v>
      </c>
      <c r="M1380" s="116">
        <v>49.15</v>
      </c>
      <c r="N1380" s="116">
        <v>50.4</v>
      </c>
      <c r="O1380" s="116">
        <v>48.55</v>
      </c>
      <c r="P1380" s="116">
        <v>49.65</v>
      </c>
      <c r="Q1380" s="116">
        <v>49.15</v>
      </c>
      <c r="R1380">
        <v>19972798</v>
      </c>
    </row>
    <row r="1381" spans="1:18" x14ac:dyDescent="0.25">
      <c r="A1381" s="170">
        <v>44041</v>
      </c>
      <c r="B1381" s="116">
        <v>50.35</v>
      </c>
      <c r="C1381" s="116">
        <v>49.75</v>
      </c>
      <c r="D1381" s="116">
        <v>49.25</v>
      </c>
      <c r="E1381" s="116">
        <v>49.25</v>
      </c>
      <c r="F1381" s="116">
        <v>49.75</v>
      </c>
      <c r="G1381">
        <v>1080551</v>
      </c>
      <c r="H1381" s="116"/>
      <c r="I1381" s="116"/>
      <c r="L1381" s="170">
        <v>44041</v>
      </c>
      <c r="M1381" s="116">
        <v>49.75</v>
      </c>
      <c r="N1381" s="116">
        <v>50.35</v>
      </c>
      <c r="O1381" s="116">
        <v>49.2</v>
      </c>
      <c r="P1381" s="116">
        <v>49.25</v>
      </c>
      <c r="Q1381" s="116">
        <v>49.75</v>
      </c>
      <c r="R1381">
        <v>18449635</v>
      </c>
    </row>
    <row r="1382" spans="1:18" x14ac:dyDescent="0.25">
      <c r="A1382" s="170">
        <v>44042</v>
      </c>
      <c r="B1382" s="116">
        <v>50.2</v>
      </c>
      <c r="C1382" s="116">
        <v>48.05</v>
      </c>
      <c r="D1382" s="116">
        <v>47.6</v>
      </c>
      <c r="E1382" s="116">
        <v>50</v>
      </c>
      <c r="F1382" s="116">
        <v>48.05</v>
      </c>
      <c r="G1382">
        <v>782273</v>
      </c>
      <c r="H1382" s="116"/>
      <c r="I1382" s="116"/>
      <c r="L1382" s="170">
        <v>44042</v>
      </c>
      <c r="M1382" s="116">
        <v>48</v>
      </c>
      <c r="N1382" s="116">
        <v>50.25</v>
      </c>
      <c r="O1382" s="116">
        <v>47.6</v>
      </c>
      <c r="P1382" s="116">
        <v>49.75</v>
      </c>
      <c r="Q1382" s="116">
        <v>48</v>
      </c>
      <c r="R1382">
        <v>23602346</v>
      </c>
    </row>
    <row r="1383" spans="1:18" x14ac:dyDescent="0.25">
      <c r="A1383" s="170">
        <v>44043</v>
      </c>
      <c r="B1383" s="116">
        <v>48.95</v>
      </c>
      <c r="C1383" s="116">
        <v>48.7</v>
      </c>
      <c r="D1383" s="116">
        <v>47.5</v>
      </c>
      <c r="E1383" s="116">
        <v>48</v>
      </c>
      <c r="F1383" s="116">
        <v>48.7</v>
      </c>
      <c r="G1383">
        <v>900609</v>
      </c>
      <c r="H1383" s="116"/>
      <c r="I1383" s="116"/>
      <c r="L1383" s="170">
        <v>44043</v>
      </c>
      <c r="M1383" s="116">
        <v>48.7</v>
      </c>
      <c r="N1383" s="116">
        <v>49</v>
      </c>
      <c r="O1383" s="116">
        <v>47.5</v>
      </c>
      <c r="P1383" s="116">
        <v>48.05</v>
      </c>
      <c r="Q1383" s="116">
        <v>48.7</v>
      </c>
      <c r="R1383">
        <v>19705075</v>
      </c>
    </row>
    <row r="1384" spans="1:18" x14ac:dyDescent="0.25">
      <c r="A1384" s="170">
        <v>44046</v>
      </c>
      <c r="B1384" s="116">
        <v>49.45</v>
      </c>
      <c r="C1384" s="116">
        <v>48.75</v>
      </c>
      <c r="D1384" s="116">
        <v>48.4</v>
      </c>
      <c r="E1384" s="116">
        <v>48.7</v>
      </c>
      <c r="F1384" s="116">
        <v>48.75</v>
      </c>
      <c r="G1384">
        <v>512286</v>
      </c>
      <c r="H1384" s="116"/>
      <c r="I1384" s="116"/>
      <c r="L1384" s="170">
        <v>44046</v>
      </c>
      <c r="M1384" s="116">
        <v>48.75</v>
      </c>
      <c r="N1384" s="116">
        <v>49.5</v>
      </c>
      <c r="O1384" s="116">
        <v>48.35</v>
      </c>
      <c r="P1384" s="116">
        <v>48.8</v>
      </c>
      <c r="Q1384" s="116">
        <v>48.75</v>
      </c>
      <c r="R1384">
        <v>10560743</v>
      </c>
    </row>
    <row r="1385" spans="1:18" x14ac:dyDescent="0.25">
      <c r="A1385" s="170">
        <v>44047</v>
      </c>
      <c r="B1385" s="116">
        <v>50.4</v>
      </c>
      <c r="C1385" s="116">
        <v>49.65</v>
      </c>
      <c r="D1385" s="116">
        <v>49.05</v>
      </c>
      <c r="E1385" s="116">
        <v>49.4</v>
      </c>
      <c r="F1385" s="116">
        <v>49.65</v>
      </c>
      <c r="G1385">
        <v>880964</v>
      </c>
      <c r="H1385" s="116"/>
      <c r="I1385" s="116"/>
      <c r="L1385" s="170">
        <v>44047</v>
      </c>
      <c r="M1385" s="116">
        <v>49.7</v>
      </c>
      <c r="N1385" s="116">
        <v>50.45</v>
      </c>
      <c r="O1385" s="116">
        <v>49.1</v>
      </c>
      <c r="P1385" s="116">
        <v>49.2</v>
      </c>
      <c r="Q1385" s="116">
        <v>49.7</v>
      </c>
      <c r="R1385">
        <v>25280807</v>
      </c>
    </row>
    <row r="1386" spans="1:18" x14ac:dyDescent="0.25">
      <c r="A1386" s="170">
        <v>44048</v>
      </c>
      <c r="B1386" s="116">
        <v>49.9</v>
      </c>
      <c r="C1386" s="116">
        <v>48.9</v>
      </c>
      <c r="D1386" s="116">
        <v>48.65</v>
      </c>
      <c r="E1386" s="116">
        <v>49.7</v>
      </c>
      <c r="F1386" s="116">
        <v>48.9</v>
      </c>
      <c r="G1386">
        <v>565651</v>
      </c>
      <c r="H1386" s="116"/>
      <c r="I1386" s="116"/>
      <c r="L1386" s="170">
        <v>44048</v>
      </c>
      <c r="M1386" s="116">
        <v>48.95</v>
      </c>
      <c r="N1386" s="116">
        <v>49.95</v>
      </c>
      <c r="O1386" s="116">
        <v>48.65</v>
      </c>
      <c r="P1386" s="116">
        <v>49.95</v>
      </c>
      <c r="Q1386" s="116">
        <v>48.95</v>
      </c>
      <c r="R1386">
        <v>14901694</v>
      </c>
    </row>
    <row r="1387" spans="1:18" x14ac:dyDescent="0.25">
      <c r="A1387" s="170">
        <v>44049</v>
      </c>
      <c r="B1387" s="116">
        <v>50.1</v>
      </c>
      <c r="C1387" s="116">
        <v>49.4</v>
      </c>
      <c r="D1387" s="116">
        <v>48.5</v>
      </c>
      <c r="E1387" s="116">
        <v>48.9</v>
      </c>
      <c r="F1387" s="116">
        <v>49.4</v>
      </c>
      <c r="G1387">
        <v>950940</v>
      </c>
      <c r="H1387" s="116"/>
      <c r="I1387" s="116"/>
      <c r="L1387" s="170">
        <v>44049</v>
      </c>
      <c r="M1387" s="116">
        <v>49.4</v>
      </c>
      <c r="N1387" s="116">
        <v>50.1</v>
      </c>
      <c r="O1387" s="116">
        <v>48.5</v>
      </c>
      <c r="P1387" s="116">
        <v>49</v>
      </c>
      <c r="Q1387" s="116">
        <v>49.4</v>
      </c>
      <c r="R1387">
        <v>22695057</v>
      </c>
    </row>
    <row r="1388" spans="1:18" x14ac:dyDescent="0.25">
      <c r="A1388" s="170">
        <v>44050</v>
      </c>
      <c r="B1388" s="116">
        <v>50.6</v>
      </c>
      <c r="C1388" s="116">
        <v>49.65</v>
      </c>
      <c r="D1388" s="116">
        <v>49.2</v>
      </c>
      <c r="E1388" s="116">
        <v>49.8</v>
      </c>
      <c r="F1388" s="116">
        <v>49.65</v>
      </c>
      <c r="G1388">
        <v>729979</v>
      </c>
      <c r="H1388" s="116"/>
      <c r="I1388" s="116"/>
      <c r="L1388" s="170">
        <v>44050</v>
      </c>
      <c r="M1388" s="116">
        <v>49.7</v>
      </c>
      <c r="N1388" s="116">
        <v>50.6</v>
      </c>
      <c r="O1388" s="116">
        <v>49.1</v>
      </c>
      <c r="P1388" s="116">
        <v>49.35</v>
      </c>
      <c r="Q1388" s="116">
        <v>49.7</v>
      </c>
      <c r="R1388">
        <v>20080105</v>
      </c>
    </row>
    <row r="1389" spans="1:18" x14ac:dyDescent="0.25">
      <c r="A1389" s="170">
        <v>44053</v>
      </c>
      <c r="B1389" s="116">
        <v>51.9</v>
      </c>
      <c r="C1389" s="116">
        <v>51.45</v>
      </c>
      <c r="D1389" s="116">
        <v>49.85</v>
      </c>
      <c r="E1389" s="116">
        <v>50.45</v>
      </c>
      <c r="F1389" s="116">
        <v>51.45</v>
      </c>
      <c r="G1389">
        <v>1623448</v>
      </c>
      <c r="H1389" s="116"/>
      <c r="I1389" s="116"/>
      <c r="L1389" s="170">
        <v>44053</v>
      </c>
      <c r="M1389" s="116">
        <v>51.45</v>
      </c>
      <c r="N1389" s="116">
        <v>51.9</v>
      </c>
      <c r="O1389" s="116">
        <v>49.8</v>
      </c>
      <c r="P1389" s="116">
        <v>49.8</v>
      </c>
      <c r="Q1389" s="116">
        <v>51.45</v>
      </c>
      <c r="R1389">
        <v>27048832</v>
      </c>
    </row>
    <row r="1390" spans="1:18" x14ac:dyDescent="0.25">
      <c r="A1390" s="170">
        <v>44054</v>
      </c>
      <c r="B1390" s="116">
        <v>52.55</v>
      </c>
      <c r="C1390" s="116">
        <v>51.95</v>
      </c>
      <c r="D1390" s="116">
        <v>51.1</v>
      </c>
      <c r="E1390" s="116">
        <v>52</v>
      </c>
      <c r="F1390" s="116">
        <v>51.95</v>
      </c>
      <c r="G1390">
        <v>1126457</v>
      </c>
      <c r="H1390" s="116"/>
      <c r="I1390" s="116"/>
      <c r="L1390" s="170">
        <v>44054</v>
      </c>
      <c r="M1390" s="116">
        <v>51.9</v>
      </c>
      <c r="N1390" s="116">
        <v>52.6</v>
      </c>
      <c r="O1390" s="116">
        <v>51.1</v>
      </c>
      <c r="P1390" s="116">
        <v>51.95</v>
      </c>
      <c r="Q1390" s="116">
        <v>51.9</v>
      </c>
      <c r="R1390">
        <v>20281306</v>
      </c>
    </row>
    <row r="1391" spans="1:18" x14ac:dyDescent="0.25">
      <c r="A1391" s="170">
        <v>44055</v>
      </c>
      <c r="B1391" s="116">
        <v>53.6</v>
      </c>
      <c r="C1391" s="116">
        <v>52.95</v>
      </c>
      <c r="D1391" s="116">
        <v>51.2</v>
      </c>
      <c r="E1391" s="116">
        <v>52</v>
      </c>
      <c r="F1391" s="116">
        <v>52.95</v>
      </c>
      <c r="G1391">
        <v>2416815</v>
      </c>
      <c r="H1391" s="116"/>
      <c r="I1391" s="116"/>
      <c r="L1391" s="170">
        <v>44055</v>
      </c>
      <c r="M1391" s="116">
        <v>52.95</v>
      </c>
      <c r="N1391" s="116">
        <v>53.6</v>
      </c>
      <c r="O1391" s="116">
        <v>51.2</v>
      </c>
      <c r="P1391" s="116">
        <v>51.9</v>
      </c>
      <c r="Q1391" s="116">
        <v>52.95</v>
      </c>
      <c r="R1391">
        <v>26298223</v>
      </c>
    </row>
    <row r="1392" spans="1:18" x14ac:dyDescent="0.25">
      <c r="A1392" s="170">
        <v>44056</v>
      </c>
      <c r="B1392" s="116">
        <v>57.85</v>
      </c>
      <c r="C1392" s="116">
        <v>56.1</v>
      </c>
      <c r="D1392" s="116">
        <v>52.65</v>
      </c>
      <c r="E1392" s="116">
        <v>55</v>
      </c>
      <c r="F1392" s="116">
        <v>56.1</v>
      </c>
      <c r="G1392">
        <v>5048986</v>
      </c>
      <c r="H1392" s="116"/>
      <c r="I1392" s="116"/>
      <c r="L1392" s="170">
        <v>44056</v>
      </c>
      <c r="M1392" s="116">
        <v>56.1</v>
      </c>
      <c r="N1392" s="116">
        <v>57.9</v>
      </c>
      <c r="O1392" s="116">
        <v>52.55</v>
      </c>
      <c r="P1392" s="116">
        <v>55</v>
      </c>
      <c r="Q1392" s="116">
        <v>56.1</v>
      </c>
      <c r="R1392">
        <v>112756517</v>
      </c>
    </row>
    <row r="1393" spans="1:18" x14ac:dyDescent="0.25">
      <c r="A1393" s="170">
        <v>44057</v>
      </c>
      <c r="B1393" s="116">
        <v>57.15</v>
      </c>
      <c r="C1393" s="116">
        <v>54.95</v>
      </c>
      <c r="D1393" s="116">
        <v>54.55</v>
      </c>
      <c r="E1393" s="116">
        <v>56.75</v>
      </c>
      <c r="F1393" s="116">
        <v>54.95</v>
      </c>
      <c r="G1393">
        <v>1935633</v>
      </c>
      <c r="H1393" s="116"/>
      <c r="I1393" s="116"/>
      <c r="L1393" s="170">
        <v>44057</v>
      </c>
      <c r="M1393" s="116">
        <v>54.95</v>
      </c>
      <c r="N1393" s="116">
        <v>57.2</v>
      </c>
      <c r="O1393" s="116">
        <v>54.5</v>
      </c>
      <c r="P1393" s="116">
        <v>56.45</v>
      </c>
      <c r="Q1393" s="116">
        <v>54.95</v>
      </c>
      <c r="R1393">
        <v>39662265</v>
      </c>
    </row>
    <row r="1394" spans="1:18" x14ac:dyDescent="0.25">
      <c r="A1394" s="170">
        <v>44060</v>
      </c>
      <c r="B1394" s="116">
        <v>56.3</v>
      </c>
      <c r="C1394" s="116">
        <v>56</v>
      </c>
      <c r="D1394" s="116">
        <v>54.95</v>
      </c>
      <c r="E1394" s="116">
        <v>55.15</v>
      </c>
      <c r="F1394" s="116">
        <v>56</v>
      </c>
      <c r="G1394">
        <v>1379401</v>
      </c>
      <c r="H1394" s="116"/>
      <c r="I1394" s="116"/>
      <c r="L1394" s="170">
        <v>44060</v>
      </c>
      <c r="M1394" s="116">
        <v>56.05</v>
      </c>
      <c r="N1394" s="116">
        <v>56.35</v>
      </c>
      <c r="O1394" s="116">
        <v>54.85</v>
      </c>
      <c r="P1394" s="116">
        <v>55.5</v>
      </c>
      <c r="Q1394" s="116">
        <v>56.05</v>
      </c>
      <c r="R1394">
        <v>22575130</v>
      </c>
    </row>
    <row r="1395" spans="1:18" x14ac:dyDescent="0.25">
      <c r="A1395" s="170">
        <v>44061</v>
      </c>
      <c r="B1395" s="116">
        <v>56.45</v>
      </c>
      <c r="C1395" s="116">
        <v>55.6</v>
      </c>
      <c r="D1395" s="116">
        <v>54.95</v>
      </c>
      <c r="E1395" s="116">
        <v>56.25</v>
      </c>
      <c r="F1395" s="116">
        <v>55.6</v>
      </c>
      <c r="G1395">
        <v>2036564</v>
      </c>
      <c r="H1395" s="116"/>
      <c r="I1395" s="116"/>
      <c r="L1395" s="170">
        <v>44061</v>
      </c>
      <c r="M1395" s="116">
        <v>55.65</v>
      </c>
      <c r="N1395" s="116">
        <v>56.4</v>
      </c>
      <c r="O1395" s="116">
        <v>55</v>
      </c>
      <c r="P1395" s="116">
        <v>56.2</v>
      </c>
      <c r="Q1395" s="116">
        <v>55.65</v>
      </c>
      <c r="R1395">
        <v>24508248</v>
      </c>
    </row>
    <row r="1396" spans="1:18" x14ac:dyDescent="0.25">
      <c r="A1396" s="170">
        <v>44062</v>
      </c>
      <c r="B1396" s="116">
        <v>58.2</v>
      </c>
      <c r="C1396" s="116">
        <v>56.75</v>
      </c>
      <c r="D1396" s="116">
        <v>56</v>
      </c>
      <c r="E1396" s="116">
        <v>56.1</v>
      </c>
      <c r="F1396" s="116">
        <v>56.75</v>
      </c>
      <c r="G1396">
        <v>5186787</v>
      </c>
      <c r="H1396" s="116"/>
      <c r="I1396" s="116"/>
      <c r="L1396" s="170">
        <v>44062</v>
      </c>
      <c r="M1396" s="116">
        <v>56.7</v>
      </c>
      <c r="N1396" s="116">
        <v>58.25</v>
      </c>
      <c r="O1396" s="116">
        <v>55.8</v>
      </c>
      <c r="P1396" s="116">
        <v>56</v>
      </c>
      <c r="Q1396" s="116">
        <v>56.7</v>
      </c>
      <c r="R1396">
        <v>48760696</v>
      </c>
    </row>
    <row r="1397" spans="1:18" x14ac:dyDescent="0.25">
      <c r="A1397" s="170">
        <v>44063</v>
      </c>
      <c r="B1397" s="116">
        <v>62.3</v>
      </c>
      <c r="C1397" s="116">
        <v>61.5</v>
      </c>
      <c r="D1397" s="116">
        <v>56.1</v>
      </c>
      <c r="E1397" s="116">
        <v>56.1</v>
      </c>
      <c r="F1397" s="116">
        <v>61.5</v>
      </c>
      <c r="G1397">
        <v>6778380</v>
      </c>
      <c r="H1397" s="116"/>
      <c r="I1397" s="116"/>
      <c r="L1397" s="170">
        <v>44063</v>
      </c>
      <c r="M1397" s="116">
        <v>61.4</v>
      </c>
      <c r="N1397" s="116">
        <v>62.3</v>
      </c>
      <c r="O1397" s="116">
        <v>56</v>
      </c>
      <c r="P1397" s="116">
        <v>56.15</v>
      </c>
      <c r="Q1397" s="116">
        <v>61.4</v>
      </c>
      <c r="R1397">
        <v>117119754</v>
      </c>
    </row>
    <row r="1398" spans="1:18" x14ac:dyDescent="0.25">
      <c r="A1398" s="170">
        <v>44064</v>
      </c>
      <c r="B1398" s="116">
        <v>63.45</v>
      </c>
      <c r="C1398" s="116">
        <v>61.9</v>
      </c>
      <c r="D1398" s="116">
        <v>61.65</v>
      </c>
      <c r="E1398" s="116">
        <v>62.85</v>
      </c>
      <c r="F1398" s="116">
        <v>61.9</v>
      </c>
      <c r="G1398">
        <v>3957789</v>
      </c>
      <c r="H1398" s="116"/>
      <c r="I1398" s="116"/>
      <c r="L1398" s="170">
        <v>44064</v>
      </c>
      <c r="M1398" s="116">
        <v>61.95</v>
      </c>
      <c r="N1398" s="116">
        <v>63.4</v>
      </c>
      <c r="O1398" s="116">
        <v>61.7</v>
      </c>
      <c r="P1398" s="116">
        <v>62.5</v>
      </c>
      <c r="Q1398" s="116">
        <v>61.95</v>
      </c>
      <c r="R1398">
        <v>64263209</v>
      </c>
    </row>
    <row r="1399" spans="1:18" x14ac:dyDescent="0.25">
      <c r="A1399" s="170">
        <v>44067</v>
      </c>
      <c r="B1399" s="116">
        <v>62.7</v>
      </c>
      <c r="C1399" s="116">
        <v>60.9</v>
      </c>
      <c r="D1399" s="116">
        <v>60.15</v>
      </c>
      <c r="E1399" s="116">
        <v>62.5</v>
      </c>
      <c r="F1399" s="116">
        <v>60.9</v>
      </c>
      <c r="G1399">
        <v>2637113</v>
      </c>
      <c r="H1399" s="116"/>
      <c r="I1399" s="116"/>
      <c r="L1399" s="170">
        <v>44067</v>
      </c>
      <c r="M1399" s="116">
        <v>60.9</v>
      </c>
      <c r="N1399" s="116">
        <v>62.7</v>
      </c>
      <c r="O1399" s="116">
        <v>60.15</v>
      </c>
      <c r="P1399" s="116">
        <v>62.35</v>
      </c>
      <c r="Q1399" s="116">
        <v>60.9</v>
      </c>
      <c r="R1399">
        <v>36278775</v>
      </c>
    </row>
    <row r="1400" spans="1:18" x14ac:dyDescent="0.25">
      <c r="A1400" s="170">
        <v>44068</v>
      </c>
      <c r="B1400" s="116">
        <v>61.8</v>
      </c>
      <c r="C1400" s="116">
        <v>59.95</v>
      </c>
      <c r="D1400" s="116">
        <v>59.05</v>
      </c>
      <c r="E1400" s="116">
        <v>61.8</v>
      </c>
      <c r="F1400" s="116">
        <v>59.95</v>
      </c>
      <c r="G1400">
        <v>4528459</v>
      </c>
      <c r="H1400" s="116"/>
      <c r="I1400" s="116"/>
      <c r="L1400" s="170">
        <v>44068</v>
      </c>
      <c r="M1400" s="116">
        <v>60</v>
      </c>
      <c r="N1400" s="116">
        <v>61.7</v>
      </c>
      <c r="O1400" s="116">
        <v>59.05</v>
      </c>
      <c r="P1400" s="116">
        <v>61</v>
      </c>
      <c r="Q1400" s="116">
        <v>60</v>
      </c>
      <c r="R1400">
        <v>45588317</v>
      </c>
    </row>
    <row r="1401" spans="1:18" x14ac:dyDescent="0.25">
      <c r="A1401" s="170">
        <v>44069</v>
      </c>
      <c r="B1401" s="116">
        <v>63.25</v>
      </c>
      <c r="C1401" s="116">
        <v>62.7</v>
      </c>
      <c r="D1401" s="116">
        <v>60</v>
      </c>
      <c r="E1401" s="116">
        <v>60.5</v>
      </c>
      <c r="F1401" s="116">
        <v>62.7</v>
      </c>
      <c r="G1401">
        <v>6036316</v>
      </c>
      <c r="H1401" s="116"/>
      <c r="I1401" s="116"/>
      <c r="L1401" s="170">
        <v>44069</v>
      </c>
      <c r="M1401" s="116">
        <v>62.65</v>
      </c>
      <c r="N1401" s="116">
        <v>63.25</v>
      </c>
      <c r="O1401" s="116">
        <v>60</v>
      </c>
      <c r="P1401" s="116">
        <v>60.3</v>
      </c>
      <c r="Q1401" s="116">
        <v>62.65</v>
      </c>
      <c r="R1401">
        <v>73744794</v>
      </c>
    </row>
    <row r="1402" spans="1:18" x14ac:dyDescent="0.25">
      <c r="A1402" s="170">
        <v>44070</v>
      </c>
      <c r="B1402" s="116">
        <v>63.3</v>
      </c>
      <c r="C1402" s="116">
        <v>61.6</v>
      </c>
      <c r="D1402" s="116">
        <v>61.4</v>
      </c>
      <c r="E1402" s="116">
        <v>63</v>
      </c>
      <c r="F1402" s="116">
        <v>61.6</v>
      </c>
      <c r="G1402">
        <v>2297906</v>
      </c>
      <c r="H1402" s="116"/>
      <c r="I1402" s="116"/>
      <c r="L1402" s="170">
        <v>44070</v>
      </c>
      <c r="M1402" s="116">
        <v>61.6</v>
      </c>
      <c r="N1402" s="116">
        <v>63.25</v>
      </c>
      <c r="O1402" s="116">
        <v>61.35</v>
      </c>
      <c r="P1402" s="116">
        <v>63.1</v>
      </c>
      <c r="Q1402" s="116">
        <v>61.6</v>
      </c>
      <c r="R1402">
        <v>28622828</v>
      </c>
    </row>
    <row r="1403" spans="1:18" x14ac:dyDescent="0.25">
      <c r="A1403" s="170">
        <v>44071</v>
      </c>
      <c r="B1403" s="116">
        <v>62.45</v>
      </c>
      <c r="C1403" s="116">
        <v>61.15</v>
      </c>
      <c r="D1403" s="116">
        <v>60.3</v>
      </c>
      <c r="E1403" s="116">
        <v>62.45</v>
      </c>
      <c r="F1403" s="116">
        <v>61.15</v>
      </c>
      <c r="G1403">
        <v>1014446</v>
      </c>
      <c r="H1403" s="116"/>
      <c r="I1403" s="116"/>
      <c r="L1403" s="170">
        <v>44071</v>
      </c>
      <c r="M1403" s="116">
        <v>61.2</v>
      </c>
      <c r="N1403" s="116">
        <v>62.25</v>
      </c>
      <c r="O1403" s="116">
        <v>60.3</v>
      </c>
      <c r="P1403" s="116">
        <v>62.1</v>
      </c>
      <c r="Q1403" s="116">
        <v>61.2</v>
      </c>
      <c r="R1403">
        <v>21775730</v>
      </c>
    </row>
    <row r="1404" spans="1:18" x14ac:dyDescent="0.25">
      <c r="A1404" s="170">
        <v>44074</v>
      </c>
      <c r="B1404" s="116">
        <v>61.75</v>
      </c>
      <c r="C1404" s="116">
        <v>58.7</v>
      </c>
      <c r="D1404" s="116">
        <v>57.9</v>
      </c>
      <c r="E1404" s="116">
        <v>61.65</v>
      </c>
      <c r="F1404" s="116">
        <v>58.7</v>
      </c>
      <c r="G1404">
        <v>1595536</v>
      </c>
      <c r="H1404" s="116"/>
      <c r="I1404" s="116"/>
      <c r="L1404" s="170">
        <v>44074</v>
      </c>
      <c r="M1404" s="116">
        <v>58.75</v>
      </c>
      <c r="N1404" s="116">
        <v>61.75</v>
      </c>
      <c r="O1404" s="116">
        <v>57.9</v>
      </c>
      <c r="P1404" s="116">
        <v>61.4</v>
      </c>
      <c r="Q1404" s="116">
        <v>58.75</v>
      </c>
      <c r="R1404">
        <v>36840665</v>
      </c>
    </row>
    <row r="1405" spans="1:18" x14ac:dyDescent="0.25">
      <c r="A1405" s="170">
        <v>44075</v>
      </c>
      <c r="B1405" s="116">
        <v>60.45</v>
      </c>
      <c r="C1405" s="116">
        <v>59.5</v>
      </c>
      <c r="D1405" s="116">
        <v>58.3</v>
      </c>
      <c r="E1405" s="116">
        <v>60</v>
      </c>
      <c r="F1405" s="116">
        <v>59.5</v>
      </c>
      <c r="G1405">
        <v>2995837</v>
      </c>
      <c r="H1405" s="116"/>
      <c r="I1405" s="116"/>
      <c r="L1405" s="170">
        <v>44075</v>
      </c>
      <c r="M1405" s="116">
        <v>59.5</v>
      </c>
      <c r="N1405" s="116">
        <v>60.45</v>
      </c>
      <c r="O1405" s="116">
        <v>58.2</v>
      </c>
      <c r="P1405" s="116">
        <v>59.6</v>
      </c>
      <c r="Q1405" s="116">
        <v>59.5</v>
      </c>
      <c r="R1405">
        <v>43683296</v>
      </c>
    </row>
    <row r="1406" spans="1:18" x14ac:dyDescent="0.25">
      <c r="A1406" s="170">
        <v>44076</v>
      </c>
      <c r="B1406" s="116">
        <v>61.25</v>
      </c>
      <c r="C1406" s="116">
        <v>61</v>
      </c>
      <c r="D1406" s="116">
        <v>58.9</v>
      </c>
      <c r="E1406" s="116">
        <v>59.95</v>
      </c>
      <c r="F1406" s="116">
        <v>61</v>
      </c>
      <c r="G1406">
        <v>1107842</v>
      </c>
      <c r="H1406" s="116"/>
      <c r="I1406" s="116"/>
      <c r="L1406" s="170">
        <v>44076</v>
      </c>
      <c r="M1406" s="116">
        <v>60.95</v>
      </c>
      <c r="N1406" s="116">
        <v>61.35</v>
      </c>
      <c r="O1406" s="116">
        <v>58.85</v>
      </c>
      <c r="P1406" s="116">
        <v>59.65</v>
      </c>
      <c r="Q1406" s="116">
        <v>60.95</v>
      </c>
      <c r="R1406">
        <v>25824346</v>
      </c>
    </row>
    <row r="1407" spans="1:18" x14ac:dyDescent="0.25">
      <c r="A1407" s="170">
        <v>44077</v>
      </c>
      <c r="B1407" s="116">
        <v>61.6</v>
      </c>
      <c r="C1407" s="116">
        <v>60.7</v>
      </c>
      <c r="D1407" s="116">
        <v>59.9</v>
      </c>
      <c r="E1407" s="116">
        <v>61.1</v>
      </c>
      <c r="F1407" s="116">
        <v>60.7</v>
      </c>
      <c r="G1407">
        <v>1259192</v>
      </c>
      <c r="H1407" s="116"/>
      <c r="I1407" s="116"/>
      <c r="L1407" s="170">
        <v>44077</v>
      </c>
      <c r="M1407" s="116">
        <v>60.7</v>
      </c>
      <c r="N1407" s="116">
        <v>61.6</v>
      </c>
      <c r="O1407" s="116">
        <v>59.9</v>
      </c>
      <c r="P1407" s="116">
        <v>60.95</v>
      </c>
      <c r="Q1407" s="116">
        <v>60.7</v>
      </c>
      <c r="R1407">
        <v>23071949</v>
      </c>
    </row>
    <row r="1408" spans="1:18" x14ac:dyDescent="0.25">
      <c r="A1408" s="170">
        <v>44078</v>
      </c>
      <c r="B1408" s="116">
        <v>60.3</v>
      </c>
      <c r="C1408" s="116">
        <v>58.8</v>
      </c>
      <c r="D1408" s="116">
        <v>58.25</v>
      </c>
      <c r="E1408" s="116">
        <v>59.9</v>
      </c>
      <c r="F1408" s="116">
        <v>58.8</v>
      </c>
      <c r="G1408">
        <v>928911</v>
      </c>
      <c r="H1408" s="116"/>
      <c r="I1408" s="116"/>
      <c r="L1408" s="170">
        <v>44078</v>
      </c>
      <c r="M1408" s="116">
        <v>58.9</v>
      </c>
      <c r="N1408" s="116">
        <v>60.25</v>
      </c>
      <c r="O1408" s="116">
        <v>58.2</v>
      </c>
      <c r="P1408" s="116">
        <v>60</v>
      </c>
      <c r="Q1408" s="116">
        <v>58.9</v>
      </c>
      <c r="R1408">
        <v>20140042</v>
      </c>
    </row>
    <row r="1409" spans="1:18" x14ac:dyDescent="0.25">
      <c r="A1409" s="170">
        <v>44081</v>
      </c>
      <c r="B1409" s="116">
        <v>59.9</v>
      </c>
      <c r="C1409" s="116">
        <v>57.35</v>
      </c>
      <c r="D1409" s="116">
        <v>56.15</v>
      </c>
      <c r="E1409" s="116">
        <v>59.9</v>
      </c>
      <c r="F1409" s="116">
        <v>57.35</v>
      </c>
      <c r="G1409">
        <v>1355073</v>
      </c>
      <c r="H1409" s="116"/>
      <c r="I1409" s="116"/>
      <c r="L1409" s="170">
        <v>44081</v>
      </c>
      <c r="M1409" s="116">
        <v>57.4</v>
      </c>
      <c r="N1409" s="116">
        <v>59.4</v>
      </c>
      <c r="O1409" s="116">
        <v>56.1</v>
      </c>
      <c r="P1409" s="116">
        <v>58.95</v>
      </c>
      <c r="Q1409" s="116">
        <v>57.4</v>
      </c>
      <c r="R1409">
        <v>26138663</v>
      </c>
    </row>
    <row r="1410" spans="1:18" x14ac:dyDescent="0.25">
      <c r="A1410" s="170">
        <v>44082</v>
      </c>
      <c r="B1410" s="116">
        <v>58</v>
      </c>
      <c r="C1410" s="116">
        <v>55.1</v>
      </c>
      <c r="D1410" s="116">
        <v>54.75</v>
      </c>
      <c r="E1410" s="116">
        <v>57.5</v>
      </c>
      <c r="F1410" s="116">
        <v>55.1</v>
      </c>
      <c r="G1410">
        <v>944706</v>
      </c>
      <c r="H1410" s="116"/>
      <c r="I1410" s="116"/>
      <c r="L1410" s="170">
        <v>44082</v>
      </c>
      <c r="M1410" s="116">
        <v>55.2</v>
      </c>
      <c r="N1410" s="116">
        <v>58.2</v>
      </c>
      <c r="O1410" s="116">
        <v>54.65</v>
      </c>
      <c r="P1410" s="116">
        <v>57.7</v>
      </c>
      <c r="Q1410" s="116">
        <v>55.2</v>
      </c>
      <c r="R1410">
        <v>24214285</v>
      </c>
    </row>
    <row r="1411" spans="1:18" x14ac:dyDescent="0.25">
      <c r="A1411" s="170">
        <v>44083</v>
      </c>
      <c r="B1411" s="116">
        <v>56.3</v>
      </c>
      <c r="C1411" s="116">
        <v>55.65</v>
      </c>
      <c r="D1411" s="116">
        <v>52.5</v>
      </c>
      <c r="E1411" s="116">
        <v>55</v>
      </c>
      <c r="F1411" s="116">
        <v>55.65</v>
      </c>
      <c r="G1411">
        <v>1707159</v>
      </c>
      <c r="H1411" s="116"/>
      <c r="I1411" s="116"/>
      <c r="L1411" s="170">
        <v>44083</v>
      </c>
      <c r="M1411" s="116">
        <v>55.65</v>
      </c>
      <c r="N1411" s="116">
        <v>56.15</v>
      </c>
      <c r="O1411" s="116">
        <v>52.5</v>
      </c>
      <c r="P1411" s="116">
        <v>54.05</v>
      </c>
      <c r="Q1411" s="116">
        <v>55.65</v>
      </c>
      <c r="R1411">
        <v>36318229</v>
      </c>
    </row>
    <row r="1412" spans="1:18" x14ac:dyDescent="0.25">
      <c r="A1412" s="170">
        <v>44084</v>
      </c>
      <c r="B1412" s="116">
        <v>57.15</v>
      </c>
      <c r="C1412" s="116">
        <v>55.45</v>
      </c>
      <c r="D1412" s="116">
        <v>54.75</v>
      </c>
      <c r="E1412" s="116">
        <v>55.85</v>
      </c>
      <c r="F1412" s="116">
        <v>55.45</v>
      </c>
      <c r="G1412">
        <v>1054719</v>
      </c>
      <c r="H1412" s="116"/>
      <c r="I1412" s="116"/>
      <c r="L1412" s="170">
        <v>44084</v>
      </c>
      <c r="M1412" s="116">
        <v>55.45</v>
      </c>
      <c r="N1412" s="116">
        <v>57.2</v>
      </c>
      <c r="O1412" s="116">
        <v>54.7</v>
      </c>
      <c r="P1412" s="116">
        <v>56.45</v>
      </c>
      <c r="Q1412" s="116">
        <v>55.45</v>
      </c>
      <c r="R1412">
        <v>30551390</v>
      </c>
    </row>
    <row r="1413" spans="1:18" x14ac:dyDescent="0.25">
      <c r="A1413" s="170">
        <v>44085</v>
      </c>
      <c r="B1413" s="116">
        <v>57.05</v>
      </c>
      <c r="C1413" s="116">
        <v>56.7</v>
      </c>
      <c r="D1413" s="116">
        <v>54.8</v>
      </c>
      <c r="E1413" s="116">
        <v>56</v>
      </c>
      <c r="F1413" s="116">
        <v>56.7</v>
      </c>
      <c r="G1413">
        <v>1077813</v>
      </c>
      <c r="H1413" s="116"/>
      <c r="I1413" s="116"/>
      <c r="L1413" s="170">
        <v>44085</v>
      </c>
      <c r="M1413" s="116">
        <v>56.7</v>
      </c>
      <c r="N1413" s="116">
        <v>57.15</v>
      </c>
      <c r="O1413" s="116">
        <v>54.8</v>
      </c>
      <c r="P1413" s="116">
        <v>55</v>
      </c>
      <c r="Q1413" s="116">
        <v>56.7</v>
      </c>
      <c r="R1413">
        <v>22160895</v>
      </c>
    </row>
    <row r="1414" spans="1:18" x14ac:dyDescent="0.25">
      <c r="A1414" s="170">
        <v>44088</v>
      </c>
      <c r="B1414" s="116">
        <v>58.4</v>
      </c>
      <c r="C1414" s="116">
        <v>57.1</v>
      </c>
      <c r="D1414" s="116">
        <v>56.55</v>
      </c>
      <c r="E1414" s="116">
        <v>57</v>
      </c>
      <c r="F1414" s="116">
        <v>57.1</v>
      </c>
      <c r="G1414">
        <v>1684378</v>
      </c>
      <c r="H1414" s="116"/>
      <c r="I1414" s="116"/>
      <c r="L1414" s="170">
        <v>44088</v>
      </c>
      <c r="M1414" s="116">
        <v>57.1</v>
      </c>
      <c r="N1414" s="116">
        <v>58.4</v>
      </c>
      <c r="O1414" s="116">
        <v>56.45</v>
      </c>
      <c r="P1414" s="116">
        <v>56.9</v>
      </c>
      <c r="Q1414" s="116">
        <v>57.1</v>
      </c>
      <c r="R1414">
        <v>22921766</v>
      </c>
    </row>
    <row r="1415" spans="1:18" x14ac:dyDescent="0.25">
      <c r="A1415" s="170">
        <v>44089</v>
      </c>
      <c r="B1415" s="116">
        <v>58.7</v>
      </c>
      <c r="C1415" s="116">
        <v>57.75</v>
      </c>
      <c r="D1415" s="116">
        <v>57.15</v>
      </c>
      <c r="E1415" s="116">
        <v>57.2</v>
      </c>
      <c r="F1415" s="116">
        <v>57.75</v>
      </c>
      <c r="G1415">
        <v>749886</v>
      </c>
      <c r="H1415" s="116"/>
      <c r="I1415" s="116"/>
      <c r="L1415" s="170">
        <v>44089</v>
      </c>
      <c r="M1415" s="116">
        <v>57.75</v>
      </c>
      <c r="N1415" s="116">
        <v>58.75</v>
      </c>
      <c r="O1415" s="116">
        <v>57.1</v>
      </c>
      <c r="P1415" s="116">
        <v>57.45</v>
      </c>
      <c r="Q1415" s="116">
        <v>57.75</v>
      </c>
      <c r="R1415">
        <v>18732445</v>
      </c>
    </row>
    <row r="1416" spans="1:18" x14ac:dyDescent="0.25">
      <c r="A1416" s="170">
        <v>44090</v>
      </c>
      <c r="B1416" s="116">
        <v>58.4</v>
      </c>
      <c r="C1416" s="116">
        <v>56.85</v>
      </c>
      <c r="D1416" s="116">
        <v>56.55</v>
      </c>
      <c r="E1416" s="116">
        <v>58.2</v>
      </c>
      <c r="F1416" s="116">
        <v>56.85</v>
      </c>
      <c r="G1416">
        <v>1211515</v>
      </c>
      <c r="H1416" s="116"/>
      <c r="I1416" s="116"/>
      <c r="L1416" s="170">
        <v>44090</v>
      </c>
      <c r="M1416" s="116">
        <v>56.8</v>
      </c>
      <c r="N1416" s="116">
        <v>58.3</v>
      </c>
      <c r="O1416" s="116">
        <v>56.55</v>
      </c>
      <c r="P1416" s="116">
        <v>58.05</v>
      </c>
      <c r="Q1416" s="116">
        <v>56.8</v>
      </c>
      <c r="R1416">
        <v>18217195</v>
      </c>
    </row>
    <row r="1417" spans="1:18" x14ac:dyDescent="0.25">
      <c r="A1417" s="170">
        <v>44091</v>
      </c>
      <c r="B1417" s="116">
        <v>58.15</v>
      </c>
      <c r="C1417" s="116">
        <v>56.7</v>
      </c>
      <c r="D1417" s="116">
        <v>56.4</v>
      </c>
      <c r="E1417" s="116">
        <v>57.5</v>
      </c>
      <c r="F1417" s="116">
        <v>56.7</v>
      </c>
      <c r="G1417">
        <v>1888559</v>
      </c>
      <c r="H1417" s="116"/>
      <c r="I1417" s="116"/>
      <c r="L1417" s="170">
        <v>44091</v>
      </c>
      <c r="M1417" s="116">
        <v>56.75</v>
      </c>
      <c r="N1417" s="116">
        <v>58.15</v>
      </c>
      <c r="O1417" s="116">
        <v>56.35</v>
      </c>
      <c r="P1417" s="116">
        <v>57.35</v>
      </c>
      <c r="Q1417" s="116">
        <v>56.75</v>
      </c>
      <c r="R1417">
        <v>27360433</v>
      </c>
    </row>
    <row r="1418" spans="1:18" x14ac:dyDescent="0.25">
      <c r="A1418" s="170">
        <v>44092</v>
      </c>
      <c r="B1418" s="116">
        <v>57.3</v>
      </c>
      <c r="C1418" s="116">
        <v>56.15</v>
      </c>
      <c r="D1418" s="116">
        <v>55.85</v>
      </c>
      <c r="E1418" s="116">
        <v>57</v>
      </c>
      <c r="F1418" s="116">
        <v>56.15</v>
      </c>
      <c r="G1418">
        <v>576797</v>
      </c>
      <c r="H1418" s="116"/>
      <c r="I1418" s="116"/>
      <c r="L1418" s="170">
        <v>44092</v>
      </c>
      <c r="M1418" s="116">
        <v>56.2</v>
      </c>
      <c r="N1418" s="116">
        <v>57.35</v>
      </c>
      <c r="O1418" s="116">
        <v>55.75</v>
      </c>
      <c r="P1418" s="116">
        <v>57.05</v>
      </c>
      <c r="Q1418" s="116">
        <v>56.2</v>
      </c>
      <c r="R1418">
        <v>15697139</v>
      </c>
    </row>
    <row r="1419" spans="1:18" x14ac:dyDescent="0.25">
      <c r="A1419" s="170">
        <v>44095</v>
      </c>
      <c r="B1419" s="116">
        <v>56.5</v>
      </c>
      <c r="C1419" s="116">
        <v>52.95</v>
      </c>
      <c r="D1419" s="116">
        <v>52.5</v>
      </c>
      <c r="E1419" s="116">
        <v>56</v>
      </c>
      <c r="F1419" s="116">
        <v>52.95</v>
      </c>
      <c r="G1419">
        <v>914383</v>
      </c>
      <c r="H1419" s="116"/>
      <c r="I1419" s="116"/>
      <c r="L1419" s="170">
        <v>44095</v>
      </c>
      <c r="M1419" s="116">
        <v>53</v>
      </c>
      <c r="N1419" s="116">
        <v>56.2</v>
      </c>
      <c r="O1419" s="116">
        <v>52.5</v>
      </c>
      <c r="P1419" s="116">
        <v>56.05</v>
      </c>
      <c r="Q1419" s="116">
        <v>53</v>
      </c>
      <c r="R1419">
        <v>27254314</v>
      </c>
    </row>
    <row r="1420" spans="1:18" x14ac:dyDescent="0.25">
      <c r="A1420" s="170">
        <v>44096</v>
      </c>
      <c r="B1420" s="116">
        <v>53.5</v>
      </c>
      <c r="C1420" s="116">
        <v>51.55</v>
      </c>
      <c r="D1420" s="116">
        <v>50.45</v>
      </c>
      <c r="E1420" s="116">
        <v>53</v>
      </c>
      <c r="F1420" s="116">
        <v>51.55</v>
      </c>
      <c r="G1420">
        <v>1935084</v>
      </c>
      <c r="H1420" s="116"/>
      <c r="I1420" s="116"/>
      <c r="L1420" s="170">
        <v>44096</v>
      </c>
      <c r="M1420" s="116">
        <v>51.45</v>
      </c>
      <c r="N1420" s="116">
        <v>53.55</v>
      </c>
      <c r="O1420" s="116">
        <v>50.4</v>
      </c>
      <c r="P1420" s="116">
        <v>53</v>
      </c>
      <c r="Q1420" s="116">
        <v>51.45</v>
      </c>
      <c r="R1420">
        <v>34523774</v>
      </c>
    </row>
    <row r="1421" spans="1:18" x14ac:dyDescent="0.25">
      <c r="A1421" s="170">
        <v>44097</v>
      </c>
      <c r="B1421" s="116">
        <v>55.35</v>
      </c>
      <c r="C1421" s="116">
        <v>53.55</v>
      </c>
      <c r="D1421" s="116">
        <v>51.3</v>
      </c>
      <c r="E1421" s="116">
        <v>52</v>
      </c>
      <c r="F1421" s="116">
        <v>53.55</v>
      </c>
      <c r="G1421">
        <v>2998691</v>
      </c>
      <c r="H1421" s="116"/>
      <c r="I1421" s="116"/>
      <c r="L1421" s="170">
        <v>44097</v>
      </c>
      <c r="M1421" s="116">
        <v>53.45</v>
      </c>
      <c r="N1421" s="116">
        <v>54.2</v>
      </c>
      <c r="O1421" s="116">
        <v>51.35</v>
      </c>
      <c r="P1421" s="116">
        <v>52.25</v>
      </c>
      <c r="Q1421" s="116">
        <v>53.45</v>
      </c>
      <c r="R1421">
        <v>24481354</v>
      </c>
    </row>
    <row r="1422" spans="1:18" x14ac:dyDescent="0.25">
      <c r="A1422" s="170">
        <v>44098</v>
      </c>
      <c r="B1422" s="116">
        <v>52.95</v>
      </c>
      <c r="C1422" s="116">
        <v>50.35</v>
      </c>
      <c r="D1422" s="116">
        <v>50</v>
      </c>
      <c r="E1422" s="116">
        <v>52.8</v>
      </c>
      <c r="F1422" s="116">
        <v>50.35</v>
      </c>
      <c r="G1422">
        <v>1851991</v>
      </c>
      <c r="H1422" s="116"/>
      <c r="I1422" s="116"/>
      <c r="L1422" s="170">
        <v>44098</v>
      </c>
      <c r="M1422" s="116">
        <v>50.45</v>
      </c>
      <c r="N1422" s="116">
        <v>52.95</v>
      </c>
      <c r="O1422" s="116">
        <v>50.1</v>
      </c>
      <c r="P1422" s="116">
        <v>52.6</v>
      </c>
      <c r="Q1422" s="116">
        <v>50.45</v>
      </c>
      <c r="R1422">
        <v>21626315</v>
      </c>
    </row>
    <row r="1423" spans="1:18" x14ac:dyDescent="0.25">
      <c r="A1423" s="170">
        <v>44099</v>
      </c>
      <c r="B1423" s="116">
        <v>53.35</v>
      </c>
      <c r="C1423" s="116">
        <v>53.1</v>
      </c>
      <c r="D1423" s="116">
        <v>50.65</v>
      </c>
      <c r="E1423" s="116">
        <v>50.65</v>
      </c>
      <c r="F1423" s="116">
        <v>53.1</v>
      </c>
      <c r="G1423">
        <v>1641083</v>
      </c>
      <c r="H1423" s="116"/>
      <c r="I1423" s="116"/>
      <c r="L1423" s="170">
        <v>44099</v>
      </c>
      <c r="M1423" s="116">
        <v>53.1</v>
      </c>
      <c r="N1423" s="116">
        <v>53.4</v>
      </c>
      <c r="O1423" s="116">
        <v>50.7</v>
      </c>
      <c r="P1423" s="116">
        <v>51.05</v>
      </c>
      <c r="Q1423" s="116">
        <v>53.1</v>
      </c>
      <c r="R1423">
        <v>24166175</v>
      </c>
    </row>
    <row r="1424" spans="1:18" x14ac:dyDescent="0.25">
      <c r="A1424" s="170">
        <v>44102</v>
      </c>
      <c r="B1424" s="116">
        <v>54.6</v>
      </c>
      <c r="C1424" s="116">
        <v>54.15</v>
      </c>
      <c r="D1424" s="116">
        <v>53.3</v>
      </c>
      <c r="E1424" s="116">
        <v>53.5</v>
      </c>
      <c r="F1424" s="116">
        <v>54.15</v>
      </c>
      <c r="G1424">
        <v>1036189</v>
      </c>
      <c r="H1424" s="116"/>
      <c r="I1424" s="116"/>
      <c r="L1424" s="170">
        <v>44102</v>
      </c>
      <c r="M1424" s="116">
        <v>54.15</v>
      </c>
      <c r="N1424" s="116">
        <v>54.6</v>
      </c>
      <c r="O1424" s="116">
        <v>53.35</v>
      </c>
      <c r="P1424" s="116">
        <v>53.6</v>
      </c>
      <c r="Q1424" s="116">
        <v>54.15</v>
      </c>
      <c r="R1424">
        <v>16190640</v>
      </c>
    </row>
    <row r="1425" spans="1:18" x14ac:dyDescent="0.25">
      <c r="A1425" s="170">
        <v>44103</v>
      </c>
      <c r="B1425" s="116">
        <v>54.7</v>
      </c>
      <c r="C1425" s="116">
        <v>54</v>
      </c>
      <c r="D1425" s="116">
        <v>53.2</v>
      </c>
      <c r="E1425" s="116">
        <v>54.15</v>
      </c>
      <c r="F1425" s="116">
        <v>54</v>
      </c>
      <c r="G1425">
        <v>1224352</v>
      </c>
      <c r="H1425" s="116"/>
      <c r="I1425" s="116"/>
      <c r="L1425" s="170">
        <v>44103</v>
      </c>
      <c r="M1425" s="116">
        <v>53.95</v>
      </c>
      <c r="N1425" s="116">
        <v>54.65</v>
      </c>
      <c r="O1425" s="116">
        <v>53.25</v>
      </c>
      <c r="P1425" s="116">
        <v>54.5</v>
      </c>
      <c r="Q1425" s="116">
        <v>53.95</v>
      </c>
      <c r="R1425">
        <v>18384412</v>
      </c>
    </row>
    <row r="1426" spans="1:18" x14ac:dyDescent="0.25">
      <c r="A1426" s="170">
        <v>44104</v>
      </c>
      <c r="B1426" s="116">
        <v>54</v>
      </c>
      <c r="C1426" s="116">
        <v>53.15</v>
      </c>
      <c r="D1426" s="116">
        <v>53</v>
      </c>
      <c r="E1426" s="116">
        <v>54</v>
      </c>
      <c r="F1426" s="116">
        <v>53.15</v>
      </c>
      <c r="G1426">
        <v>661512</v>
      </c>
      <c r="H1426" s="116"/>
      <c r="I1426" s="116"/>
      <c r="L1426" s="170">
        <v>44104</v>
      </c>
      <c r="M1426" s="116">
        <v>53.3</v>
      </c>
      <c r="N1426" s="116">
        <v>54</v>
      </c>
      <c r="O1426" s="116">
        <v>53</v>
      </c>
      <c r="P1426" s="116">
        <v>53.8</v>
      </c>
      <c r="Q1426" s="116">
        <v>53.3</v>
      </c>
      <c r="R1426">
        <v>10804820</v>
      </c>
    </row>
    <row r="1427" spans="1:18" x14ac:dyDescent="0.25">
      <c r="A1427" s="170">
        <v>44105</v>
      </c>
      <c r="B1427" s="116">
        <v>54.65</v>
      </c>
      <c r="C1427" s="116">
        <v>54.45</v>
      </c>
      <c r="D1427" s="116">
        <v>53.5</v>
      </c>
      <c r="E1427" s="116">
        <v>53.5</v>
      </c>
      <c r="F1427" s="116">
        <v>54.45</v>
      </c>
      <c r="G1427">
        <v>691156</v>
      </c>
      <c r="H1427" s="116"/>
      <c r="I1427" s="116"/>
      <c r="L1427" s="170">
        <v>44105</v>
      </c>
      <c r="M1427" s="116">
        <v>54.45</v>
      </c>
      <c r="N1427" s="116">
        <v>54.65</v>
      </c>
      <c r="O1427" s="116">
        <v>53.5</v>
      </c>
      <c r="P1427" s="116">
        <v>53.5</v>
      </c>
      <c r="Q1427" s="116">
        <v>54.45</v>
      </c>
      <c r="R1427">
        <v>13913795</v>
      </c>
    </row>
    <row r="1428" spans="1:18" x14ac:dyDescent="0.25">
      <c r="A1428" s="170">
        <v>44109</v>
      </c>
      <c r="B1428" s="116">
        <v>55.15</v>
      </c>
      <c r="C1428" s="116">
        <v>53.85</v>
      </c>
      <c r="D1428" s="116">
        <v>53.6</v>
      </c>
      <c r="E1428" s="116">
        <v>54.45</v>
      </c>
      <c r="F1428" s="116">
        <v>53.85</v>
      </c>
      <c r="G1428">
        <v>893178</v>
      </c>
      <c r="H1428" s="116"/>
      <c r="I1428" s="116"/>
      <c r="L1428" s="170">
        <v>44109</v>
      </c>
      <c r="M1428" s="116">
        <v>53.85</v>
      </c>
      <c r="N1428" s="116">
        <v>55.15</v>
      </c>
      <c r="O1428" s="116">
        <v>53.6</v>
      </c>
      <c r="P1428" s="116">
        <v>54.5</v>
      </c>
      <c r="Q1428" s="116">
        <v>53.85</v>
      </c>
      <c r="R1428">
        <v>13583076</v>
      </c>
    </row>
    <row r="1429" spans="1:18" x14ac:dyDescent="0.25">
      <c r="A1429" s="170">
        <v>44110</v>
      </c>
      <c r="B1429" s="116">
        <v>54.7</v>
      </c>
      <c r="C1429" s="116">
        <v>54.55</v>
      </c>
      <c r="D1429" s="116">
        <v>53.85</v>
      </c>
      <c r="E1429" s="116">
        <v>54.4</v>
      </c>
      <c r="F1429" s="116">
        <v>54.55</v>
      </c>
      <c r="G1429">
        <v>1195481</v>
      </c>
      <c r="H1429" s="116"/>
      <c r="I1429" s="116"/>
      <c r="L1429" s="170">
        <v>44110</v>
      </c>
      <c r="M1429" s="116">
        <v>54.6</v>
      </c>
      <c r="N1429" s="116">
        <v>54.75</v>
      </c>
      <c r="O1429" s="116">
        <v>53.8</v>
      </c>
      <c r="P1429" s="116">
        <v>54.1</v>
      </c>
      <c r="Q1429" s="116">
        <v>54.6</v>
      </c>
      <c r="R1429">
        <v>10850472</v>
      </c>
    </row>
    <row r="1430" spans="1:18" x14ac:dyDescent="0.25">
      <c r="A1430" s="170">
        <v>44111</v>
      </c>
      <c r="B1430" s="116">
        <v>56.9</v>
      </c>
      <c r="C1430" s="116">
        <v>56.15</v>
      </c>
      <c r="D1430" s="116">
        <v>54.45</v>
      </c>
      <c r="E1430" s="116">
        <v>54.95</v>
      </c>
      <c r="F1430" s="116">
        <v>56.15</v>
      </c>
      <c r="G1430">
        <v>895979</v>
      </c>
      <c r="H1430" s="116"/>
      <c r="I1430" s="116"/>
      <c r="L1430" s="170">
        <v>44111</v>
      </c>
      <c r="M1430" s="116">
        <v>56.15</v>
      </c>
      <c r="N1430" s="116">
        <v>56.9</v>
      </c>
      <c r="O1430" s="116">
        <v>54.35</v>
      </c>
      <c r="P1430" s="116">
        <v>54.7</v>
      </c>
      <c r="Q1430" s="116">
        <v>56.15</v>
      </c>
      <c r="R1430">
        <v>25064887</v>
      </c>
    </row>
    <row r="1431" spans="1:18" x14ac:dyDescent="0.25">
      <c r="A1431" s="170">
        <v>44112</v>
      </c>
      <c r="B1431" s="116">
        <v>56.4</v>
      </c>
      <c r="C1431" s="116">
        <v>54.95</v>
      </c>
      <c r="D1431" s="116">
        <v>53.8</v>
      </c>
      <c r="E1431" s="116">
        <v>56.1</v>
      </c>
      <c r="F1431" s="116">
        <v>54.95</v>
      </c>
      <c r="G1431">
        <v>929248</v>
      </c>
      <c r="H1431" s="116"/>
      <c r="I1431" s="116"/>
      <c r="L1431" s="170">
        <v>44112</v>
      </c>
      <c r="M1431" s="116">
        <v>55</v>
      </c>
      <c r="N1431" s="116">
        <v>56.5</v>
      </c>
      <c r="O1431" s="116">
        <v>53.75</v>
      </c>
      <c r="P1431" s="116">
        <v>56.05</v>
      </c>
      <c r="Q1431" s="116">
        <v>55</v>
      </c>
      <c r="R1431">
        <v>16737370</v>
      </c>
    </row>
    <row r="1432" spans="1:18" x14ac:dyDescent="0.25">
      <c r="A1432" s="170">
        <v>44113</v>
      </c>
      <c r="B1432" s="116">
        <v>55.45</v>
      </c>
      <c r="C1432" s="116">
        <v>54.45</v>
      </c>
      <c r="D1432" s="116">
        <v>54.25</v>
      </c>
      <c r="E1432" s="116">
        <v>55.25</v>
      </c>
      <c r="F1432" s="116">
        <v>54.45</v>
      </c>
      <c r="G1432">
        <v>357171</v>
      </c>
      <c r="H1432" s="116"/>
      <c r="I1432" s="116"/>
      <c r="L1432" s="170">
        <v>44113</v>
      </c>
      <c r="M1432" s="116">
        <v>54.45</v>
      </c>
      <c r="N1432" s="116">
        <v>55.5</v>
      </c>
      <c r="O1432" s="116">
        <v>54.15</v>
      </c>
      <c r="P1432" s="116">
        <v>55</v>
      </c>
      <c r="Q1432" s="116">
        <v>54.45</v>
      </c>
      <c r="R1432">
        <v>10432265</v>
      </c>
    </row>
    <row r="1433" spans="1:18" x14ac:dyDescent="0.25">
      <c r="A1433" s="170">
        <v>44116</v>
      </c>
      <c r="B1433" s="116">
        <v>55.05</v>
      </c>
      <c r="C1433" s="116">
        <v>52.85</v>
      </c>
      <c r="D1433" s="116">
        <v>52.65</v>
      </c>
      <c r="E1433" s="116">
        <v>54.45</v>
      </c>
      <c r="F1433" s="116">
        <v>52.85</v>
      </c>
      <c r="G1433">
        <v>849852</v>
      </c>
      <c r="H1433" s="116"/>
      <c r="I1433" s="116"/>
      <c r="L1433" s="170">
        <v>44116</v>
      </c>
      <c r="M1433" s="116">
        <v>52.85</v>
      </c>
      <c r="N1433" s="116">
        <v>55.05</v>
      </c>
      <c r="O1433" s="116">
        <v>52.6</v>
      </c>
      <c r="P1433" s="116">
        <v>54.45</v>
      </c>
      <c r="Q1433" s="116">
        <v>52.85</v>
      </c>
      <c r="R1433">
        <v>12879707</v>
      </c>
    </row>
    <row r="1434" spans="1:18" x14ac:dyDescent="0.25">
      <c r="A1434" s="170">
        <v>44117</v>
      </c>
      <c r="B1434" s="116">
        <v>55.05</v>
      </c>
      <c r="C1434" s="116">
        <v>54.05</v>
      </c>
      <c r="D1434" s="116">
        <v>52.6</v>
      </c>
      <c r="E1434" s="116">
        <v>52.9</v>
      </c>
      <c r="F1434" s="116">
        <v>54.05</v>
      </c>
      <c r="G1434">
        <v>601500</v>
      </c>
      <c r="H1434" s="116"/>
      <c r="I1434" s="116"/>
      <c r="L1434" s="170">
        <v>44117</v>
      </c>
      <c r="M1434" s="116">
        <v>54.05</v>
      </c>
      <c r="N1434" s="116">
        <v>55.1</v>
      </c>
      <c r="O1434" s="116">
        <v>52.55</v>
      </c>
      <c r="P1434" s="116">
        <v>52.8</v>
      </c>
      <c r="Q1434" s="116">
        <v>54.05</v>
      </c>
      <c r="R1434">
        <v>18622520</v>
      </c>
    </row>
    <row r="1435" spans="1:18" x14ac:dyDescent="0.25">
      <c r="A1435" s="170">
        <v>44118</v>
      </c>
      <c r="B1435" s="116">
        <v>54.4</v>
      </c>
      <c r="C1435" s="116">
        <v>52.9</v>
      </c>
      <c r="D1435" s="116">
        <v>52.25</v>
      </c>
      <c r="E1435" s="116">
        <v>54.4</v>
      </c>
      <c r="F1435" s="116">
        <v>52.9</v>
      </c>
      <c r="G1435">
        <v>360407</v>
      </c>
      <c r="H1435" s="116"/>
      <c r="I1435" s="116"/>
      <c r="L1435" s="170">
        <v>44118</v>
      </c>
      <c r="M1435" s="116">
        <v>52.95</v>
      </c>
      <c r="N1435" s="116">
        <v>54</v>
      </c>
      <c r="O1435" s="116">
        <v>52.25</v>
      </c>
      <c r="P1435" s="116">
        <v>53.9</v>
      </c>
      <c r="Q1435" s="116">
        <v>52.95</v>
      </c>
      <c r="R1435">
        <v>15451785</v>
      </c>
    </row>
    <row r="1436" spans="1:18" x14ac:dyDescent="0.25">
      <c r="A1436" s="170">
        <v>44119</v>
      </c>
      <c r="B1436" s="116">
        <v>54.75</v>
      </c>
      <c r="C1436" s="116">
        <v>52.95</v>
      </c>
      <c r="D1436" s="116">
        <v>52.7</v>
      </c>
      <c r="E1436" s="116">
        <v>53.6</v>
      </c>
      <c r="F1436" s="116">
        <v>52.95</v>
      </c>
      <c r="G1436">
        <v>1172716</v>
      </c>
      <c r="H1436" s="116"/>
      <c r="I1436" s="116"/>
      <c r="L1436" s="170">
        <v>44119</v>
      </c>
      <c r="M1436" s="116">
        <v>52.9</v>
      </c>
      <c r="N1436" s="116">
        <v>54.75</v>
      </c>
      <c r="O1436" s="116">
        <v>52.7</v>
      </c>
      <c r="P1436" s="116">
        <v>53.1</v>
      </c>
      <c r="Q1436" s="116">
        <v>52.9</v>
      </c>
      <c r="R1436">
        <v>23963776</v>
      </c>
    </row>
    <row r="1437" spans="1:18" x14ac:dyDescent="0.25">
      <c r="A1437" s="170">
        <v>44120</v>
      </c>
      <c r="B1437" s="116">
        <v>54.6</v>
      </c>
      <c r="C1437" s="116">
        <v>54.15</v>
      </c>
      <c r="D1437" s="116">
        <v>52.35</v>
      </c>
      <c r="E1437" s="116">
        <v>53.3</v>
      </c>
      <c r="F1437" s="116">
        <v>54.15</v>
      </c>
      <c r="G1437">
        <v>1872709</v>
      </c>
      <c r="H1437" s="116"/>
      <c r="I1437" s="116"/>
      <c r="L1437" s="170">
        <v>44120</v>
      </c>
      <c r="M1437" s="116">
        <v>54.15</v>
      </c>
      <c r="N1437" s="116">
        <v>54.6</v>
      </c>
      <c r="O1437" s="116">
        <v>52.3</v>
      </c>
      <c r="P1437" s="116">
        <v>53.55</v>
      </c>
      <c r="Q1437" s="116">
        <v>54.15</v>
      </c>
      <c r="R1437">
        <v>24637365</v>
      </c>
    </row>
    <row r="1438" spans="1:18" x14ac:dyDescent="0.25">
      <c r="A1438" s="170">
        <v>44123</v>
      </c>
      <c r="B1438" s="116">
        <v>55.55</v>
      </c>
      <c r="C1438" s="116">
        <v>55.15</v>
      </c>
      <c r="D1438" s="116">
        <v>53.9</v>
      </c>
      <c r="E1438" s="116">
        <v>54.9</v>
      </c>
      <c r="F1438" s="116">
        <v>55.15</v>
      </c>
      <c r="G1438">
        <v>1176312</v>
      </c>
      <c r="H1438" s="116"/>
      <c r="I1438" s="116"/>
      <c r="L1438" s="170">
        <v>44123</v>
      </c>
      <c r="M1438" s="116">
        <v>55.2</v>
      </c>
      <c r="N1438" s="116">
        <v>55.55</v>
      </c>
      <c r="O1438" s="116">
        <v>53.9</v>
      </c>
      <c r="P1438" s="116">
        <v>54.35</v>
      </c>
      <c r="Q1438" s="116">
        <v>55.2</v>
      </c>
      <c r="R1438">
        <v>18875642</v>
      </c>
    </row>
    <row r="1439" spans="1:18" x14ac:dyDescent="0.25">
      <c r="A1439" s="170">
        <v>44124</v>
      </c>
      <c r="B1439" s="116">
        <v>56.1</v>
      </c>
      <c r="C1439" s="116">
        <v>54.7</v>
      </c>
      <c r="D1439" s="116">
        <v>54.55</v>
      </c>
      <c r="E1439" s="116">
        <v>54.95</v>
      </c>
      <c r="F1439" s="116">
        <v>54.7</v>
      </c>
      <c r="G1439">
        <v>737401</v>
      </c>
      <c r="H1439" s="116"/>
      <c r="I1439" s="116"/>
      <c r="L1439" s="170">
        <v>44124</v>
      </c>
      <c r="M1439" s="116">
        <v>54.75</v>
      </c>
      <c r="N1439" s="116">
        <v>56.15</v>
      </c>
      <c r="O1439" s="116">
        <v>54.55</v>
      </c>
      <c r="P1439" s="116">
        <v>55</v>
      </c>
      <c r="Q1439" s="116">
        <v>54.75</v>
      </c>
      <c r="R1439">
        <v>17720582</v>
      </c>
    </row>
    <row r="1440" spans="1:18" x14ac:dyDescent="0.25">
      <c r="A1440" s="170">
        <v>44125</v>
      </c>
      <c r="B1440" s="116">
        <v>55.3</v>
      </c>
      <c r="C1440" s="116">
        <v>54</v>
      </c>
      <c r="D1440" s="116">
        <v>53.25</v>
      </c>
      <c r="E1440" s="116">
        <v>55.1</v>
      </c>
      <c r="F1440" s="116">
        <v>54</v>
      </c>
      <c r="G1440">
        <v>387737</v>
      </c>
      <c r="H1440" s="116"/>
      <c r="I1440" s="116"/>
      <c r="L1440" s="170">
        <v>44125</v>
      </c>
      <c r="M1440" s="116">
        <v>53.95</v>
      </c>
      <c r="N1440" s="116">
        <v>55.35</v>
      </c>
      <c r="O1440" s="116">
        <v>53.2</v>
      </c>
      <c r="P1440" s="116">
        <v>54.85</v>
      </c>
      <c r="Q1440" s="116">
        <v>53.95</v>
      </c>
      <c r="R1440">
        <v>17054867</v>
      </c>
    </row>
    <row r="1441" spans="1:18" x14ac:dyDescent="0.25">
      <c r="A1441" s="170">
        <v>44126</v>
      </c>
      <c r="B1441" s="116">
        <v>55.5</v>
      </c>
      <c r="C1441" s="116">
        <v>55.05</v>
      </c>
      <c r="D1441" s="116">
        <v>53.1</v>
      </c>
      <c r="E1441" s="116">
        <v>53.1</v>
      </c>
      <c r="F1441" s="116">
        <v>55.05</v>
      </c>
      <c r="G1441">
        <v>1065663</v>
      </c>
      <c r="H1441" s="116"/>
      <c r="I1441" s="116"/>
      <c r="L1441" s="170">
        <v>44126</v>
      </c>
      <c r="M1441" s="116">
        <v>55.1</v>
      </c>
      <c r="N1441" s="116">
        <v>55.6</v>
      </c>
      <c r="O1441" s="116">
        <v>53.45</v>
      </c>
      <c r="P1441" s="116">
        <v>53.9</v>
      </c>
      <c r="Q1441" s="116">
        <v>55.1</v>
      </c>
      <c r="R1441">
        <v>15185287</v>
      </c>
    </row>
    <row r="1442" spans="1:18" x14ac:dyDescent="0.25">
      <c r="A1442" s="170">
        <v>44127</v>
      </c>
      <c r="B1442" s="116">
        <v>55.75</v>
      </c>
      <c r="C1442" s="116">
        <v>55.25</v>
      </c>
      <c r="D1442" s="116">
        <v>54.7</v>
      </c>
      <c r="E1442" s="116">
        <v>55.75</v>
      </c>
      <c r="F1442" s="116">
        <v>55.25</v>
      </c>
      <c r="G1442">
        <v>531742</v>
      </c>
      <c r="H1442" s="116"/>
      <c r="I1442" s="116"/>
      <c r="L1442" s="170">
        <v>44127</v>
      </c>
      <c r="M1442" s="116">
        <v>55.25</v>
      </c>
      <c r="N1442" s="116">
        <v>55.7</v>
      </c>
      <c r="O1442" s="116">
        <v>54.7</v>
      </c>
      <c r="P1442" s="116">
        <v>55.1</v>
      </c>
      <c r="Q1442" s="116">
        <v>55.25</v>
      </c>
      <c r="R1442">
        <v>13365977</v>
      </c>
    </row>
    <row r="1443" spans="1:18" x14ac:dyDescent="0.25">
      <c r="A1443" s="170">
        <v>44130</v>
      </c>
      <c r="B1443" s="116">
        <v>55.65</v>
      </c>
      <c r="C1443" s="116">
        <v>53.85</v>
      </c>
      <c r="D1443" s="116">
        <v>53</v>
      </c>
      <c r="E1443" s="116">
        <v>55.25</v>
      </c>
      <c r="F1443" s="116">
        <v>53.85</v>
      </c>
      <c r="G1443">
        <v>1693529</v>
      </c>
      <c r="H1443" s="116"/>
      <c r="I1443" s="116"/>
      <c r="L1443" s="170">
        <v>44130</v>
      </c>
      <c r="M1443" s="116">
        <v>53.9</v>
      </c>
      <c r="N1443" s="116">
        <v>55.7</v>
      </c>
      <c r="O1443" s="116">
        <v>52.95</v>
      </c>
      <c r="P1443" s="116">
        <v>55.65</v>
      </c>
      <c r="Q1443" s="116">
        <v>53.9</v>
      </c>
      <c r="R1443">
        <v>20120600</v>
      </c>
    </row>
    <row r="1444" spans="1:18" x14ac:dyDescent="0.25">
      <c r="A1444" s="170">
        <v>44131</v>
      </c>
      <c r="B1444" s="116">
        <v>54.45</v>
      </c>
      <c r="C1444" s="116">
        <v>53.7</v>
      </c>
      <c r="D1444" s="116">
        <v>53.05</v>
      </c>
      <c r="E1444" s="116">
        <v>54.45</v>
      </c>
      <c r="F1444" s="116">
        <v>53.7</v>
      </c>
      <c r="G1444">
        <v>835802</v>
      </c>
      <c r="H1444" s="116"/>
      <c r="I1444" s="116"/>
      <c r="L1444" s="170">
        <v>44131</v>
      </c>
      <c r="M1444" s="116">
        <v>53.75</v>
      </c>
      <c r="N1444" s="116">
        <v>54.5</v>
      </c>
      <c r="O1444" s="116">
        <v>53</v>
      </c>
      <c r="P1444" s="116">
        <v>54.5</v>
      </c>
      <c r="Q1444" s="116">
        <v>53.75</v>
      </c>
      <c r="R1444">
        <v>13240998</v>
      </c>
    </row>
    <row r="1445" spans="1:18" x14ac:dyDescent="0.25">
      <c r="A1445" s="170">
        <v>44132</v>
      </c>
      <c r="B1445" s="116">
        <v>54.4</v>
      </c>
      <c r="C1445" s="116">
        <v>53.1</v>
      </c>
      <c r="D1445" s="116">
        <v>52.95</v>
      </c>
      <c r="E1445" s="116">
        <v>54.4</v>
      </c>
      <c r="F1445" s="116">
        <v>53.1</v>
      </c>
      <c r="G1445">
        <v>1079549</v>
      </c>
      <c r="H1445" s="116"/>
      <c r="I1445" s="116"/>
      <c r="L1445" s="170">
        <v>44132</v>
      </c>
      <c r="M1445" s="116">
        <v>53.1</v>
      </c>
      <c r="N1445" s="116">
        <v>54.1</v>
      </c>
      <c r="O1445" s="116">
        <v>52.9</v>
      </c>
      <c r="P1445" s="116">
        <v>53.8</v>
      </c>
      <c r="Q1445" s="116">
        <v>53.1</v>
      </c>
      <c r="R1445">
        <v>13646853</v>
      </c>
    </row>
    <row r="1446" spans="1:18" x14ac:dyDescent="0.25">
      <c r="A1446" s="170">
        <v>44133</v>
      </c>
      <c r="B1446" s="116">
        <v>53.1</v>
      </c>
      <c r="C1446" s="116">
        <v>52.15</v>
      </c>
      <c r="D1446" s="116">
        <v>51.65</v>
      </c>
      <c r="E1446" s="116">
        <v>52</v>
      </c>
      <c r="F1446" s="116">
        <v>52.15</v>
      </c>
      <c r="G1446">
        <v>1073384</v>
      </c>
      <c r="H1446" s="116"/>
      <c r="I1446" s="116"/>
      <c r="L1446" s="170">
        <v>44133</v>
      </c>
      <c r="M1446" s="116">
        <v>52.1</v>
      </c>
      <c r="N1446" s="116">
        <v>53.1</v>
      </c>
      <c r="O1446" s="116">
        <v>51.65</v>
      </c>
      <c r="P1446" s="116">
        <v>52.6</v>
      </c>
      <c r="Q1446" s="116">
        <v>52.1</v>
      </c>
      <c r="R1446">
        <v>15351610</v>
      </c>
    </row>
    <row r="1447" spans="1:18" x14ac:dyDescent="0.25">
      <c r="A1447" s="170">
        <v>44134</v>
      </c>
      <c r="B1447" s="116">
        <v>52.9</v>
      </c>
      <c r="C1447" s="116">
        <v>52.15</v>
      </c>
      <c r="D1447" s="116">
        <v>51.65</v>
      </c>
      <c r="E1447" s="116">
        <v>52.55</v>
      </c>
      <c r="F1447" s="116">
        <v>52.15</v>
      </c>
      <c r="G1447">
        <v>654688</v>
      </c>
      <c r="H1447" s="116"/>
      <c r="I1447" s="116"/>
      <c r="L1447" s="170">
        <v>44134</v>
      </c>
      <c r="M1447" s="116">
        <v>52.15</v>
      </c>
      <c r="N1447" s="116">
        <v>52.85</v>
      </c>
      <c r="O1447" s="116">
        <v>51.65</v>
      </c>
      <c r="P1447" s="116">
        <v>52.45</v>
      </c>
      <c r="Q1447" s="116">
        <v>52.15</v>
      </c>
      <c r="R1447">
        <v>12994341</v>
      </c>
    </row>
    <row r="1448" spans="1:18" x14ac:dyDescent="0.25">
      <c r="A1448" s="170">
        <v>44137</v>
      </c>
      <c r="B1448" s="116">
        <v>52.9</v>
      </c>
      <c r="C1448" s="116">
        <v>52.65</v>
      </c>
      <c r="D1448" s="116">
        <v>52.05</v>
      </c>
      <c r="E1448" s="116">
        <v>52.9</v>
      </c>
      <c r="F1448" s="116">
        <v>52.65</v>
      </c>
      <c r="G1448">
        <v>327814</v>
      </c>
      <c r="H1448" s="116"/>
      <c r="I1448" s="116"/>
      <c r="L1448" s="170">
        <v>44137</v>
      </c>
      <c r="M1448" s="116">
        <v>52.65</v>
      </c>
      <c r="N1448" s="116">
        <v>52.9</v>
      </c>
      <c r="O1448" s="116">
        <v>52</v>
      </c>
      <c r="P1448" s="116">
        <v>52.4</v>
      </c>
      <c r="Q1448" s="116">
        <v>52.65</v>
      </c>
      <c r="R1448">
        <v>9575485</v>
      </c>
    </row>
    <row r="1449" spans="1:18" x14ac:dyDescent="0.25">
      <c r="A1449" s="170">
        <v>44138</v>
      </c>
      <c r="B1449" s="116">
        <v>53.85</v>
      </c>
      <c r="C1449" s="116">
        <v>53.6</v>
      </c>
      <c r="D1449" s="116">
        <v>52.7</v>
      </c>
      <c r="E1449" s="116">
        <v>52.95</v>
      </c>
      <c r="F1449" s="116">
        <v>53.6</v>
      </c>
      <c r="G1449">
        <v>743547</v>
      </c>
      <c r="H1449" s="116"/>
      <c r="I1449" s="116"/>
      <c r="L1449" s="170">
        <v>44138</v>
      </c>
      <c r="M1449" s="116">
        <v>53.6</v>
      </c>
      <c r="N1449" s="116">
        <v>53.85</v>
      </c>
      <c r="O1449" s="116">
        <v>52.65</v>
      </c>
      <c r="P1449" s="116">
        <v>52.7</v>
      </c>
      <c r="Q1449" s="116">
        <v>53.6</v>
      </c>
      <c r="R1449">
        <v>11671919</v>
      </c>
    </row>
    <row r="1450" spans="1:18" x14ac:dyDescent="0.25">
      <c r="A1450" s="170">
        <v>44139</v>
      </c>
      <c r="B1450" s="116">
        <v>53.95</v>
      </c>
      <c r="C1450" s="116">
        <v>53.25</v>
      </c>
      <c r="D1450" s="116">
        <v>52.35</v>
      </c>
      <c r="E1450" s="116">
        <v>53.65</v>
      </c>
      <c r="F1450" s="116">
        <v>53.25</v>
      </c>
      <c r="G1450">
        <v>994843</v>
      </c>
      <c r="H1450" s="116"/>
      <c r="I1450" s="116"/>
      <c r="L1450" s="170">
        <v>44139</v>
      </c>
      <c r="M1450" s="116">
        <v>53.3</v>
      </c>
      <c r="N1450" s="116">
        <v>53.95</v>
      </c>
      <c r="O1450" s="116">
        <v>52.3</v>
      </c>
      <c r="P1450" s="116">
        <v>53.25</v>
      </c>
      <c r="Q1450" s="116">
        <v>53.3</v>
      </c>
      <c r="R1450">
        <v>13555398</v>
      </c>
    </row>
    <row r="1451" spans="1:18" x14ac:dyDescent="0.25">
      <c r="A1451" s="170">
        <v>44140</v>
      </c>
      <c r="B1451" s="116">
        <v>55.8</v>
      </c>
      <c r="C1451" s="116">
        <v>55.35</v>
      </c>
      <c r="D1451" s="116">
        <v>53.5</v>
      </c>
      <c r="E1451" s="116">
        <v>53.5</v>
      </c>
      <c r="F1451" s="116">
        <v>55.35</v>
      </c>
      <c r="G1451">
        <v>1715398</v>
      </c>
      <c r="H1451" s="116"/>
      <c r="I1451" s="116"/>
      <c r="L1451" s="170">
        <v>44140</v>
      </c>
      <c r="M1451" s="116">
        <v>55.35</v>
      </c>
      <c r="N1451" s="116">
        <v>55.85</v>
      </c>
      <c r="O1451" s="116">
        <v>53.5</v>
      </c>
      <c r="P1451" s="116">
        <v>53.5</v>
      </c>
      <c r="Q1451" s="116">
        <v>55.35</v>
      </c>
      <c r="R1451">
        <v>22517409</v>
      </c>
    </row>
    <row r="1452" spans="1:18" x14ac:dyDescent="0.25">
      <c r="A1452" s="170">
        <v>44141</v>
      </c>
      <c r="B1452" s="116">
        <v>56.75</v>
      </c>
      <c r="C1452" s="116">
        <v>54.65</v>
      </c>
      <c r="D1452" s="116">
        <v>54.5</v>
      </c>
      <c r="E1452" s="116">
        <v>55.1</v>
      </c>
      <c r="F1452" s="116">
        <v>54.65</v>
      </c>
      <c r="G1452">
        <v>3048880</v>
      </c>
      <c r="H1452" s="116"/>
      <c r="I1452" s="116"/>
      <c r="L1452" s="170">
        <v>44141</v>
      </c>
      <c r="M1452" s="116">
        <v>54.7</v>
      </c>
      <c r="N1452" s="116">
        <v>56.75</v>
      </c>
      <c r="O1452" s="116">
        <v>54.5</v>
      </c>
      <c r="P1452" s="116">
        <v>55.35</v>
      </c>
      <c r="Q1452" s="116">
        <v>54.7</v>
      </c>
      <c r="R1452">
        <v>21662709</v>
      </c>
    </row>
    <row r="1453" spans="1:18" x14ac:dyDescent="0.25">
      <c r="A1453" s="170">
        <v>44144</v>
      </c>
      <c r="B1453" s="116">
        <v>55.55</v>
      </c>
      <c r="C1453" s="116">
        <v>54.95</v>
      </c>
      <c r="D1453" s="116">
        <v>54</v>
      </c>
      <c r="E1453" s="116">
        <v>55.5</v>
      </c>
      <c r="F1453" s="116">
        <v>54.95</v>
      </c>
      <c r="G1453">
        <v>1035916</v>
      </c>
      <c r="H1453" s="116"/>
      <c r="I1453" s="116"/>
      <c r="L1453" s="170">
        <v>44144</v>
      </c>
      <c r="M1453" s="116">
        <v>54.95</v>
      </c>
      <c r="N1453" s="116">
        <v>55.6</v>
      </c>
      <c r="O1453" s="116">
        <v>53.9</v>
      </c>
      <c r="P1453" s="116">
        <v>55.45</v>
      </c>
      <c r="Q1453" s="116">
        <v>54.95</v>
      </c>
      <c r="R1453">
        <v>22041528</v>
      </c>
    </row>
    <row r="1454" spans="1:18" x14ac:dyDescent="0.25">
      <c r="A1454" s="170">
        <v>44145</v>
      </c>
      <c r="B1454" s="116">
        <v>57</v>
      </c>
      <c r="C1454" s="116">
        <v>56.65</v>
      </c>
      <c r="D1454" s="116">
        <v>55.2</v>
      </c>
      <c r="E1454" s="116">
        <v>55.5</v>
      </c>
      <c r="F1454" s="116">
        <v>56.65</v>
      </c>
      <c r="G1454">
        <v>4117812</v>
      </c>
      <c r="H1454" s="116"/>
      <c r="I1454" s="116"/>
      <c r="L1454" s="170">
        <v>44145</v>
      </c>
      <c r="M1454" s="116">
        <v>56.7</v>
      </c>
      <c r="N1454" s="116">
        <v>57.1</v>
      </c>
      <c r="O1454" s="116">
        <v>55</v>
      </c>
      <c r="P1454" s="116">
        <v>55.5</v>
      </c>
      <c r="Q1454" s="116">
        <v>56.7</v>
      </c>
      <c r="R1454">
        <v>23878927</v>
      </c>
    </row>
    <row r="1455" spans="1:18" x14ac:dyDescent="0.25">
      <c r="A1455" s="170">
        <v>44146</v>
      </c>
      <c r="B1455" s="116">
        <v>58.5</v>
      </c>
      <c r="C1455" s="116">
        <v>57.3</v>
      </c>
      <c r="D1455" s="116">
        <v>56.7</v>
      </c>
      <c r="E1455" s="116">
        <v>57.65</v>
      </c>
      <c r="F1455" s="116">
        <v>57.3</v>
      </c>
      <c r="G1455">
        <v>3384875</v>
      </c>
      <c r="H1455" s="116"/>
      <c r="I1455" s="116"/>
      <c r="L1455" s="170">
        <v>44146</v>
      </c>
      <c r="M1455" s="116">
        <v>57.25</v>
      </c>
      <c r="N1455" s="116">
        <v>58.5</v>
      </c>
      <c r="O1455" s="116">
        <v>56.7</v>
      </c>
      <c r="P1455" s="116">
        <v>57.45</v>
      </c>
      <c r="Q1455" s="116">
        <v>57.25</v>
      </c>
      <c r="R1455">
        <v>40249499</v>
      </c>
    </row>
    <row r="1456" spans="1:18" x14ac:dyDescent="0.25">
      <c r="A1456" s="170">
        <v>44147</v>
      </c>
      <c r="B1456" s="116">
        <v>57.5</v>
      </c>
      <c r="C1456" s="116">
        <v>55.5</v>
      </c>
      <c r="D1456" s="116">
        <v>55.3</v>
      </c>
      <c r="E1456" s="116">
        <v>57.25</v>
      </c>
      <c r="F1456" s="116">
        <v>55.5</v>
      </c>
      <c r="G1456">
        <v>2082301</v>
      </c>
      <c r="H1456" s="116"/>
      <c r="I1456" s="116"/>
      <c r="L1456" s="170">
        <v>44147</v>
      </c>
      <c r="M1456" s="116">
        <v>55.6</v>
      </c>
      <c r="N1456" s="116">
        <v>57.4</v>
      </c>
      <c r="O1456" s="116">
        <v>55.2</v>
      </c>
      <c r="P1456" s="116">
        <v>57.4</v>
      </c>
      <c r="Q1456" s="116">
        <v>55.6</v>
      </c>
      <c r="R1456">
        <v>19585504</v>
      </c>
    </row>
    <row r="1457" spans="1:18" x14ac:dyDescent="0.25">
      <c r="A1457" s="170">
        <v>44148</v>
      </c>
      <c r="B1457" s="116">
        <v>55.75</v>
      </c>
      <c r="C1457" s="116">
        <v>55.25</v>
      </c>
      <c r="D1457" s="116">
        <v>54.6</v>
      </c>
      <c r="E1457" s="116">
        <v>55.25</v>
      </c>
      <c r="F1457" s="116">
        <v>55.25</v>
      </c>
      <c r="G1457">
        <v>1564984</v>
      </c>
      <c r="H1457" s="116"/>
      <c r="I1457" s="116"/>
      <c r="L1457" s="170">
        <v>44148</v>
      </c>
      <c r="M1457" s="116">
        <v>55.25</v>
      </c>
      <c r="N1457" s="116">
        <v>55.75</v>
      </c>
      <c r="O1457" s="116">
        <v>54.6</v>
      </c>
      <c r="P1457" s="116">
        <v>55</v>
      </c>
      <c r="Q1457" s="116">
        <v>55.25</v>
      </c>
      <c r="R1457">
        <v>15417488</v>
      </c>
    </row>
    <row r="1458" spans="1:18" x14ac:dyDescent="0.25">
      <c r="A1458" s="170">
        <v>44149</v>
      </c>
      <c r="B1458" s="116">
        <v>56.25</v>
      </c>
      <c r="C1458" s="116">
        <v>56</v>
      </c>
      <c r="D1458" s="116">
        <v>55.65</v>
      </c>
      <c r="E1458" s="116">
        <v>55.8</v>
      </c>
      <c r="F1458" s="116">
        <v>56</v>
      </c>
      <c r="G1458">
        <v>131868</v>
      </c>
      <c r="H1458" s="116"/>
      <c r="I1458" s="116"/>
      <c r="L1458" s="170">
        <v>44149</v>
      </c>
      <c r="M1458" s="116">
        <v>55.95</v>
      </c>
      <c r="N1458" s="116">
        <v>56.2</v>
      </c>
      <c r="O1458" s="116">
        <v>55.55</v>
      </c>
      <c r="P1458" s="116">
        <v>56</v>
      </c>
      <c r="Q1458" s="116">
        <v>55.95</v>
      </c>
      <c r="R1458">
        <v>2578865</v>
      </c>
    </row>
    <row r="1459" spans="1:18" x14ac:dyDescent="0.25">
      <c r="A1459" s="170">
        <v>44152</v>
      </c>
      <c r="B1459" s="116">
        <v>58.15</v>
      </c>
      <c r="C1459" s="116">
        <v>57.65</v>
      </c>
      <c r="D1459" s="116">
        <v>55.95</v>
      </c>
      <c r="E1459" s="116">
        <v>56</v>
      </c>
      <c r="F1459" s="116">
        <v>57.65</v>
      </c>
      <c r="G1459">
        <v>2145376</v>
      </c>
      <c r="H1459" s="116"/>
      <c r="I1459" s="116"/>
      <c r="L1459" s="170">
        <v>44152</v>
      </c>
      <c r="M1459" s="116">
        <v>57.65</v>
      </c>
      <c r="N1459" s="116">
        <v>58.2</v>
      </c>
      <c r="O1459" s="116">
        <v>55.9</v>
      </c>
      <c r="P1459" s="116">
        <v>56.5</v>
      </c>
      <c r="Q1459" s="116">
        <v>57.65</v>
      </c>
      <c r="R1459">
        <v>26801425</v>
      </c>
    </row>
    <row r="1460" spans="1:18" x14ac:dyDescent="0.25">
      <c r="A1460" s="170">
        <v>44153</v>
      </c>
      <c r="B1460" s="116">
        <v>61.2</v>
      </c>
      <c r="C1460" s="116">
        <v>60.65</v>
      </c>
      <c r="D1460" s="116">
        <v>57.8</v>
      </c>
      <c r="E1460" s="116">
        <v>57.9</v>
      </c>
      <c r="F1460" s="116">
        <v>60.65</v>
      </c>
      <c r="G1460">
        <v>3896896</v>
      </c>
      <c r="H1460" s="116"/>
      <c r="I1460" s="116"/>
      <c r="L1460" s="170">
        <v>44153</v>
      </c>
      <c r="M1460" s="116">
        <v>60.6</v>
      </c>
      <c r="N1460" s="116">
        <v>61.25</v>
      </c>
      <c r="O1460" s="116">
        <v>57.7</v>
      </c>
      <c r="P1460" s="116">
        <v>57.85</v>
      </c>
      <c r="Q1460" s="116">
        <v>60.6</v>
      </c>
      <c r="R1460">
        <v>54298315</v>
      </c>
    </row>
    <row r="1461" spans="1:18" x14ac:dyDescent="0.25">
      <c r="A1461" s="170">
        <v>44154</v>
      </c>
      <c r="B1461" s="116">
        <v>61.45</v>
      </c>
      <c r="C1461" s="116">
        <v>59.2</v>
      </c>
      <c r="D1461" s="116">
        <v>58.8</v>
      </c>
      <c r="E1461" s="116">
        <v>60.55</v>
      </c>
      <c r="F1461" s="116">
        <v>59.2</v>
      </c>
      <c r="G1461">
        <v>2028172</v>
      </c>
      <c r="H1461" s="116"/>
      <c r="I1461" s="116"/>
      <c r="L1461" s="170">
        <v>44154</v>
      </c>
      <c r="M1461" s="116">
        <v>59.15</v>
      </c>
      <c r="N1461" s="116">
        <v>61.45</v>
      </c>
      <c r="O1461" s="116">
        <v>58.75</v>
      </c>
      <c r="P1461" s="116">
        <v>60.25</v>
      </c>
      <c r="Q1461" s="116">
        <v>59.15</v>
      </c>
      <c r="R1461">
        <v>28987133</v>
      </c>
    </row>
    <row r="1462" spans="1:18" x14ac:dyDescent="0.25">
      <c r="A1462" s="170">
        <v>44155</v>
      </c>
      <c r="B1462" s="116">
        <v>59.85</v>
      </c>
      <c r="C1462" s="116">
        <v>58.1</v>
      </c>
      <c r="D1462" s="116">
        <v>56.7</v>
      </c>
      <c r="E1462" s="116">
        <v>59.3</v>
      </c>
      <c r="F1462" s="116">
        <v>58.1</v>
      </c>
      <c r="G1462">
        <v>1831138</v>
      </c>
      <c r="H1462" s="116"/>
      <c r="I1462" s="116"/>
      <c r="L1462" s="170">
        <v>44155</v>
      </c>
      <c r="M1462" s="116">
        <v>58.1</v>
      </c>
      <c r="N1462" s="116">
        <v>59.9</v>
      </c>
      <c r="O1462" s="116">
        <v>56.7</v>
      </c>
      <c r="P1462" s="116">
        <v>59.55</v>
      </c>
      <c r="Q1462" s="116">
        <v>58.1</v>
      </c>
      <c r="R1462">
        <v>23428511</v>
      </c>
    </row>
    <row r="1463" spans="1:18" x14ac:dyDescent="0.25">
      <c r="A1463" s="170">
        <v>44158</v>
      </c>
      <c r="B1463" s="116">
        <v>59.7</v>
      </c>
      <c r="C1463" s="116">
        <v>58.85</v>
      </c>
      <c r="D1463" s="116">
        <v>57.85</v>
      </c>
      <c r="E1463" s="116">
        <v>58.55</v>
      </c>
      <c r="F1463" s="116">
        <v>58.85</v>
      </c>
      <c r="G1463">
        <v>1671148</v>
      </c>
      <c r="H1463" s="116"/>
      <c r="I1463" s="116"/>
      <c r="L1463" s="170">
        <v>44158</v>
      </c>
      <c r="M1463" s="116">
        <v>58.85</v>
      </c>
      <c r="N1463" s="116">
        <v>59.75</v>
      </c>
      <c r="O1463" s="116">
        <v>57.8</v>
      </c>
      <c r="P1463" s="116">
        <v>58.85</v>
      </c>
      <c r="Q1463" s="116">
        <v>58.85</v>
      </c>
      <c r="R1463">
        <v>24196085</v>
      </c>
    </row>
    <row r="1464" spans="1:18" x14ac:dyDescent="0.25">
      <c r="A1464" s="170">
        <v>44159</v>
      </c>
      <c r="B1464" s="116">
        <v>60.15</v>
      </c>
      <c r="C1464" s="116">
        <v>59.95</v>
      </c>
      <c r="D1464" s="116">
        <v>58.4</v>
      </c>
      <c r="E1464" s="116">
        <v>59.65</v>
      </c>
      <c r="F1464" s="116">
        <v>59.95</v>
      </c>
      <c r="G1464">
        <v>1449313</v>
      </c>
      <c r="H1464" s="116"/>
      <c r="I1464" s="116"/>
      <c r="L1464" s="170">
        <v>44159</v>
      </c>
      <c r="M1464" s="116">
        <v>59.95</v>
      </c>
      <c r="N1464" s="116">
        <v>60.15</v>
      </c>
      <c r="O1464" s="116">
        <v>58.35</v>
      </c>
      <c r="P1464" s="116">
        <v>59.35</v>
      </c>
      <c r="Q1464" s="116">
        <v>59.95</v>
      </c>
      <c r="R1464">
        <v>25057495</v>
      </c>
    </row>
    <row r="1465" spans="1:18" x14ac:dyDescent="0.25">
      <c r="A1465" s="170">
        <v>44160</v>
      </c>
      <c r="B1465" s="116">
        <v>63.85</v>
      </c>
      <c r="C1465" s="116">
        <v>61.5</v>
      </c>
      <c r="D1465" s="116">
        <v>60.3</v>
      </c>
      <c r="E1465" s="116">
        <v>60.55</v>
      </c>
      <c r="F1465" s="116">
        <v>61.5</v>
      </c>
      <c r="G1465">
        <v>6240012</v>
      </c>
      <c r="H1465" s="116"/>
      <c r="I1465" s="116"/>
      <c r="L1465" s="170">
        <v>44160</v>
      </c>
      <c r="M1465" s="116">
        <v>61.5</v>
      </c>
      <c r="N1465" s="116">
        <v>63.9</v>
      </c>
      <c r="O1465" s="116">
        <v>60.2</v>
      </c>
      <c r="P1465" s="116">
        <v>60.45</v>
      </c>
      <c r="Q1465" s="116">
        <v>61.5</v>
      </c>
      <c r="R1465">
        <v>75949155</v>
      </c>
    </row>
    <row r="1466" spans="1:18" x14ac:dyDescent="0.25">
      <c r="A1466" s="170">
        <v>44161</v>
      </c>
      <c r="B1466" s="116">
        <v>62.7</v>
      </c>
      <c r="C1466" s="116">
        <v>62.35</v>
      </c>
      <c r="D1466" s="116">
        <v>61.15</v>
      </c>
      <c r="E1466" s="116">
        <v>62.2</v>
      </c>
      <c r="F1466" s="116">
        <v>62.35</v>
      </c>
      <c r="G1466">
        <v>2647605</v>
      </c>
      <c r="H1466" s="116"/>
      <c r="I1466" s="116"/>
      <c r="L1466" s="170">
        <v>44161</v>
      </c>
      <c r="M1466" s="116">
        <v>62.35</v>
      </c>
      <c r="N1466" s="116">
        <v>62.7</v>
      </c>
      <c r="O1466" s="116">
        <v>61.2</v>
      </c>
      <c r="P1466" s="116">
        <v>62.2</v>
      </c>
      <c r="Q1466" s="116">
        <v>62.35</v>
      </c>
      <c r="R1466">
        <v>30119954</v>
      </c>
    </row>
    <row r="1467" spans="1:18" x14ac:dyDescent="0.25">
      <c r="A1467" s="170">
        <v>44162</v>
      </c>
      <c r="B1467" s="116">
        <v>65.25</v>
      </c>
      <c r="C1467" s="116">
        <v>64.95</v>
      </c>
      <c r="D1467" s="116">
        <v>62.4</v>
      </c>
      <c r="E1467" s="116">
        <v>63.35</v>
      </c>
      <c r="F1467" s="116">
        <v>64.95</v>
      </c>
      <c r="G1467">
        <v>2014074</v>
      </c>
      <c r="H1467" s="116"/>
      <c r="I1467" s="116"/>
      <c r="L1467" s="170">
        <v>44162</v>
      </c>
      <c r="M1467" s="116">
        <v>64.900000000000006</v>
      </c>
      <c r="N1467" s="116">
        <v>65.25</v>
      </c>
      <c r="O1467" s="116">
        <v>62.45</v>
      </c>
      <c r="P1467" s="116">
        <v>63</v>
      </c>
      <c r="Q1467" s="116">
        <v>64.900000000000006</v>
      </c>
      <c r="R1467">
        <v>56608140</v>
      </c>
    </row>
    <row r="1468" spans="1:18" x14ac:dyDescent="0.25">
      <c r="A1468" s="170">
        <v>44166</v>
      </c>
      <c r="B1468" s="116">
        <v>69.349999999999994</v>
      </c>
      <c r="C1468" s="116">
        <v>68.75</v>
      </c>
      <c r="D1468" s="116">
        <v>65</v>
      </c>
      <c r="E1468" s="116">
        <v>65.45</v>
      </c>
      <c r="F1468" s="116">
        <v>68.75</v>
      </c>
      <c r="G1468">
        <v>3942270</v>
      </c>
      <c r="H1468" s="116"/>
      <c r="I1468" s="116"/>
      <c r="L1468" s="170">
        <v>44166</v>
      </c>
      <c r="M1468" s="116">
        <v>68.849999999999994</v>
      </c>
      <c r="N1468" s="116">
        <v>69.45</v>
      </c>
      <c r="O1468" s="116">
        <v>65</v>
      </c>
      <c r="P1468" s="116">
        <v>65.599999999999994</v>
      </c>
      <c r="Q1468" s="116">
        <v>68.849999999999994</v>
      </c>
      <c r="R1468">
        <v>70704403</v>
      </c>
    </row>
    <row r="1469" spans="1:18" x14ac:dyDescent="0.25">
      <c r="A1469" s="170">
        <v>44167</v>
      </c>
      <c r="B1469" s="116">
        <v>69.7</v>
      </c>
      <c r="C1469" s="116">
        <v>67.95</v>
      </c>
      <c r="D1469" s="116">
        <v>66.75</v>
      </c>
      <c r="E1469" s="116">
        <v>69.150000000000006</v>
      </c>
      <c r="F1469" s="116">
        <v>67.95</v>
      </c>
      <c r="G1469">
        <v>3092398</v>
      </c>
      <c r="H1469" s="116"/>
      <c r="I1469" s="116"/>
      <c r="L1469" s="170">
        <v>44167</v>
      </c>
      <c r="M1469" s="116">
        <v>67.95</v>
      </c>
      <c r="N1469" s="116">
        <v>69.650000000000006</v>
      </c>
      <c r="O1469" s="116">
        <v>66.7</v>
      </c>
      <c r="P1469" s="116">
        <v>69.5</v>
      </c>
      <c r="Q1469" s="116">
        <v>67.95</v>
      </c>
      <c r="R1469">
        <v>46261091</v>
      </c>
    </row>
    <row r="1470" spans="1:18" x14ac:dyDescent="0.25">
      <c r="A1470" s="170">
        <v>44168</v>
      </c>
      <c r="B1470" s="116">
        <v>69.650000000000006</v>
      </c>
      <c r="C1470" s="116">
        <v>69.2</v>
      </c>
      <c r="D1470" s="116">
        <v>67.599999999999994</v>
      </c>
      <c r="E1470" s="116">
        <v>68.5</v>
      </c>
      <c r="F1470" s="116">
        <v>69.2</v>
      </c>
      <c r="G1470">
        <v>2601564</v>
      </c>
      <c r="H1470" s="116"/>
      <c r="I1470" s="116"/>
      <c r="L1470" s="170">
        <v>44168</v>
      </c>
      <c r="M1470" s="116">
        <v>69.25</v>
      </c>
      <c r="N1470" s="116">
        <v>69.7</v>
      </c>
      <c r="O1470" s="116">
        <v>67.599999999999994</v>
      </c>
      <c r="P1470" s="116">
        <v>68.5</v>
      </c>
      <c r="Q1470" s="116">
        <v>69.25</v>
      </c>
      <c r="R1470">
        <v>37361699</v>
      </c>
    </row>
    <row r="1471" spans="1:18" x14ac:dyDescent="0.25">
      <c r="A1471" s="170">
        <v>44169</v>
      </c>
      <c r="B1471" s="116">
        <v>73.599999999999994</v>
      </c>
      <c r="C1471" s="116">
        <v>71.650000000000006</v>
      </c>
      <c r="D1471" s="116">
        <v>69.400000000000006</v>
      </c>
      <c r="E1471" s="116">
        <v>71.5</v>
      </c>
      <c r="F1471" s="116">
        <v>71.650000000000006</v>
      </c>
      <c r="G1471">
        <v>4811985</v>
      </c>
      <c r="H1471" s="116"/>
      <c r="I1471" s="116"/>
      <c r="L1471" s="170">
        <v>44169</v>
      </c>
      <c r="M1471" s="116">
        <v>71.650000000000006</v>
      </c>
      <c r="N1471" s="116">
        <v>73.599999999999994</v>
      </c>
      <c r="O1471" s="116">
        <v>69.349999999999994</v>
      </c>
      <c r="P1471" s="116">
        <v>71.7</v>
      </c>
      <c r="Q1471" s="116">
        <v>71.650000000000006</v>
      </c>
      <c r="R1471">
        <v>97738908</v>
      </c>
    </row>
    <row r="1472" spans="1:18" x14ac:dyDescent="0.25">
      <c r="A1472" s="170">
        <v>44172</v>
      </c>
      <c r="B1472" s="116">
        <v>73.349999999999994</v>
      </c>
      <c r="C1472" s="116">
        <v>71.599999999999994</v>
      </c>
      <c r="D1472" s="116">
        <v>71.2</v>
      </c>
      <c r="E1472" s="116">
        <v>72.900000000000006</v>
      </c>
      <c r="F1472" s="116">
        <v>71.599999999999994</v>
      </c>
      <c r="G1472">
        <v>3134581</v>
      </c>
      <c r="H1472" s="116"/>
      <c r="I1472" s="116"/>
      <c r="L1472" s="170">
        <v>44172</v>
      </c>
      <c r="M1472" s="116">
        <v>71.650000000000006</v>
      </c>
      <c r="N1472" s="116">
        <v>73.349999999999994</v>
      </c>
      <c r="O1472" s="116">
        <v>71.150000000000006</v>
      </c>
      <c r="P1472" s="116">
        <v>72.45</v>
      </c>
      <c r="Q1472" s="116">
        <v>71.650000000000006</v>
      </c>
      <c r="R1472">
        <v>39355314</v>
      </c>
    </row>
    <row r="1473" spans="1:18" x14ac:dyDescent="0.25">
      <c r="A1473" s="170">
        <v>44173</v>
      </c>
      <c r="B1473" s="116">
        <v>73.2</v>
      </c>
      <c r="C1473" s="116">
        <v>72.05</v>
      </c>
      <c r="D1473" s="116">
        <v>70.25</v>
      </c>
      <c r="E1473" s="116">
        <v>73.2</v>
      </c>
      <c r="F1473" s="116">
        <v>72.05</v>
      </c>
      <c r="G1473">
        <v>2918455</v>
      </c>
      <c r="H1473" s="116"/>
      <c r="I1473" s="116"/>
      <c r="L1473" s="170">
        <v>44173</v>
      </c>
      <c r="M1473" s="116">
        <v>72</v>
      </c>
      <c r="N1473" s="116">
        <v>73.099999999999994</v>
      </c>
      <c r="O1473" s="116">
        <v>70.25</v>
      </c>
      <c r="P1473" s="116">
        <v>73</v>
      </c>
      <c r="Q1473" s="116">
        <v>72</v>
      </c>
      <c r="R1473">
        <v>43645664</v>
      </c>
    </row>
    <row r="1474" spans="1:18" x14ac:dyDescent="0.25">
      <c r="A1474" s="170">
        <v>44174</v>
      </c>
      <c r="B1474" s="116">
        <v>75</v>
      </c>
      <c r="C1474" s="116">
        <v>73.150000000000006</v>
      </c>
      <c r="D1474" s="116">
        <v>71.95</v>
      </c>
      <c r="E1474" s="116">
        <v>72.900000000000006</v>
      </c>
      <c r="F1474" s="116">
        <v>73.150000000000006</v>
      </c>
      <c r="G1474">
        <v>6022387</v>
      </c>
      <c r="H1474" s="116"/>
      <c r="I1474" s="116"/>
      <c r="L1474" s="170">
        <v>44174</v>
      </c>
      <c r="M1474" s="116">
        <v>73.150000000000006</v>
      </c>
      <c r="N1474" s="116">
        <v>75</v>
      </c>
      <c r="O1474" s="116">
        <v>71.900000000000006</v>
      </c>
      <c r="P1474" s="116">
        <v>72.599999999999994</v>
      </c>
      <c r="Q1474" s="116">
        <v>73.150000000000006</v>
      </c>
      <c r="R1474">
        <v>58476323</v>
      </c>
    </row>
    <row r="1475" spans="1:18" x14ac:dyDescent="0.25">
      <c r="A1475" s="170">
        <v>44175</v>
      </c>
      <c r="B1475" s="116">
        <v>73.45</v>
      </c>
      <c r="C1475" s="116">
        <v>72.599999999999994</v>
      </c>
      <c r="D1475" s="116">
        <v>71</v>
      </c>
      <c r="E1475" s="116">
        <v>72.7</v>
      </c>
      <c r="F1475" s="116">
        <v>72.599999999999994</v>
      </c>
      <c r="G1475">
        <v>3001118</v>
      </c>
      <c r="H1475" s="116"/>
      <c r="I1475" s="116"/>
      <c r="L1475" s="170">
        <v>44175</v>
      </c>
      <c r="M1475" s="116">
        <v>72.650000000000006</v>
      </c>
      <c r="N1475" s="116">
        <v>73.45</v>
      </c>
      <c r="O1475" s="116">
        <v>71</v>
      </c>
      <c r="P1475" s="116">
        <v>73</v>
      </c>
      <c r="Q1475" s="116">
        <v>72.650000000000006</v>
      </c>
      <c r="R1475">
        <v>29242808</v>
      </c>
    </row>
    <row r="1476" spans="1:18" x14ac:dyDescent="0.25">
      <c r="A1476" s="170">
        <v>44176</v>
      </c>
      <c r="B1476" s="116">
        <v>74.099999999999994</v>
      </c>
      <c r="C1476" s="116">
        <v>72.8</v>
      </c>
      <c r="D1476" s="116">
        <v>72.2</v>
      </c>
      <c r="E1476" s="116">
        <v>73.45</v>
      </c>
      <c r="F1476" s="116">
        <v>72.8</v>
      </c>
      <c r="G1476">
        <v>2306227</v>
      </c>
      <c r="H1476" s="116"/>
      <c r="I1476" s="116"/>
      <c r="L1476" s="170">
        <v>44176</v>
      </c>
      <c r="M1476" s="116">
        <v>72.8</v>
      </c>
      <c r="N1476" s="116">
        <v>74.099999999999994</v>
      </c>
      <c r="O1476" s="116">
        <v>72.150000000000006</v>
      </c>
      <c r="P1476" s="116">
        <v>72.75</v>
      </c>
      <c r="Q1476" s="116">
        <v>72.8</v>
      </c>
      <c r="R1476">
        <v>36847385</v>
      </c>
    </row>
    <row r="1477" spans="1:18" x14ac:dyDescent="0.25">
      <c r="A1477" s="170">
        <v>44179</v>
      </c>
      <c r="B1477" s="116">
        <v>74.099999999999994</v>
      </c>
      <c r="C1477" s="116">
        <v>73.45</v>
      </c>
      <c r="D1477" s="116">
        <v>72.849999999999994</v>
      </c>
      <c r="E1477" s="116">
        <v>73.2</v>
      </c>
      <c r="F1477" s="116">
        <v>73.45</v>
      </c>
      <c r="G1477">
        <v>1448570</v>
      </c>
      <c r="H1477" s="116"/>
      <c r="I1477" s="116"/>
      <c r="L1477" s="170">
        <v>44179</v>
      </c>
      <c r="M1477" s="116">
        <v>73.45</v>
      </c>
      <c r="N1477" s="116">
        <v>74.099999999999994</v>
      </c>
      <c r="O1477" s="116">
        <v>72.8</v>
      </c>
      <c r="P1477" s="116">
        <v>73.45</v>
      </c>
      <c r="Q1477" s="116">
        <v>73.45</v>
      </c>
      <c r="R1477">
        <v>20767955</v>
      </c>
    </row>
    <row r="1478" spans="1:18" x14ac:dyDescent="0.25">
      <c r="A1478" s="170">
        <v>44180</v>
      </c>
      <c r="B1478" s="116">
        <v>75.400000000000006</v>
      </c>
      <c r="C1478" s="116">
        <v>75.150000000000006</v>
      </c>
      <c r="D1478" s="116">
        <v>72.55</v>
      </c>
      <c r="E1478" s="116">
        <v>73.45</v>
      </c>
      <c r="F1478" s="116">
        <v>75.150000000000006</v>
      </c>
      <c r="G1478">
        <v>2968170</v>
      </c>
      <c r="H1478" s="116"/>
      <c r="I1478" s="116"/>
      <c r="L1478" s="170">
        <v>44180</v>
      </c>
      <c r="M1478" s="116">
        <v>75.150000000000006</v>
      </c>
      <c r="N1478" s="116">
        <v>75.5</v>
      </c>
      <c r="O1478" s="116">
        <v>72.5</v>
      </c>
      <c r="P1478" s="116">
        <v>73.400000000000006</v>
      </c>
      <c r="Q1478" s="116">
        <v>75.150000000000006</v>
      </c>
      <c r="R1478">
        <v>38943070</v>
      </c>
    </row>
    <row r="1479" spans="1:18" x14ac:dyDescent="0.25">
      <c r="A1479" s="170">
        <v>44181</v>
      </c>
      <c r="B1479" s="116">
        <v>76.5</v>
      </c>
      <c r="C1479" s="116">
        <v>76.150000000000006</v>
      </c>
      <c r="D1479" s="116">
        <v>74.650000000000006</v>
      </c>
      <c r="E1479" s="116">
        <v>75.45</v>
      </c>
      <c r="F1479" s="116">
        <v>76.150000000000006</v>
      </c>
      <c r="G1479">
        <v>2098929</v>
      </c>
      <c r="H1479" s="116"/>
      <c r="I1479" s="116"/>
      <c r="L1479" s="170">
        <v>44181</v>
      </c>
      <c r="M1479" s="116">
        <v>76.150000000000006</v>
      </c>
      <c r="N1479" s="116">
        <v>76.45</v>
      </c>
      <c r="O1479" s="116">
        <v>74.650000000000006</v>
      </c>
      <c r="P1479" s="116">
        <v>75.5</v>
      </c>
      <c r="Q1479" s="116">
        <v>76.150000000000006</v>
      </c>
      <c r="R1479">
        <v>36595158</v>
      </c>
    </row>
    <row r="1480" spans="1:18" x14ac:dyDescent="0.25">
      <c r="A1480" s="170">
        <v>44182</v>
      </c>
      <c r="B1480" s="116">
        <v>76.7</v>
      </c>
      <c r="C1480" s="116">
        <v>75.2</v>
      </c>
      <c r="D1480" s="116">
        <v>74.7</v>
      </c>
      <c r="E1480" s="116">
        <v>76.45</v>
      </c>
      <c r="F1480" s="116">
        <v>75.2</v>
      </c>
      <c r="G1480">
        <v>1841616</v>
      </c>
      <c r="H1480" s="116"/>
      <c r="I1480" s="116"/>
      <c r="L1480" s="170">
        <v>44182</v>
      </c>
      <c r="M1480" s="116">
        <v>75.2</v>
      </c>
      <c r="N1480" s="116">
        <v>76.7</v>
      </c>
      <c r="O1480" s="116">
        <v>74.650000000000006</v>
      </c>
      <c r="P1480" s="116">
        <v>76.25</v>
      </c>
      <c r="Q1480" s="116">
        <v>75.2</v>
      </c>
      <c r="R1480">
        <v>28073186</v>
      </c>
    </row>
    <row r="1481" spans="1:18" x14ac:dyDescent="0.25">
      <c r="A1481" s="170">
        <v>44183</v>
      </c>
      <c r="B1481" s="116">
        <v>76.45</v>
      </c>
      <c r="C1481" s="116">
        <v>76.150000000000006</v>
      </c>
      <c r="D1481" s="116">
        <v>73.599999999999994</v>
      </c>
      <c r="E1481" s="116">
        <v>75.25</v>
      </c>
      <c r="F1481" s="116">
        <v>76.150000000000006</v>
      </c>
      <c r="G1481">
        <v>2553825</v>
      </c>
      <c r="H1481" s="116"/>
      <c r="I1481" s="116"/>
      <c r="L1481" s="170">
        <v>44183</v>
      </c>
      <c r="M1481" s="116">
        <v>76.05</v>
      </c>
      <c r="N1481" s="116">
        <v>76.45</v>
      </c>
      <c r="O1481" s="116">
        <v>73.650000000000006</v>
      </c>
      <c r="P1481" s="116">
        <v>75</v>
      </c>
      <c r="Q1481" s="116">
        <v>76.05</v>
      </c>
      <c r="R1481">
        <v>49891456</v>
      </c>
    </row>
    <row r="1482" spans="1:18" x14ac:dyDescent="0.25">
      <c r="A1482" s="170">
        <v>44186</v>
      </c>
      <c r="B1482" s="116">
        <v>76</v>
      </c>
      <c r="C1482" s="116">
        <v>69.099999999999994</v>
      </c>
      <c r="D1482" s="116">
        <v>66.400000000000006</v>
      </c>
      <c r="E1482" s="116">
        <v>76</v>
      </c>
      <c r="F1482" s="116">
        <v>69.099999999999994</v>
      </c>
      <c r="G1482">
        <v>4876853</v>
      </c>
      <c r="H1482" s="116"/>
      <c r="I1482" s="116"/>
      <c r="L1482" s="170">
        <v>44186</v>
      </c>
      <c r="M1482" s="116">
        <v>69.05</v>
      </c>
      <c r="N1482" s="116">
        <v>75.849999999999994</v>
      </c>
      <c r="O1482" s="116">
        <v>66.400000000000006</v>
      </c>
      <c r="P1482" s="116">
        <v>75.849999999999994</v>
      </c>
      <c r="Q1482" s="116">
        <v>69.05</v>
      </c>
      <c r="R1482">
        <v>51731072</v>
      </c>
    </row>
    <row r="1483" spans="1:18" x14ac:dyDescent="0.25">
      <c r="A1483" s="170">
        <v>44187</v>
      </c>
      <c r="B1483" s="116">
        <v>71.900000000000006</v>
      </c>
      <c r="C1483" s="116">
        <v>71.599999999999994</v>
      </c>
      <c r="D1483" s="116">
        <v>66.7</v>
      </c>
      <c r="E1483" s="116">
        <v>68</v>
      </c>
      <c r="F1483" s="116">
        <v>71.599999999999994</v>
      </c>
      <c r="G1483">
        <v>3625177</v>
      </c>
      <c r="H1483" s="116"/>
      <c r="I1483" s="116"/>
      <c r="L1483" s="170">
        <v>44187</v>
      </c>
      <c r="M1483" s="116">
        <v>71.650000000000006</v>
      </c>
      <c r="N1483" s="116">
        <v>71.900000000000006</v>
      </c>
      <c r="O1483" s="116">
        <v>66.7</v>
      </c>
      <c r="P1483" s="116">
        <v>69</v>
      </c>
      <c r="Q1483" s="116">
        <v>71.650000000000006</v>
      </c>
      <c r="R1483">
        <v>46224467</v>
      </c>
    </row>
    <row r="1484" spans="1:18" x14ac:dyDescent="0.25">
      <c r="A1484" s="170">
        <v>44188</v>
      </c>
      <c r="B1484" s="116">
        <v>74.400000000000006</v>
      </c>
      <c r="C1484" s="116">
        <v>74.150000000000006</v>
      </c>
      <c r="D1484" s="116">
        <v>71.55</v>
      </c>
      <c r="E1484" s="116">
        <v>73</v>
      </c>
      <c r="F1484" s="116">
        <v>74.150000000000006</v>
      </c>
      <c r="G1484">
        <v>980685</v>
      </c>
      <c r="H1484" s="116"/>
      <c r="I1484" s="116"/>
      <c r="L1484" s="170">
        <v>44188</v>
      </c>
      <c r="M1484" s="116">
        <v>74.150000000000006</v>
      </c>
      <c r="N1484" s="116">
        <v>74.45</v>
      </c>
      <c r="O1484" s="116">
        <v>71.5</v>
      </c>
      <c r="P1484" s="116">
        <v>72</v>
      </c>
      <c r="Q1484" s="116">
        <v>74.150000000000006</v>
      </c>
      <c r="R1484">
        <v>30689573</v>
      </c>
    </row>
    <row r="1485" spans="1:18" x14ac:dyDescent="0.25">
      <c r="A1485" s="170">
        <v>44189</v>
      </c>
      <c r="B1485" s="116">
        <v>75.599999999999994</v>
      </c>
      <c r="C1485" s="116">
        <v>74.400000000000006</v>
      </c>
      <c r="D1485" s="116">
        <v>74.25</v>
      </c>
      <c r="E1485" s="116">
        <v>74.55</v>
      </c>
      <c r="F1485" s="116">
        <v>74.400000000000006</v>
      </c>
      <c r="G1485">
        <v>1724025</v>
      </c>
      <c r="H1485" s="116"/>
      <c r="I1485" s="116"/>
      <c r="L1485" s="170">
        <v>44189</v>
      </c>
      <c r="M1485" s="116">
        <v>74.5</v>
      </c>
      <c r="N1485" s="116">
        <v>75.599999999999994</v>
      </c>
      <c r="O1485" s="116">
        <v>74.25</v>
      </c>
      <c r="P1485" s="116">
        <v>74.599999999999994</v>
      </c>
      <c r="Q1485" s="116">
        <v>74.5</v>
      </c>
      <c r="R1485">
        <v>23223241</v>
      </c>
    </row>
    <row r="1486" spans="1:18" x14ac:dyDescent="0.25">
      <c r="A1486" s="170">
        <v>44193</v>
      </c>
      <c r="B1486" s="116">
        <v>77.95</v>
      </c>
      <c r="C1486" s="116">
        <v>77.2</v>
      </c>
      <c r="D1486" s="116">
        <v>75.2</v>
      </c>
      <c r="E1486" s="116">
        <v>75.45</v>
      </c>
      <c r="F1486" s="116">
        <v>77.2</v>
      </c>
      <c r="G1486">
        <v>1532648</v>
      </c>
      <c r="H1486" s="116"/>
      <c r="I1486" s="116"/>
      <c r="L1486" s="170">
        <v>44193</v>
      </c>
      <c r="M1486" s="116">
        <v>77.2</v>
      </c>
      <c r="N1486" s="116">
        <v>77.95</v>
      </c>
      <c r="O1486" s="116">
        <v>75.099999999999994</v>
      </c>
      <c r="P1486" s="116">
        <v>75.25</v>
      </c>
      <c r="Q1486" s="116">
        <v>77.2</v>
      </c>
      <c r="R1486">
        <v>35601036</v>
      </c>
    </row>
    <row r="1487" spans="1:18" x14ac:dyDescent="0.25">
      <c r="A1487" s="170">
        <v>44194</v>
      </c>
      <c r="B1487" s="116">
        <v>79</v>
      </c>
      <c r="C1487" s="116">
        <v>76.55</v>
      </c>
      <c r="D1487" s="116">
        <v>76.25</v>
      </c>
      <c r="E1487" s="116">
        <v>78</v>
      </c>
      <c r="F1487" s="116">
        <v>76.55</v>
      </c>
      <c r="G1487">
        <v>2133249</v>
      </c>
      <c r="H1487" s="116"/>
      <c r="I1487" s="116"/>
      <c r="L1487" s="170">
        <v>44194</v>
      </c>
      <c r="M1487" s="116">
        <v>76.55</v>
      </c>
      <c r="N1487" s="116">
        <v>78.8</v>
      </c>
      <c r="O1487" s="116">
        <v>76.25</v>
      </c>
      <c r="P1487" s="116">
        <v>78</v>
      </c>
      <c r="Q1487" s="116">
        <v>76.55</v>
      </c>
      <c r="R1487">
        <v>28745694</v>
      </c>
    </row>
    <row r="1488" spans="1:18" x14ac:dyDescent="0.25">
      <c r="A1488" s="170">
        <v>44195</v>
      </c>
      <c r="B1488" s="116">
        <v>77.2</v>
      </c>
      <c r="C1488" s="116">
        <v>75.75</v>
      </c>
      <c r="D1488" s="116">
        <v>75.25</v>
      </c>
      <c r="E1488" s="116">
        <v>77.2</v>
      </c>
      <c r="F1488" s="116">
        <v>75.75</v>
      </c>
      <c r="G1488">
        <v>1291894</v>
      </c>
      <c r="H1488" s="116"/>
      <c r="I1488" s="116"/>
      <c r="L1488" s="170">
        <v>44195</v>
      </c>
      <c r="M1488" s="116">
        <v>75.8</v>
      </c>
      <c r="N1488" s="116">
        <v>76.95</v>
      </c>
      <c r="O1488" s="116">
        <v>75.2</v>
      </c>
      <c r="P1488" s="116">
        <v>76.95</v>
      </c>
      <c r="Q1488" s="116">
        <v>75.8</v>
      </c>
      <c r="R1488">
        <v>17918812</v>
      </c>
    </row>
    <row r="1489" spans="1:18" x14ac:dyDescent="0.25">
      <c r="A1489" s="170">
        <v>44196</v>
      </c>
      <c r="B1489" s="116">
        <v>76.45</v>
      </c>
      <c r="C1489" s="116">
        <v>75.650000000000006</v>
      </c>
      <c r="D1489" s="116">
        <v>75.349999999999994</v>
      </c>
      <c r="E1489" s="116">
        <v>75.599999999999994</v>
      </c>
      <c r="F1489" s="116">
        <v>75.650000000000006</v>
      </c>
      <c r="G1489">
        <v>702868</v>
      </c>
      <c r="H1489" s="116"/>
      <c r="I1489" s="116"/>
      <c r="L1489" s="170">
        <v>44196</v>
      </c>
      <c r="M1489" s="116">
        <v>75.650000000000006</v>
      </c>
      <c r="N1489" s="116">
        <v>76.5</v>
      </c>
      <c r="O1489" s="116">
        <v>75.400000000000006</v>
      </c>
      <c r="P1489" s="116">
        <v>75.849999999999994</v>
      </c>
      <c r="Q1489" s="116">
        <v>75.650000000000006</v>
      </c>
      <c r="R1489">
        <v>15495713</v>
      </c>
    </row>
    <row r="1490" spans="1:18" x14ac:dyDescent="0.25">
      <c r="A1490" s="170">
        <v>44197</v>
      </c>
      <c r="B1490" s="116">
        <v>77.7</v>
      </c>
      <c r="C1490" s="116">
        <v>77.349999999999994</v>
      </c>
      <c r="D1490" s="116">
        <v>75.8</v>
      </c>
      <c r="E1490" s="116">
        <v>75.900000000000006</v>
      </c>
      <c r="F1490" s="116">
        <v>77.349999999999994</v>
      </c>
      <c r="G1490">
        <v>1672380</v>
      </c>
      <c r="H1490" s="116"/>
      <c r="I1490" s="116"/>
      <c r="L1490" s="170">
        <v>44197</v>
      </c>
      <c r="M1490" s="116">
        <v>77.349999999999994</v>
      </c>
      <c r="N1490" s="116">
        <v>77.75</v>
      </c>
      <c r="O1490" s="116">
        <v>75.8</v>
      </c>
      <c r="P1490" s="116">
        <v>76</v>
      </c>
      <c r="Q1490" s="116">
        <v>77.349999999999994</v>
      </c>
      <c r="R1490">
        <v>19041567</v>
      </c>
    </row>
    <row r="1491" spans="1:18" x14ac:dyDescent="0.25">
      <c r="A1491" s="170">
        <v>44200</v>
      </c>
      <c r="B1491" s="116">
        <v>79.599999999999994</v>
      </c>
      <c r="C1491" s="116">
        <v>79.25</v>
      </c>
      <c r="D1491" s="116">
        <v>77.599999999999994</v>
      </c>
      <c r="E1491" s="116">
        <v>77.599999999999994</v>
      </c>
      <c r="F1491" s="116">
        <v>79.25</v>
      </c>
      <c r="G1491">
        <v>2314513</v>
      </c>
      <c r="H1491" s="116"/>
      <c r="I1491" s="116"/>
      <c r="L1491" s="170">
        <v>44200</v>
      </c>
      <c r="M1491" s="116">
        <v>79.25</v>
      </c>
      <c r="N1491" s="116">
        <v>79.650000000000006</v>
      </c>
      <c r="O1491" s="116">
        <v>77.5</v>
      </c>
      <c r="P1491" s="116">
        <v>78.05</v>
      </c>
      <c r="Q1491" s="116">
        <v>79.25</v>
      </c>
      <c r="R1491">
        <v>23712305</v>
      </c>
    </row>
    <row r="1492" spans="1:18" x14ac:dyDescent="0.25">
      <c r="A1492" s="170">
        <v>44201</v>
      </c>
      <c r="B1492" s="116">
        <v>82.2</v>
      </c>
      <c r="C1492" s="116">
        <v>81.150000000000006</v>
      </c>
      <c r="D1492" s="116">
        <v>77.599999999999994</v>
      </c>
      <c r="E1492" s="116">
        <v>77.599999999999994</v>
      </c>
      <c r="F1492" s="116">
        <v>81.150000000000006</v>
      </c>
      <c r="G1492">
        <v>4762932</v>
      </c>
      <c r="H1492" s="116"/>
      <c r="I1492" s="116"/>
      <c r="L1492" s="170">
        <v>44201</v>
      </c>
      <c r="M1492" s="116">
        <v>81.150000000000006</v>
      </c>
      <c r="N1492" s="116">
        <v>82.2</v>
      </c>
      <c r="O1492" s="116">
        <v>77.900000000000006</v>
      </c>
      <c r="P1492" s="116">
        <v>78</v>
      </c>
      <c r="Q1492" s="116">
        <v>81.150000000000006</v>
      </c>
      <c r="R1492">
        <v>46181972</v>
      </c>
    </row>
    <row r="1493" spans="1:18" x14ac:dyDescent="0.25">
      <c r="A1493" s="170">
        <v>44202</v>
      </c>
      <c r="B1493" s="116">
        <v>83.45</v>
      </c>
      <c r="C1493" s="116">
        <v>82.45</v>
      </c>
      <c r="D1493" s="116">
        <v>80.8</v>
      </c>
      <c r="E1493" s="116">
        <v>82.45</v>
      </c>
      <c r="F1493" s="116">
        <v>82.45</v>
      </c>
      <c r="G1493">
        <v>3382093</v>
      </c>
      <c r="H1493" s="116"/>
      <c r="I1493" s="116"/>
      <c r="L1493" s="170">
        <v>44202</v>
      </c>
      <c r="M1493" s="116">
        <v>82.45</v>
      </c>
      <c r="N1493" s="116">
        <v>83.5</v>
      </c>
      <c r="O1493" s="116">
        <v>80.75</v>
      </c>
      <c r="P1493" s="116">
        <v>82</v>
      </c>
      <c r="Q1493" s="116">
        <v>82.45</v>
      </c>
      <c r="R1493">
        <v>46157617</v>
      </c>
    </row>
    <row r="1494" spans="1:18" x14ac:dyDescent="0.25">
      <c r="A1494" s="170">
        <v>44203</v>
      </c>
      <c r="B1494" s="116">
        <v>83.6</v>
      </c>
      <c r="C1494" s="116">
        <v>81.849999999999994</v>
      </c>
      <c r="D1494" s="116">
        <v>81.5</v>
      </c>
      <c r="E1494" s="116">
        <v>83.1</v>
      </c>
      <c r="F1494" s="116">
        <v>81.849999999999994</v>
      </c>
      <c r="G1494">
        <v>2718025</v>
      </c>
      <c r="H1494" s="116"/>
      <c r="I1494" s="116"/>
      <c r="L1494" s="170">
        <v>44203</v>
      </c>
      <c r="M1494" s="116">
        <v>81.849999999999994</v>
      </c>
      <c r="N1494" s="116">
        <v>83.65</v>
      </c>
      <c r="O1494" s="116">
        <v>81.5</v>
      </c>
      <c r="P1494" s="116">
        <v>83.15</v>
      </c>
      <c r="Q1494" s="116">
        <v>81.849999999999994</v>
      </c>
      <c r="R1494">
        <v>35219703</v>
      </c>
    </row>
    <row r="1495" spans="1:18" x14ac:dyDescent="0.25">
      <c r="A1495" s="170">
        <v>44204</v>
      </c>
      <c r="B1495" s="116">
        <v>84.6</v>
      </c>
      <c r="C1495" s="116">
        <v>83.05</v>
      </c>
      <c r="D1495" s="116">
        <v>82.65</v>
      </c>
      <c r="E1495" s="116">
        <v>84.5</v>
      </c>
      <c r="F1495" s="116">
        <v>83.05</v>
      </c>
      <c r="G1495">
        <v>2370260</v>
      </c>
      <c r="H1495" s="116"/>
      <c r="I1495" s="116"/>
      <c r="L1495" s="170">
        <v>44204</v>
      </c>
      <c r="M1495" s="116">
        <v>83.05</v>
      </c>
      <c r="N1495" s="116">
        <v>84.6</v>
      </c>
      <c r="O1495" s="116">
        <v>82.6</v>
      </c>
      <c r="P1495" s="116">
        <v>84.35</v>
      </c>
      <c r="Q1495" s="116">
        <v>83.05</v>
      </c>
      <c r="R1495">
        <v>41178215</v>
      </c>
    </row>
    <row r="1496" spans="1:18" x14ac:dyDescent="0.25">
      <c r="A1496" s="170">
        <v>44207</v>
      </c>
      <c r="B1496" s="116">
        <v>84.1</v>
      </c>
      <c r="C1496" s="116">
        <v>83.3</v>
      </c>
      <c r="D1496" s="116">
        <v>82.15</v>
      </c>
      <c r="E1496" s="116">
        <v>83.3</v>
      </c>
      <c r="F1496" s="116">
        <v>83.3</v>
      </c>
      <c r="G1496">
        <v>2169846</v>
      </c>
      <c r="H1496" s="116"/>
      <c r="I1496" s="116"/>
      <c r="L1496" s="170">
        <v>44207</v>
      </c>
      <c r="M1496" s="116">
        <v>83.3</v>
      </c>
      <c r="N1496" s="116">
        <v>83.95</v>
      </c>
      <c r="O1496" s="116">
        <v>82.15</v>
      </c>
      <c r="P1496" s="116">
        <v>83.6</v>
      </c>
      <c r="Q1496" s="116">
        <v>83.3</v>
      </c>
      <c r="R1496">
        <v>25575169</v>
      </c>
    </row>
    <row r="1497" spans="1:18" x14ac:dyDescent="0.25">
      <c r="A1497" s="170">
        <v>44208</v>
      </c>
      <c r="B1497" s="116">
        <v>87.3</v>
      </c>
      <c r="C1497" s="116">
        <v>86.05</v>
      </c>
      <c r="D1497" s="116">
        <v>82.7</v>
      </c>
      <c r="E1497" s="116">
        <v>83.3</v>
      </c>
      <c r="F1497" s="116">
        <v>86.05</v>
      </c>
      <c r="G1497">
        <v>3841139</v>
      </c>
      <c r="H1497" s="116"/>
      <c r="I1497" s="116"/>
      <c r="L1497" s="170">
        <v>44208</v>
      </c>
      <c r="M1497" s="116">
        <v>86.05</v>
      </c>
      <c r="N1497" s="116">
        <v>87.3</v>
      </c>
      <c r="O1497" s="116">
        <v>82.65</v>
      </c>
      <c r="P1497" s="116">
        <v>83</v>
      </c>
      <c r="Q1497" s="116">
        <v>86.05</v>
      </c>
      <c r="R1497">
        <v>43670529</v>
      </c>
    </row>
    <row r="1498" spans="1:18" x14ac:dyDescent="0.25">
      <c r="A1498" s="170">
        <v>44209</v>
      </c>
      <c r="B1498" s="116">
        <v>87.7</v>
      </c>
      <c r="C1498" s="116">
        <v>85.85</v>
      </c>
      <c r="D1498" s="116">
        <v>83.8</v>
      </c>
      <c r="E1498" s="116">
        <v>87.2</v>
      </c>
      <c r="F1498" s="116">
        <v>85.85</v>
      </c>
      <c r="G1498">
        <v>3606986</v>
      </c>
      <c r="H1498" s="116"/>
      <c r="I1498" s="116"/>
      <c r="L1498" s="170">
        <v>44209</v>
      </c>
      <c r="M1498" s="116">
        <v>85.85</v>
      </c>
      <c r="N1498" s="116">
        <v>87.65</v>
      </c>
      <c r="O1498" s="116">
        <v>83.75</v>
      </c>
      <c r="P1498" s="116">
        <v>86.9</v>
      </c>
      <c r="Q1498" s="116">
        <v>85.85</v>
      </c>
      <c r="R1498">
        <v>37272052</v>
      </c>
    </row>
    <row r="1499" spans="1:18" x14ac:dyDescent="0.25">
      <c r="A1499" s="170">
        <v>44210</v>
      </c>
      <c r="B1499" s="116">
        <v>87.1</v>
      </c>
      <c r="C1499" s="116">
        <v>85.95</v>
      </c>
      <c r="D1499" s="116">
        <v>84.95</v>
      </c>
      <c r="E1499" s="116">
        <v>85.85</v>
      </c>
      <c r="F1499" s="116">
        <v>85.95</v>
      </c>
      <c r="G1499">
        <v>1718344</v>
      </c>
      <c r="H1499" s="116"/>
      <c r="I1499" s="116"/>
      <c r="L1499" s="170">
        <v>44210</v>
      </c>
      <c r="M1499" s="116">
        <v>85.95</v>
      </c>
      <c r="N1499" s="116">
        <v>87.15</v>
      </c>
      <c r="O1499" s="116">
        <v>84.9</v>
      </c>
      <c r="P1499" s="116">
        <v>86.1</v>
      </c>
      <c r="Q1499" s="116">
        <v>85.95</v>
      </c>
      <c r="R1499">
        <v>20620191</v>
      </c>
    </row>
    <row r="1500" spans="1:18" x14ac:dyDescent="0.25">
      <c r="A1500" s="170">
        <v>44211</v>
      </c>
      <c r="B1500" s="116">
        <v>87.95</v>
      </c>
      <c r="C1500" s="116">
        <v>85.5</v>
      </c>
      <c r="D1500" s="116">
        <v>84.35</v>
      </c>
      <c r="E1500" s="116">
        <v>86.4</v>
      </c>
      <c r="F1500" s="116">
        <v>85.5</v>
      </c>
      <c r="G1500">
        <v>3137579</v>
      </c>
      <c r="H1500" s="116"/>
      <c r="I1500" s="116"/>
      <c r="L1500" s="170">
        <v>44211</v>
      </c>
      <c r="M1500" s="116">
        <v>85.55</v>
      </c>
      <c r="N1500" s="116">
        <v>88</v>
      </c>
      <c r="O1500" s="116">
        <v>84.35</v>
      </c>
      <c r="P1500" s="116">
        <v>86.4</v>
      </c>
      <c r="Q1500" s="116">
        <v>85.55</v>
      </c>
      <c r="R1500">
        <v>35416980</v>
      </c>
    </row>
    <row r="1501" spans="1:18" x14ac:dyDescent="0.25">
      <c r="A1501" s="170">
        <v>44214</v>
      </c>
      <c r="B1501" s="116">
        <v>85.75</v>
      </c>
      <c r="C1501" s="116">
        <v>82.15</v>
      </c>
      <c r="D1501" s="116">
        <v>81</v>
      </c>
      <c r="E1501" s="116">
        <v>85.45</v>
      </c>
      <c r="F1501" s="116">
        <v>82.15</v>
      </c>
      <c r="G1501">
        <v>2063732</v>
      </c>
      <c r="H1501" s="116"/>
      <c r="I1501" s="116"/>
      <c r="L1501" s="170">
        <v>44214</v>
      </c>
      <c r="M1501" s="116">
        <v>82.1</v>
      </c>
      <c r="N1501" s="116">
        <v>85.85</v>
      </c>
      <c r="O1501" s="116">
        <v>81</v>
      </c>
      <c r="P1501" s="116">
        <v>85.85</v>
      </c>
      <c r="Q1501" s="116">
        <v>82.1</v>
      </c>
      <c r="R1501">
        <v>31480725</v>
      </c>
    </row>
    <row r="1502" spans="1:18" x14ac:dyDescent="0.25">
      <c r="A1502" s="170">
        <v>44215</v>
      </c>
      <c r="B1502" s="116">
        <v>85.7</v>
      </c>
      <c r="C1502" s="116">
        <v>85.45</v>
      </c>
      <c r="D1502" s="116">
        <v>82.55</v>
      </c>
      <c r="E1502" s="116">
        <v>83</v>
      </c>
      <c r="F1502" s="116">
        <v>85.45</v>
      </c>
      <c r="G1502">
        <v>2707593</v>
      </c>
      <c r="H1502" s="116"/>
      <c r="I1502" s="116"/>
      <c r="L1502" s="170">
        <v>44215</v>
      </c>
      <c r="M1502" s="116">
        <v>85.4</v>
      </c>
      <c r="N1502" s="116">
        <v>85.7</v>
      </c>
      <c r="O1502" s="116">
        <v>82.6</v>
      </c>
      <c r="P1502" s="116">
        <v>82.75</v>
      </c>
      <c r="Q1502" s="116">
        <v>85.4</v>
      </c>
      <c r="R1502">
        <v>25469132</v>
      </c>
    </row>
    <row r="1503" spans="1:18" x14ac:dyDescent="0.25">
      <c r="A1503" s="170">
        <v>44216</v>
      </c>
      <c r="B1503" s="116">
        <v>86.45</v>
      </c>
      <c r="C1503" s="116">
        <v>84.75</v>
      </c>
      <c r="D1503" s="116">
        <v>84.15</v>
      </c>
      <c r="E1503" s="116">
        <v>85.8</v>
      </c>
      <c r="F1503" s="116">
        <v>84.75</v>
      </c>
      <c r="G1503">
        <v>1710788</v>
      </c>
      <c r="H1503" s="116"/>
      <c r="I1503" s="116"/>
      <c r="L1503" s="170">
        <v>44216</v>
      </c>
      <c r="M1503" s="116">
        <v>84.8</v>
      </c>
      <c r="N1503" s="116">
        <v>86.45</v>
      </c>
      <c r="O1503" s="116">
        <v>84.15</v>
      </c>
      <c r="P1503" s="116">
        <v>85.6</v>
      </c>
      <c r="Q1503" s="116">
        <v>84.8</v>
      </c>
      <c r="R1503">
        <v>19476831</v>
      </c>
    </row>
    <row r="1504" spans="1:18" x14ac:dyDescent="0.25">
      <c r="A1504" s="170">
        <v>44217</v>
      </c>
      <c r="B1504" s="116">
        <v>85.7</v>
      </c>
      <c r="C1504" s="116">
        <v>82.95</v>
      </c>
      <c r="D1504" s="116">
        <v>82.3</v>
      </c>
      <c r="E1504" s="116">
        <v>85.45</v>
      </c>
      <c r="F1504" s="116">
        <v>82.95</v>
      </c>
      <c r="G1504">
        <v>1072998</v>
      </c>
      <c r="H1504" s="116"/>
      <c r="I1504" s="116"/>
      <c r="L1504" s="170">
        <v>44217</v>
      </c>
      <c r="M1504" s="116">
        <v>83</v>
      </c>
      <c r="N1504" s="116">
        <v>85.7</v>
      </c>
      <c r="O1504" s="116">
        <v>82.2</v>
      </c>
      <c r="P1504" s="116">
        <v>85.5</v>
      </c>
      <c r="Q1504" s="116">
        <v>83</v>
      </c>
      <c r="R1504">
        <v>16889392</v>
      </c>
    </row>
    <row r="1505" spans="1:18" x14ac:dyDescent="0.25">
      <c r="A1505" s="170">
        <v>44218</v>
      </c>
      <c r="B1505" s="116">
        <v>83</v>
      </c>
      <c r="C1505" s="116">
        <v>79.349999999999994</v>
      </c>
      <c r="D1505" s="116">
        <v>77.95</v>
      </c>
      <c r="E1505" s="116">
        <v>83</v>
      </c>
      <c r="F1505" s="116">
        <v>79.349999999999994</v>
      </c>
      <c r="G1505">
        <v>2362521</v>
      </c>
      <c r="H1505" s="116"/>
      <c r="I1505" s="116"/>
      <c r="L1505" s="170">
        <v>44218</v>
      </c>
      <c r="M1505" s="116">
        <v>79.400000000000006</v>
      </c>
      <c r="N1505" s="116">
        <v>83.1</v>
      </c>
      <c r="O1505" s="116">
        <v>77.95</v>
      </c>
      <c r="P1505" s="116">
        <v>82.9</v>
      </c>
      <c r="Q1505" s="116">
        <v>79.400000000000006</v>
      </c>
      <c r="R1505">
        <v>42934185</v>
      </c>
    </row>
    <row r="1506" spans="1:18" x14ac:dyDescent="0.25">
      <c r="A1506" s="170">
        <v>44221</v>
      </c>
      <c r="B1506" s="116">
        <v>84.9</v>
      </c>
      <c r="C1506" s="116">
        <v>79.2</v>
      </c>
      <c r="D1506" s="116">
        <v>78</v>
      </c>
      <c r="E1506" s="116">
        <v>84.9</v>
      </c>
      <c r="F1506" s="116">
        <v>79.2</v>
      </c>
      <c r="G1506">
        <v>2619411</v>
      </c>
      <c r="H1506" s="116"/>
      <c r="I1506" s="116"/>
      <c r="L1506" s="170">
        <v>44221</v>
      </c>
      <c r="M1506" s="116">
        <v>79.25</v>
      </c>
      <c r="N1506" s="116">
        <v>84</v>
      </c>
      <c r="O1506" s="116">
        <v>78</v>
      </c>
      <c r="P1506" s="116">
        <v>84</v>
      </c>
      <c r="Q1506" s="116">
        <v>79.25</v>
      </c>
      <c r="R1506">
        <v>55671719</v>
      </c>
    </row>
    <row r="1507" spans="1:18" x14ac:dyDescent="0.25">
      <c r="A1507" s="170">
        <v>44223</v>
      </c>
      <c r="B1507" s="116">
        <v>80.7</v>
      </c>
      <c r="C1507" s="116">
        <v>75.95</v>
      </c>
      <c r="D1507" s="116">
        <v>75.650000000000006</v>
      </c>
      <c r="E1507" s="116">
        <v>80.7</v>
      </c>
      <c r="F1507" s="116">
        <v>75.95</v>
      </c>
      <c r="G1507">
        <v>1603467</v>
      </c>
      <c r="H1507" s="116"/>
      <c r="I1507" s="116"/>
      <c r="L1507" s="170">
        <v>44223</v>
      </c>
      <c r="M1507" s="116">
        <v>75.95</v>
      </c>
      <c r="N1507" s="116">
        <v>79.8</v>
      </c>
      <c r="O1507" s="116">
        <v>75.650000000000006</v>
      </c>
      <c r="P1507" s="116">
        <v>79.650000000000006</v>
      </c>
      <c r="Q1507" s="116">
        <v>75.95</v>
      </c>
      <c r="R1507">
        <v>47062543</v>
      </c>
    </row>
    <row r="1508" spans="1:18" x14ac:dyDescent="0.25">
      <c r="A1508" s="170">
        <v>44224</v>
      </c>
      <c r="B1508" s="116">
        <v>77.849999999999994</v>
      </c>
      <c r="C1508" s="116">
        <v>77.2</v>
      </c>
      <c r="D1508" s="116">
        <v>74.5</v>
      </c>
      <c r="E1508" s="116">
        <v>75.400000000000006</v>
      </c>
      <c r="F1508" s="116">
        <v>77.2</v>
      </c>
      <c r="G1508">
        <v>3071837</v>
      </c>
      <c r="H1508" s="116"/>
      <c r="I1508" s="116"/>
      <c r="L1508" s="170">
        <v>44224</v>
      </c>
      <c r="M1508" s="116">
        <v>77.099999999999994</v>
      </c>
      <c r="N1508" s="116">
        <v>77.900000000000006</v>
      </c>
      <c r="O1508" s="116">
        <v>74.45</v>
      </c>
      <c r="P1508" s="116">
        <v>75</v>
      </c>
      <c r="Q1508" s="116">
        <v>77.099999999999994</v>
      </c>
      <c r="R1508">
        <v>40097316</v>
      </c>
    </row>
    <row r="1509" spans="1:18" x14ac:dyDescent="0.25">
      <c r="A1509" s="170">
        <v>44225</v>
      </c>
      <c r="B1509" s="116">
        <v>78.8</v>
      </c>
      <c r="C1509" s="116">
        <v>75.400000000000006</v>
      </c>
      <c r="D1509" s="116">
        <v>74.900000000000006</v>
      </c>
      <c r="E1509" s="116">
        <v>78.3</v>
      </c>
      <c r="F1509" s="116">
        <v>75.400000000000006</v>
      </c>
      <c r="G1509">
        <v>2622860</v>
      </c>
      <c r="H1509" s="116"/>
      <c r="I1509" s="116"/>
      <c r="L1509" s="170">
        <v>44225</v>
      </c>
      <c r="M1509" s="116">
        <v>75.400000000000006</v>
      </c>
      <c r="N1509" s="116">
        <v>78.599999999999994</v>
      </c>
      <c r="O1509" s="116">
        <v>75</v>
      </c>
      <c r="P1509" s="116">
        <v>78.55</v>
      </c>
      <c r="Q1509" s="116">
        <v>75.400000000000006</v>
      </c>
      <c r="R1509">
        <v>28386915</v>
      </c>
    </row>
    <row r="1510" spans="1:18" x14ac:dyDescent="0.25">
      <c r="A1510" s="170">
        <v>44228</v>
      </c>
      <c r="B1510" s="116">
        <v>81.150000000000006</v>
      </c>
      <c r="C1510" s="116">
        <v>79.849999999999994</v>
      </c>
      <c r="D1510" s="116">
        <v>74.5</v>
      </c>
      <c r="E1510" s="116">
        <v>76.900000000000006</v>
      </c>
      <c r="F1510" s="116">
        <v>79.849999999999994</v>
      </c>
      <c r="G1510">
        <v>2544260</v>
      </c>
      <c r="H1510" s="116"/>
      <c r="I1510" s="116"/>
      <c r="L1510" s="170">
        <v>44228</v>
      </c>
      <c r="M1510" s="116">
        <v>79.900000000000006</v>
      </c>
      <c r="N1510" s="116">
        <v>81.2</v>
      </c>
      <c r="O1510" s="116">
        <v>74.5</v>
      </c>
      <c r="P1510" s="116">
        <v>76.400000000000006</v>
      </c>
      <c r="Q1510" s="116">
        <v>79.900000000000006</v>
      </c>
      <c r="R1510">
        <v>45909331</v>
      </c>
    </row>
    <row r="1511" spans="1:18" x14ac:dyDescent="0.25">
      <c r="A1511" s="170">
        <v>44229</v>
      </c>
      <c r="B1511" s="116">
        <v>84.1</v>
      </c>
      <c r="C1511" s="116">
        <v>83.6</v>
      </c>
      <c r="D1511" s="116">
        <v>79.7</v>
      </c>
      <c r="E1511" s="116">
        <v>82.4</v>
      </c>
      <c r="F1511" s="116">
        <v>83.6</v>
      </c>
      <c r="G1511">
        <v>2404196</v>
      </c>
      <c r="H1511" s="116"/>
      <c r="I1511" s="116"/>
      <c r="L1511" s="170">
        <v>44229</v>
      </c>
      <c r="M1511" s="116">
        <v>83.6</v>
      </c>
      <c r="N1511" s="116">
        <v>84.1</v>
      </c>
      <c r="O1511" s="116">
        <v>79.650000000000006</v>
      </c>
      <c r="P1511" s="116">
        <v>81.5</v>
      </c>
      <c r="Q1511" s="116">
        <v>83.6</v>
      </c>
      <c r="R1511">
        <v>47955673</v>
      </c>
    </row>
    <row r="1512" spans="1:18" x14ac:dyDescent="0.25">
      <c r="A1512" s="170">
        <v>44230</v>
      </c>
      <c r="B1512" s="116">
        <v>85.45</v>
      </c>
      <c r="C1512" s="116">
        <v>84.2</v>
      </c>
      <c r="D1512" s="116">
        <v>82.2</v>
      </c>
      <c r="E1512" s="116">
        <v>84.05</v>
      </c>
      <c r="F1512" s="116">
        <v>84.2</v>
      </c>
      <c r="G1512">
        <v>4255011</v>
      </c>
      <c r="H1512" s="116"/>
      <c r="I1512" s="116"/>
      <c r="L1512" s="170">
        <v>44230</v>
      </c>
      <c r="M1512" s="116">
        <v>84.2</v>
      </c>
      <c r="N1512" s="116">
        <v>85.5</v>
      </c>
      <c r="O1512" s="116">
        <v>82.25</v>
      </c>
      <c r="P1512" s="116">
        <v>84.15</v>
      </c>
      <c r="Q1512" s="116">
        <v>84.2</v>
      </c>
      <c r="R1512">
        <v>41816643</v>
      </c>
    </row>
    <row r="1513" spans="1:18" x14ac:dyDescent="0.25">
      <c r="A1513" s="170">
        <v>44231</v>
      </c>
      <c r="B1513" s="116">
        <v>90.6</v>
      </c>
      <c r="C1513" s="116">
        <v>89.65</v>
      </c>
      <c r="D1513" s="116">
        <v>84.55</v>
      </c>
      <c r="E1513" s="116">
        <v>85.2</v>
      </c>
      <c r="F1513" s="116">
        <v>89.65</v>
      </c>
      <c r="G1513">
        <v>5313859</v>
      </c>
      <c r="H1513" s="116"/>
      <c r="I1513" s="116"/>
      <c r="L1513" s="170">
        <v>44231</v>
      </c>
      <c r="M1513" s="116">
        <v>89.6</v>
      </c>
      <c r="N1513" s="116">
        <v>90.5</v>
      </c>
      <c r="O1513" s="116">
        <v>84.45</v>
      </c>
      <c r="P1513" s="116">
        <v>84.95</v>
      </c>
      <c r="Q1513" s="116">
        <v>89.6</v>
      </c>
      <c r="R1513">
        <v>94513383</v>
      </c>
    </row>
    <row r="1514" spans="1:18" x14ac:dyDescent="0.25">
      <c r="A1514" s="170">
        <v>44232</v>
      </c>
      <c r="B1514" s="116">
        <v>91.5</v>
      </c>
      <c r="C1514" s="116">
        <v>87.4</v>
      </c>
      <c r="D1514" s="116">
        <v>85</v>
      </c>
      <c r="E1514" s="116">
        <v>91</v>
      </c>
      <c r="F1514" s="116">
        <v>87.4</v>
      </c>
      <c r="G1514">
        <v>7665636</v>
      </c>
      <c r="H1514" s="116"/>
      <c r="I1514" s="116"/>
      <c r="L1514" s="170">
        <v>44232</v>
      </c>
      <c r="M1514" s="116">
        <v>87.45</v>
      </c>
      <c r="N1514" s="116">
        <v>91.65</v>
      </c>
      <c r="O1514" s="116">
        <v>85</v>
      </c>
      <c r="P1514" s="116">
        <v>91.45</v>
      </c>
      <c r="Q1514" s="116">
        <v>87.45</v>
      </c>
      <c r="R1514">
        <v>98504307</v>
      </c>
    </row>
    <row r="1515" spans="1:18" x14ac:dyDescent="0.25">
      <c r="A1515" s="170">
        <v>44235</v>
      </c>
      <c r="B1515" s="116">
        <v>91.65</v>
      </c>
      <c r="C1515" s="116">
        <v>90</v>
      </c>
      <c r="D1515" s="116">
        <v>87.6</v>
      </c>
      <c r="E1515" s="116">
        <v>87.6</v>
      </c>
      <c r="F1515" s="116">
        <v>90</v>
      </c>
      <c r="G1515">
        <v>3650025</v>
      </c>
      <c r="H1515" s="116"/>
      <c r="I1515" s="116"/>
      <c r="L1515" s="170">
        <v>44235</v>
      </c>
      <c r="M1515" s="116">
        <v>90</v>
      </c>
      <c r="N1515" s="116">
        <v>91.65</v>
      </c>
      <c r="O1515" s="116">
        <v>87.5</v>
      </c>
      <c r="P1515" s="116">
        <v>88</v>
      </c>
      <c r="Q1515" s="116">
        <v>90</v>
      </c>
      <c r="R1515">
        <v>70145365</v>
      </c>
    </row>
    <row r="1516" spans="1:18" x14ac:dyDescent="0.25">
      <c r="A1516" s="170">
        <v>44236</v>
      </c>
      <c r="B1516" s="116">
        <v>90.35</v>
      </c>
      <c r="C1516" s="116">
        <v>87.15</v>
      </c>
      <c r="D1516" s="116">
        <v>86.4</v>
      </c>
      <c r="E1516" s="116">
        <v>90.05</v>
      </c>
      <c r="F1516" s="116">
        <v>87.15</v>
      </c>
      <c r="G1516">
        <v>1736875</v>
      </c>
      <c r="H1516" s="116"/>
      <c r="I1516" s="116"/>
      <c r="L1516" s="170">
        <v>44236</v>
      </c>
      <c r="M1516" s="116">
        <v>87.15</v>
      </c>
      <c r="N1516" s="116">
        <v>90.45</v>
      </c>
      <c r="O1516" s="116">
        <v>86.45</v>
      </c>
      <c r="P1516" s="116">
        <v>90.15</v>
      </c>
      <c r="Q1516" s="116">
        <v>87.15</v>
      </c>
      <c r="R1516">
        <v>37086127</v>
      </c>
    </row>
    <row r="1517" spans="1:18" x14ac:dyDescent="0.25">
      <c r="A1517" s="170">
        <v>44237</v>
      </c>
      <c r="B1517" s="116">
        <v>89.95</v>
      </c>
      <c r="C1517" s="116">
        <v>88.2</v>
      </c>
      <c r="D1517" s="116">
        <v>86.45</v>
      </c>
      <c r="E1517" s="116">
        <v>88.25</v>
      </c>
      <c r="F1517" s="116">
        <v>88.2</v>
      </c>
      <c r="G1517">
        <v>2502611</v>
      </c>
      <c r="H1517" s="116"/>
      <c r="I1517" s="116"/>
      <c r="L1517" s="170">
        <v>44237</v>
      </c>
      <c r="M1517" s="116">
        <v>88.1</v>
      </c>
      <c r="N1517" s="116">
        <v>89.95</v>
      </c>
      <c r="O1517" s="116">
        <v>86.35</v>
      </c>
      <c r="P1517" s="116">
        <v>88.05</v>
      </c>
      <c r="Q1517" s="116">
        <v>88.1</v>
      </c>
      <c r="R1517">
        <v>57056934</v>
      </c>
    </row>
    <row r="1518" spans="1:18" x14ac:dyDescent="0.25">
      <c r="A1518" s="170">
        <v>44238</v>
      </c>
      <c r="B1518" s="116">
        <v>89.25</v>
      </c>
      <c r="C1518" s="116">
        <v>87.75</v>
      </c>
      <c r="D1518" s="116">
        <v>87.5</v>
      </c>
      <c r="E1518" s="116">
        <v>88.5</v>
      </c>
      <c r="F1518" s="116">
        <v>87.75</v>
      </c>
      <c r="G1518">
        <v>1834067</v>
      </c>
      <c r="H1518" s="116"/>
      <c r="I1518" s="116"/>
      <c r="L1518" s="170">
        <v>44238</v>
      </c>
      <c r="M1518" s="116">
        <v>87.8</v>
      </c>
      <c r="N1518" s="116">
        <v>89.15</v>
      </c>
      <c r="O1518" s="116">
        <v>87.5</v>
      </c>
      <c r="P1518" s="116">
        <v>88.7</v>
      </c>
      <c r="Q1518" s="116">
        <v>87.8</v>
      </c>
      <c r="R1518">
        <v>18482937</v>
      </c>
    </row>
    <row r="1519" spans="1:18" x14ac:dyDescent="0.25">
      <c r="A1519" s="170">
        <v>44239</v>
      </c>
      <c r="B1519" s="116">
        <v>88.4</v>
      </c>
      <c r="C1519" s="116">
        <v>87.3</v>
      </c>
      <c r="D1519" s="116">
        <v>86.05</v>
      </c>
      <c r="E1519" s="116">
        <v>87.8</v>
      </c>
      <c r="F1519" s="116">
        <v>87.3</v>
      </c>
      <c r="G1519">
        <v>1018307</v>
      </c>
      <c r="H1519" s="116"/>
      <c r="I1519" s="116"/>
      <c r="L1519" s="170">
        <v>44239</v>
      </c>
      <c r="M1519" s="116">
        <v>87.3</v>
      </c>
      <c r="N1519" s="116">
        <v>88.5</v>
      </c>
      <c r="O1519" s="116">
        <v>86</v>
      </c>
      <c r="P1519" s="116">
        <v>88</v>
      </c>
      <c r="Q1519" s="116">
        <v>87.3</v>
      </c>
      <c r="R1519">
        <v>18854969</v>
      </c>
    </row>
    <row r="1520" spans="1:18" x14ac:dyDescent="0.25">
      <c r="A1520" s="170">
        <v>44242</v>
      </c>
      <c r="B1520" s="116">
        <v>88.9</v>
      </c>
      <c r="C1520" s="116">
        <v>86.65</v>
      </c>
      <c r="D1520" s="116">
        <v>86.35</v>
      </c>
      <c r="E1520" s="116">
        <v>88.2</v>
      </c>
      <c r="F1520" s="116">
        <v>86.65</v>
      </c>
      <c r="G1520">
        <v>1364364</v>
      </c>
      <c r="H1520" s="116"/>
      <c r="I1520" s="116"/>
      <c r="L1520" s="170">
        <v>44242</v>
      </c>
      <c r="M1520" s="116">
        <v>86.7</v>
      </c>
      <c r="N1520" s="116">
        <v>88.9</v>
      </c>
      <c r="O1520" s="116">
        <v>86.35</v>
      </c>
      <c r="P1520" s="116">
        <v>88</v>
      </c>
      <c r="Q1520" s="116">
        <v>86.7</v>
      </c>
      <c r="R1520">
        <v>28371641</v>
      </c>
    </row>
    <row r="1521" spans="1:18" x14ac:dyDescent="0.25">
      <c r="A1521" s="170">
        <v>44243</v>
      </c>
      <c r="B1521" s="116">
        <v>91</v>
      </c>
      <c r="C1521" s="116">
        <v>90.25</v>
      </c>
      <c r="D1521" s="116">
        <v>86.65</v>
      </c>
      <c r="E1521" s="116">
        <v>87.4</v>
      </c>
      <c r="F1521" s="116">
        <v>90.25</v>
      </c>
      <c r="G1521">
        <v>2508082</v>
      </c>
      <c r="H1521" s="116"/>
      <c r="I1521" s="116"/>
      <c r="L1521" s="170">
        <v>44243</v>
      </c>
      <c r="M1521" s="116">
        <v>90.25</v>
      </c>
      <c r="N1521" s="116">
        <v>91</v>
      </c>
      <c r="O1521" s="116">
        <v>86.6</v>
      </c>
      <c r="P1521" s="116">
        <v>87.4</v>
      </c>
      <c r="Q1521" s="116">
        <v>90.25</v>
      </c>
      <c r="R1521">
        <v>45833754</v>
      </c>
    </row>
    <row r="1522" spans="1:18" x14ac:dyDescent="0.25">
      <c r="A1522" s="170">
        <v>44244</v>
      </c>
      <c r="B1522" s="116">
        <v>92.45</v>
      </c>
      <c r="C1522" s="116">
        <v>91.1</v>
      </c>
      <c r="D1522" s="116">
        <v>89.9</v>
      </c>
      <c r="E1522" s="116">
        <v>90.55</v>
      </c>
      <c r="F1522" s="116">
        <v>91.1</v>
      </c>
      <c r="G1522">
        <v>3605240</v>
      </c>
      <c r="H1522" s="116"/>
      <c r="I1522" s="116"/>
      <c r="L1522" s="170">
        <v>44244</v>
      </c>
      <c r="M1522" s="116">
        <v>91.1</v>
      </c>
      <c r="N1522" s="116">
        <v>92.45</v>
      </c>
      <c r="O1522" s="116">
        <v>89.8</v>
      </c>
      <c r="P1522" s="116">
        <v>90.9</v>
      </c>
      <c r="Q1522" s="116">
        <v>91.1</v>
      </c>
      <c r="R1522">
        <v>66947755</v>
      </c>
    </row>
    <row r="1523" spans="1:18" x14ac:dyDescent="0.25">
      <c r="A1523" s="170">
        <v>44245</v>
      </c>
      <c r="B1523" s="116">
        <v>94.05</v>
      </c>
      <c r="C1523" s="116">
        <v>93.1</v>
      </c>
      <c r="D1523" s="116">
        <v>90.3</v>
      </c>
      <c r="E1523" s="116">
        <v>92</v>
      </c>
      <c r="F1523" s="116">
        <v>93.1</v>
      </c>
      <c r="G1523">
        <v>2424159</v>
      </c>
      <c r="H1523" s="116"/>
      <c r="I1523" s="116"/>
      <c r="L1523" s="170">
        <v>44245</v>
      </c>
      <c r="M1523" s="116">
        <v>93.1</v>
      </c>
      <c r="N1523" s="116">
        <v>94.05</v>
      </c>
      <c r="O1523" s="116">
        <v>90.2</v>
      </c>
      <c r="P1523" s="116">
        <v>91.75</v>
      </c>
      <c r="Q1523" s="116">
        <v>93.1</v>
      </c>
      <c r="R1523">
        <v>48616071</v>
      </c>
    </row>
    <row r="1524" spans="1:18" x14ac:dyDescent="0.25">
      <c r="A1524" s="170">
        <v>44246</v>
      </c>
      <c r="B1524" s="116">
        <v>94.85</v>
      </c>
      <c r="C1524" s="116">
        <v>91.15</v>
      </c>
      <c r="D1524" s="116">
        <v>89.4</v>
      </c>
      <c r="E1524" s="116">
        <v>93.15</v>
      </c>
      <c r="F1524" s="116">
        <v>91.15</v>
      </c>
      <c r="G1524">
        <v>10151087</v>
      </c>
      <c r="H1524" s="116"/>
      <c r="I1524" s="116"/>
      <c r="L1524" s="170">
        <v>44246</v>
      </c>
      <c r="M1524" s="116">
        <v>91.1</v>
      </c>
      <c r="N1524" s="116">
        <v>94.85</v>
      </c>
      <c r="O1524" s="116">
        <v>89.35</v>
      </c>
      <c r="P1524" s="116">
        <v>93.4</v>
      </c>
      <c r="Q1524" s="116">
        <v>91.1</v>
      </c>
      <c r="R1524">
        <v>69544392</v>
      </c>
    </row>
    <row r="1525" spans="1:18" x14ac:dyDescent="0.25">
      <c r="A1525" s="170">
        <v>44249</v>
      </c>
      <c r="B1525" s="116">
        <v>92.5</v>
      </c>
      <c r="C1525" s="116">
        <v>90</v>
      </c>
      <c r="D1525" s="116">
        <v>89</v>
      </c>
      <c r="E1525" s="116">
        <v>91</v>
      </c>
      <c r="F1525" s="116">
        <v>90</v>
      </c>
      <c r="G1525">
        <v>3657308</v>
      </c>
      <c r="H1525" s="116"/>
      <c r="I1525" s="116"/>
      <c r="L1525" s="170">
        <v>44249</v>
      </c>
      <c r="M1525" s="116">
        <v>90.1</v>
      </c>
      <c r="N1525" s="116">
        <v>92.5</v>
      </c>
      <c r="O1525" s="116">
        <v>89</v>
      </c>
      <c r="P1525" s="116">
        <v>90.95</v>
      </c>
      <c r="Q1525" s="116">
        <v>90.1</v>
      </c>
      <c r="R1525">
        <v>38203233</v>
      </c>
    </row>
    <row r="1526" spans="1:18" x14ac:dyDescent="0.25">
      <c r="A1526" s="170">
        <v>44250</v>
      </c>
      <c r="B1526" s="116">
        <v>93.3</v>
      </c>
      <c r="C1526" s="116">
        <v>92</v>
      </c>
      <c r="D1526" s="116">
        <v>89.8</v>
      </c>
      <c r="E1526" s="116">
        <v>90.05</v>
      </c>
      <c r="F1526" s="116">
        <v>92</v>
      </c>
      <c r="G1526">
        <v>3443604</v>
      </c>
      <c r="H1526" s="116"/>
      <c r="I1526" s="116"/>
      <c r="L1526" s="170">
        <v>44250</v>
      </c>
      <c r="M1526" s="116">
        <v>92.05</v>
      </c>
      <c r="N1526" s="116">
        <v>93.4</v>
      </c>
      <c r="O1526" s="116">
        <v>89.8</v>
      </c>
      <c r="P1526" s="116">
        <v>90.7</v>
      </c>
      <c r="Q1526" s="116">
        <v>92.05</v>
      </c>
      <c r="R1526">
        <v>43925417</v>
      </c>
    </row>
    <row r="1527" spans="1:18" x14ac:dyDescent="0.25">
      <c r="A1527" s="170">
        <v>44251</v>
      </c>
      <c r="B1527" s="116">
        <v>94.5</v>
      </c>
      <c r="C1527" s="116">
        <v>93.9</v>
      </c>
      <c r="D1527" s="116">
        <v>89.1</v>
      </c>
      <c r="E1527" s="116">
        <v>92.9</v>
      </c>
      <c r="F1527" s="116">
        <v>93.9</v>
      </c>
      <c r="G1527">
        <v>5910232</v>
      </c>
      <c r="H1527" s="116"/>
      <c r="I1527" s="116"/>
      <c r="L1527" s="170">
        <v>44251</v>
      </c>
      <c r="M1527" s="116">
        <v>94.05</v>
      </c>
      <c r="N1527" s="116">
        <v>94.5</v>
      </c>
      <c r="O1527" s="116">
        <v>92.05</v>
      </c>
      <c r="P1527" s="116">
        <v>92.85</v>
      </c>
      <c r="Q1527" s="116">
        <v>94.05</v>
      </c>
      <c r="R1527">
        <v>27561130</v>
      </c>
    </row>
    <row r="1528" spans="1:18" x14ac:dyDescent="0.25">
      <c r="A1528" s="170">
        <v>44252</v>
      </c>
      <c r="B1528" s="116">
        <v>97.6</v>
      </c>
      <c r="C1528" s="116">
        <v>96.05</v>
      </c>
      <c r="D1528" s="116">
        <v>94.45</v>
      </c>
      <c r="E1528" s="116">
        <v>94.7</v>
      </c>
      <c r="F1528" s="116">
        <v>96.05</v>
      </c>
      <c r="G1528">
        <v>6679096</v>
      </c>
      <c r="H1528" s="116"/>
      <c r="I1528" s="116"/>
      <c r="L1528" s="170">
        <v>44252</v>
      </c>
      <c r="M1528" s="116">
        <v>96</v>
      </c>
      <c r="N1528" s="116">
        <v>97.65</v>
      </c>
      <c r="O1528" s="116">
        <v>94.35</v>
      </c>
      <c r="P1528" s="116">
        <v>94.9</v>
      </c>
      <c r="Q1528" s="116">
        <v>96</v>
      </c>
      <c r="R1528">
        <v>70938332</v>
      </c>
    </row>
    <row r="1529" spans="1:18" x14ac:dyDescent="0.25">
      <c r="A1529" s="170">
        <v>44253</v>
      </c>
      <c r="B1529" s="116">
        <v>96.45</v>
      </c>
      <c r="C1529" s="116">
        <v>95.1</v>
      </c>
      <c r="D1529" s="116">
        <v>93</v>
      </c>
      <c r="E1529" s="116">
        <v>95</v>
      </c>
      <c r="F1529" s="116">
        <v>95.1</v>
      </c>
      <c r="G1529">
        <v>6827744</v>
      </c>
      <c r="H1529" s="116"/>
      <c r="I1529" s="116"/>
      <c r="L1529" s="170">
        <v>44253</v>
      </c>
      <c r="M1529" s="116">
        <v>95.15</v>
      </c>
      <c r="N1529" s="116">
        <v>96.4</v>
      </c>
      <c r="O1529" s="116">
        <v>93</v>
      </c>
      <c r="P1529" s="116">
        <v>94.8</v>
      </c>
      <c r="Q1529" s="116">
        <v>95.15</v>
      </c>
      <c r="R1529">
        <v>50696555</v>
      </c>
    </row>
    <row r="1530" spans="1:18" x14ac:dyDescent="0.25">
      <c r="A1530" s="170">
        <v>44256</v>
      </c>
      <c r="B1530" s="116">
        <v>99.55</v>
      </c>
      <c r="C1530" s="116">
        <v>97.8</v>
      </c>
      <c r="D1530" s="116">
        <v>95.65</v>
      </c>
      <c r="E1530" s="116">
        <v>97</v>
      </c>
      <c r="F1530" s="116">
        <v>97.8</v>
      </c>
      <c r="G1530">
        <v>4133060</v>
      </c>
      <c r="H1530" s="116"/>
      <c r="I1530" s="116"/>
      <c r="L1530" s="170">
        <v>44256</v>
      </c>
      <c r="M1530" s="116">
        <v>97.9</v>
      </c>
      <c r="N1530" s="116">
        <v>99.5</v>
      </c>
      <c r="O1530" s="116">
        <v>95.55</v>
      </c>
      <c r="P1530" s="116">
        <v>96.6</v>
      </c>
      <c r="Q1530" s="116">
        <v>97.9</v>
      </c>
      <c r="R1530">
        <v>62133610</v>
      </c>
    </row>
    <row r="1531" spans="1:18" x14ac:dyDescent="0.25">
      <c r="A1531" s="170">
        <v>44257</v>
      </c>
      <c r="B1531" s="116">
        <v>100.8</v>
      </c>
      <c r="C1531" s="116">
        <v>100.4</v>
      </c>
      <c r="D1531" s="116">
        <v>98</v>
      </c>
      <c r="E1531" s="116">
        <v>100.45</v>
      </c>
      <c r="F1531" s="116">
        <v>100.4</v>
      </c>
      <c r="G1531">
        <v>3783572</v>
      </c>
      <c r="H1531" s="116"/>
      <c r="I1531" s="116"/>
      <c r="L1531" s="170">
        <v>44257</v>
      </c>
      <c r="M1531" s="116">
        <v>100.35</v>
      </c>
      <c r="N1531" s="116">
        <v>100.8</v>
      </c>
      <c r="O1531" s="116">
        <v>98</v>
      </c>
      <c r="P1531" s="116">
        <v>100</v>
      </c>
      <c r="Q1531" s="116">
        <v>100.35</v>
      </c>
      <c r="R1531">
        <v>67108317</v>
      </c>
    </row>
    <row r="1532" spans="1:18" x14ac:dyDescent="0.25">
      <c r="A1532" s="170">
        <v>44258</v>
      </c>
      <c r="B1532" s="116">
        <v>105.5</v>
      </c>
      <c r="C1532" s="116">
        <v>105.25</v>
      </c>
      <c r="D1532" s="116">
        <v>102.5</v>
      </c>
      <c r="E1532" s="116">
        <v>104.75</v>
      </c>
      <c r="F1532" s="116">
        <v>105.25</v>
      </c>
      <c r="G1532">
        <v>6809879</v>
      </c>
      <c r="H1532" s="116"/>
      <c r="I1532" s="116"/>
      <c r="L1532" s="170">
        <v>44258</v>
      </c>
      <c r="M1532" s="116">
        <v>105.25</v>
      </c>
      <c r="N1532" s="116">
        <v>105.5</v>
      </c>
      <c r="O1532" s="116">
        <v>102.5</v>
      </c>
      <c r="P1532" s="116">
        <v>104.6</v>
      </c>
      <c r="Q1532" s="116">
        <v>105.25</v>
      </c>
      <c r="R1532">
        <v>85272517</v>
      </c>
    </row>
    <row r="1533" spans="1:18" x14ac:dyDescent="0.25">
      <c r="A1533" s="170">
        <v>44259</v>
      </c>
      <c r="B1533" s="116">
        <v>114</v>
      </c>
      <c r="C1533" s="116">
        <v>109.35</v>
      </c>
      <c r="D1533" s="116">
        <v>102.8</v>
      </c>
      <c r="E1533" s="116">
        <v>104.6</v>
      </c>
      <c r="F1533" s="116">
        <v>109.35</v>
      </c>
      <c r="G1533">
        <v>9239193</v>
      </c>
      <c r="H1533" s="116"/>
      <c r="I1533" s="116"/>
      <c r="L1533" s="170">
        <v>44259</v>
      </c>
      <c r="M1533" s="116">
        <v>109.3</v>
      </c>
      <c r="N1533" s="116">
        <v>114</v>
      </c>
      <c r="O1533" s="116">
        <v>102.75</v>
      </c>
      <c r="P1533" s="116">
        <v>103.8</v>
      </c>
      <c r="Q1533" s="116">
        <v>109.3</v>
      </c>
      <c r="R1533">
        <v>147425687</v>
      </c>
    </row>
    <row r="1534" spans="1:18" x14ac:dyDescent="0.25">
      <c r="A1534" s="170">
        <v>44260</v>
      </c>
      <c r="B1534" s="116">
        <v>111</v>
      </c>
      <c r="C1534" s="116">
        <v>107.3</v>
      </c>
      <c r="D1534" s="116">
        <v>104</v>
      </c>
      <c r="E1534" s="116">
        <v>111</v>
      </c>
      <c r="F1534" s="116">
        <v>107.3</v>
      </c>
      <c r="G1534">
        <v>7715904</v>
      </c>
      <c r="H1534" s="116"/>
      <c r="I1534" s="116"/>
      <c r="L1534" s="170">
        <v>44260</v>
      </c>
      <c r="M1534" s="116">
        <v>107.35</v>
      </c>
      <c r="N1534" s="116">
        <v>110.7</v>
      </c>
      <c r="O1534" s="116">
        <v>104</v>
      </c>
      <c r="P1534" s="116">
        <v>110.7</v>
      </c>
      <c r="Q1534" s="116">
        <v>107.35</v>
      </c>
      <c r="R1534">
        <v>75015270</v>
      </c>
    </row>
    <row r="1535" spans="1:18" x14ac:dyDescent="0.25">
      <c r="A1535" s="170">
        <v>44263</v>
      </c>
      <c r="B1535" s="116">
        <v>111.9</v>
      </c>
      <c r="C1535" s="116">
        <v>109.05</v>
      </c>
      <c r="D1535" s="116">
        <v>108.25</v>
      </c>
      <c r="E1535" s="116">
        <v>109</v>
      </c>
      <c r="F1535" s="116">
        <v>109.05</v>
      </c>
      <c r="G1535">
        <v>3397852</v>
      </c>
      <c r="H1535" s="116"/>
      <c r="I1535" s="116"/>
      <c r="L1535" s="170">
        <v>44263</v>
      </c>
      <c r="M1535" s="116">
        <v>109.05</v>
      </c>
      <c r="N1535" s="116">
        <v>111.85</v>
      </c>
      <c r="O1535" s="116">
        <v>108.2</v>
      </c>
      <c r="P1535" s="116">
        <v>108.9</v>
      </c>
      <c r="Q1535" s="116">
        <v>109.05</v>
      </c>
      <c r="R1535">
        <v>57273663</v>
      </c>
    </row>
    <row r="1536" spans="1:18" x14ac:dyDescent="0.25">
      <c r="A1536" s="170">
        <v>44264</v>
      </c>
      <c r="B1536" s="116">
        <v>110.7</v>
      </c>
      <c r="C1536" s="116">
        <v>107.05</v>
      </c>
      <c r="D1536" s="116">
        <v>104.7</v>
      </c>
      <c r="E1536" s="116">
        <v>110.2</v>
      </c>
      <c r="F1536" s="116">
        <v>107.05</v>
      </c>
      <c r="G1536">
        <v>7014816</v>
      </c>
      <c r="H1536" s="116"/>
      <c r="I1536" s="116"/>
      <c r="L1536" s="170">
        <v>44264</v>
      </c>
      <c r="M1536" s="116">
        <v>107</v>
      </c>
      <c r="N1536" s="116">
        <v>110.65</v>
      </c>
      <c r="O1536" s="116">
        <v>104.7</v>
      </c>
      <c r="P1536" s="116">
        <v>110</v>
      </c>
      <c r="Q1536" s="116">
        <v>107</v>
      </c>
      <c r="R1536">
        <v>51804429</v>
      </c>
    </row>
    <row r="1537" spans="1:18" x14ac:dyDescent="0.25">
      <c r="A1537" s="170">
        <v>44265</v>
      </c>
      <c r="B1537" s="116">
        <v>109.3</v>
      </c>
      <c r="C1537" s="116">
        <v>107.4</v>
      </c>
      <c r="D1537" s="116">
        <v>105.85</v>
      </c>
      <c r="E1537" s="116">
        <v>109</v>
      </c>
      <c r="F1537" s="116">
        <v>107.4</v>
      </c>
      <c r="G1537">
        <v>3718024</v>
      </c>
      <c r="H1537" s="116"/>
      <c r="I1537" s="116"/>
      <c r="L1537" s="170">
        <v>44265</v>
      </c>
      <c r="M1537" s="116">
        <v>107.35</v>
      </c>
      <c r="N1537" s="116">
        <v>109.25</v>
      </c>
      <c r="O1537" s="116">
        <v>105.8</v>
      </c>
      <c r="P1537" s="116">
        <v>109.1</v>
      </c>
      <c r="Q1537" s="116">
        <v>107.35</v>
      </c>
      <c r="R1537">
        <v>43852673</v>
      </c>
    </row>
    <row r="1538" spans="1:18" x14ac:dyDescent="0.25">
      <c r="A1538" s="170">
        <v>44267</v>
      </c>
      <c r="B1538" s="116">
        <v>114.45</v>
      </c>
      <c r="C1538" s="116">
        <v>113.25</v>
      </c>
      <c r="D1538" s="116">
        <v>107</v>
      </c>
      <c r="E1538" s="116">
        <v>108.7</v>
      </c>
      <c r="F1538" s="116">
        <v>113.25</v>
      </c>
      <c r="G1538">
        <v>14264013</v>
      </c>
      <c r="H1538" s="116"/>
      <c r="I1538" s="116"/>
      <c r="L1538" s="170">
        <v>44267</v>
      </c>
      <c r="M1538" s="116">
        <v>113.25</v>
      </c>
      <c r="N1538" s="116">
        <v>114.5</v>
      </c>
      <c r="O1538" s="116">
        <v>107</v>
      </c>
      <c r="P1538" s="116">
        <v>108.4</v>
      </c>
      <c r="Q1538" s="116">
        <v>113.25</v>
      </c>
      <c r="R1538">
        <v>162828658</v>
      </c>
    </row>
    <row r="1539" spans="1:18" x14ac:dyDescent="0.25">
      <c r="A1539" s="170">
        <v>44270</v>
      </c>
      <c r="B1539" s="116">
        <v>114.95</v>
      </c>
      <c r="C1539" s="116">
        <v>111.55</v>
      </c>
      <c r="D1539" s="116">
        <v>108</v>
      </c>
      <c r="E1539" s="116">
        <v>114.95</v>
      </c>
      <c r="F1539" s="116">
        <v>111.55</v>
      </c>
      <c r="G1539">
        <v>7180052</v>
      </c>
      <c r="H1539" s="116"/>
      <c r="I1539" s="116"/>
      <c r="L1539" s="170">
        <v>44270</v>
      </c>
      <c r="M1539" s="116">
        <v>111.55</v>
      </c>
      <c r="N1539" s="116">
        <v>114.15</v>
      </c>
      <c r="O1539" s="116">
        <v>108</v>
      </c>
      <c r="P1539" s="116">
        <v>114</v>
      </c>
      <c r="Q1539" s="116">
        <v>111.55</v>
      </c>
      <c r="R1539">
        <v>101456890</v>
      </c>
    </row>
    <row r="1540" spans="1:18" x14ac:dyDescent="0.25">
      <c r="A1540" s="170">
        <v>44271</v>
      </c>
      <c r="B1540" s="116">
        <v>112.4</v>
      </c>
      <c r="C1540" s="116">
        <v>109.65</v>
      </c>
      <c r="D1540" s="116">
        <v>109.15</v>
      </c>
      <c r="E1540" s="116">
        <v>112.15</v>
      </c>
      <c r="F1540" s="116">
        <v>109.65</v>
      </c>
      <c r="G1540">
        <v>4329946</v>
      </c>
      <c r="H1540" s="116"/>
      <c r="I1540" s="116"/>
      <c r="L1540" s="170">
        <v>44271</v>
      </c>
      <c r="M1540" s="116">
        <v>109.7</v>
      </c>
      <c r="N1540" s="116">
        <v>112.3</v>
      </c>
      <c r="O1540" s="116">
        <v>109.1</v>
      </c>
      <c r="P1540" s="116">
        <v>112</v>
      </c>
      <c r="Q1540" s="116">
        <v>109.7</v>
      </c>
      <c r="R1540">
        <v>50275101</v>
      </c>
    </row>
    <row r="1541" spans="1:18" x14ac:dyDescent="0.25">
      <c r="A1541" s="170">
        <v>44272</v>
      </c>
      <c r="B1541" s="116">
        <v>110.55</v>
      </c>
      <c r="C1541" s="116">
        <v>103.4</v>
      </c>
      <c r="D1541" s="116">
        <v>102.5</v>
      </c>
      <c r="E1541" s="116">
        <v>109.85</v>
      </c>
      <c r="F1541" s="116">
        <v>103.4</v>
      </c>
      <c r="G1541">
        <v>3127373</v>
      </c>
      <c r="H1541" s="116"/>
      <c r="I1541" s="116"/>
      <c r="L1541" s="170">
        <v>44272</v>
      </c>
      <c r="M1541" s="116">
        <v>103.3</v>
      </c>
      <c r="N1541" s="116">
        <v>110.5</v>
      </c>
      <c r="O1541" s="116">
        <v>102.4</v>
      </c>
      <c r="P1541" s="116">
        <v>109.2</v>
      </c>
      <c r="Q1541" s="116">
        <v>103.3</v>
      </c>
      <c r="R1541">
        <v>64241698</v>
      </c>
    </row>
    <row r="1542" spans="1:18" x14ac:dyDescent="0.25">
      <c r="A1542" s="170">
        <v>44273</v>
      </c>
      <c r="B1542" s="116">
        <v>106.55</v>
      </c>
      <c r="C1542" s="116">
        <v>100.5</v>
      </c>
      <c r="D1542" s="116">
        <v>96</v>
      </c>
      <c r="E1542" s="116">
        <v>105</v>
      </c>
      <c r="F1542" s="116">
        <v>100.5</v>
      </c>
      <c r="G1542">
        <v>10610248</v>
      </c>
      <c r="H1542" s="116"/>
      <c r="I1542" s="116"/>
      <c r="L1542" s="170">
        <v>44273</v>
      </c>
      <c r="M1542" s="116">
        <v>100.55</v>
      </c>
      <c r="N1542" s="116">
        <v>106.6</v>
      </c>
      <c r="O1542" s="116">
        <v>96</v>
      </c>
      <c r="P1542" s="116">
        <v>104.6</v>
      </c>
      <c r="Q1542" s="116">
        <v>100.55</v>
      </c>
      <c r="R1542">
        <v>102669579</v>
      </c>
    </row>
    <row r="1543" spans="1:18" x14ac:dyDescent="0.25">
      <c r="A1543" s="170">
        <v>44274</v>
      </c>
      <c r="B1543" s="116">
        <v>104.75</v>
      </c>
      <c r="C1543" s="116">
        <v>104.2</v>
      </c>
      <c r="D1543" s="116">
        <v>96.3</v>
      </c>
      <c r="E1543" s="116">
        <v>100.3</v>
      </c>
      <c r="F1543" s="116">
        <v>104.2</v>
      </c>
      <c r="G1543">
        <v>6388456</v>
      </c>
      <c r="H1543" s="116"/>
      <c r="I1543" s="116"/>
      <c r="L1543" s="170">
        <v>44274</v>
      </c>
      <c r="M1543" s="116">
        <v>104.15</v>
      </c>
      <c r="N1543" s="116">
        <v>104.75</v>
      </c>
      <c r="O1543" s="116">
        <v>96.3</v>
      </c>
      <c r="P1543" s="116">
        <v>100</v>
      </c>
      <c r="Q1543" s="116">
        <v>104.15</v>
      </c>
      <c r="R1543">
        <v>118996777</v>
      </c>
    </row>
    <row r="1544" spans="1:18" x14ac:dyDescent="0.25">
      <c r="A1544" s="170">
        <v>44277</v>
      </c>
      <c r="B1544" s="116">
        <v>106.5</v>
      </c>
      <c r="C1544" s="116">
        <v>104.75</v>
      </c>
      <c r="D1544" s="116">
        <v>103.8</v>
      </c>
      <c r="E1544" s="116">
        <v>105.25</v>
      </c>
      <c r="F1544" s="116">
        <v>104.75</v>
      </c>
      <c r="G1544">
        <v>6602868</v>
      </c>
      <c r="H1544" s="116"/>
      <c r="I1544" s="116"/>
      <c r="L1544" s="170">
        <v>44277</v>
      </c>
      <c r="M1544" s="116">
        <v>104.75</v>
      </c>
      <c r="N1544" s="116">
        <v>106.5</v>
      </c>
      <c r="O1544" s="116">
        <v>103.8</v>
      </c>
      <c r="P1544" s="116">
        <v>104.9</v>
      </c>
      <c r="Q1544" s="116">
        <v>104.75</v>
      </c>
      <c r="R1544">
        <v>74913152</v>
      </c>
    </row>
    <row r="1545" spans="1:18" x14ac:dyDescent="0.25">
      <c r="A1545" s="170">
        <v>44278</v>
      </c>
      <c r="B1545" s="116">
        <v>106</v>
      </c>
      <c r="C1545" s="116">
        <v>104.35</v>
      </c>
      <c r="D1545" s="116">
        <v>104</v>
      </c>
      <c r="E1545" s="116">
        <v>105</v>
      </c>
      <c r="F1545" s="116">
        <v>104.35</v>
      </c>
      <c r="G1545">
        <v>2786915</v>
      </c>
      <c r="H1545" s="116"/>
      <c r="I1545" s="116"/>
      <c r="L1545" s="170">
        <v>44278</v>
      </c>
      <c r="M1545" s="116">
        <v>104.55</v>
      </c>
      <c r="N1545" s="116">
        <v>105.95</v>
      </c>
      <c r="O1545" s="116">
        <v>104</v>
      </c>
      <c r="P1545" s="116">
        <v>104.95</v>
      </c>
      <c r="Q1545" s="116">
        <v>104.55</v>
      </c>
      <c r="R1545">
        <v>41887531</v>
      </c>
    </row>
    <row r="1546" spans="1:18" x14ac:dyDescent="0.25">
      <c r="A1546" s="170">
        <v>44279</v>
      </c>
      <c r="B1546" s="116">
        <v>105.65</v>
      </c>
      <c r="C1546" s="116">
        <v>101.25</v>
      </c>
      <c r="D1546" s="116">
        <v>100.8</v>
      </c>
      <c r="E1546" s="116">
        <v>103.3</v>
      </c>
      <c r="F1546" s="116">
        <v>101.25</v>
      </c>
      <c r="G1546">
        <v>3384961</v>
      </c>
      <c r="H1546" s="116"/>
      <c r="I1546" s="116"/>
      <c r="L1546" s="170">
        <v>44279</v>
      </c>
      <c r="M1546" s="116">
        <v>101.25</v>
      </c>
      <c r="N1546" s="116">
        <v>105.6</v>
      </c>
      <c r="O1546" s="116">
        <v>100.85</v>
      </c>
      <c r="P1546" s="116">
        <v>103</v>
      </c>
      <c r="Q1546" s="116">
        <v>101.25</v>
      </c>
      <c r="R1546">
        <v>49603176</v>
      </c>
    </row>
    <row r="1547" spans="1:18" x14ac:dyDescent="0.25">
      <c r="A1547" s="170">
        <v>44280</v>
      </c>
      <c r="B1547" s="116">
        <v>102.25</v>
      </c>
      <c r="C1547" s="116">
        <v>98.6</v>
      </c>
      <c r="D1547" s="116">
        <v>96.55</v>
      </c>
      <c r="E1547" s="116">
        <v>101.4</v>
      </c>
      <c r="F1547" s="116">
        <v>98.6</v>
      </c>
      <c r="G1547">
        <v>4314483</v>
      </c>
      <c r="H1547" s="116"/>
      <c r="I1547" s="116"/>
      <c r="L1547" s="170">
        <v>44280</v>
      </c>
      <c r="M1547" s="116">
        <v>98.65</v>
      </c>
      <c r="N1547" s="116">
        <v>102.2</v>
      </c>
      <c r="O1547" s="116">
        <v>96.6</v>
      </c>
      <c r="P1547" s="116">
        <v>101.8</v>
      </c>
      <c r="Q1547" s="116">
        <v>98.65</v>
      </c>
      <c r="R1547">
        <v>78179436</v>
      </c>
    </row>
    <row r="1548" spans="1:18" x14ac:dyDescent="0.25">
      <c r="A1548" s="170">
        <v>44281</v>
      </c>
      <c r="B1548" s="116">
        <v>104.3</v>
      </c>
      <c r="C1548" s="116">
        <v>103.45</v>
      </c>
      <c r="D1548" s="116">
        <v>100.1</v>
      </c>
      <c r="E1548" s="116">
        <v>100.55</v>
      </c>
      <c r="F1548" s="116">
        <v>103.45</v>
      </c>
      <c r="G1548">
        <v>4427665</v>
      </c>
      <c r="H1548" s="116"/>
      <c r="I1548" s="116"/>
      <c r="L1548" s="170">
        <v>44281</v>
      </c>
      <c r="M1548" s="116">
        <v>103.45</v>
      </c>
      <c r="N1548" s="116">
        <v>104.35</v>
      </c>
      <c r="O1548" s="116">
        <v>100</v>
      </c>
      <c r="P1548" s="116">
        <v>100.95</v>
      </c>
      <c r="Q1548" s="116">
        <v>103.45</v>
      </c>
      <c r="R1548">
        <v>78988471</v>
      </c>
    </row>
    <row r="1549" spans="1:18" x14ac:dyDescent="0.25">
      <c r="A1549" s="170">
        <v>44285</v>
      </c>
      <c r="B1549" s="116">
        <v>105.45</v>
      </c>
      <c r="C1549" s="116">
        <v>103.5</v>
      </c>
      <c r="D1549" s="116">
        <v>102.8</v>
      </c>
      <c r="E1549" s="116">
        <v>105.4</v>
      </c>
      <c r="F1549" s="116">
        <v>103.5</v>
      </c>
      <c r="G1549">
        <v>2625657</v>
      </c>
      <c r="H1549" s="116"/>
      <c r="I1549" s="116"/>
      <c r="L1549" s="170">
        <v>44285</v>
      </c>
      <c r="M1549" s="116">
        <v>103.6</v>
      </c>
      <c r="N1549" s="116">
        <v>105.35</v>
      </c>
      <c r="O1549" s="116">
        <v>102.8</v>
      </c>
      <c r="P1549" s="116">
        <v>105.35</v>
      </c>
      <c r="Q1549" s="116">
        <v>103.6</v>
      </c>
      <c r="R1549">
        <v>47453372</v>
      </c>
    </row>
    <row r="1550" spans="1:18" x14ac:dyDescent="0.25">
      <c r="A1550" s="170">
        <v>44286</v>
      </c>
      <c r="B1550" s="116">
        <v>105.8</v>
      </c>
      <c r="C1550" s="116">
        <v>103.2</v>
      </c>
      <c r="D1550" s="116">
        <v>102.8</v>
      </c>
      <c r="E1550" s="116">
        <v>103.5</v>
      </c>
      <c r="F1550" s="116">
        <v>103.2</v>
      </c>
      <c r="G1550">
        <v>2071493</v>
      </c>
      <c r="H1550" s="116"/>
      <c r="I1550" s="116"/>
      <c r="L1550" s="170">
        <v>44286</v>
      </c>
      <c r="M1550" s="116">
        <v>103.25</v>
      </c>
      <c r="N1550" s="116">
        <v>105.85</v>
      </c>
      <c r="O1550" s="116">
        <v>102.85</v>
      </c>
      <c r="P1550" s="116">
        <v>103.65</v>
      </c>
      <c r="Q1550" s="116">
        <v>103.25</v>
      </c>
      <c r="R1550">
        <v>35702981</v>
      </c>
    </row>
    <row r="1551" spans="1:18" x14ac:dyDescent="0.25">
      <c r="A1551" s="170">
        <v>44287</v>
      </c>
      <c r="B1551" s="116">
        <v>105.5</v>
      </c>
      <c r="C1551" s="116">
        <v>105.05</v>
      </c>
      <c r="D1551" s="116">
        <v>103.45</v>
      </c>
      <c r="E1551" s="116">
        <v>104.2</v>
      </c>
      <c r="F1551" s="116">
        <v>105.05</v>
      </c>
      <c r="G1551">
        <v>1927846</v>
      </c>
      <c r="H1551" s="116"/>
      <c r="I1551" s="116"/>
      <c r="L1551" s="170">
        <v>44287</v>
      </c>
      <c r="M1551" s="116">
        <v>105.05</v>
      </c>
      <c r="N1551" s="116">
        <v>105.5</v>
      </c>
      <c r="O1551" s="116">
        <v>103.55</v>
      </c>
      <c r="P1551" s="116">
        <v>103.9</v>
      </c>
      <c r="Q1551" s="116">
        <v>105.05</v>
      </c>
      <c r="R1551">
        <v>34637782</v>
      </c>
    </row>
    <row r="1552" spans="1:18" x14ac:dyDescent="0.25">
      <c r="A1552" s="170">
        <v>44291</v>
      </c>
      <c r="B1552" s="116">
        <v>105.5</v>
      </c>
      <c r="C1552" s="116">
        <v>103.35</v>
      </c>
      <c r="D1552" s="116">
        <v>100.5</v>
      </c>
      <c r="E1552" s="116">
        <v>105.3</v>
      </c>
      <c r="F1552" s="116">
        <v>103.35</v>
      </c>
      <c r="G1552">
        <v>3158517</v>
      </c>
      <c r="H1552" s="116"/>
      <c r="I1552" s="116"/>
      <c r="L1552" s="170">
        <v>44291</v>
      </c>
      <c r="M1552" s="116">
        <v>103.35</v>
      </c>
      <c r="N1552" s="116">
        <v>105.5</v>
      </c>
      <c r="O1552" s="116">
        <v>100.45</v>
      </c>
      <c r="P1552" s="116">
        <v>105</v>
      </c>
      <c r="Q1552" s="116">
        <v>103.35</v>
      </c>
      <c r="R1552">
        <v>48340372</v>
      </c>
    </row>
    <row r="1553" spans="1:18" x14ac:dyDescent="0.25">
      <c r="A1553" s="170">
        <v>44292</v>
      </c>
      <c r="B1553" s="116">
        <v>107.25</v>
      </c>
      <c r="C1553" s="116">
        <v>104.65</v>
      </c>
      <c r="D1553" s="116">
        <v>102.35</v>
      </c>
      <c r="E1553" s="116">
        <v>103.6</v>
      </c>
      <c r="F1553" s="116">
        <v>104.65</v>
      </c>
      <c r="G1553">
        <v>3336166</v>
      </c>
      <c r="H1553" s="116"/>
      <c r="I1553" s="116"/>
      <c r="L1553" s="170">
        <v>44292</v>
      </c>
      <c r="M1553" s="116">
        <v>104.7</v>
      </c>
      <c r="N1553" s="116">
        <v>107.35</v>
      </c>
      <c r="O1553" s="116">
        <v>102.45</v>
      </c>
      <c r="P1553" s="116">
        <v>103.8</v>
      </c>
      <c r="Q1553" s="116">
        <v>104.7</v>
      </c>
      <c r="R1553">
        <v>56713336</v>
      </c>
    </row>
    <row r="1554" spans="1:18" x14ac:dyDescent="0.25">
      <c r="A1554" s="170">
        <v>44293</v>
      </c>
      <c r="B1554" s="116">
        <v>105.6</v>
      </c>
      <c r="C1554" s="116">
        <v>104.1</v>
      </c>
      <c r="D1554" s="116">
        <v>101.75</v>
      </c>
      <c r="E1554" s="116">
        <v>104.1</v>
      </c>
      <c r="F1554" s="116">
        <v>104.1</v>
      </c>
      <c r="G1554">
        <v>1889305</v>
      </c>
      <c r="H1554" s="116"/>
      <c r="I1554" s="116"/>
      <c r="L1554" s="170">
        <v>44293</v>
      </c>
      <c r="M1554" s="116">
        <v>104.45</v>
      </c>
      <c r="N1554" s="116">
        <v>105.65</v>
      </c>
      <c r="O1554" s="116">
        <v>103.5</v>
      </c>
      <c r="P1554" s="116">
        <v>104.35</v>
      </c>
      <c r="Q1554" s="116">
        <v>104.45</v>
      </c>
      <c r="R1554">
        <v>36218955</v>
      </c>
    </row>
    <row r="1555" spans="1:18" x14ac:dyDescent="0.25">
      <c r="A1555" s="170">
        <v>44294</v>
      </c>
      <c r="B1555" s="116">
        <v>106.7</v>
      </c>
      <c r="C1555" s="116">
        <v>104.9</v>
      </c>
      <c r="D1555" s="116">
        <v>104.2</v>
      </c>
      <c r="E1555" s="116">
        <v>105</v>
      </c>
      <c r="F1555" s="116">
        <v>104.9</v>
      </c>
      <c r="G1555">
        <v>2071623</v>
      </c>
      <c r="H1555" s="116"/>
      <c r="I1555" s="116"/>
      <c r="L1555" s="170">
        <v>44294</v>
      </c>
      <c r="M1555" s="116">
        <v>104.95</v>
      </c>
      <c r="N1555" s="116">
        <v>106.75</v>
      </c>
      <c r="O1555" s="116">
        <v>104.7</v>
      </c>
      <c r="P1555" s="116">
        <v>105</v>
      </c>
      <c r="Q1555" s="116">
        <v>104.95</v>
      </c>
      <c r="R1555">
        <v>36910799</v>
      </c>
    </row>
    <row r="1556" spans="1:18" x14ac:dyDescent="0.25">
      <c r="A1556" s="170">
        <v>44295</v>
      </c>
      <c r="B1556" s="116">
        <v>106.15</v>
      </c>
      <c r="C1556" s="116">
        <v>104.05</v>
      </c>
      <c r="D1556" s="116">
        <v>103.05</v>
      </c>
      <c r="E1556" s="116">
        <v>105.65</v>
      </c>
      <c r="F1556" s="116">
        <v>104.05</v>
      </c>
      <c r="G1556">
        <v>1901006</v>
      </c>
      <c r="H1556" s="116"/>
      <c r="I1556" s="116"/>
      <c r="L1556" s="170">
        <v>44295</v>
      </c>
      <c r="M1556" s="116">
        <v>104.1</v>
      </c>
      <c r="N1556" s="116">
        <v>106.2</v>
      </c>
      <c r="O1556" s="116">
        <v>103</v>
      </c>
      <c r="P1556" s="116">
        <v>105.35</v>
      </c>
      <c r="Q1556" s="116">
        <v>104.1</v>
      </c>
      <c r="R1556">
        <v>35350727</v>
      </c>
    </row>
    <row r="1557" spans="1:18" x14ac:dyDescent="0.25">
      <c r="A1557" s="170">
        <v>44298</v>
      </c>
      <c r="B1557" s="116">
        <v>101.4</v>
      </c>
      <c r="C1557" s="116">
        <v>92.2</v>
      </c>
      <c r="D1557" s="116">
        <v>89.95</v>
      </c>
      <c r="E1557" s="116">
        <v>101.4</v>
      </c>
      <c r="F1557" s="116">
        <v>92.2</v>
      </c>
      <c r="G1557">
        <v>7940870</v>
      </c>
      <c r="H1557" s="116"/>
      <c r="I1557" s="116"/>
      <c r="L1557" s="170">
        <v>44298</v>
      </c>
      <c r="M1557" s="116">
        <v>92.2</v>
      </c>
      <c r="N1557" s="116">
        <v>101</v>
      </c>
      <c r="O1557" s="116">
        <v>89.9</v>
      </c>
      <c r="P1557" s="116">
        <v>101</v>
      </c>
      <c r="Q1557" s="116">
        <v>92.2</v>
      </c>
      <c r="R1557">
        <v>125893617</v>
      </c>
    </row>
    <row r="1558" spans="1:18" x14ac:dyDescent="0.25">
      <c r="A1558" s="170">
        <v>44299</v>
      </c>
      <c r="B1558" s="116">
        <v>96.3</v>
      </c>
      <c r="C1558" s="116">
        <v>95.8</v>
      </c>
      <c r="D1558" s="116">
        <v>91.6</v>
      </c>
      <c r="E1558" s="116">
        <v>92.75</v>
      </c>
      <c r="F1558" s="116">
        <v>95.8</v>
      </c>
      <c r="G1558">
        <v>5018997</v>
      </c>
      <c r="H1558" s="116"/>
      <c r="I1558" s="116"/>
      <c r="L1558" s="170">
        <v>44299</v>
      </c>
      <c r="M1558" s="116">
        <v>95.85</v>
      </c>
      <c r="N1558" s="116">
        <v>96.3</v>
      </c>
      <c r="O1558" s="116">
        <v>91.55</v>
      </c>
      <c r="P1558" s="116">
        <v>92.3</v>
      </c>
      <c r="Q1558" s="116">
        <v>95.85</v>
      </c>
      <c r="R1558">
        <v>76861733</v>
      </c>
    </row>
    <row r="1559" spans="1:18" x14ac:dyDescent="0.25">
      <c r="A1559" s="170">
        <v>44301</v>
      </c>
      <c r="B1559" s="116">
        <v>96.7</v>
      </c>
      <c r="C1559" s="116">
        <v>94.05</v>
      </c>
      <c r="D1559" s="116">
        <v>93.3</v>
      </c>
      <c r="E1559" s="116">
        <v>95</v>
      </c>
      <c r="F1559" s="116">
        <v>94.05</v>
      </c>
      <c r="G1559">
        <v>2257630</v>
      </c>
      <c r="H1559" s="116"/>
      <c r="I1559" s="116"/>
      <c r="L1559" s="170">
        <v>44301</v>
      </c>
      <c r="M1559" s="116">
        <v>94.15</v>
      </c>
      <c r="N1559" s="116">
        <v>96.7</v>
      </c>
      <c r="O1559" s="116">
        <v>93.3</v>
      </c>
      <c r="P1559" s="116">
        <v>94.7</v>
      </c>
      <c r="Q1559" s="116">
        <v>94.15</v>
      </c>
      <c r="R1559">
        <v>38846301</v>
      </c>
    </row>
    <row r="1560" spans="1:18" x14ac:dyDescent="0.25">
      <c r="A1560" s="170">
        <v>44302</v>
      </c>
      <c r="B1560" s="116">
        <v>97.95</v>
      </c>
      <c r="C1560" s="116">
        <v>97.15</v>
      </c>
      <c r="D1560" s="116">
        <v>94.05</v>
      </c>
      <c r="E1560" s="116">
        <v>95.2</v>
      </c>
      <c r="F1560" s="116">
        <v>97.15</v>
      </c>
      <c r="G1560">
        <v>2387053</v>
      </c>
      <c r="H1560" s="116"/>
      <c r="I1560" s="116"/>
      <c r="L1560" s="170">
        <v>44302</v>
      </c>
      <c r="M1560" s="116">
        <v>97.15</v>
      </c>
      <c r="N1560" s="116">
        <v>97.95</v>
      </c>
      <c r="O1560" s="116">
        <v>94.05</v>
      </c>
      <c r="P1560" s="116">
        <v>95</v>
      </c>
      <c r="Q1560" s="116">
        <v>97.15</v>
      </c>
      <c r="R1560">
        <v>49515934</v>
      </c>
    </row>
    <row r="1561" spans="1:18" x14ac:dyDescent="0.25">
      <c r="A1561" s="170">
        <v>44305</v>
      </c>
      <c r="B1561" s="116">
        <v>94.95</v>
      </c>
      <c r="C1561" s="116">
        <v>93.55</v>
      </c>
      <c r="D1561" s="116">
        <v>91.8</v>
      </c>
      <c r="E1561" s="116">
        <v>93.3</v>
      </c>
      <c r="F1561" s="116">
        <v>93.55</v>
      </c>
      <c r="G1561">
        <v>2443729</v>
      </c>
      <c r="H1561" s="116"/>
      <c r="I1561" s="116"/>
      <c r="L1561" s="170">
        <v>44305</v>
      </c>
      <c r="M1561" s="116">
        <v>93.8</v>
      </c>
      <c r="N1561" s="116">
        <v>94.95</v>
      </c>
      <c r="O1561" s="116">
        <v>91.8</v>
      </c>
      <c r="P1561" s="116">
        <v>92.4</v>
      </c>
      <c r="Q1561" s="116">
        <v>93.8</v>
      </c>
      <c r="R1561">
        <v>43657515</v>
      </c>
    </row>
    <row r="1562" spans="1:18" x14ac:dyDescent="0.25">
      <c r="A1562" s="170">
        <v>44306</v>
      </c>
      <c r="B1562" s="116">
        <v>96</v>
      </c>
      <c r="C1562" s="116">
        <v>93.5</v>
      </c>
      <c r="D1562" s="116">
        <v>92.3</v>
      </c>
      <c r="E1562" s="116">
        <v>95.6</v>
      </c>
      <c r="F1562" s="116">
        <v>93.5</v>
      </c>
      <c r="G1562">
        <v>1805542</v>
      </c>
      <c r="H1562" s="116"/>
      <c r="I1562" s="116"/>
      <c r="L1562" s="170">
        <v>44306</v>
      </c>
      <c r="M1562" s="116">
        <v>93.6</v>
      </c>
      <c r="N1562" s="116">
        <v>96</v>
      </c>
      <c r="O1562" s="116">
        <v>92.4</v>
      </c>
      <c r="P1562" s="116">
        <v>96</v>
      </c>
      <c r="Q1562" s="116">
        <v>93.6</v>
      </c>
      <c r="R1562">
        <v>35631799</v>
      </c>
    </row>
    <row r="1563" spans="1:18" x14ac:dyDescent="0.25">
      <c r="A1563" s="170">
        <v>44308</v>
      </c>
      <c r="B1563" s="116">
        <v>94.95</v>
      </c>
      <c r="C1563" s="116">
        <v>94.3</v>
      </c>
      <c r="D1563" s="116">
        <v>92.55</v>
      </c>
      <c r="E1563" s="116">
        <v>93.3</v>
      </c>
      <c r="F1563" s="116">
        <v>94.3</v>
      </c>
      <c r="G1563">
        <v>1467245</v>
      </c>
      <c r="H1563" s="116"/>
      <c r="I1563" s="116"/>
      <c r="L1563" s="170">
        <v>44308</v>
      </c>
      <c r="M1563" s="116">
        <v>94.25</v>
      </c>
      <c r="N1563" s="116">
        <v>95</v>
      </c>
      <c r="O1563" s="116">
        <v>92.4</v>
      </c>
      <c r="P1563" s="116">
        <v>94</v>
      </c>
      <c r="Q1563" s="116">
        <v>94.25</v>
      </c>
      <c r="R1563">
        <v>34186730</v>
      </c>
    </row>
    <row r="1564" spans="1:18" x14ac:dyDescent="0.25">
      <c r="A1564" s="170">
        <v>44309</v>
      </c>
      <c r="B1564" s="116">
        <v>96.85</v>
      </c>
      <c r="C1564" s="116">
        <v>95.65</v>
      </c>
      <c r="D1564" s="116">
        <v>93.4</v>
      </c>
      <c r="E1564" s="116">
        <v>94.2</v>
      </c>
      <c r="F1564" s="116">
        <v>95.65</v>
      </c>
      <c r="G1564">
        <v>3738662</v>
      </c>
      <c r="H1564" s="116"/>
      <c r="I1564" s="116"/>
      <c r="L1564" s="170">
        <v>44309</v>
      </c>
      <c r="M1564" s="116">
        <v>95.65</v>
      </c>
      <c r="N1564" s="116">
        <v>96.9</v>
      </c>
      <c r="O1564" s="116">
        <v>93.55</v>
      </c>
      <c r="P1564" s="116">
        <v>94.2</v>
      </c>
      <c r="Q1564" s="116">
        <v>95.65</v>
      </c>
      <c r="R1564">
        <v>40943046</v>
      </c>
    </row>
    <row r="1565" spans="1:18" x14ac:dyDescent="0.25">
      <c r="A1565" s="170">
        <v>44312</v>
      </c>
      <c r="B1565" s="116">
        <v>97.05</v>
      </c>
      <c r="C1565" s="116">
        <v>96.3</v>
      </c>
      <c r="D1565" s="116">
        <v>95.5</v>
      </c>
      <c r="E1565" s="116">
        <v>95.75</v>
      </c>
      <c r="F1565" s="116">
        <v>96.3</v>
      </c>
      <c r="G1565">
        <v>1235955</v>
      </c>
      <c r="H1565" s="116"/>
      <c r="I1565" s="116"/>
      <c r="L1565" s="170">
        <v>44312</v>
      </c>
      <c r="M1565" s="116">
        <v>96.3</v>
      </c>
      <c r="N1565" s="116">
        <v>97.15</v>
      </c>
      <c r="O1565" s="116">
        <v>95.5</v>
      </c>
      <c r="P1565" s="116">
        <v>95.7</v>
      </c>
      <c r="Q1565" s="116">
        <v>96.3</v>
      </c>
      <c r="R1565">
        <v>24546834</v>
      </c>
    </row>
    <row r="1566" spans="1:18" x14ac:dyDescent="0.25">
      <c r="A1566" s="170">
        <v>44313</v>
      </c>
      <c r="B1566" s="116">
        <v>98.55</v>
      </c>
      <c r="C1566" s="116">
        <v>98</v>
      </c>
      <c r="D1566" s="116">
        <v>96.6</v>
      </c>
      <c r="E1566" s="116">
        <v>97.45</v>
      </c>
      <c r="F1566" s="116">
        <v>98</v>
      </c>
      <c r="G1566">
        <v>1285251</v>
      </c>
      <c r="H1566" s="116"/>
      <c r="I1566" s="116"/>
      <c r="L1566" s="170">
        <v>44313</v>
      </c>
      <c r="M1566" s="116">
        <v>98</v>
      </c>
      <c r="N1566" s="116">
        <v>98.45</v>
      </c>
      <c r="O1566" s="116">
        <v>96.4</v>
      </c>
      <c r="P1566" s="116">
        <v>96.95</v>
      </c>
      <c r="Q1566" s="116">
        <v>98</v>
      </c>
      <c r="R1566">
        <v>26892254</v>
      </c>
    </row>
    <row r="1567" spans="1:18" x14ac:dyDescent="0.25">
      <c r="A1567" s="170">
        <v>44314</v>
      </c>
      <c r="B1567" s="116">
        <v>99.1</v>
      </c>
      <c r="C1567" s="116">
        <v>98</v>
      </c>
      <c r="D1567" s="116">
        <v>97.7</v>
      </c>
      <c r="E1567" s="116">
        <v>98.9</v>
      </c>
      <c r="F1567" s="116">
        <v>98</v>
      </c>
      <c r="G1567">
        <v>1476720</v>
      </c>
      <c r="H1567" s="116"/>
      <c r="I1567" s="116"/>
      <c r="L1567" s="170">
        <v>44314</v>
      </c>
      <c r="M1567" s="116">
        <v>97.95</v>
      </c>
      <c r="N1567" s="116">
        <v>99.15</v>
      </c>
      <c r="O1567" s="116">
        <v>97.65</v>
      </c>
      <c r="P1567" s="116">
        <v>98.6</v>
      </c>
      <c r="Q1567" s="116">
        <v>97.95</v>
      </c>
      <c r="R1567">
        <v>32345591</v>
      </c>
    </row>
    <row r="1568" spans="1:18" x14ac:dyDescent="0.25">
      <c r="A1568" s="170">
        <v>44315</v>
      </c>
      <c r="B1568" s="116">
        <v>100.2</v>
      </c>
      <c r="C1568" s="116">
        <v>97.7</v>
      </c>
      <c r="D1568" s="116">
        <v>97.45</v>
      </c>
      <c r="E1568" s="116">
        <v>98.9</v>
      </c>
      <c r="F1568" s="116">
        <v>97.7</v>
      </c>
      <c r="G1568">
        <v>3606525</v>
      </c>
      <c r="H1568" s="116"/>
      <c r="I1568" s="116"/>
      <c r="L1568" s="170">
        <v>44315</v>
      </c>
      <c r="M1568" s="116">
        <v>97.65</v>
      </c>
      <c r="N1568" s="116">
        <v>100.2</v>
      </c>
      <c r="O1568" s="116">
        <v>97.45</v>
      </c>
      <c r="P1568" s="116">
        <v>98.9</v>
      </c>
      <c r="Q1568" s="116">
        <v>97.65</v>
      </c>
      <c r="R1568">
        <v>39809692</v>
      </c>
    </row>
    <row r="1569" spans="1:18" x14ac:dyDescent="0.25">
      <c r="A1569" s="170">
        <v>44316</v>
      </c>
      <c r="B1569" s="116">
        <v>101.4</v>
      </c>
      <c r="C1569" s="116">
        <v>98.85</v>
      </c>
      <c r="D1569" s="116">
        <v>96.15</v>
      </c>
      <c r="E1569" s="116">
        <v>97</v>
      </c>
      <c r="F1569" s="116">
        <v>98.85</v>
      </c>
      <c r="G1569">
        <v>4388724</v>
      </c>
      <c r="H1569" s="116"/>
      <c r="I1569" s="116"/>
      <c r="L1569" s="170">
        <v>44316</v>
      </c>
      <c r="M1569" s="116">
        <v>98.85</v>
      </c>
      <c r="N1569" s="116">
        <v>101.4</v>
      </c>
      <c r="O1569" s="116">
        <v>96.25</v>
      </c>
      <c r="P1569" s="116">
        <v>96.95</v>
      </c>
      <c r="Q1569" s="116">
        <v>98.85</v>
      </c>
      <c r="R1569">
        <v>40125740</v>
      </c>
    </row>
    <row r="1570" spans="1:18" x14ac:dyDescent="0.25">
      <c r="A1570" s="170">
        <v>44319</v>
      </c>
      <c r="B1570" s="116">
        <v>100.35</v>
      </c>
      <c r="C1570" s="116">
        <v>99.85</v>
      </c>
      <c r="D1570" s="116">
        <v>96.3</v>
      </c>
      <c r="E1570" s="116">
        <v>98.75</v>
      </c>
      <c r="F1570" s="116">
        <v>99.85</v>
      </c>
      <c r="G1570">
        <v>2283120</v>
      </c>
      <c r="H1570" s="116"/>
      <c r="I1570" s="116"/>
      <c r="L1570" s="170">
        <v>44319</v>
      </c>
      <c r="M1570" s="116">
        <v>99.85</v>
      </c>
      <c r="N1570" s="116">
        <v>100.4</v>
      </c>
      <c r="O1570" s="116">
        <v>96.35</v>
      </c>
      <c r="P1570" s="116">
        <v>97.95</v>
      </c>
      <c r="Q1570" s="116">
        <v>99.85</v>
      </c>
      <c r="R1570">
        <v>37404501</v>
      </c>
    </row>
    <row r="1571" spans="1:18" x14ac:dyDescent="0.25">
      <c r="A1571" s="170">
        <v>44320</v>
      </c>
      <c r="B1571" s="116">
        <v>103.35</v>
      </c>
      <c r="C1571" s="116">
        <v>100.95</v>
      </c>
      <c r="D1571" s="116">
        <v>100</v>
      </c>
      <c r="E1571" s="116">
        <v>100.85</v>
      </c>
      <c r="F1571" s="116">
        <v>100.95</v>
      </c>
      <c r="G1571">
        <v>4925987</v>
      </c>
      <c r="H1571" s="116"/>
      <c r="I1571" s="116"/>
      <c r="L1571" s="170">
        <v>44320</v>
      </c>
      <c r="M1571" s="116">
        <v>101.05</v>
      </c>
      <c r="N1571" s="116">
        <v>103.4</v>
      </c>
      <c r="O1571" s="116">
        <v>100</v>
      </c>
      <c r="P1571" s="116">
        <v>100.6</v>
      </c>
      <c r="Q1571" s="116">
        <v>101.05</v>
      </c>
      <c r="R1571">
        <v>55562146</v>
      </c>
    </row>
    <row r="1572" spans="1:18" x14ac:dyDescent="0.25">
      <c r="A1572" s="170">
        <v>44321</v>
      </c>
      <c r="B1572" s="116">
        <v>102.9</v>
      </c>
      <c r="C1572" s="116">
        <v>102</v>
      </c>
      <c r="D1572" s="116">
        <v>100.3</v>
      </c>
      <c r="E1572" s="116">
        <v>102.85</v>
      </c>
      <c r="F1572" s="116">
        <v>102</v>
      </c>
      <c r="G1572">
        <v>1533934</v>
      </c>
      <c r="H1572" s="116"/>
      <c r="I1572" s="116"/>
      <c r="L1572" s="170">
        <v>44321</v>
      </c>
      <c r="M1572" s="116">
        <v>102</v>
      </c>
      <c r="N1572" s="116">
        <v>102.95</v>
      </c>
      <c r="O1572" s="116">
        <v>100.25</v>
      </c>
      <c r="P1572" s="116">
        <v>102.4</v>
      </c>
      <c r="Q1572" s="116">
        <v>102</v>
      </c>
      <c r="R1572">
        <v>25421812</v>
      </c>
    </row>
    <row r="1573" spans="1:18" x14ac:dyDescent="0.25">
      <c r="A1573" s="170">
        <v>44322</v>
      </c>
      <c r="B1573" s="116">
        <v>104.6</v>
      </c>
      <c r="C1573" s="116">
        <v>102.9</v>
      </c>
      <c r="D1573" s="116">
        <v>101.6</v>
      </c>
      <c r="E1573" s="116">
        <v>102.9</v>
      </c>
      <c r="F1573" s="116">
        <v>102.9</v>
      </c>
      <c r="G1573">
        <v>2070206</v>
      </c>
      <c r="H1573" s="116"/>
      <c r="I1573" s="116"/>
      <c r="L1573" s="170">
        <v>44322</v>
      </c>
      <c r="M1573" s="116">
        <v>102.9</v>
      </c>
      <c r="N1573" s="116">
        <v>104.65</v>
      </c>
      <c r="O1573" s="116">
        <v>101.6</v>
      </c>
      <c r="P1573" s="116">
        <v>102.55</v>
      </c>
      <c r="Q1573" s="116">
        <v>102.9</v>
      </c>
      <c r="R1573">
        <v>35150275</v>
      </c>
    </row>
    <row r="1574" spans="1:18" x14ac:dyDescent="0.25">
      <c r="A1574" s="170">
        <v>44323</v>
      </c>
      <c r="B1574" s="116">
        <v>104</v>
      </c>
      <c r="C1574" s="116">
        <v>102.65</v>
      </c>
      <c r="D1574" s="116">
        <v>102.2</v>
      </c>
      <c r="E1574" s="116">
        <v>104</v>
      </c>
      <c r="F1574" s="116">
        <v>102.65</v>
      </c>
      <c r="G1574">
        <v>2518049</v>
      </c>
      <c r="H1574" s="116"/>
      <c r="I1574" s="116"/>
      <c r="L1574" s="170">
        <v>44323</v>
      </c>
      <c r="M1574" s="116">
        <v>102.7</v>
      </c>
      <c r="N1574" s="116">
        <v>103.95</v>
      </c>
      <c r="O1574" s="116">
        <v>102.25</v>
      </c>
      <c r="P1574" s="116">
        <v>103.85</v>
      </c>
      <c r="Q1574" s="116">
        <v>102.7</v>
      </c>
      <c r="R1574">
        <v>28791094</v>
      </c>
    </row>
    <row r="1575" spans="1:18" x14ac:dyDescent="0.25">
      <c r="A1575" s="170">
        <v>44326</v>
      </c>
      <c r="B1575" s="116">
        <v>110.7</v>
      </c>
      <c r="C1575" s="116">
        <v>110</v>
      </c>
      <c r="D1575" s="116">
        <v>103.35</v>
      </c>
      <c r="E1575" s="116">
        <v>104</v>
      </c>
      <c r="F1575" s="116">
        <v>110</v>
      </c>
      <c r="G1575">
        <v>4438270</v>
      </c>
      <c r="H1575" s="116"/>
      <c r="I1575" s="116"/>
      <c r="L1575" s="170">
        <v>44326</v>
      </c>
      <c r="M1575" s="116">
        <v>109.95</v>
      </c>
      <c r="N1575" s="116">
        <v>110.5</v>
      </c>
      <c r="O1575" s="116">
        <v>103.2</v>
      </c>
      <c r="P1575" s="116">
        <v>103.75</v>
      </c>
      <c r="Q1575" s="116">
        <v>109.95</v>
      </c>
      <c r="R1575">
        <v>70028129</v>
      </c>
    </row>
    <row r="1576" spans="1:18" x14ac:dyDescent="0.25">
      <c r="A1576" s="170">
        <v>44327</v>
      </c>
      <c r="B1576" s="116">
        <v>111.15</v>
      </c>
      <c r="C1576" s="116">
        <v>109.25</v>
      </c>
      <c r="D1576" s="116">
        <v>107.1</v>
      </c>
      <c r="E1576" s="116">
        <v>109.25</v>
      </c>
      <c r="F1576" s="116">
        <v>109.25</v>
      </c>
      <c r="G1576">
        <v>6184944</v>
      </c>
      <c r="H1576" s="116"/>
      <c r="I1576" s="116"/>
      <c r="L1576" s="170">
        <v>44327</v>
      </c>
      <c r="M1576" s="116">
        <v>109.35</v>
      </c>
      <c r="N1576" s="116">
        <v>111.15</v>
      </c>
      <c r="O1576" s="116">
        <v>107.1</v>
      </c>
      <c r="P1576" s="116">
        <v>109</v>
      </c>
      <c r="Q1576" s="116">
        <v>109.35</v>
      </c>
      <c r="R1576">
        <v>64737614</v>
      </c>
    </row>
    <row r="1577" spans="1:18" x14ac:dyDescent="0.25">
      <c r="A1577" s="170">
        <v>44328</v>
      </c>
      <c r="B1577" s="116">
        <v>110.75</v>
      </c>
      <c r="C1577" s="116">
        <v>106.55</v>
      </c>
      <c r="D1577" s="116">
        <v>105.15</v>
      </c>
      <c r="E1577" s="116">
        <v>110.75</v>
      </c>
      <c r="F1577" s="116">
        <v>106.55</v>
      </c>
      <c r="G1577">
        <v>4129934</v>
      </c>
      <c r="H1577" s="116"/>
      <c r="I1577" s="116"/>
      <c r="L1577" s="170">
        <v>44328</v>
      </c>
      <c r="M1577" s="116">
        <v>106.6</v>
      </c>
      <c r="N1577" s="116">
        <v>110.55</v>
      </c>
      <c r="O1577" s="116">
        <v>105.15</v>
      </c>
      <c r="P1577" s="116">
        <v>110.35</v>
      </c>
      <c r="Q1577" s="116">
        <v>106.6</v>
      </c>
      <c r="R1577">
        <v>61946163</v>
      </c>
    </row>
    <row r="1578" spans="1:18" x14ac:dyDescent="0.25">
      <c r="A1578" s="170">
        <v>44330</v>
      </c>
      <c r="B1578" s="116">
        <v>107.95</v>
      </c>
      <c r="C1578" s="116">
        <v>101.45</v>
      </c>
      <c r="D1578" s="116">
        <v>101.05</v>
      </c>
      <c r="E1578" s="116">
        <v>106.55</v>
      </c>
      <c r="F1578" s="116">
        <v>101.45</v>
      </c>
      <c r="G1578">
        <v>5209943</v>
      </c>
      <c r="H1578" s="116"/>
      <c r="I1578" s="116"/>
      <c r="L1578" s="170">
        <v>44330</v>
      </c>
      <c r="M1578" s="116">
        <v>101.5</v>
      </c>
      <c r="N1578" s="116">
        <v>108</v>
      </c>
      <c r="O1578" s="116">
        <v>101</v>
      </c>
      <c r="P1578" s="116">
        <v>106.35</v>
      </c>
      <c r="Q1578" s="116">
        <v>101.5</v>
      </c>
      <c r="R1578">
        <v>66640242</v>
      </c>
    </row>
    <row r="1579" spans="1:18" x14ac:dyDescent="0.25">
      <c r="A1579" s="170">
        <v>44333</v>
      </c>
      <c r="B1579" s="116">
        <v>104.25</v>
      </c>
      <c r="C1579" s="116">
        <v>103.4</v>
      </c>
      <c r="D1579" s="116">
        <v>101.7</v>
      </c>
      <c r="E1579" s="116">
        <v>102.8</v>
      </c>
      <c r="F1579" s="116">
        <v>103.4</v>
      </c>
      <c r="G1579">
        <v>2573223</v>
      </c>
      <c r="H1579" s="116"/>
      <c r="I1579" s="116"/>
      <c r="L1579" s="170">
        <v>44333</v>
      </c>
      <c r="M1579" s="116">
        <v>103.45</v>
      </c>
      <c r="N1579" s="116">
        <v>104.3</v>
      </c>
      <c r="O1579" s="116">
        <v>101.65</v>
      </c>
      <c r="P1579" s="116">
        <v>102.5</v>
      </c>
      <c r="Q1579" s="116">
        <v>103.45</v>
      </c>
      <c r="R1579">
        <v>40412520</v>
      </c>
    </row>
    <row r="1580" spans="1:18" x14ac:dyDescent="0.25">
      <c r="A1580" s="170">
        <v>44334</v>
      </c>
      <c r="B1580" s="116">
        <v>107.35</v>
      </c>
      <c r="C1580" s="116">
        <v>105.35</v>
      </c>
      <c r="D1580" s="116">
        <v>104.7</v>
      </c>
      <c r="E1580" s="116">
        <v>104.7</v>
      </c>
      <c r="F1580" s="116">
        <v>105.35</v>
      </c>
      <c r="G1580">
        <v>2119058</v>
      </c>
      <c r="H1580" s="116"/>
      <c r="I1580" s="116"/>
      <c r="L1580" s="170">
        <v>44334</v>
      </c>
      <c r="M1580" s="116">
        <v>105.35</v>
      </c>
      <c r="N1580" s="116">
        <v>107.35</v>
      </c>
      <c r="O1580" s="116">
        <v>104.65</v>
      </c>
      <c r="P1580" s="116">
        <v>105</v>
      </c>
      <c r="Q1580" s="116">
        <v>105.35</v>
      </c>
      <c r="R1580">
        <v>40666745</v>
      </c>
    </row>
    <row r="1581" spans="1:18" x14ac:dyDescent="0.25">
      <c r="A1581" s="170">
        <v>44335</v>
      </c>
      <c r="B1581" s="116">
        <v>107</v>
      </c>
      <c r="C1581" s="116">
        <v>104.25</v>
      </c>
      <c r="D1581" s="116">
        <v>104</v>
      </c>
      <c r="E1581" s="116">
        <v>105.55</v>
      </c>
      <c r="F1581" s="116">
        <v>104.25</v>
      </c>
      <c r="G1581">
        <v>1560396</v>
      </c>
      <c r="H1581" s="116"/>
      <c r="I1581" s="116"/>
      <c r="L1581" s="170">
        <v>44335</v>
      </c>
      <c r="M1581" s="116">
        <v>104.25</v>
      </c>
      <c r="N1581" s="116">
        <v>107</v>
      </c>
      <c r="O1581" s="116">
        <v>103.9</v>
      </c>
      <c r="P1581" s="116">
        <v>105.05</v>
      </c>
      <c r="Q1581" s="116">
        <v>104.25</v>
      </c>
      <c r="R1581">
        <v>31394002</v>
      </c>
    </row>
    <row r="1582" spans="1:18" x14ac:dyDescent="0.25">
      <c r="A1582" s="170">
        <v>44336</v>
      </c>
      <c r="B1582" s="116">
        <v>105.45</v>
      </c>
      <c r="C1582" s="116">
        <v>102.9</v>
      </c>
      <c r="D1582" s="116">
        <v>102.45</v>
      </c>
      <c r="E1582" s="116">
        <v>105</v>
      </c>
      <c r="F1582" s="116">
        <v>102.9</v>
      </c>
      <c r="G1582">
        <v>1091456</v>
      </c>
      <c r="H1582" s="116"/>
      <c r="I1582" s="116"/>
      <c r="L1582" s="170">
        <v>44336</v>
      </c>
      <c r="M1582" s="116">
        <v>102.95</v>
      </c>
      <c r="N1582" s="116">
        <v>105.45</v>
      </c>
      <c r="O1582" s="116">
        <v>102.45</v>
      </c>
      <c r="P1582" s="116">
        <v>105.2</v>
      </c>
      <c r="Q1582" s="116">
        <v>102.95</v>
      </c>
      <c r="R1582">
        <v>19494462</v>
      </c>
    </row>
    <row r="1583" spans="1:18" x14ac:dyDescent="0.25">
      <c r="A1583" s="170">
        <v>44337</v>
      </c>
      <c r="B1583" s="116">
        <v>106</v>
      </c>
      <c r="C1583" s="116">
        <v>104.9</v>
      </c>
      <c r="D1583" s="116">
        <v>103.35</v>
      </c>
      <c r="E1583" s="116">
        <v>104.4</v>
      </c>
      <c r="F1583" s="116">
        <v>104.9</v>
      </c>
      <c r="G1583">
        <v>1391913</v>
      </c>
      <c r="H1583" s="116"/>
      <c r="I1583" s="116"/>
      <c r="L1583" s="170">
        <v>44337</v>
      </c>
      <c r="M1583" s="116">
        <v>104.9</v>
      </c>
      <c r="N1583" s="116">
        <v>106</v>
      </c>
      <c r="O1583" s="116">
        <v>103.3</v>
      </c>
      <c r="P1583" s="116">
        <v>103.85</v>
      </c>
      <c r="Q1583" s="116">
        <v>104.9</v>
      </c>
      <c r="R1583">
        <v>27004076</v>
      </c>
    </row>
    <row r="1584" spans="1:18" x14ac:dyDescent="0.25">
      <c r="A1584" s="170">
        <v>44340</v>
      </c>
      <c r="B1584" s="116">
        <v>107.95</v>
      </c>
      <c r="C1584" s="116">
        <v>107.35</v>
      </c>
      <c r="D1584" s="116">
        <v>104.6</v>
      </c>
      <c r="E1584" s="116">
        <v>105.85</v>
      </c>
      <c r="F1584" s="116">
        <v>107.35</v>
      </c>
      <c r="G1584">
        <v>2062850</v>
      </c>
      <c r="H1584" s="116"/>
      <c r="I1584" s="116"/>
      <c r="L1584" s="170">
        <v>44340</v>
      </c>
      <c r="M1584" s="116">
        <v>107.3</v>
      </c>
      <c r="N1584" s="116">
        <v>107.95</v>
      </c>
      <c r="O1584" s="116">
        <v>104.5</v>
      </c>
      <c r="P1584" s="116">
        <v>105.6</v>
      </c>
      <c r="Q1584" s="116">
        <v>107.3</v>
      </c>
      <c r="R1584">
        <v>41530007</v>
      </c>
    </row>
    <row r="1585" spans="1:18" x14ac:dyDescent="0.25">
      <c r="A1585" s="170">
        <v>44341</v>
      </c>
      <c r="B1585" s="116">
        <v>109.3</v>
      </c>
      <c r="C1585" s="116">
        <v>107.4</v>
      </c>
      <c r="D1585" s="116">
        <v>106.7</v>
      </c>
      <c r="E1585" s="116">
        <v>108.2</v>
      </c>
      <c r="F1585" s="116">
        <v>107.4</v>
      </c>
      <c r="G1585">
        <v>3406483</v>
      </c>
      <c r="H1585" s="116"/>
      <c r="I1585" s="116"/>
      <c r="L1585" s="170">
        <v>44341</v>
      </c>
      <c r="M1585" s="116">
        <v>107.45</v>
      </c>
      <c r="N1585" s="116">
        <v>109.35</v>
      </c>
      <c r="O1585" s="116">
        <v>106.65</v>
      </c>
      <c r="P1585" s="116">
        <v>108.3</v>
      </c>
      <c r="Q1585" s="116">
        <v>107.45</v>
      </c>
      <c r="R1585">
        <v>35294915</v>
      </c>
    </row>
    <row r="1586" spans="1:18" x14ac:dyDescent="0.25">
      <c r="A1586" s="170">
        <v>44342</v>
      </c>
      <c r="B1586" s="116">
        <v>108.5</v>
      </c>
      <c r="C1586" s="116">
        <v>106.1</v>
      </c>
      <c r="D1586" s="116">
        <v>105.8</v>
      </c>
      <c r="E1586" s="116">
        <v>108.5</v>
      </c>
      <c r="F1586" s="116">
        <v>106.1</v>
      </c>
      <c r="G1586">
        <v>1422357</v>
      </c>
      <c r="H1586" s="116"/>
      <c r="I1586" s="116"/>
      <c r="L1586" s="170">
        <v>44342</v>
      </c>
      <c r="M1586" s="116">
        <v>106.1</v>
      </c>
      <c r="N1586" s="116">
        <v>108.3</v>
      </c>
      <c r="O1586" s="116">
        <v>105.8</v>
      </c>
      <c r="P1586" s="116">
        <v>108</v>
      </c>
      <c r="Q1586" s="116">
        <v>106.1</v>
      </c>
      <c r="R1586">
        <v>26772472</v>
      </c>
    </row>
    <row r="1587" spans="1:18" x14ac:dyDescent="0.25">
      <c r="A1587" s="170">
        <v>44343</v>
      </c>
      <c r="B1587" s="116">
        <v>106.95</v>
      </c>
      <c r="C1587" s="116">
        <v>106.25</v>
      </c>
      <c r="D1587" s="116">
        <v>104.95</v>
      </c>
      <c r="E1587" s="116">
        <v>106.65</v>
      </c>
      <c r="F1587" s="116">
        <v>106.25</v>
      </c>
      <c r="G1587">
        <v>1426769</v>
      </c>
      <c r="H1587" s="116"/>
      <c r="I1587" s="116"/>
      <c r="L1587" s="170">
        <v>44343</v>
      </c>
      <c r="M1587" s="116">
        <v>106.35</v>
      </c>
      <c r="N1587" s="116">
        <v>107</v>
      </c>
      <c r="O1587" s="116">
        <v>104.9</v>
      </c>
      <c r="P1587" s="116">
        <v>106.1</v>
      </c>
      <c r="Q1587" s="116">
        <v>106.35</v>
      </c>
      <c r="R1587">
        <v>21200089</v>
      </c>
    </row>
    <row r="1588" spans="1:18" x14ac:dyDescent="0.25">
      <c r="A1588" s="170">
        <v>44344</v>
      </c>
      <c r="B1588" s="116">
        <v>107.5</v>
      </c>
      <c r="C1588" s="116">
        <v>105.35</v>
      </c>
      <c r="D1588" s="116">
        <v>105.1</v>
      </c>
      <c r="E1588" s="116">
        <v>107.4</v>
      </c>
      <c r="F1588" s="116">
        <v>105.35</v>
      </c>
      <c r="G1588">
        <v>1122216</v>
      </c>
      <c r="H1588" s="116"/>
      <c r="I1588" s="116"/>
      <c r="L1588" s="170">
        <v>44344</v>
      </c>
      <c r="M1588" s="116">
        <v>105.35</v>
      </c>
      <c r="N1588" s="116">
        <v>107.5</v>
      </c>
      <c r="O1588" s="116">
        <v>105.1</v>
      </c>
      <c r="P1588" s="116">
        <v>107.2</v>
      </c>
      <c r="Q1588" s="116">
        <v>105.35</v>
      </c>
      <c r="R1588">
        <v>19973552</v>
      </c>
    </row>
    <row r="1589" spans="1:18" x14ac:dyDescent="0.25">
      <c r="A1589" s="170">
        <v>44347</v>
      </c>
      <c r="B1589" s="116">
        <v>106.95</v>
      </c>
      <c r="C1589" s="116">
        <v>106.4</v>
      </c>
      <c r="D1589" s="116">
        <v>103.85</v>
      </c>
      <c r="E1589" s="116">
        <v>104.3</v>
      </c>
      <c r="F1589" s="116">
        <v>106.4</v>
      </c>
      <c r="G1589">
        <v>1552525</v>
      </c>
      <c r="H1589" s="116"/>
      <c r="I1589" s="116"/>
      <c r="L1589" s="170">
        <v>44347</v>
      </c>
      <c r="M1589" s="116">
        <v>106.45</v>
      </c>
      <c r="N1589" s="116">
        <v>106.95</v>
      </c>
      <c r="O1589" s="116">
        <v>103.8</v>
      </c>
      <c r="P1589" s="116">
        <v>105.3</v>
      </c>
      <c r="Q1589" s="116">
        <v>106.45</v>
      </c>
      <c r="R1589">
        <v>29739476</v>
      </c>
    </row>
    <row r="1590" spans="1:18" x14ac:dyDescent="0.25">
      <c r="A1590" s="170">
        <v>44348</v>
      </c>
      <c r="B1590" s="116">
        <v>106.7</v>
      </c>
      <c r="C1590" s="116">
        <v>104.75</v>
      </c>
      <c r="D1590" s="116">
        <v>103.7</v>
      </c>
      <c r="E1590" s="116">
        <v>106.7</v>
      </c>
      <c r="F1590" s="116">
        <v>104.75</v>
      </c>
      <c r="G1590">
        <v>1399500</v>
      </c>
      <c r="H1590" s="116"/>
      <c r="I1590" s="116"/>
      <c r="L1590" s="170">
        <v>44348</v>
      </c>
      <c r="M1590" s="116">
        <v>104.65</v>
      </c>
      <c r="N1590" s="116">
        <v>106.4</v>
      </c>
      <c r="O1590" s="116">
        <v>103.7</v>
      </c>
      <c r="P1590" s="116">
        <v>106.4</v>
      </c>
      <c r="Q1590" s="116">
        <v>104.65</v>
      </c>
      <c r="R1590">
        <v>25038000</v>
      </c>
    </row>
    <row r="1591" spans="1:18" x14ac:dyDescent="0.25">
      <c r="A1591" s="170">
        <v>44349</v>
      </c>
      <c r="B1591" s="116">
        <v>108.35</v>
      </c>
      <c r="C1591" s="116">
        <v>108.05</v>
      </c>
      <c r="D1591" s="116">
        <v>104.45</v>
      </c>
      <c r="E1591" s="116">
        <v>104.6</v>
      </c>
      <c r="F1591" s="116">
        <v>108.05</v>
      </c>
      <c r="G1591">
        <v>3340283</v>
      </c>
      <c r="H1591" s="116"/>
      <c r="I1591" s="116"/>
      <c r="L1591" s="170">
        <v>44349</v>
      </c>
      <c r="M1591" s="116">
        <v>108.1</v>
      </c>
      <c r="N1591" s="116">
        <v>108.4</v>
      </c>
      <c r="O1591" s="116">
        <v>104.35</v>
      </c>
      <c r="P1591" s="116">
        <v>104.5</v>
      </c>
      <c r="Q1591" s="116">
        <v>108.1</v>
      </c>
      <c r="R1591">
        <v>31238619</v>
      </c>
    </row>
    <row r="1592" spans="1:18" x14ac:dyDescent="0.25">
      <c r="A1592" s="170">
        <v>44350</v>
      </c>
      <c r="B1592" s="116">
        <v>110.5</v>
      </c>
      <c r="C1592" s="116">
        <v>108.55</v>
      </c>
      <c r="D1592" s="116">
        <v>107.9</v>
      </c>
      <c r="E1592" s="116">
        <v>110.25</v>
      </c>
      <c r="F1592" s="116">
        <v>108.55</v>
      </c>
      <c r="G1592">
        <v>2544961</v>
      </c>
      <c r="H1592" s="116"/>
      <c r="I1592" s="116"/>
      <c r="L1592" s="170">
        <v>44350</v>
      </c>
      <c r="M1592" s="116">
        <v>108.65</v>
      </c>
      <c r="N1592" s="116">
        <v>110.5</v>
      </c>
      <c r="O1592" s="116">
        <v>107.9</v>
      </c>
      <c r="P1592" s="116">
        <v>110</v>
      </c>
      <c r="Q1592" s="116">
        <v>108.65</v>
      </c>
      <c r="R1592">
        <v>38360946</v>
      </c>
    </row>
    <row r="1593" spans="1:18" x14ac:dyDescent="0.25">
      <c r="A1593" s="170">
        <v>44351</v>
      </c>
      <c r="B1593" s="116">
        <v>109.85</v>
      </c>
      <c r="C1593" s="116">
        <v>108.1</v>
      </c>
      <c r="D1593" s="116">
        <v>106.95</v>
      </c>
      <c r="E1593" s="116">
        <v>109.85</v>
      </c>
      <c r="F1593" s="116">
        <v>108.1</v>
      </c>
      <c r="G1593">
        <v>1383215</v>
      </c>
      <c r="H1593" s="116"/>
      <c r="I1593" s="116"/>
      <c r="L1593" s="170">
        <v>44351</v>
      </c>
      <c r="M1593" s="116">
        <v>108.15</v>
      </c>
      <c r="N1593" s="116">
        <v>109.1</v>
      </c>
      <c r="O1593" s="116">
        <v>107</v>
      </c>
      <c r="P1593" s="116">
        <v>109.1</v>
      </c>
      <c r="Q1593" s="116">
        <v>108.15</v>
      </c>
      <c r="R1593">
        <v>19048139</v>
      </c>
    </row>
    <row r="1594" spans="1:18" x14ac:dyDescent="0.25">
      <c r="A1594" s="170">
        <v>44354</v>
      </c>
      <c r="B1594" s="116">
        <v>115</v>
      </c>
      <c r="C1594" s="116">
        <v>113.3</v>
      </c>
      <c r="D1594" s="116">
        <v>108.35</v>
      </c>
      <c r="E1594" s="116">
        <v>109.35</v>
      </c>
      <c r="F1594" s="116">
        <v>113.3</v>
      </c>
      <c r="G1594">
        <v>6193215</v>
      </c>
      <c r="H1594" s="116"/>
      <c r="I1594" s="116"/>
      <c r="L1594" s="170">
        <v>44354</v>
      </c>
      <c r="M1594" s="116">
        <v>113.35</v>
      </c>
      <c r="N1594" s="116">
        <v>115</v>
      </c>
      <c r="O1594" s="116">
        <v>108.3</v>
      </c>
      <c r="P1594" s="116">
        <v>109</v>
      </c>
      <c r="Q1594" s="116">
        <v>113.35</v>
      </c>
      <c r="R1594">
        <v>95358858</v>
      </c>
    </row>
    <row r="1595" spans="1:18" x14ac:dyDescent="0.25">
      <c r="A1595" s="170">
        <v>44355</v>
      </c>
      <c r="B1595" s="116">
        <v>119.2</v>
      </c>
      <c r="C1595" s="116">
        <v>117</v>
      </c>
      <c r="D1595" s="116">
        <v>114</v>
      </c>
      <c r="E1595" s="116">
        <v>114.6</v>
      </c>
      <c r="F1595" s="116">
        <v>117</v>
      </c>
      <c r="G1595">
        <v>6853879</v>
      </c>
      <c r="H1595" s="116"/>
      <c r="I1595" s="116"/>
      <c r="L1595" s="170">
        <v>44355</v>
      </c>
      <c r="M1595" s="116">
        <v>117.05</v>
      </c>
      <c r="N1595" s="116">
        <v>119.2</v>
      </c>
      <c r="O1595" s="116">
        <v>114</v>
      </c>
      <c r="P1595" s="116">
        <v>114.4</v>
      </c>
      <c r="Q1595" s="116">
        <v>117.05</v>
      </c>
      <c r="R1595">
        <v>93023993</v>
      </c>
    </row>
    <row r="1596" spans="1:18" x14ac:dyDescent="0.25">
      <c r="A1596" s="170">
        <v>44356</v>
      </c>
      <c r="B1596" s="116">
        <v>132.5</v>
      </c>
      <c r="C1596" s="116">
        <v>124.65</v>
      </c>
      <c r="D1596" s="116">
        <v>119</v>
      </c>
      <c r="E1596" s="116">
        <v>121.4</v>
      </c>
      <c r="F1596" s="116">
        <v>124.65</v>
      </c>
      <c r="G1596">
        <v>26133050</v>
      </c>
      <c r="H1596" s="116"/>
      <c r="I1596" s="116"/>
      <c r="L1596" s="170">
        <v>44356</v>
      </c>
      <c r="M1596" s="116">
        <v>124.65</v>
      </c>
      <c r="N1596" s="116">
        <v>132.69999999999999</v>
      </c>
      <c r="O1596" s="116">
        <v>119</v>
      </c>
      <c r="P1596" s="116">
        <v>120.75</v>
      </c>
      <c r="Q1596" s="116">
        <v>124.65</v>
      </c>
      <c r="R1596">
        <v>360661838</v>
      </c>
    </row>
    <row r="1597" spans="1:18" x14ac:dyDescent="0.25">
      <c r="A1597" s="170">
        <v>44357</v>
      </c>
      <c r="B1597" s="116">
        <v>130.35</v>
      </c>
      <c r="C1597" s="116">
        <v>127.6</v>
      </c>
      <c r="D1597" s="116">
        <v>125</v>
      </c>
      <c r="E1597" s="116">
        <v>128.80000000000001</v>
      </c>
      <c r="F1597" s="116">
        <v>127.6</v>
      </c>
      <c r="G1597">
        <v>13005185</v>
      </c>
      <c r="H1597" s="116"/>
      <c r="I1597" s="116"/>
      <c r="L1597" s="170">
        <v>44357</v>
      </c>
      <c r="M1597" s="116">
        <v>127.6</v>
      </c>
      <c r="N1597" s="116">
        <v>130.4</v>
      </c>
      <c r="O1597" s="116">
        <v>125.1</v>
      </c>
      <c r="P1597" s="116">
        <v>128</v>
      </c>
      <c r="Q1597" s="116">
        <v>127.6</v>
      </c>
      <c r="R1597">
        <v>140351463</v>
      </c>
    </row>
    <row r="1598" spans="1:18" x14ac:dyDescent="0.25">
      <c r="A1598" s="170">
        <v>44358</v>
      </c>
      <c r="B1598" s="116">
        <v>129.69999999999999</v>
      </c>
      <c r="C1598" s="116">
        <v>125.65</v>
      </c>
      <c r="D1598" s="116">
        <v>124.3</v>
      </c>
      <c r="E1598" s="116">
        <v>129.69999999999999</v>
      </c>
      <c r="F1598" s="116">
        <v>125.65</v>
      </c>
      <c r="G1598">
        <v>7180006</v>
      </c>
      <c r="H1598" s="116"/>
      <c r="I1598" s="116"/>
      <c r="L1598" s="170">
        <v>44358</v>
      </c>
      <c r="M1598" s="116">
        <v>125.7</v>
      </c>
      <c r="N1598" s="116">
        <v>128.75</v>
      </c>
      <c r="O1598" s="116">
        <v>124.25</v>
      </c>
      <c r="P1598" s="116">
        <v>128.75</v>
      </c>
      <c r="Q1598" s="116">
        <v>125.7</v>
      </c>
      <c r="R1598">
        <v>62530141</v>
      </c>
    </row>
    <row r="1599" spans="1:18" x14ac:dyDescent="0.25">
      <c r="A1599" s="170">
        <v>44361</v>
      </c>
      <c r="B1599" s="116">
        <v>126.85</v>
      </c>
      <c r="C1599" s="116">
        <v>123.45</v>
      </c>
      <c r="D1599" s="116">
        <v>116.6</v>
      </c>
      <c r="E1599" s="116">
        <v>126.85</v>
      </c>
      <c r="F1599" s="116">
        <v>123.45</v>
      </c>
      <c r="G1599">
        <v>5952903</v>
      </c>
      <c r="H1599" s="116"/>
      <c r="I1599" s="116"/>
      <c r="L1599" s="170">
        <v>44361</v>
      </c>
      <c r="M1599" s="116">
        <v>123.4</v>
      </c>
      <c r="N1599" s="116">
        <v>126.25</v>
      </c>
      <c r="O1599" s="116">
        <v>116.6</v>
      </c>
      <c r="P1599" s="116">
        <v>126.25</v>
      </c>
      <c r="Q1599" s="116">
        <v>123.4</v>
      </c>
      <c r="R1599">
        <v>86326236</v>
      </c>
    </row>
    <row r="1600" spans="1:18" x14ac:dyDescent="0.25">
      <c r="A1600" s="170">
        <v>44362</v>
      </c>
      <c r="B1600" s="116">
        <v>125.65</v>
      </c>
      <c r="C1600" s="116">
        <v>122.1</v>
      </c>
      <c r="D1600" s="116">
        <v>121.75</v>
      </c>
      <c r="E1600" s="116">
        <v>124.9</v>
      </c>
      <c r="F1600" s="116">
        <v>122.1</v>
      </c>
      <c r="G1600">
        <v>4128810</v>
      </c>
      <c r="H1600" s="116"/>
      <c r="I1600" s="116"/>
      <c r="L1600" s="170">
        <v>44362</v>
      </c>
      <c r="M1600" s="116">
        <v>122.15</v>
      </c>
      <c r="N1600" s="116">
        <v>125.6</v>
      </c>
      <c r="O1600" s="116">
        <v>121.7</v>
      </c>
      <c r="P1600" s="116">
        <v>125</v>
      </c>
      <c r="Q1600" s="116">
        <v>122.15</v>
      </c>
      <c r="R1600">
        <v>45450324</v>
      </c>
    </row>
    <row r="1601" spans="1:18" x14ac:dyDescent="0.25">
      <c r="A1601" s="170">
        <v>44363</v>
      </c>
      <c r="B1601" s="116">
        <v>127.9</v>
      </c>
      <c r="C1601" s="116">
        <v>125.95</v>
      </c>
      <c r="D1601" s="116">
        <v>120.2</v>
      </c>
      <c r="E1601" s="116">
        <v>122.15</v>
      </c>
      <c r="F1601" s="116">
        <v>125.95</v>
      </c>
      <c r="G1601">
        <v>5653016</v>
      </c>
      <c r="H1601" s="116"/>
      <c r="I1601" s="116"/>
      <c r="L1601" s="170">
        <v>44363</v>
      </c>
      <c r="M1601" s="116">
        <v>125.95</v>
      </c>
      <c r="N1601" s="116">
        <v>127.9</v>
      </c>
      <c r="O1601" s="116">
        <v>120.15</v>
      </c>
      <c r="P1601" s="116">
        <v>122</v>
      </c>
      <c r="Q1601" s="116">
        <v>125.95</v>
      </c>
      <c r="R1601">
        <v>84445896</v>
      </c>
    </row>
    <row r="1602" spans="1:18" x14ac:dyDescent="0.25">
      <c r="A1602" s="170">
        <v>44364</v>
      </c>
      <c r="B1602" s="116">
        <v>126.85</v>
      </c>
      <c r="C1602" s="116">
        <v>123.9</v>
      </c>
      <c r="D1602" s="116">
        <v>122.2</v>
      </c>
      <c r="E1602" s="116">
        <v>124</v>
      </c>
      <c r="F1602" s="116">
        <v>123.9</v>
      </c>
      <c r="G1602">
        <v>8595209</v>
      </c>
      <c r="H1602" s="116"/>
      <c r="I1602" s="116"/>
      <c r="L1602" s="170">
        <v>44364</v>
      </c>
      <c r="M1602" s="116">
        <v>123.95</v>
      </c>
      <c r="N1602" s="116">
        <v>126.9</v>
      </c>
      <c r="O1602" s="116">
        <v>122.3</v>
      </c>
      <c r="P1602" s="116">
        <v>123.95</v>
      </c>
      <c r="Q1602" s="116">
        <v>123.95</v>
      </c>
      <c r="R1602">
        <v>73801920</v>
      </c>
    </row>
    <row r="1603" spans="1:18" x14ac:dyDescent="0.25">
      <c r="A1603" s="170">
        <v>44365</v>
      </c>
      <c r="B1603" s="116">
        <v>124.75</v>
      </c>
      <c r="C1603" s="116">
        <v>121.4</v>
      </c>
      <c r="D1603" s="116">
        <v>117</v>
      </c>
      <c r="E1603" s="116">
        <v>124.1</v>
      </c>
      <c r="F1603" s="116">
        <v>121.4</v>
      </c>
      <c r="G1603">
        <v>4683428</v>
      </c>
      <c r="H1603" s="116"/>
      <c r="I1603" s="116"/>
      <c r="L1603" s="170">
        <v>44365</v>
      </c>
      <c r="M1603" s="116">
        <v>121.45</v>
      </c>
      <c r="N1603" s="116">
        <v>124.7</v>
      </c>
      <c r="O1603" s="116">
        <v>116.95</v>
      </c>
      <c r="P1603" s="116">
        <v>124.35</v>
      </c>
      <c r="Q1603" s="116">
        <v>121.45</v>
      </c>
      <c r="R1603">
        <v>73972898</v>
      </c>
    </row>
    <row r="1604" spans="1:18" x14ac:dyDescent="0.25">
      <c r="A1604" s="170">
        <v>44368</v>
      </c>
      <c r="B1604" s="116">
        <v>124</v>
      </c>
      <c r="C1604" s="116">
        <v>123.25</v>
      </c>
      <c r="D1604" s="116">
        <v>118</v>
      </c>
      <c r="E1604" s="116">
        <v>118.5</v>
      </c>
      <c r="F1604" s="116">
        <v>123.25</v>
      </c>
      <c r="G1604">
        <v>4185631</v>
      </c>
      <c r="H1604" s="116"/>
      <c r="I1604" s="116"/>
      <c r="L1604" s="170">
        <v>44368</v>
      </c>
      <c r="M1604" s="116">
        <v>123.3</v>
      </c>
      <c r="N1604" s="116">
        <v>124</v>
      </c>
      <c r="O1604" s="116">
        <v>117.95</v>
      </c>
      <c r="P1604" s="116">
        <v>118.2</v>
      </c>
      <c r="Q1604" s="116">
        <v>123.3</v>
      </c>
      <c r="R1604">
        <v>44593802</v>
      </c>
    </row>
    <row r="1605" spans="1:18" x14ac:dyDescent="0.25">
      <c r="A1605" s="170">
        <v>44369</v>
      </c>
      <c r="B1605" s="116">
        <v>125.1</v>
      </c>
      <c r="C1605" s="116">
        <v>121.4</v>
      </c>
      <c r="D1605" s="116">
        <v>120.05</v>
      </c>
      <c r="E1605" s="116">
        <v>124.1</v>
      </c>
      <c r="F1605" s="116">
        <v>121.4</v>
      </c>
      <c r="G1605">
        <v>3258281</v>
      </c>
      <c r="H1605" s="116"/>
      <c r="I1605" s="116"/>
      <c r="L1605" s="170">
        <v>44369</v>
      </c>
      <c r="M1605" s="116">
        <v>121.45</v>
      </c>
      <c r="N1605" s="116">
        <v>125.1</v>
      </c>
      <c r="O1605" s="116">
        <v>120.9</v>
      </c>
      <c r="P1605" s="116">
        <v>124.2</v>
      </c>
      <c r="Q1605" s="116">
        <v>121.45</v>
      </c>
      <c r="R1605">
        <v>44246677</v>
      </c>
    </row>
    <row r="1606" spans="1:18" x14ac:dyDescent="0.25">
      <c r="A1606" s="170">
        <v>44370</v>
      </c>
      <c r="B1606" s="116">
        <v>123.2</v>
      </c>
      <c r="C1606" s="116">
        <v>120.8</v>
      </c>
      <c r="D1606" s="116">
        <v>120.55</v>
      </c>
      <c r="E1606" s="116">
        <v>122.25</v>
      </c>
      <c r="F1606" s="116">
        <v>120.8</v>
      </c>
      <c r="G1606">
        <v>2091647</v>
      </c>
      <c r="H1606" s="116"/>
      <c r="I1606" s="116"/>
      <c r="L1606" s="170">
        <v>44370</v>
      </c>
      <c r="M1606" s="116">
        <v>120.75</v>
      </c>
      <c r="N1606" s="116">
        <v>123.2</v>
      </c>
      <c r="O1606" s="116">
        <v>120.55</v>
      </c>
      <c r="P1606" s="116">
        <v>122.5</v>
      </c>
      <c r="Q1606" s="116">
        <v>120.75</v>
      </c>
      <c r="R1606">
        <v>29338636</v>
      </c>
    </row>
    <row r="1607" spans="1:18" x14ac:dyDescent="0.25">
      <c r="A1607" s="170">
        <v>44371</v>
      </c>
      <c r="B1607" s="116">
        <v>121.45</v>
      </c>
      <c r="C1607" s="116">
        <v>118.9</v>
      </c>
      <c r="D1607" s="116">
        <v>118.25</v>
      </c>
      <c r="E1607" s="116">
        <v>121</v>
      </c>
      <c r="F1607" s="116">
        <v>118.9</v>
      </c>
      <c r="G1607">
        <v>2921894</v>
      </c>
      <c r="H1607" s="116"/>
      <c r="I1607" s="116"/>
      <c r="L1607" s="170">
        <v>44371</v>
      </c>
      <c r="M1607" s="116">
        <v>118.85</v>
      </c>
      <c r="N1607" s="116">
        <v>121.45</v>
      </c>
      <c r="O1607" s="116">
        <v>118.2</v>
      </c>
      <c r="P1607" s="116">
        <v>120.75</v>
      </c>
      <c r="Q1607" s="116">
        <v>118.85</v>
      </c>
      <c r="R1607">
        <v>28009357</v>
      </c>
    </row>
    <row r="1608" spans="1:18" x14ac:dyDescent="0.25">
      <c r="A1608" s="170">
        <v>44372</v>
      </c>
      <c r="B1608" s="116">
        <v>122.5</v>
      </c>
      <c r="C1608" s="116">
        <v>121.1</v>
      </c>
      <c r="D1608" s="116">
        <v>119.6</v>
      </c>
      <c r="E1608" s="116">
        <v>119.6</v>
      </c>
      <c r="F1608" s="116">
        <v>121.1</v>
      </c>
      <c r="G1608">
        <v>4488266</v>
      </c>
      <c r="H1608" s="116"/>
      <c r="I1608" s="116"/>
      <c r="L1608" s="170">
        <v>44372</v>
      </c>
      <c r="M1608" s="116">
        <v>121.1</v>
      </c>
      <c r="N1608" s="116">
        <v>122.6</v>
      </c>
      <c r="O1608" s="116">
        <v>119.55</v>
      </c>
      <c r="P1608" s="116">
        <v>119.9</v>
      </c>
      <c r="Q1608" s="116">
        <v>121.1</v>
      </c>
      <c r="R1608">
        <v>25945027</v>
      </c>
    </row>
    <row r="1609" spans="1:18" x14ac:dyDescent="0.25">
      <c r="A1609" s="170">
        <v>44375</v>
      </c>
      <c r="B1609" s="116">
        <v>123.5</v>
      </c>
      <c r="C1609" s="116">
        <v>122.65</v>
      </c>
      <c r="D1609" s="116">
        <v>120.85</v>
      </c>
      <c r="E1609" s="116">
        <v>122.2</v>
      </c>
      <c r="F1609" s="116">
        <v>122.65</v>
      </c>
      <c r="G1609">
        <v>1973231</v>
      </c>
      <c r="H1609" s="116"/>
      <c r="I1609" s="116"/>
      <c r="L1609" s="170">
        <v>44375</v>
      </c>
      <c r="M1609" s="116">
        <v>122.55</v>
      </c>
      <c r="N1609" s="116">
        <v>123.5</v>
      </c>
      <c r="O1609" s="116">
        <v>120.8</v>
      </c>
      <c r="P1609" s="116">
        <v>122</v>
      </c>
      <c r="Q1609" s="116">
        <v>122.55</v>
      </c>
      <c r="R1609">
        <v>27616278</v>
      </c>
    </row>
    <row r="1610" spans="1:18" x14ac:dyDescent="0.25">
      <c r="A1610" s="170">
        <v>44376</v>
      </c>
      <c r="B1610" s="116">
        <v>124.65</v>
      </c>
      <c r="C1610" s="116">
        <v>122.8</v>
      </c>
      <c r="D1610" s="116">
        <v>121.75</v>
      </c>
      <c r="E1610" s="116">
        <v>123</v>
      </c>
      <c r="F1610" s="116">
        <v>122.8</v>
      </c>
      <c r="G1610">
        <v>3899044</v>
      </c>
      <c r="H1610" s="116"/>
      <c r="I1610" s="116"/>
      <c r="L1610" s="170">
        <v>44376</v>
      </c>
      <c r="M1610" s="116">
        <v>122.8</v>
      </c>
      <c r="N1610" s="116">
        <v>124.75</v>
      </c>
      <c r="O1610" s="116">
        <v>121.75</v>
      </c>
      <c r="P1610" s="116">
        <v>122.95</v>
      </c>
      <c r="Q1610" s="116">
        <v>122.8</v>
      </c>
      <c r="R1610">
        <v>30981874</v>
      </c>
    </row>
    <row r="1611" spans="1:18" x14ac:dyDescent="0.25">
      <c r="A1611" s="170">
        <v>44377</v>
      </c>
      <c r="B1611" s="116">
        <v>123.9</v>
      </c>
      <c r="C1611" s="116">
        <v>122.1</v>
      </c>
      <c r="D1611" s="116">
        <v>121.65</v>
      </c>
      <c r="E1611" s="116">
        <v>123.9</v>
      </c>
      <c r="F1611" s="116">
        <v>122.1</v>
      </c>
      <c r="G1611">
        <v>1870738</v>
      </c>
      <c r="H1611" s="116"/>
      <c r="I1611" s="116"/>
      <c r="L1611" s="170">
        <v>44377</v>
      </c>
      <c r="M1611" s="116">
        <v>122.1</v>
      </c>
      <c r="N1611" s="116">
        <v>123.9</v>
      </c>
      <c r="O1611" s="116">
        <v>121.7</v>
      </c>
      <c r="P1611" s="116">
        <v>123.4</v>
      </c>
      <c r="Q1611" s="116">
        <v>122.1</v>
      </c>
      <c r="R1611">
        <v>30099781</v>
      </c>
    </row>
    <row r="1612" spans="1:18" x14ac:dyDescent="0.25">
      <c r="A1612" s="170">
        <v>44378</v>
      </c>
      <c r="B1612" s="116">
        <v>123.15</v>
      </c>
      <c r="C1612" s="116">
        <v>121.35</v>
      </c>
      <c r="D1612" s="116">
        <v>121</v>
      </c>
      <c r="E1612" s="116">
        <v>123.15</v>
      </c>
      <c r="F1612" s="116">
        <v>121.35</v>
      </c>
      <c r="G1612">
        <v>1362505</v>
      </c>
      <c r="H1612" s="116"/>
      <c r="I1612" s="116"/>
      <c r="L1612" s="170">
        <v>44378</v>
      </c>
      <c r="M1612" s="116">
        <v>121.35</v>
      </c>
      <c r="N1612" s="116">
        <v>122.8</v>
      </c>
      <c r="O1612" s="116">
        <v>121</v>
      </c>
      <c r="P1612" s="116">
        <v>122.8</v>
      </c>
      <c r="Q1612" s="116">
        <v>121.35</v>
      </c>
      <c r="R1612">
        <v>18570986</v>
      </c>
    </row>
    <row r="1613" spans="1:18" x14ac:dyDescent="0.25">
      <c r="A1613" s="170">
        <v>44379</v>
      </c>
      <c r="B1613" s="116">
        <v>122.6</v>
      </c>
      <c r="C1613" s="116">
        <v>120.95</v>
      </c>
      <c r="D1613" s="116">
        <v>120.7</v>
      </c>
      <c r="E1613" s="116">
        <v>121.35</v>
      </c>
      <c r="F1613" s="116">
        <v>120.95</v>
      </c>
      <c r="G1613">
        <v>3245461</v>
      </c>
      <c r="H1613" s="116"/>
      <c r="I1613" s="116"/>
      <c r="L1613" s="170">
        <v>44379</v>
      </c>
      <c r="M1613" s="116">
        <v>120.95</v>
      </c>
      <c r="N1613" s="116">
        <v>122.6</v>
      </c>
      <c r="O1613" s="116">
        <v>120.6</v>
      </c>
      <c r="P1613" s="116">
        <v>122</v>
      </c>
      <c r="Q1613" s="116">
        <v>120.95</v>
      </c>
      <c r="R1613">
        <v>22789936</v>
      </c>
    </row>
    <row r="1614" spans="1:18" x14ac:dyDescent="0.25">
      <c r="A1614" s="170">
        <v>44382</v>
      </c>
      <c r="B1614" s="116">
        <v>126.9</v>
      </c>
      <c r="C1614" s="116">
        <v>125.9</v>
      </c>
      <c r="D1614" s="116">
        <v>121.8</v>
      </c>
      <c r="E1614" s="116">
        <v>122.3</v>
      </c>
      <c r="F1614" s="116">
        <v>125.9</v>
      </c>
      <c r="G1614">
        <v>8006617</v>
      </c>
      <c r="H1614" s="116"/>
      <c r="I1614" s="116"/>
      <c r="L1614" s="170">
        <v>44382</v>
      </c>
      <c r="M1614" s="116">
        <v>125.9</v>
      </c>
      <c r="N1614" s="116">
        <v>126.9</v>
      </c>
      <c r="O1614" s="116">
        <v>121.75</v>
      </c>
      <c r="P1614" s="116">
        <v>121.95</v>
      </c>
      <c r="Q1614" s="116">
        <v>125.9</v>
      </c>
      <c r="R1614">
        <v>61606669</v>
      </c>
    </row>
    <row r="1615" spans="1:18" x14ac:dyDescent="0.25">
      <c r="A1615" s="170">
        <v>44383</v>
      </c>
      <c r="B1615" s="116">
        <v>126.5</v>
      </c>
      <c r="C1615" s="116">
        <v>123</v>
      </c>
      <c r="D1615" s="116">
        <v>122</v>
      </c>
      <c r="E1615" s="116">
        <v>126.45</v>
      </c>
      <c r="F1615" s="116">
        <v>123</v>
      </c>
      <c r="G1615">
        <v>4081446</v>
      </c>
      <c r="H1615" s="116"/>
      <c r="I1615" s="116"/>
      <c r="L1615" s="170">
        <v>44383</v>
      </c>
      <c r="M1615" s="116">
        <v>123</v>
      </c>
      <c r="N1615" s="116">
        <v>126.5</v>
      </c>
      <c r="O1615" s="116">
        <v>122.05</v>
      </c>
      <c r="P1615" s="116">
        <v>126</v>
      </c>
      <c r="Q1615" s="116">
        <v>123</v>
      </c>
      <c r="R1615">
        <v>31062811</v>
      </c>
    </row>
    <row r="1616" spans="1:18" x14ac:dyDescent="0.25">
      <c r="A1616" s="170">
        <v>44384</v>
      </c>
      <c r="B1616" s="116">
        <v>124.5</v>
      </c>
      <c r="C1616" s="116">
        <v>123.85</v>
      </c>
      <c r="D1616" s="116">
        <v>122.15</v>
      </c>
      <c r="E1616" s="116">
        <v>123</v>
      </c>
      <c r="F1616" s="116">
        <v>123.85</v>
      </c>
      <c r="G1616">
        <v>1540475</v>
      </c>
      <c r="H1616" s="116"/>
      <c r="I1616" s="116"/>
      <c r="L1616" s="170">
        <v>44384</v>
      </c>
      <c r="M1616" s="116">
        <v>123.85</v>
      </c>
      <c r="N1616" s="116">
        <v>124.5</v>
      </c>
      <c r="O1616" s="116">
        <v>122.15</v>
      </c>
      <c r="P1616" s="116">
        <v>123</v>
      </c>
      <c r="Q1616" s="116">
        <v>123.85</v>
      </c>
      <c r="R1616">
        <v>19773453</v>
      </c>
    </row>
    <row r="1617" spans="1:18" x14ac:dyDescent="0.25">
      <c r="A1617" s="170">
        <v>44385</v>
      </c>
      <c r="B1617" s="116">
        <v>126.8</v>
      </c>
      <c r="C1617" s="116">
        <v>123.35</v>
      </c>
      <c r="D1617" s="116">
        <v>122.5</v>
      </c>
      <c r="E1617" s="116">
        <v>124.2</v>
      </c>
      <c r="F1617" s="116">
        <v>123.35</v>
      </c>
      <c r="G1617">
        <v>3407925</v>
      </c>
      <c r="H1617" s="116"/>
      <c r="I1617" s="116"/>
      <c r="L1617" s="170">
        <v>44385</v>
      </c>
      <c r="M1617" s="116">
        <v>123.4</v>
      </c>
      <c r="N1617" s="116">
        <v>126.85</v>
      </c>
      <c r="O1617" s="116">
        <v>122.4</v>
      </c>
      <c r="P1617" s="116">
        <v>124.1</v>
      </c>
      <c r="Q1617" s="116">
        <v>123.4</v>
      </c>
      <c r="R1617">
        <v>33870196</v>
      </c>
    </row>
    <row r="1618" spans="1:18" x14ac:dyDescent="0.25">
      <c r="A1618" s="170">
        <v>44386</v>
      </c>
      <c r="B1618" s="116">
        <v>124.9</v>
      </c>
      <c r="C1618" s="116">
        <v>124.5</v>
      </c>
      <c r="D1618" s="116">
        <v>121.8</v>
      </c>
      <c r="E1618" s="116">
        <v>123.2</v>
      </c>
      <c r="F1618" s="116">
        <v>124.5</v>
      </c>
      <c r="G1618">
        <v>1795467</v>
      </c>
      <c r="H1618" s="116"/>
      <c r="I1618" s="116"/>
      <c r="L1618" s="170">
        <v>44386</v>
      </c>
      <c r="M1618" s="116">
        <v>124.45</v>
      </c>
      <c r="N1618" s="116">
        <v>124.8</v>
      </c>
      <c r="O1618" s="116">
        <v>121.7</v>
      </c>
      <c r="P1618" s="116">
        <v>123</v>
      </c>
      <c r="Q1618" s="116">
        <v>124.45</v>
      </c>
      <c r="R1618">
        <v>24078290</v>
      </c>
    </row>
    <row r="1619" spans="1:18" x14ac:dyDescent="0.25">
      <c r="A1619" s="170">
        <v>44389</v>
      </c>
      <c r="B1619" s="116">
        <v>126.4</v>
      </c>
      <c r="C1619" s="116">
        <v>123.8</v>
      </c>
      <c r="D1619" s="116">
        <v>123.5</v>
      </c>
      <c r="E1619" s="116">
        <v>126.4</v>
      </c>
      <c r="F1619" s="116">
        <v>123.8</v>
      </c>
      <c r="G1619">
        <v>2358017</v>
      </c>
      <c r="H1619" s="116"/>
      <c r="I1619" s="116"/>
      <c r="L1619" s="170">
        <v>44389</v>
      </c>
      <c r="M1619" s="116">
        <v>123.8</v>
      </c>
      <c r="N1619" s="116">
        <v>126.3</v>
      </c>
      <c r="O1619" s="116">
        <v>123.45</v>
      </c>
      <c r="P1619" s="116">
        <v>126</v>
      </c>
      <c r="Q1619" s="116">
        <v>123.8</v>
      </c>
      <c r="R1619">
        <v>26731429</v>
      </c>
    </row>
    <row r="1620" spans="1:18" x14ac:dyDescent="0.25">
      <c r="A1620" s="170">
        <v>44390</v>
      </c>
      <c r="B1620" s="116">
        <v>125.3</v>
      </c>
      <c r="C1620" s="116">
        <v>124</v>
      </c>
      <c r="D1620" s="116">
        <v>122.95</v>
      </c>
      <c r="E1620" s="116">
        <v>124.3</v>
      </c>
      <c r="F1620" s="116">
        <v>124</v>
      </c>
      <c r="G1620">
        <v>1144183</v>
      </c>
      <c r="H1620" s="116"/>
      <c r="I1620" s="116"/>
      <c r="L1620" s="170">
        <v>44390</v>
      </c>
      <c r="M1620" s="116">
        <v>124.05</v>
      </c>
      <c r="N1620" s="116">
        <v>125.25</v>
      </c>
      <c r="O1620" s="116">
        <v>122.95</v>
      </c>
      <c r="P1620" s="116">
        <v>124.2</v>
      </c>
      <c r="Q1620" s="116">
        <v>124.05</v>
      </c>
      <c r="R1620">
        <v>19316578</v>
      </c>
    </row>
    <row r="1621" spans="1:18" x14ac:dyDescent="0.25">
      <c r="A1621" s="170">
        <v>44391</v>
      </c>
      <c r="B1621" s="116">
        <v>126.05</v>
      </c>
      <c r="C1621" s="116">
        <v>124.6</v>
      </c>
      <c r="D1621" s="116">
        <v>124.1</v>
      </c>
      <c r="E1621" s="116">
        <v>125.2</v>
      </c>
      <c r="F1621" s="116">
        <v>124.6</v>
      </c>
      <c r="G1621">
        <v>1746865</v>
      </c>
      <c r="H1621" s="116"/>
      <c r="I1621" s="116"/>
      <c r="L1621" s="170">
        <v>44391</v>
      </c>
      <c r="M1621" s="116">
        <v>124.55</v>
      </c>
      <c r="N1621" s="116">
        <v>126</v>
      </c>
      <c r="O1621" s="116">
        <v>124.1</v>
      </c>
      <c r="P1621" s="116">
        <v>125</v>
      </c>
      <c r="Q1621" s="116">
        <v>124.55</v>
      </c>
      <c r="R1621">
        <v>23276074</v>
      </c>
    </row>
    <row r="1622" spans="1:18" x14ac:dyDescent="0.25">
      <c r="A1622" s="170">
        <v>44392</v>
      </c>
      <c r="B1622" s="116">
        <v>126.45</v>
      </c>
      <c r="C1622" s="116">
        <v>124.4</v>
      </c>
      <c r="D1622" s="116">
        <v>124.15</v>
      </c>
      <c r="E1622" s="116">
        <v>125.05</v>
      </c>
      <c r="F1622" s="116">
        <v>124.4</v>
      </c>
      <c r="G1622">
        <v>3076388</v>
      </c>
      <c r="H1622" s="116"/>
      <c r="I1622" s="116"/>
      <c r="L1622" s="170">
        <v>44392</v>
      </c>
      <c r="M1622" s="116">
        <v>124.45</v>
      </c>
      <c r="N1622" s="116">
        <v>126.5</v>
      </c>
      <c r="O1622" s="116">
        <v>124.15</v>
      </c>
      <c r="P1622" s="116">
        <v>124.85</v>
      </c>
      <c r="Q1622" s="116">
        <v>124.45</v>
      </c>
      <c r="R1622">
        <v>22522585</v>
      </c>
    </row>
    <row r="1623" spans="1:18" x14ac:dyDescent="0.25">
      <c r="A1623" s="170">
        <v>44393</v>
      </c>
      <c r="B1623" s="116">
        <v>125.5</v>
      </c>
      <c r="C1623" s="116">
        <v>124.15</v>
      </c>
      <c r="D1623" s="116">
        <v>123.65</v>
      </c>
      <c r="E1623" s="116">
        <v>125.5</v>
      </c>
      <c r="F1623" s="116">
        <v>124.15</v>
      </c>
      <c r="G1623">
        <v>896378</v>
      </c>
      <c r="H1623" s="116"/>
      <c r="I1623" s="116"/>
      <c r="L1623" s="170">
        <v>44393</v>
      </c>
      <c r="M1623" s="116">
        <v>124.15</v>
      </c>
      <c r="N1623" s="116">
        <v>125.4</v>
      </c>
      <c r="O1623" s="116">
        <v>123.65</v>
      </c>
      <c r="P1623" s="116">
        <v>125.4</v>
      </c>
      <c r="Q1623" s="116">
        <v>124.15</v>
      </c>
      <c r="R1623">
        <v>13479996</v>
      </c>
    </row>
    <row r="1624" spans="1:18" x14ac:dyDescent="0.25">
      <c r="A1624" s="170">
        <v>44396</v>
      </c>
      <c r="B1624" s="116">
        <v>128.4</v>
      </c>
      <c r="C1624" s="116">
        <v>125.75</v>
      </c>
      <c r="D1624" s="116">
        <v>124.65</v>
      </c>
      <c r="E1624" s="116">
        <v>126.65</v>
      </c>
      <c r="F1624" s="116">
        <v>125.75</v>
      </c>
      <c r="G1624">
        <v>4681992</v>
      </c>
      <c r="H1624" s="116"/>
      <c r="I1624" s="116"/>
      <c r="L1624" s="170">
        <v>44396</v>
      </c>
      <c r="M1624" s="116">
        <v>125.8</v>
      </c>
      <c r="N1624" s="116">
        <v>128.44999999999999</v>
      </c>
      <c r="O1624" s="116">
        <v>124.6</v>
      </c>
      <c r="P1624" s="116">
        <v>126.25</v>
      </c>
      <c r="Q1624" s="116">
        <v>125.8</v>
      </c>
      <c r="R1624">
        <v>65614163</v>
      </c>
    </row>
    <row r="1625" spans="1:18" x14ac:dyDescent="0.25">
      <c r="A1625" s="170">
        <v>44397</v>
      </c>
      <c r="B1625" s="116">
        <v>126.35</v>
      </c>
      <c r="C1625" s="116">
        <v>121.75</v>
      </c>
      <c r="D1625" s="116">
        <v>121.2</v>
      </c>
      <c r="E1625" s="116">
        <v>125.95</v>
      </c>
      <c r="F1625" s="116">
        <v>121.75</v>
      </c>
      <c r="G1625">
        <v>4926717</v>
      </c>
      <c r="H1625" s="116"/>
      <c r="I1625" s="116"/>
      <c r="L1625" s="170">
        <v>44397</v>
      </c>
      <c r="M1625" s="116">
        <v>121.8</v>
      </c>
      <c r="N1625" s="116">
        <v>126.35</v>
      </c>
      <c r="O1625" s="116">
        <v>121.2</v>
      </c>
      <c r="P1625" s="116">
        <v>125.65</v>
      </c>
      <c r="Q1625" s="116">
        <v>121.8</v>
      </c>
      <c r="R1625">
        <v>48822351</v>
      </c>
    </row>
    <row r="1626" spans="1:18" x14ac:dyDescent="0.25">
      <c r="A1626" s="170">
        <v>44399</v>
      </c>
      <c r="B1626" s="116">
        <v>124.35</v>
      </c>
      <c r="C1626" s="116">
        <v>123.65</v>
      </c>
      <c r="D1626" s="116">
        <v>122.4</v>
      </c>
      <c r="E1626" s="116">
        <v>123.75</v>
      </c>
      <c r="F1626" s="116">
        <v>123.65</v>
      </c>
      <c r="G1626">
        <v>1521326</v>
      </c>
      <c r="H1626" s="116"/>
      <c r="I1626" s="116"/>
      <c r="L1626" s="170">
        <v>44399</v>
      </c>
      <c r="M1626" s="116">
        <v>123.7</v>
      </c>
      <c r="N1626" s="116">
        <v>124.2</v>
      </c>
      <c r="O1626" s="116">
        <v>122.4</v>
      </c>
      <c r="P1626" s="116">
        <v>123.4</v>
      </c>
      <c r="Q1626" s="116">
        <v>123.7</v>
      </c>
      <c r="R1626">
        <v>20890960</v>
      </c>
    </row>
    <row r="1627" spans="1:18" x14ac:dyDescent="0.25">
      <c r="A1627" s="170">
        <v>44400</v>
      </c>
      <c r="B1627" s="116">
        <v>125.45</v>
      </c>
      <c r="C1627" s="116">
        <v>122.9</v>
      </c>
      <c r="D1627" s="116">
        <v>122.6</v>
      </c>
      <c r="E1627" s="116">
        <v>125</v>
      </c>
      <c r="F1627" s="116">
        <v>122.9</v>
      </c>
      <c r="G1627">
        <v>1301725</v>
      </c>
      <c r="H1627" s="116"/>
      <c r="I1627" s="116"/>
      <c r="L1627" s="170">
        <v>44400</v>
      </c>
      <c r="M1627" s="116">
        <v>122.9</v>
      </c>
      <c r="N1627" s="116">
        <v>125.45</v>
      </c>
      <c r="O1627" s="116">
        <v>122.6</v>
      </c>
      <c r="P1627" s="116">
        <v>124.9</v>
      </c>
      <c r="Q1627" s="116">
        <v>122.9</v>
      </c>
      <c r="R1627">
        <v>18344408</v>
      </c>
    </row>
    <row r="1628" spans="1:18" x14ac:dyDescent="0.25">
      <c r="A1628" s="170">
        <v>44403</v>
      </c>
      <c r="B1628" s="116">
        <v>123.75</v>
      </c>
      <c r="C1628" s="116">
        <v>122.65</v>
      </c>
      <c r="D1628" s="116">
        <v>122.1</v>
      </c>
      <c r="E1628" s="116">
        <v>123.4</v>
      </c>
      <c r="F1628" s="116">
        <v>122.65</v>
      </c>
      <c r="G1628">
        <v>1109950</v>
      </c>
      <c r="H1628" s="116"/>
      <c r="I1628" s="116"/>
      <c r="L1628" s="170">
        <v>44403</v>
      </c>
      <c r="M1628" s="116">
        <v>122.6</v>
      </c>
      <c r="N1628" s="116">
        <v>123.75</v>
      </c>
      <c r="O1628" s="116">
        <v>122.1</v>
      </c>
      <c r="P1628" s="116">
        <v>123</v>
      </c>
      <c r="Q1628" s="116">
        <v>122.6</v>
      </c>
      <c r="R1628">
        <v>14838935</v>
      </c>
    </row>
    <row r="1629" spans="1:18" x14ac:dyDescent="0.25">
      <c r="A1629" s="170">
        <v>44404</v>
      </c>
      <c r="B1629" s="116">
        <v>123.75</v>
      </c>
      <c r="C1629" s="116">
        <v>121.1</v>
      </c>
      <c r="D1629" s="116">
        <v>120.25</v>
      </c>
      <c r="E1629" s="116">
        <v>122.65</v>
      </c>
      <c r="F1629" s="116">
        <v>121.1</v>
      </c>
      <c r="G1629">
        <v>2199585</v>
      </c>
      <c r="H1629" s="116"/>
      <c r="I1629" s="116"/>
      <c r="L1629" s="170">
        <v>44404</v>
      </c>
      <c r="M1629" s="116">
        <v>121.15</v>
      </c>
      <c r="N1629" s="116">
        <v>123.75</v>
      </c>
      <c r="O1629" s="116">
        <v>120.2</v>
      </c>
      <c r="P1629" s="116">
        <v>122.8</v>
      </c>
      <c r="Q1629" s="116">
        <v>121.15</v>
      </c>
      <c r="R1629">
        <v>16292819</v>
      </c>
    </row>
    <row r="1630" spans="1:18" x14ac:dyDescent="0.25">
      <c r="A1630" s="170">
        <v>44405</v>
      </c>
      <c r="B1630" s="116">
        <v>121.8</v>
      </c>
      <c r="C1630" s="116">
        <v>120.4</v>
      </c>
      <c r="D1630" s="116">
        <v>118.4</v>
      </c>
      <c r="E1630" s="116">
        <v>121.8</v>
      </c>
      <c r="F1630" s="116">
        <v>120.4</v>
      </c>
      <c r="G1630">
        <v>1633746</v>
      </c>
      <c r="H1630" s="116"/>
      <c r="I1630" s="116"/>
      <c r="L1630" s="170">
        <v>44405</v>
      </c>
      <c r="M1630" s="116">
        <v>120.35</v>
      </c>
      <c r="N1630" s="116">
        <v>121.85</v>
      </c>
      <c r="O1630" s="116">
        <v>118.4</v>
      </c>
      <c r="P1630" s="116">
        <v>121.45</v>
      </c>
      <c r="Q1630" s="116">
        <v>120.35</v>
      </c>
      <c r="R1630">
        <v>19451371</v>
      </c>
    </row>
    <row r="1631" spans="1:18" x14ac:dyDescent="0.25">
      <c r="A1631" s="170">
        <v>44406</v>
      </c>
      <c r="B1631" s="116">
        <v>123.95</v>
      </c>
      <c r="C1631" s="116">
        <v>122.8</v>
      </c>
      <c r="D1631" s="116">
        <v>120.55</v>
      </c>
      <c r="E1631" s="116">
        <v>120.55</v>
      </c>
      <c r="F1631" s="116">
        <v>122.8</v>
      </c>
      <c r="G1631">
        <v>2239131</v>
      </c>
      <c r="H1631" s="116"/>
      <c r="I1631" s="116"/>
      <c r="L1631" s="170">
        <v>44406</v>
      </c>
      <c r="M1631" s="116">
        <v>122.75</v>
      </c>
      <c r="N1631" s="116">
        <v>124</v>
      </c>
      <c r="O1631" s="116">
        <v>120.7</v>
      </c>
      <c r="P1631" s="116">
        <v>120.75</v>
      </c>
      <c r="Q1631" s="116">
        <v>122.75</v>
      </c>
      <c r="R1631">
        <v>16366211</v>
      </c>
    </row>
    <row r="1632" spans="1:18" x14ac:dyDescent="0.25">
      <c r="A1632" s="170">
        <v>44407</v>
      </c>
      <c r="B1632" s="116">
        <v>126.6</v>
      </c>
      <c r="C1632" s="116">
        <v>125</v>
      </c>
      <c r="D1632" s="116">
        <v>122.35</v>
      </c>
      <c r="E1632" s="116">
        <v>122.55</v>
      </c>
      <c r="F1632" s="116">
        <v>125</v>
      </c>
      <c r="G1632">
        <v>4011403</v>
      </c>
      <c r="H1632" s="116"/>
      <c r="I1632" s="116"/>
      <c r="L1632" s="170">
        <v>44407</v>
      </c>
      <c r="M1632" s="116">
        <v>125</v>
      </c>
      <c r="N1632" s="116">
        <v>126.65</v>
      </c>
      <c r="O1632" s="116">
        <v>122.3</v>
      </c>
      <c r="P1632" s="116">
        <v>122.6</v>
      </c>
      <c r="Q1632" s="116">
        <v>125</v>
      </c>
      <c r="R1632">
        <v>30163350</v>
      </c>
    </row>
    <row r="1633" spans="1:18" x14ac:dyDescent="0.25">
      <c r="A1633" s="170">
        <v>44410</v>
      </c>
      <c r="B1633" s="116">
        <v>133.94999999999999</v>
      </c>
      <c r="C1633" s="116">
        <v>133.44999999999999</v>
      </c>
      <c r="D1633" s="116">
        <v>125.5</v>
      </c>
      <c r="E1633" s="116">
        <v>126.7</v>
      </c>
      <c r="F1633" s="116">
        <v>133.44999999999999</v>
      </c>
      <c r="G1633">
        <v>6690928</v>
      </c>
      <c r="H1633" s="116"/>
      <c r="I1633" s="116"/>
      <c r="L1633" s="170">
        <v>44410</v>
      </c>
      <c r="M1633" s="116">
        <v>133.44999999999999</v>
      </c>
      <c r="N1633" s="116">
        <v>134</v>
      </c>
      <c r="O1633" s="116">
        <v>125.55</v>
      </c>
      <c r="P1633" s="116">
        <v>126.55</v>
      </c>
      <c r="Q1633" s="116">
        <v>133.44999999999999</v>
      </c>
      <c r="R1633">
        <v>102355625</v>
      </c>
    </row>
    <row r="1634" spans="1:18" x14ac:dyDescent="0.25">
      <c r="A1634" s="170">
        <v>44411</v>
      </c>
      <c r="B1634" s="116">
        <v>135.55000000000001</v>
      </c>
      <c r="C1634" s="116">
        <v>132.55000000000001</v>
      </c>
      <c r="D1634" s="116">
        <v>132.19999999999999</v>
      </c>
      <c r="E1634" s="116">
        <v>134.44999999999999</v>
      </c>
      <c r="F1634" s="116">
        <v>132.55000000000001</v>
      </c>
      <c r="G1634">
        <v>3853479</v>
      </c>
      <c r="H1634" s="116"/>
      <c r="I1634" s="116"/>
      <c r="L1634" s="170">
        <v>44411</v>
      </c>
      <c r="M1634" s="116">
        <v>132.6</v>
      </c>
      <c r="N1634" s="116">
        <v>135.5</v>
      </c>
      <c r="O1634" s="116">
        <v>132.19999999999999</v>
      </c>
      <c r="P1634" s="116">
        <v>134.4</v>
      </c>
      <c r="Q1634" s="116">
        <v>132.6</v>
      </c>
      <c r="R1634">
        <v>50457587</v>
      </c>
    </row>
    <row r="1635" spans="1:18" x14ac:dyDescent="0.25">
      <c r="A1635" s="170">
        <v>44412</v>
      </c>
      <c r="B1635" s="116">
        <v>134.65</v>
      </c>
      <c r="C1635" s="116">
        <v>131.65</v>
      </c>
      <c r="D1635" s="116">
        <v>130.1</v>
      </c>
      <c r="E1635" s="116">
        <v>133.35</v>
      </c>
      <c r="F1635" s="116">
        <v>131.65</v>
      </c>
      <c r="G1635">
        <v>2612200</v>
      </c>
      <c r="H1635" s="116"/>
      <c r="I1635" s="116"/>
      <c r="L1635" s="170">
        <v>44412</v>
      </c>
      <c r="M1635" s="116">
        <v>131.65</v>
      </c>
      <c r="N1635" s="116">
        <v>134.65</v>
      </c>
      <c r="O1635" s="116">
        <v>130.1</v>
      </c>
      <c r="P1635" s="116">
        <v>133</v>
      </c>
      <c r="Q1635" s="116">
        <v>131.65</v>
      </c>
      <c r="R1635">
        <v>33758053</v>
      </c>
    </row>
    <row r="1636" spans="1:18" x14ac:dyDescent="0.25">
      <c r="A1636" s="170">
        <v>44413</v>
      </c>
      <c r="B1636" s="116">
        <v>135.4</v>
      </c>
      <c r="C1636" s="116">
        <v>134.55000000000001</v>
      </c>
      <c r="D1636" s="116">
        <v>129.55000000000001</v>
      </c>
      <c r="E1636" s="116">
        <v>132.35</v>
      </c>
      <c r="F1636" s="116">
        <v>134.55000000000001</v>
      </c>
      <c r="G1636">
        <v>3760048</v>
      </c>
      <c r="H1636" s="116"/>
      <c r="I1636" s="116"/>
      <c r="L1636" s="170">
        <v>44413</v>
      </c>
      <c r="M1636" s="116">
        <v>134.55000000000001</v>
      </c>
      <c r="N1636" s="116">
        <v>135.4</v>
      </c>
      <c r="O1636" s="116">
        <v>129.6</v>
      </c>
      <c r="P1636" s="116">
        <v>132.15</v>
      </c>
      <c r="Q1636" s="116">
        <v>134.55000000000001</v>
      </c>
      <c r="R1636">
        <v>39952286</v>
      </c>
    </row>
    <row r="1637" spans="1:18" x14ac:dyDescent="0.25">
      <c r="A1637" s="170">
        <v>44414</v>
      </c>
      <c r="B1637" s="116">
        <v>136.80000000000001</v>
      </c>
      <c r="C1637" s="116">
        <v>135.15</v>
      </c>
      <c r="D1637" s="116">
        <v>134.30000000000001</v>
      </c>
      <c r="E1637" s="116">
        <v>135.4</v>
      </c>
      <c r="F1637" s="116">
        <v>135.15</v>
      </c>
      <c r="G1637">
        <v>6047682</v>
      </c>
      <c r="H1637" s="116"/>
      <c r="I1637" s="116"/>
      <c r="L1637" s="170">
        <v>44414</v>
      </c>
      <c r="M1637" s="116">
        <v>135.15</v>
      </c>
      <c r="N1637" s="116">
        <v>136.80000000000001</v>
      </c>
      <c r="O1637" s="116">
        <v>134.30000000000001</v>
      </c>
      <c r="P1637" s="116">
        <v>135.25</v>
      </c>
      <c r="Q1637" s="116">
        <v>135.15</v>
      </c>
      <c r="R1637">
        <v>47743493</v>
      </c>
    </row>
    <row r="1638" spans="1:18" x14ac:dyDescent="0.25">
      <c r="A1638" s="170">
        <v>44417</v>
      </c>
      <c r="B1638" s="116">
        <v>137.9</v>
      </c>
      <c r="C1638" s="116">
        <v>132.05000000000001</v>
      </c>
      <c r="D1638" s="116">
        <v>130.35</v>
      </c>
      <c r="E1638" s="116">
        <v>137.9</v>
      </c>
      <c r="F1638" s="116">
        <v>132.05000000000001</v>
      </c>
      <c r="G1638">
        <v>4299689</v>
      </c>
      <c r="H1638" s="116"/>
      <c r="I1638" s="116"/>
      <c r="L1638" s="170">
        <v>44417</v>
      </c>
      <c r="M1638" s="116">
        <v>132.05000000000001</v>
      </c>
      <c r="N1638" s="116">
        <v>137</v>
      </c>
      <c r="O1638" s="116">
        <v>130.30000000000001</v>
      </c>
      <c r="P1638" s="116">
        <v>137</v>
      </c>
      <c r="Q1638" s="116">
        <v>132.05000000000001</v>
      </c>
      <c r="R1638">
        <v>66874756</v>
      </c>
    </row>
    <row r="1639" spans="1:18" x14ac:dyDescent="0.25">
      <c r="A1639" s="170">
        <v>44418</v>
      </c>
      <c r="B1639" s="116">
        <v>133.80000000000001</v>
      </c>
      <c r="C1639" s="116">
        <v>130.05000000000001</v>
      </c>
      <c r="D1639" s="116">
        <v>127.1</v>
      </c>
      <c r="E1639" s="116">
        <v>132.69999999999999</v>
      </c>
      <c r="F1639" s="116">
        <v>130.05000000000001</v>
      </c>
      <c r="G1639">
        <v>3633983</v>
      </c>
      <c r="H1639" s="116"/>
      <c r="I1639" s="116"/>
      <c r="L1639" s="170">
        <v>44418</v>
      </c>
      <c r="M1639" s="116">
        <v>130.05000000000001</v>
      </c>
      <c r="N1639" s="116">
        <v>133.75</v>
      </c>
      <c r="O1639" s="116">
        <v>127.05</v>
      </c>
      <c r="P1639" s="116">
        <v>132.44999999999999</v>
      </c>
      <c r="Q1639" s="116">
        <v>130.05000000000001</v>
      </c>
      <c r="R1639">
        <v>31526384</v>
      </c>
    </row>
    <row r="1640" spans="1:18" x14ac:dyDescent="0.25">
      <c r="A1640" s="170">
        <v>44419</v>
      </c>
      <c r="B1640" s="116">
        <v>131.65</v>
      </c>
      <c r="C1640" s="116">
        <v>129.5</v>
      </c>
      <c r="D1640" s="116">
        <v>126.55</v>
      </c>
      <c r="E1640" s="116">
        <v>130.25</v>
      </c>
      <c r="F1640" s="116">
        <v>129.5</v>
      </c>
      <c r="G1640">
        <v>1921382</v>
      </c>
      <c r="H1640" s="116"/>
      <c r="I1640" s="116"/>
      <c r="L1640" s="170">
        <v>44419</v>
      </c>
      <c r="M1640" s="116">
        <v>129.6</v>
      </c>
      <c r="N1640" s="116">
        <v>131.65</v>
      </c>
      <c r="O1640" s="116">
        <v>126.5</v>
      </c>
      <c r="P1640" s="116">
        <v>130.30000000000001</v>
      </c>
      <c r="Q1640" s="116">
        <v>129.6</v>
      </c>
      <c r="R1640">
        <v>32222624</v>
      </c>
    </row>
    <row r="1641" spans="1:18" x14ac:dyDescent="0.25">
      <c r="A1641" s="170">
        <v>44420</v>
      </c>
      <c r="B1641" s="116">
        <v>134.19999999999999</v>
      </c>
      <c r="C1641" s="116">
        <v>133.65</v>
      </c>
      <c r="D1641" s="116">
        <v>130</v>
      </c>
      <c r="E1641" s="116">
        <v>130.44999999999999</v>
      </c>
      <c r="F1641" s="116">
        <v>133.65</v>
      </c>
      <c r="G1641">
        <v>1773996</v>
      </c>
      <c r="H1641" s="116"/>
      <c r="I1641" s="116"/>
      <c r="L1641" s="170">
        <v>44420</v>
      </c>
      <c r="M1641" s="116">
        <v>133.65</v>
      </c>
      <c r="N1641" s="116">
        <v>134.19999999999999</v>
      </c>
      <c r="O1641" s="116">
        <v>129.85</v>
      </c>
      <c r="P1641" s="116">
        <v>130.25</v>
      </c>
      <c r="Q1641" s="116">
        <v>133.65</v>
      </c>
      <c r="R1641">
        <v>31898731</v>
      </c>
    </row>
    <row r="1642" spans="1:18" x14ac:dyDescent="0.25">
      <c r="A1642" s="170">
        <v>44421</v>
      </c>
      <c r="B1642" s="116">
        <v>134.6</v>
      </c>
      <c r="C1642" s="116">
        <v>132.55000000000001</v>
      </c>
      <c r="D1642" s="116">
        <v>132</v>
      </c>
      <c r="E1642" s="116">
        <v>134.4</v>
      </c>
      <c r="F1642" s="116">
        <v>132.55000000000001</v>
      </c>
      <c r="G1642">
        <v>2284903</v>
      </c>
      <c r="H1642" s="116"/>
      <c r="I1642" s="116"/>
      <c r="L1642" s="170">
        <v>44421</v>
      </c>
      <c r="M1642" s="116">
        <v>132.55000000000001</v>
      </c>
      <c r="N1642" s="116">
        <v>134.5</v>
      </c>
      <c r="O1642" s="116">
        <v>132</v>
      </c>
      <c r="P1642" s="116">
        <v>134.35</v>
      </c>
      <c r="Q1642" s="116">
        <v>132.55000000000001</v>
      </c>
      <c r="R1642">
        <v>23715152</v>
      </c>
    </row>
    <row r="1643" spans="1:18" x14ac:dyDescent="0.25">
      <c r="A1643" s="170">
        <v>44424</v>
      </c>
      <c r="B1643" s="116">
        <v>134.1</v>
      </c>
      <c r="C1643" s="116">
        <v>132.05000000000001</v>
      </c>
      <c r="D1643" s="116">
        <v>131.69999999999999</v>
      </c>
      <c r="E1643" s="116">
        <v>132.75</v>
      </c>
      <c r="F1643" s="116">
        <v>132.05000000000001</v>
      </c>
      <c r="G1643">
        <v>1240792</v>
      </c>
      <c r="H1643" s="116"/>
      <c r="I1643" s="116"/>
      <c r="L1643" s="170">
        <v>44424</v>
      </c>
      <c r="M1643" s="116">
        <v>132.1</v>
      </c>
      <c r="N1643" s="116">
        <v>134.05000000000001</v>
      </c>
      <c r="O1643" s="116">
        <v>131.65</v>
      </c>
      <c r="P1643" s="116">
        <v>132.55000000000001</v>
      </c>
      <c r="Q1643" s="116">
        <v>132.1</v>
      </c>
      <c r="R1643">
        <v>17472608</v>
      </c>
    </row>
    <row r="1644" spans="1:18" x14ac:dyDescent="0.25">
      <c r="A1644" s="170">
        <v>44425</v>
      </c>
      <c r="B1644" s="116">
        <v>133</v>
      </c>
      <c r="C1644" s="116">
        <v>131.05000000000001</v>
      </c>
      <c r="D1644" s="116">
        <v>128.55000000000001</v>
      </c>
      <c r="E1644" s="116">
        <v>132.4</v>
      </c>
      <c r="F1644" s="116">
        <v>131.05000000000001</v>
      </c>
      <c r="G1644">
        <v>1518561</v>
      </c>
      <c r="H1644" s="116"/>
      <c r="I1644" s="116"/>
      <c r="L1644" s="170">
        <v>44425</v>
      </c>
      <c r="M1644" s="116">
        <v>131.1</v>
      </c>
      <c r="N1644" s="116">
        <v>132.94999999999999</v>
      </c>
      <c r="O1644" s="116">
        <v>128.5</v>
      </c>
      <c r="P1644" s="116">
        <v>132.1</v>
      </c>
      <c r="Q1644" s="116">
        <v>131.1</v>
      </c>
      <c r="R1644">
        <v>21755033</v>
      </c>
    </row>
    <row r="1645" spans="1:18" x14ac:dyDescent="0.25">
      <c r="A1645" s="170">
        <v>44426</v>
      </c>
      <c r="B1645" s="116">
        <v>131.94999999999999</v>
      </c>
      <c r="C1645" s="116">
        <v>130.4</v>
      </c>
      <c r="D1645" s="116">
        <v>130.1</v>
      </c>
      <c r="E1645" s="116">
        <v>131.94999999999999</v>
      </c>
      <c r="F1645" s="116">
        <v>130.4</v>
      </c>
      <c r="G1645">
        <v>969260</v>
      </c>
      <c r="H1645" s="116"/>
      <c r="I1645" s="116"/>
      <c r="L1645" s="170">
        <v>44426</v>
      </c>
      <c r="M1645" s="116">
        <v>130.44999999999999</v>
      </c>
      <c r="N1645" s="116">
        <v>131.80000000000001</v>
      </c>
      <c r="O1645" s="116">
        <v>130.1</v>
      </c>
      <c r="P1645" s="116">
        <v>131.69999999999999</v>
      </c>
      <c r="Q1645" s="116">
        <v>130.44999999999999</v>
      </c>
      <c r="R1645">
        <v>18082061</v>
      </c>
    </row>
    <row r="1646" spans="1:18" x14ac:dyDescent="0.25">
      <c r="A1646" s="170">
        <v>44428</v>
      </c>
      <c r="B1646" s="116">
        <v>130.25</v>
      </c>
      <c r="C1646" s="116">
        <v>126.4</v>
      </c>
      <c r="D1646" s="116">
        <v>125.3</v>
      </c>
      <c r="E1646" s="116">
        <v>129.4</v>
      </c>
      <c r="F1646" s="116">
        <v>126.4</v>
      </c>
      <c r="G1646">
        <v>2383612</v>
      </c>
      <c r="H1646" s="116"/>
      <c r="I1646" s="116"/>
      <c r="L1646" s="170">
        <v>44428</v>
      </c>
      <c r="M1646" s="116">
        <v>126.2</v>
      </c>
      <c r="N1646" s="116">
        <v>130.19999999999999</v>
      </c>
      <c r="O1646" s="116">
        <v>125.25</v>
      </c>
      <c r="P1646" s="116">
        <v>129</v>
      </c>
      <c r="Q1646" s="116">
        <v>126.2</v>
      </c>
      <c r="R1646">
        <v>27402061</v>
      </c>
    </row>
    <row r="1647" spans="1:18" x14ac:dyDescent="0.25">
      <c r="A1647" s="170">
        <v>44431</v>
      </c>
      <c r="B1647" s="116">
        <v>127.85</v>
      </c>
      <c r="C1647" s="116">
        <v>124.95</v>
      </c>
      <c r="D1647" s="116">
        <v>121.75</v>
      </c>
      <c r="E1647" s="116">
        <v>126.4</v>
      </c>
      <c r="F1647" s="116">
        <v>124.95</v>
      </c>
      <c r="G1647">
        <v>3962945</v>
      </c>
      <c r="H1647" s="116"/>
      <c r="I1647" s="116"/>
      <c r="L1647" s="170">
        <v>44431</v>
      </c>
      <c r="M1647" s="116">
        <v>124.95</v>
      </c>
      <c r="N1647" s="116">
        <v>127.85</v>
      </c>
      <c r="O1647" s="116">
        <v>121.7</v>
      </c>
      <c r="P1647" s="116">
        <v>127.1</v>
      </c>
      <c r="Q1647" s="116">
        <v>124.95</v>
      </c>
      <c r="R1647">
        <v>30434681</v>
      </c>
    </row>
    <row r="1648" spans="1:18" x14ac:dyDescent="0.25">
      <c r="A1648" s="170">
        <v>44432</v>
      </c>
      <c r="B1648" s="116">
        <v>126.6</v>
      </c>
      <c r="C1648" s="116">
        <v>125.9</v>
      </c>
      <c r="D1648" s="116">
        <v>123.7</v>
      </c>
      <c r="E1648" s="116">
        <v>125</v>
      </c>
      <c r="F1648" s="116">
        <v>125.9</v>
      </c>
      <c r="G1648">
        <v>2267111</v>
      </c>
      <c r="H1648" s="116"/>
      <c r="I1648" s="116"/>
      <c r="L1648" s="170">
        <v>44432</v>
      </c>
      <c r="M1648" s="116">
        <v>125.9</v>
      </c>
      <c r="N1648" s="116">
        <v>126.6</v>
      </c>
      <c r="O1648" s="116">
        <v>123.65</v>
      </c>
      <c r="P1648" s="116">
        <v>125</v>
      </c>
      <c r="Q1648" s="116">
        <v>125.9</v>
      </c>
      <c r="R1648">
        <v>22809811</v>
      </c>
    </row>
    <row r="1649" spans="1:18" x14ac:dyDescent="0.25">
      <c r="A1649" s="170">
        <v>44433</v>
      </c>
      <c r="B1649" s="116">
        <v>127.5</v>
      </c>
      <c r="C1649" s="116">
        <v>126.1</v>
      </c>
      <c r="D1649" s="116">
        <v>125.5</v>
      </c>
      <c r="E1649" s="116">
        <v>126.4</v>
      </c>
      <c r="F1649" s="116">
        <v>126.1</v>
      </c>
      <c r="G1649">
        <v>2196439</v>
      </c>
      <c r="H1649" s="116"/>
      <c r="I1649" s="116"/>
      <c r="L1649" s="170">
        <v>44433</v>
      </c>
      <c r="M1649" s="116">
        <v>126.05</v>
      </c>
      <c r="N1649" s="116">
        <v>127.5</v>
      </c>
      <c r="O1649" s="116">
        <v>125.5</v>
      </c>
      <c r="P1649" s="116">
        <v>126.4</v>
      </c>
      <c r="Q1649" s="116">
        <v>126.05</v>
      </c>
      <c r="R1649">
        <v>18144345</v>
      </c>
    </row>
    <row r="1650" spans="1:18" x14ac:dyDescent="0.25">
      <c r="A1650" s="170">
        <v>44434</v>
      </c>
      <c r="B1650" s="116">
        <v>126.75</v>
      </c>
      <c r="C1650" s="116">
        <v>125.7</v>
      </c>
      <c r="D1650" s="116">
        <v>124.55</v>
      </c>
      <c r="E1650" s="116">
        <v>126.75</v>
      </c>
      <c r="F1650" s="116">
        <v>125.7</v>
      </c>
      <c r="G1650">
        <v>1732369</v>
      </c>
      <c r="H1650" s="116"/>
      <c r="I1650" s="116"/>
      <c r="L1650" s="170">
        <v>44434</v>
      </c>
      <c r="M1650" s="116">
        <v>125.65</v>
      </c>
      <c r="N1650" s="116">
        <v>126.6</v>
      </c>
      <c r="O1650" s="116">
        <v>124.55</v>
      </c>
      <c r="P1650" s="116">
        <v>126.45</v>
      </c>
      <c r="Q1650" s="116">
        <v>125.65</v>
      </c>
      <c r="R1650">
        <v>16968193</v>
      </c>
    </row>
    <row r="1651" spans="1:18" x14ac:dyDescent="0.25">
      <c r="A1651" s="170">
        <v>44435</v>
      </c>
      <c r="B1651" s="116">
        <v>127.6</v>
      </c>
      <c r="C1651" s="116">
        <v>127.2</v>
      </c>
      <c r="D1651" s="116">
        <v>125.2</v>
      </c>
      <c r="E1651" s="116">
        <v>126.25</v>
      </c>
      <c r="F1651" s="116">
        <v>127.2</v>
      </c>
      <c r="G1651">
        <v>1904365</v>
      </c>
      <c r="H1651" s="116"/>
      <c r="I1651" s="116"/>
      <c r="L1651" s="170">
        <v>44435</v>
      </c>
      <c r="M1651" s="116">
        <v>127.25</v>
      </c>
      <c r="N1651" s="116">
        <v>127.6</v>
      </c>
      <c r="O1651" s="116">
        <v>125.2</v>
      </c>
      <c r="P1651" s="116">
        <v>125.65</v>
      </c>
      <c r="Q1651" s="116">
        <v>127.25</v>
      </c>
      <c r="R1651">
        <v>12708091</v>
      </c>
    </row>
    <row r="1652" spans="1:18" x14ac:dyDescent="0.25">
      <c r="A1652" s="170">
        <v>44438</v>
      </c>
      <c r="B1652" s="116">
        <v>130.1</v>
      </c>
      <c r="C1652" s="116">
        <v>129.1</v>
      </c>
      <c r="D1652" s="116">
        <v>128.05000000000001</v>
      </c>
      <c r="E1652" s="116">
        <v>128.19999999999999</v>
      </c>
      <c r="F1652" s="116">
        <v>129.1</v>
      </c>
      <c r="G1652">
        <v>1145144</v>
      </c>
      <c r="H1652" s="116"/>
      <c r="I1652" s="116"/>
      <c r="L1652" s="170">
        <v>44438</v>
      </c>
      <c r="M1652" s="116">
        <v>129.15</v>
      </c>
      <c r="N1652" s="116">
        <v>130.1</v>
      </c>
      <c r="O1652" s="116">
        <v>128</v>
      </c>
      <c r="P1652" s="116">
        <v>128.4</v>
      </c>
      <c r="Q1652" s="116">
        <v>129.15</v>
      </c>
      <c r="R1652">
        <v>17545528</v>
      </c>
    </row>
    <row r="1653" spans="1:18" x14ac:dyDescent="0.25">
      <c r="A1653" s="170">
        <v>44439</v>
      </c>
      <c r="B1653" s="116">
        <v>131.4</v>
      </c>
      <c r="C1653" s="116">
        <v>129.05000000000001</v>
      </c>
      <c r="D1653" s="116">
        <v>128.25</v>
      </c>
      <c r="E1653" s="116">
        <v>131.4</v>
      </c>
      <c r="F1653" s="116">
        <v>129.05000000000001</v>
      </c>
      <c r="G1653">
        <v>1861920</v>
      </c>
      <c r="H1653" s="116"/>
      <c r="I1653" s="116"/>
      <c r="L1653" s="170">
        <v>44439</v>
      </c>
      <c r="M1653" s="116">
        <v>129.05000000000001</v>
      </c>
      <c r="N1653" s="116">
        <v>130.69999999999999</v>
      </c>
      <c r="O1653" s="116">
        <v>128.25</v>
      </c>
      <c r="P1653" s="116">
        <v>130.30000000000001</v>
      </c>
      <c r="Q1653" s="116">
        <v>129.05000000000001</v>
      </c>
      <c r="R1653">
        <v>24301446</v>
      </c>
    </row>
    <row r="1654" spans="1:18" x14ac:dyDescent="0.25">
      <c r="A1654" s="170">
        <v>44440</v>
      </c>
      <c r="B1654" s="116">
        <v>134.25</v>
      </c>
      <c r="C1654" s="116">
        <v>133.4</v>
      </c>
      <c r="D1654" s="116">
        <v>128.69999999999999</v>
      </c>
      <c r="E1654" s="116">
        <v>129.69999999999999</v>
      </c>
      <c r="F1654" s="116">
        <v>133.4</v>
      </c>
      <c r="G1654">
        <v>3314447</v>
      </c>
      <c r="H1654" s="116"/>
      <c r="I1654" s="116"/>
      <c r="L1654" s="170">
        <v>44440</v>
      </c>
      <c r="M1654" s="116">
        <v>133.4</v>
      </c>
      <c r="N1654" s="116">
        <v>134.25</v>
      </c>
      <c r="O1654" s="116">
        <v>128.69999999999999</v>
      </c>
      <c r="P1654" s="116">
        <v>129.69999999999999</v>
      </c>
      <c r="Q1654" s="116">
        <v>133.4</v>
      </c>
      <c r="R1654">
        <v>31166001</v>
      </c>
    </row>
    <row r="1655" spans="1:18" x14ac:dyDescent="0.25">
      <c r="A1655" s="170">
        <v>44441</v>
      </c>
      <c r="B1655" s="116">
        <v>134.75</v>
      </c>
      <c r="C1655" s="116">
        <v>133.6</v>
      </c>
      <c r="D1655" s="116">
        <v>132.65</v>
      </c>
      <c r="E1655" s="116">
        <v>134.44999999999999</v>
      </c>
      <c r="F1655" s="116">
        <v>133.6</v>
      </c>
      <c r="G1655">
        <v>2461881</v>
      </c>
      <c r="H1655" s="116"/>
      <c r="I1655" s="116"/>
      <c r="L1655" s="170">
        <v>44441</v>
      </c>
      <c r="M1655" s="116">
        <v>133.6</v>
      </c>
      <c r="N1655" s="116">
        <v>134.80000000000001</v>
      </c>
      <c r="O1655" s="116">
        <v>132.6</v>
      </c>
      <c r="P1655" s="116">
        <v>133.85</v>
      </c>
      <c r="Q1655" s="116">
        <v>133.6</v>
      </c>
      <c r="R1655">
        <v>25276744</v>
      </c>
    </row>
    <row r="1656" spans="1:18" x14ac:dyDescent="0.25">
      <c r="A1656" s="170">
        <v>44442</v>
      </c>
      <c r="B1656" s="116">
        <v>135.4</v>
      </c>
      <c r="C1656" s="116">
        <v>133.85</v>
      </c>
      <c r="D1656" s="116">
        <v>133.25</v>
      </c>
      <c r="E1656" s="116">
        <v>134.4</v>
      </c>
      <c r="F1656" s="116">
        <v>133.85</v>
      </c>
      <c r="G1656">
        <v>2629714</v>
      </c>
      <c r="H1656" s="116"/>
      <c r="I1656" s="116"/>
      <c r="L1656" s="170">
        <v>44442</v>
      </c>
      <c r="M1656" s="116">
        <v>133.85</v>
      </c>
      <c r="N1656" s="116">
        <v>135.44999999999999</v>
      </c>
      <c r="O1656" s="116">
        <v>133.25</v>
      </c>
      <c r="P1656" s="116">
        <v>134.05000000000001</v>
      </c>
      <c r="Q1656" s="116">
        <v>133.85</v>
      </c>
      <c r="R1656">
        <v>19000628</v>
      </c>
    </row>
    <row r="1657" spans="1:18" x14ac:dyDescent="0.25">
      <c r="A1657" s="170">
        <v>44445</v>
      </c>
      <c r="B1657" s="116">
        <v>134.65</v>
      </c>
      <c r="C1657" s="116">
        <v>132.15</v>
      </c>
      <c r="D1657" s="116">
        <v>131.94999999999999</v>
      </c>
      <c r="E1657" s="116">
        <v>134.55000000000001</v>
      </c>
      <c r="F1657" s="116">
        <v>132.15</v>
      </c>
      <c r="G1657">
        <v>2284264</v>
      </c>
      <c r="H1657" s="116"/>
      <c r="I1657" s="116"/>
      <c r="L1657" s="170">
        <v>44445</v>
      </c>
      <c r="M1657" s="116">
        <v>132.19999999999999</v>
      </c>
      <c r="N1657" s="116">
        <v>134.6</v>
      </c>
      <c r="O1657" s="116">
        <v>132</v>
      </c>
      <c r="P1657" s="116">
        <v>134.4</v>
      </c>
      <c r="Q1657" s="116">
        <v>132.19999999999999</v>
      </c>
      <c r="R1657">
        <v>14304796</v>
      </c>
    </row>
    <row r="1658" spans="1:18" x14ac:dyDescent="0.25">
      <c r="A1658" s="170">
        <v>44446</v>
      </c>
      <c r="B1658" s="116">
        <v>132.5</v>
      </c>
      <c r="C1658" s="116">
        <v>130.05000000000001</v>
      </c>
      <c r="D1658" s="116">
        <v>129.30000000000001</v>
      </c>
      <c r="E1658" s="116">
        <v>132.5</v>
      </c>
      <c r="F1658" s="116">
        <v>130.05000000000001</v>
      </c>
      <c r="G1658">
        <v>2671261</v>
      </c>
      <c r="H1658" s="116"/>
      <c r="I1658" s="116"/>
      <c r="L1658" s="170">
        <v>44446</v>
      </c>
      <c r="M1658" s="116">
        <v>130.05000000000001</v>
      </c>
      <c r="N1658" s="116">
        <v>132.55000000000001</v>
      </c>
      <c r="O1658" s="116">
        <v>129.25</v>
      </c>
      <c r="P1658" s="116">
        <v>132.4</v>
      </c>
      <c r="Q1658" s="116">
        <v>130.05000000000001</v>
      </c>
      <c r="R1658">
        <v>14561241</v>
      </c>
    </row>
    <row r="1659" spans="1:18" x14ac:dyDescent="0.25">
      <c r="A1659" s="170">
        <v>44447</v>
      </c>
      <c r="B1659" s="116">
        <v>133.44999999999999</v>
      </c>
      <c r="C1659" s="116">
        <v>133.19999999999999</v>
      </c>
      <c r="D1659" s="116">
        <v>129.5</v>
      </c>
      <c r="E1659" s="116">
        <v>130.9</v>
      </c>
      <c r="F1659" s="116">
        <v>133.19999999999999</v>
      </c>
      <c r="G1659">
        <v>2171159</v>
      </c>
      <c r="H1659" s="116"/>
      <c r="I1659" s="116"/>
      <c r="L1659" s="170">
        <v>44447</v>
      </c>
      <c r="M1659" s="116">
        <v>133.25</v>
      </c>
      <c r="N1659" s="116">
        <v>133.5</v>
      </c>
      <c r="O1659" s="116">
        <v>129.5</v>
      </c>
      <c r="P1659" s="116">
        <v>130.6</v>
      </c>
      <c r="Q1659" s="116">
        <v>133.25</v>
      </c>
      <c r="R1659">
        <v>16351745</v>
      </c>
    </row>
    <row r="1660" spans="1:18" x14ac:dyDescent="0.25">
      <c r="A1660" s="170">
        <v>44448</v>
      </c>
      <c r="B1660" s="116">
        <v>134.30000000000001</v>
      </c>
      <c r="C1660" s="116">
        <v>132.75</v>
      </c>
      <c r="D1660" s="116">
        <v>131.75</v>
      </c>
      <c r="E1660" s="116">
        <v>133.30000000000001</v>
      </c>
      <c r="F1660" s="116">
        <v>132.75</v>
      </c>
      <c r="G1660">
        <v>1508235</v>
      </c>
      <c r="H1660" s="116"/>
      <c r="I1660" s="116"/>
      <c r="L1660" s="170">
        <v>44448</v>
      </c>
      <c r="M1660" s="116">
        <v>132.75</v>
      </c>
      <c r="N1660" s="116">
        <v>134.30000000000001</v>
      </c>
      <c r="O1660" s="116">
        <v>131.75</v>
      </c>
      <c r="P1660" s="116">
        <v>133.19999999999999</v>
      </c>
      <c r="Q1660" s="116">
        <v>132.75</v>
      </c>
      <c r="R1660">
        <v>14453584</v>
      </c>
    </row>
    <row r="1661" spans="1:18" x14ac:dyDescent="0.25">
      <c r="A1661" s="170">
        <v>44452</v>
      </c>
      <c r="B1661" s="116">
        <v>133</v>
      </c>
      <c r="C1661" s="116">
        <v>131</v>
      </c>
      <c r="D1661" s="116">
        <v>130.4</v>
      </c>
      <c r="E1661" s="116">
        <v>133</v>
      </c>
      <c r="F1661" s="116">
        <v>131</v>
      </c>
      <c r="G1661">
        <v>1578635</v>
      </c>
      <c r="H1661" s="116"/>
      <c r="I1661" s="116"/>
      <c r="L1661" s="170">
        <v>44452</v>
      </c>
      <c r="M1661" s="116">
        <v>131.05000000000001</v>
      </c>
      <c r="N1661" s="116">
        <v>132.75</v>
      </c>
      <c r="O1661" s="116">
        <v>130.4</v>
      </c>
      <c r="P1661" s="116">
        <v>132.75</v>
      </c>
      <c r="Q1661" s="116">
        <v>131.05000000000001</v>
      </c>
      <c r="R1661">
        <v>13771980</v>
      </c>
    </row>
    <row r="1662" spans="1:18" x14ac:dyDescent="0.25">
      <c r="A1662" s="170">
        <v>44453</v>
      </c>
      <c r="B1662" s="116">
        <v>133.25</v>
      </c>
      <c r="C1662" s="116">
        <v>133</v>
      </c>
      <c r="D1662" s="116">
        <v>131.35</v>
      </c>
      <c r="E1662" s="116">
        <v>131.80000000000001</v>
      </c>
      <c r="F1662" s="116">
        <v>133</v>
      </c>
      <c r="G1662">
        <v>866763</v>
      </c>
      <c r="H1662" s="116"/>
      <c r="I1662" s="116"/>
      <c r="L1662" s="170">
        <v>44453</v>
      </c>
      <c r="M1662" s="116">
        <v>133</v>
      </c>
      <c r="N1662" s="116">
        <v>133.30000000000001</v>
      </c>
      <c r="O1662" s="116">
        <v>131.30000000000001</v>
      </c>
      <c r="P1662" s="116">
        <v>131.5</v>
      </c>
      <c r="Q1662" s="116">
        <v>133</v>
      </c>
      <c r="R1662">
        <v>13305823</v>
      </c>
    </row>
    <row r="1663" spans="1:18" x14ac:dyDescent="0.25">
      <c r="A1663" s="170">
        <v>44454</v>
      </c>
      <c r="B1663" s="116">
        <v>142.30000000000001</v>
      </c>
      <c r="C1663" s="116">
        <v>139.94999999999999</v>
      </c>
      <c r="D1663" s="116">
        <v>132.94999999999999</v>
      </c>
      <c r="E1663" s="116">
        <v>133.25</v>
      </c>
      <c r="F1663" s="116">
        <v>139.94999999999999</v>
      </c>
      <c r="G1663">
        <v>8251325</v>
      </c>
      <c r="H1663" s="116"/>
      <c r="I1663" s="116"/>
      <c r="L1663" s="170">
        <v>44454</v>
      </c>
      <c r="M1663" s="116">
        <v>140.05000000000001</v>
      </c>
      <c r="N1663" s="116">
        <v>142.30000000000001</v>
      </c>
      <c r="O1663" s="116">
        <v>132.80000000000001</v>
      </c>
      <c r="P1663" s="116">
        <v>133.1</v>
      </c>
      <c r="Q1663" s="116">
        <v>140.05000000000001</v>
      </c>
      <c r="R1663">
        <v>68917060</v>
      </c>
    </row>
    <row r="1664" spans="1:18" x14ac:dyDescent="0.25">
      <c r="A1664" s="170">
        <v>44455</v>
      </c>
      <c r="B1664" s="116">
        <v>142</v>
      </c>
      <c r="C1664" s="116">
        <v>140.25</v>
      </c>
      <c r="D1664" s="116">
        <v>138.5</v>
      </c>
      <c r="E1664" s="116">
        <v>140.44999999999999</v>
      </c>
      <c r="F1664" s="116">
        <v>140.25</v>
      </c>
      <c r="G1664">
        <v>1749277</v>
      </c>
      <c r="H1664" s="116"/>
      <c r="I1664" s="116"/>
      <c r="L1664" s="170">
        <v>44455</v>
      </c>
      <c r="M1664" s="116">
        <v>140.25</v>
      </c>
      <c r="N1664" s="116">
        <v>142</v>
      </c>
      <c r="O1664" s="116">
        <v>138.5</v>
      </c>
      <c r="P1664" s="116">
        <v>140</v>
      </c>
      <c r="Q1664" s="116">
        <v>140.25</v>
      </c>
      <c r="R1664">
        <v>24490647</v>
      </c>
    </row>
    <row r="1665" spans="1:18" x14ac:dyDescent="0.25">
      <c r="A1665" s="170">
        <v>44456</v>
      </c>
      <c r="B1665" s="116">
        <v>141.44999999999999</v>
      </c>
      <c r="C1665" s="116">
        <v>137.9</v>
      </c>
      <c r="D1665" s="116">
        <v>136.1</v>
      </c>
      <c r="E1665" s="116">
        <v>140.75</v>
      </c>
      <c r="F1665" s="116">
        <v>137.9</v>
      </c>
      <c r="G1665">
        <v>2895519</v>
      </c>
      <c r="H1665" s="116"/>
      <c r="I1665" s="116"/>
      <c r="L1665" s="170">
        <v>44456</v>
      </c>
      <c r="M1665" s="116">
        <v>137.9</v>
      </c>
      <c r="N1665" s="116">
        <v>141.5</v>
      </c>
      <c r="O1665" s="116">
        <v>136.1</v>
      </c>
      <c r="P1665" s="116">
        <v>140.85</v>
      </c>
      <c r="Q1665" s="116">
        <v>137.9</v>
      </c>
      <c r="R1665">
        <v>27560843</v>
      </c>
    </row>
    <row r="1666" spans="1:18" x14ac:dyDescent="0.25">
      <c r="A1666" s="170">
        <v>44459</v>
      </c>
      <c r="B1666" s="116">
        <v>139.35</v>
      </c>
      <c r="C1666" s="116">
        <v>134.44999999999999</v>
      </c>
      <c r="D1666" s="116">
        <v>133.35</v>
      </c>
      <c r="E1666" s="116">
        <v>137.80000000000001</v>
      </c>
      <c r="F1666" s="116">
        <v>134.44999999999999</v>
      </c>
      <c r="G1666">
        <v>2619153</v>
      </c>
      <c r="H1666" s="116"/>
      <c r="I1666" s="116"/>
      <c r="L1666" s="170">
        <v>44459</v>
      </c>
      <c r="M1666" s="116">
        <v>134.30000000000001</v>
      </c>
      <c r="N1666" s="116">
        <v>139.35</v>
      </c>
      <c r="O1666" s="116">
        <v>133.19999999999999</v>
      </c>
      <c r="P1666" s="116">
        <v>137.6</v>
      </c>
      <c r="Q1666" s="116">
        <v>134.30000000000001</v>
      </c>
      <c r="R1666">
        <v>21535092</v>
      </c>
    </row>
    <row r="1667" spans="1:18" x14ac:dyDescent="0.25">
      <c r="A1667" s="170">
        <v>44460</v>
      </c>
      <c r="B1667" s="116">
        <v>136.30000000000001</v>
      </c>
      <c r="C1667" s="116">
        <v>135.85</v>
      </c>
      <c r="D1667" s="116">
        <v>131.19999999999999</v>
      </c>
      <c r="E1667" s="116">
        <v>134.9</v>
      </c>
      <c r="F1667" s="116">
        <v>135.85</v>
      </c>
      <c r="G1667">
        <v>3371551</v>
      </c>
      <c r="H1667" s="116"/>
      <c r="I1667" s="116"/>
      <c r="L1667" s="170">
        <v>44460</v>
      </c>
      <c r="M1667" s="116">
        <v>135.85</v>
      </c>
      <c r="N1667" s="116">
        <v>136.30000000000001</v>
      </c>
      <c r="O1667" s="116">
        <v>131.19999999999999</v>
      </c>
      <c r="P1667" s="116">
        <v>134.75</v>
      </c>
      <c r="Q1667" s="116">
        <v>135.85</v>
      </c>
      <c r="R1667">
        <v>22526116</v>
      </c>
    </row>
    <row r="1668" spans="1:18" x14ac:dyDescent="0.25">
      <c r="A1668" s="170">
        <v>44461</v>
      </c>
      <c r="B1668" s="116">
        <v>139.6</v>
      </c>
      <c r="C1668" s="116">
        <v>137.80000000000001</v>
      </c>
      <c r="D1668" s="116">
        <v>136.4</v>
      </c>
      <c r="E1668" s="116">
        <v>137.30000000000001</v>
      </c>
      <c r="F1668" s="116">
        <v>137.80000000000001</v>
      </c>
      <c r="G1668">
        <v>2503517</v>
      </c>
      <c r="H1668" s="116"/>
      <c r="I1668" s="116"/>
      <c r="L1668" s="170">
        <v>44461</v>
      </c>
      <c r="M1668" s="116">
        <v>137.85</v>
      </c>
      <c r="N1668" s="116">
        <v>139.65</v>
      </c>
      <c r="O1668" s="116">
        <v>136.4</v>
      </c>
      <c r="P1668" s="116">
        <v>136.94999999999999</v>
      </c>
      <c r="Q1668" s="116">
        <v>137.85</v>
      </c>
      <c r="R1668">
        <v>21321952</v>
      </c>
    </row>
    <row r="1669" spans="1:18" x14ac:dyDescent="0.25">
      <c r="A1669" s="170">
        <v>44462</v>
      </c>
      <c r="B1669" s="116">
        <v>144.9</v>
      </c>
      <c r="C1669" s="116">
        <v>143.65</v>
      </c>
      <c r="D1669" s="116">
        <v>138.9</v>
      </c>
      <c r="E1669" s="116">
        <v>139.44999999999999</v>
      </c>
      <c r="F1669" s="116">
        <v>143.65</v>
      </c>
      <c r="G1669">
        <v>2812285</v>
      </c>
      <c r="H1669" s="116"/>
      <c r="I1669" s="116"/>
      <c r="L1669" s="170">
        <v>44462</v>
      </c>
      <c r="M1669" s="116">
        <v>143.65</v>
      </c>
      <c r="N1669" s="116">
        <v>144.9</v>
      </c>
      <c r="O1669" s="116">
        <v>138.75</v>
      </c>
      <c r="P1669" s="116">
        <v>139.19999999999999</v>
      </c>
      <c r="Q1669" s="116">
        <v>143.65</v>
      </c>
      <c r="R1669">
        <v>42890085</v>
      </c>
    </row>
    <row r="1670" spans="1:18" x14ac:dyDescent="0.25">
      <c r="A1670" s="170">
        <v>44463</v>
      </c>
      <c r="B1670" s="116">
        <v>145.4</v>
      </c>
      <c r="C1670" s="116">
        <v>139.1</v>
      </c>
      <c r="D1670" s="116">
        <v>138.75</v>
      </c>
      <c r="E1670" s="116">
        <v>145</v>
      </c>
      <c r="F1670" s="116">
        <v>139.1</v>
      </c>
      <c r="G1670">
        <v>13584558</v>
      </c>
      <c r="H1670" s="116"/>
      <c r="I1670" s="116"/>
      <c r="L1670" s="170">
        <v>44463</v>
      </c>
      <c r="M1670" s="116">
        <v>139.1</v>
      </c>
      <c r="N1670" s="116">
        <v>145.35</v>
      </c>
      <c r="O1670" s="116">
        <v>138.69999999999999</v>
      </c>
      <c r="P1670" s="116">
        <v>145</v>
      </c>
      <c r="Q1670" s="116">
        <v>139.1</v>
      </c>
      <c r="R1670">
        <v>29040576</v>
      </c>
    </row>
    <row r="1671" spans="1:18" x14ac:dyDescent="0.25">
      <c r="A1671" s="170">
        <v>44466</v>
      </c>
      <c r="B1671" s="116">
        <v>140.9</v>
      </c>
      <c r="C1671" s="116">
        <v>138.75</v>
      </c>
      <c r="D1671" s="116">
        <v>136.75</v>
      </c>
      <c r="E1671" s="116">
        <v>139.4</v>
      </c>
      <c r="F1671" s="116">
        <v>138.75</v>
      </c>
      <c r="G1671">
        <v>1940097</v>
      </c>
      <c r="H1671" s="116"/>
      <c r="I1671" s="116"/>
      <c r="L1671" s="170">
        <v>44466</v>
      </c>
      <c r="M1671" s="116">
        <v>138.75</v>
      </c>
      <c r="N1671" s="116">
        <v>140.4</v>
      </c>
      <c r="O1671" s="116">
        <v>136.75</v>
      </c>
      <c r="P1671" s="116">
        <v>140.30000000000001</v>
      </c>
      <c r="Q1671" s="116">
        <v>138.75</v>
      </c>
      <c r="R1671">
        <v>18192368</v>
      </c>
    </row>
    <row r="1672" spans="1:18" x14ac:dyDescent="0.25">
      <c r="A1672" s="170">
        <v>44467</v>
      </c>
      <c r="B1672" s="116">
        <v>142.80000000000001</v>
      </c>
      <c r="C1672" s="116">
        <v>140.05000000000001</v>
      </c>
      <c r="D1672" s="116">
        <v>139.1</v>
      </c>
      <c r="E1672" s="116">
        <v>140.19999999999999</v>
      </c>
      <c r="F1672" s="116">
        <v>140.05000000000001</v>
      </c>
      <c r="G1672">
        <v>3533370</v>
      </c>
      <c r="H1672" s="116"/>
      <c r="I1672" s="116"/>
      <c r="L1672" s="170">
        <v>44467</v>
      </c>
      <c r="M1672" s="116">
        <v>140.05000000000001</v>
      </c>
      <c r="N1672" s="116">
        <v>142.85</v>
      </c>
      <c r="O1672" s="116">
        <v>139.05000000000001</v>
      </c>
      <c r="P1672" s="116">
        <v>140</v>
      </c>
      <c r="Q1672" s="116">
        <v>140.05000000000001</v>
      </c>
      <c r="R1672">
        <v>29196888</v>
      </c>
    </row>
    <row r="1673" spans="1:18" x14ac:dyDescent="0.25">
      <c r="A1673" s="170">
        <v>44468</v>
      </c>
      <c r="B1673" s="116">
        <v>155.19999999999999</v>
      </c>
      <c r="C1673" s="116">
        <v>151.65</v>
      </c>
      <c r="D1673" s="116">
        <v>138.80000000000001</v>
      </c>
      <c r="E1673" s="116">
        <v>139.94999999999999</v>
      </c>
      <c r="F1673" s="116">
        <v>151.65</v>
      </c>
      <c r="G1673">
        <v>14027185</v>
      </c>
      <c r="H1673" s="116"/>
      <c r="I1673" s="116"/>
      <c r="L1673" s="170">
        <v>44468</v>
      </c>
      <c r="M1673" s="116">
        <v>151.6</v>
      </c>
      <c r="N1673" s="116">
        <v>158.75</v>
      </c>
      <c r="O1673" s="116">
        <v>138.9</v>
      </c>
      <c r="P1673" s="116">
        <v>139.80000000000001</v>
      </c>
      <c r="Q1673" s="116">
        <v>151.6</v>
      </c>
      <c r="R1673">
        <v>126746990</v>
      </c>
    </row>
    <row r="1674" spans="1:18" x14ac:dyDescent="0.25">
      <c r="A1674" s="170">
        <v>44469</v>
      </c>
      <c r="B1674" s="116">
        <v>161.15</v>
      </c>
      <c r="C1674" s="116">
        <v>158.69999999999999</v>
      </c>
      <c r="D1674" s="116">
        <v>151.25</v>
      </c>
      <c r="E1674" s="116">
        <v>152.69999999999999</v>
      </c>
      <c r="F1674" s="116">
        <v>158.69999999999999</v>
      </c>
      <c r="G1674">
        <v>10597602</v>
      </c>
      <c r="H1674" s="116"/>
      <c r="I1674" s="116"/>
      <c r="L1674" s="170">
        <v>44469</v>
      </c>
      <c r="M1674" s="116">
        <v>158.75</v>
      </c>
      <c r="N1674" s="116">
        <v>161.19999999999999</v>
      </c>
      <c r="O1674" s="116">
        <v>151.30000000000001</v>
      </c>
      <c r="P1674" s="116">
        <v>152.5</v>
      </c>
      <c r="Q1674" s="116">
        <v>158.75</v>
      </c>
      <c r="R1674">
        <v>111302311</v>
      </c>
    </row>
    <row r="1675" spans="1:18" x14ac:dyDescent="0.25">
      <c r="A1675" s="170">
        <v>44470</v>
      </c>
      <c r="B1675" s="116">
        <v>165</v>
      </c>
      <c r="C1675" s="116">
        <v>163.75</v>
      </c>
      <c r="D1675" s="116">
        <v>156.6</v>
      </c>
      <c r="E1675" s="116">
        <v>158.94999999999999</v>
      </c>
      <c r="F1675" s="116">
        <v>163.75</v>
      </c>
      <c r="G1675">
        <v>7594339</v>
      </c>
      <c r="H1675" s="116"/>
      <c r="I1675" s="116"/>
      <c r="L1675" s="170">
        <v>44470</v>
      </c>
      <c r="M1675" s="116">
        <v>163.75</v>
      </c>
      <c r="N1675" s="116">
        <v>164.95</v>
      </c>
      <c r="O1675" s="116">
        <v>156.6</v>
      </c>
      <c r="P1675" s="116">
        <v>158.75</v>
      </c>
      <c r="Q1675" s="116">
        <v>163.75</v>
      </c>
      <c r="R1675">
        <v>90310679</v>
      </c>
    </row>
    <row r="1676" spans="1:18" x14ac:dyDescent="0.25">
      <c r="A1676" s="170">
        <v>44473</v>
      </c>
      <c r="B1676" s="116">
        <v>172.5</v>
      </c>
      <c r="C1676" s="116">
        <v>168.65</v>
      </c>
      <c r="D1676" s="116">
        <v>164</v>
      </c>
      <c r="E1676" s="116">
        <v>166.45</v>
      </c>
      <c r="F1676" s="116">
        <v>168.65</v>
      </c>
      <c r="G1676">
        <v>6945731</v>
      </c>
      <c r="H1676" s="116"/>
      <c r="I1676" s="116"/>
      <c r="L1676" s="170">
        <v>44473</v>
      </c>
      <c r="M1676" s="116">
        <v>168.6</v>
      </c>
      <c r="N1676" s="116">
        <v>172.5</v>
      </c>
      <c r="O1676" s="116">
        <v>164</v>
      </c>
      <c r="P1676" s="116">
        <v>166.25</v>
      </c>
      <c r="Q1676" s="116">
        <v>168.6</v>
      </c>
      <c r="R1676">
        <v>93787605</v>
      </c>
    </row>
    <row r="1677" spans="1:18" x14ac:dyDescent="0.25">
      <c r="A1677" s="170">
        <v>44474</v>
      </c>
      <c r="B1677" s="116">
        <v>184.8</v>
      </c>
      <c r="C1677" s="116">
        <v>179.35</v>
      </c>
      <c r="D1677" s="116">
        <v>168.35</v>
      </c>
      <c r="E1677" s="116">
        <v>169.05</v>
      </c>
      <c r="F1677" s="116">
        <v>179.35</v>
      </c>
      <c r="G1677">
        <v>17254901</v>
      </c>
      <c r="H1677" s="116"/>
      <c r="I1677" s="116"/>
      <c r="L1677" s="170">
        <v>44474</v>
      </c>
      <c r="M1677" s="116">
        <v>179.4</v>
      </c>
      <c r="N1677" s="116">
        <v>184.75</v>
      </c>
      <c r="O1677" s="116">
        <v>168.35</v>
      </c>
      <c r="P1677" s="116">
        <v>169</v>
      </c>
      <c r="Q1677" s="116">
        <v>179.4</v>
      </c>
      <c r="R1677">
        <v>161189379</v>
      </c>
    </row>
    <row r="1678" spans="1:18" x14ac:dyDescent="0.25">
      <c r="A1678" s="170">
        <v>44475</v>
      </c>
      <c r="B1678" s="116">
        <v>183.7</v>
      </c>
      <c r="C1678" s="116">
        <v>175.9</v>
      </c>
      <c r="D1678" s="116">
        <v>172.75</v>
      </c>
      <c r="E1678" s="116">
        <v>183.7</v>
      </c>
      <c r="F1678" s="116">
        <v>175.9</v>
      </c>
      <c r="G1678">
        <v>8284841</v>
      </c>
      <c r="H1678" s="116"/>
      <c r="I1678" s="116"/>
      <c r="L1678" s="170">
        <v>44475</v>
      </c>
      <c r="M1678" s="116">
        <v>175.95</v>
      </c>
      <c r="N1678" s="116">
        <v>182.85</v>
      </c>
      <c r="O1678" s="116">
        <v>172.8</v>
      </c>
      <c r="P1678" s="116">
        <v>182.85</v>
      </c>
      <c r="Q1678" s="116">
        <v>175.95</v>
      </c>
      <c r="R1678">
        <v>101232618</v>
      </c>
    </row>
    <row r="1679" spans="1:18" x14ac:dyDescent="0.25">
      <c r="A1679" s="170">
        <v>44476</v>
      </c>
      <c r="B1679" s="116">
        <v>184</v>
      </c>
      <c r="C1679" s="116">
        <v>177.8</v>
      </c>
      <c r="D1679" s="116">
        <v>176.9</v>
      </c>
      <c r="E1679" s="116">
        <v>178.65</v>
      </c>
      <c r="F1679" s="116">
        <v>177.8</v>
      </c>
      <c r="G1679">
        <v>5306093</v>
      </c>
      <c r="H1679" s="116"/>
      <c r="I1679" s="116"/>
      <c r="L1679" s="170">
        <v>44476</v>
      </c>
      <c r="M1679" s="116">
        <v>177.75</v>
      </c>
      <c r="N1679" s="116">
        <v>184</v>
      </c>
      <c r="O1679" s="116">
        <v>176.85</v>
      </c>
      <c r="P1679" s="116">
        <v>178.35</v>
      </c>
      <c r="Q1679" s="116">
        <v>177.75</v>
      </c>
      <c r="R1679">
        <v>73313810</v>
      </c>
    </row>
    <row r="1680" spans="1:18" x14ac:dyDescent="0.25">
      <c r="A1680" s="170">
        <v>44477</v>
      </c>
      <c r="B1680" s="116">
        <v>181.2</v>
      </c>
      <c r="C1680" s="116">
        <v>176.9</v>
      </c>
      <c r="D1680" s="116">
        <v>175</v>
      </c>
      <c r="E1680" s="116">
        <v>181.2</v>
      </c>
      <c r="F1680" s="116">
        <v>176.9</v>
      </c>
      <c r="G1680">
        <v>4838164</v>
      </c>
      <c r="H1680" s="116"/>
      <c r="I1680" s="116"/>
      <c r="L1680" s="170">
        <v>44477</v>
      </c>
      <c r="M1680" s="116">
        <v>176.85</v>
      </c>
      <c r="N1680" s="116">
        <v>180.2</v>
      </c>
      <c r="O1680" s="116">
        <v>175</v>
      </c>
      <c r="P1680" s="116">
        <v>180.15</v>
      </c>
      <c r="Q1680" s="116">
        <v>176.85</v>
      </c>
      <c r="R1680">
        <v>43365657</v>
      </c>
    </row>
    <row r="1681" spans="1:18" x14ac:dyDescent="0.25">
      <c r="A1681" s="170">
        <v>44480</v>
      </c>
      <c r="B1681" s="116">
        <v>193.7</v>
      </c>
      <c r="C1681" s="116">
        <v>191.55</v>
      </c>
      <c r="D1681" s="116">
        <v>177.1</v>
      </c>
      <c r="E1681" s="116">
        <v>178.45</v>
      </c>
      <c r="F1681" s="116">
        <v>191.55</v>
      </c>
      <c r="G1681">
        <v>14225237</v>
      </c>
      <c r="H1681" s="116"/>
      <c r="I1681" s="116"/>
      <c r="L1681" s="170">
        <v>44480</v>
      </c>
      <c r="M1681" s="116">
        <v>191.5</v>
      </c>
      <c r="N1681" s="116">
        <v>193.7</v>
      </c>
      <c r="O1681" s="116">
        <v>177</v>
      </c>
      <c r="P1681" s="116">
        <v>177.85</v>
      </c>
      <c r="Q1681" s="116">
        <v>191.5</v>
      </c>
      <c r="R1681">
        <v>126307288</v>
      </c>
    </row>
    <row r="1682" spans="1:18" x14ac:dyDescent="0.25">
      <c r="A1682" s="170">
        <v>44481</v>
      </c>
      <c r="B1682" s="116">
        <v>198.7</v>
      </c>
      <c r="C1682" s="116">
        <v>195.8</v>
      </c>
      <c r="D1682" s="116">
        <v>189.85</v>
      </c>
      <c r="E1682" s="116">
        <v>195</v>
      </c>
      <c r="F1682" s="116">
        <v>195.8</v>
      </c>
      <c r="G1682">
        <v>11176901</v>
      </c>
      <c r="H1682" s="116"/>
      <c r="I1682" s="116"/>
      <c r="L1682" s="170">
        <v>44481</v>
      </c>
      <c r="M1682" s="116">
        <v>195.8</v>
      </c>
      <c r="N1682" s="116">
        <v>198.7</v>
      </c>
      <c r="O1682" s="116">
        <v>189.8</v>
      </c>
      <c r="P1682" s="116">
        <v>194.9</v>
      </c>
      <c r="Q1682" s="116">
        <v>195.8</v>
      </c>
      <c r="R1682">
        <v>104950239</v>
      </c>
    </row>
    <row r="1683" spans="1:18" x14ac:dyDescent="0.25">
      <c r="A1683" s="170">
        <v>44482</v>
      </c>
      <c r="B1683" s="116">
        <v>232.4</v>
      </c>
      <c r="C1683" s="116">
        <v>224.15</v>
      </c>
      <c r="D1683" s="116">
        <v>200</v>
      </c>
      <c r="E1683" s="116">
        <v>201.9</v>
      </c>
      <c r="F1683" s="116">
        <v>224.15</v>
      </c>
      <c r="G1683">
        <v>23243319</v>
      </c>
      <c r="H1683" s="116"/>
      <c r="I1683" s="116"/>
      <c r="L1683" s="170">
        <v>44482</v>
      </c>
      <c r="M1683" s="116">
        <v>224.2</v>
      </c>
      <c r="N1683" s="116">
        <v>232.4</v>
      </c>
      <c r="O1683" s="116">
        <v>200</v>
      </c>
      <c r="P1683" s="116">
        <v>201.65</v>
      </c>
      <c r="Q1683" s="116">
        <v>224.2</v>
      </c>
      <c r="R1683">
        <v>305037222</v>
      </c>
    </row>
    <row r="1684" spans="1:18" x14ac:dyDescent="0.25">
      <c r="A1684" s="170">
        <v>44483</v>
      </c>
      <c r="B1684" s="116">
        <v>236.25</v>
      </c>
      <c r="C1684" s="116">
        <v>222.45</v>
      </c>
      <c r="D1684" s="116">
        <v>220.7</v>
      </c>
      <c r="E1684" s="116">
        <v>235.1</v>
      </c>
      <c r="F1684" s="116">
        <v>222.45</v>
      </c>
      <c r="G1684">
        <v>10485773</v>
      </c>
      <c r="H1684" s="116"/>
      <c r="I1684" s="116"/>
      <c r="L1684" s="170">
        <v>44483</v>
      </c>
      <c r="M1684" s="116">
        <v>222.6</v>
      </c>
      <c r="N1684" s="116">
        <v>237</v>
      </c>
      <c r="O1684" s="116">
        <v>220.7</v>
      </c>
      <c r="P1684" s="116">
        <v>235</v>
      </c>
      <c r="Q1684" s="116">
        <v>222.6</v>
      </c>
      <c r="R1684">
        <v>126938132</v>
      </c>
    </row>
    <row r="1685" spans="1:18" x14ac:dyDescent="0.25">
      <c r="A1685" s="170">
        <v>44487</v>
      </c>
      <c r="B1685" s="116">
        <v>264.55</v>
      </c>
      <c r="C1685" s="116">
        <v>257.25</v>
      </c>
      <c r="D1685" s="116">
        <v>223.2</v>
      </c>
      <c r="E1685" s="116">
        <v>232</v>
      </c>
      <c r="F1685" s="116">
        <v>257.25</v>
      </c>
      <c r="G1685">
        <v>21198652</v>
      </c>
      <c r="H1685" s="116"/>
      <c r="I1685" s="116"/>
      <c r="L1685" s="170">
        <v>44487</v>
      </c>
      <c r="M1685" s="116">
        <v>257.3</v>
      </c>
      <c r="N1685" s="116">
        <v>264.85000000000002</v>
      </c>
      <c r="O1685" s="116">
        <v>223.1</v>
      </c>
      <c r="P1685" s="116">
        <v>227.5</v>
      </c>
      <c r="Q1685" s="116">
        <v>257.3</v>
      </c>
      <c r="R1685">
        <v>273591610</v>
      </c>
    </row>
    <row r="1686" spans="1:18" x14ac:dyDescent="0.25">
      <c r="A1686" s="170">
        <v>44488</v>
      </c>
      <c r="B1686" s="116">
        <v>269.7</v>
      </c>
      <c r="C1686" s="116">
        <v>230.55</v>
      </c>
      <c r="D1686" s="116">
        <v>218.75</v>
      </c>
      <c r="E1686" s="116">
        <v>269.7</v>
      </c>
      <c r="F1686" s="116">
        <v>230.55</v>
      </c>
      <c r="G1686">
        <v>18632205</v>
      </c>
      <c r="H1686" s="116"/>
      <c r="I1686" s="116"/>
      <c r="L1686" s="170">
        <v>44488</v>
      </c>
      <c r="M1686" s="116">
        <v>229.75</v>
      </c>
      <c r="N1686" s="116">
        <v>267.85000000000002</v>
      </c>
      <c r="O1686" s="116">
        <v>221.5</v>
      </c>
      <c r="P1686" s="116">
        <v>266</v>
      </c>
      <c r="Q1686" s="116">
        <v>229.75</v>
      </c>
      <c r="R1686">
        <v>245771135</v>
      </c>
    </row>
    <row r="1687" spans="1:18" x14ac:dyDescent="0.25">
      <c r="A1687" s="170">
        <v>44489</v>
      </c>
      <c r="B1687" s="116">
        <v>236.4</v>
      </c>
      <c r="C1687" s="116">
        <v>230.45</v>
      </c>
      <c r="D1687" s="116">
        <v>217.35</v>
      </c>
      <c r="E1687" s="116">
        <v>225</v>
      </c>
      <c r="F1687" s="116">
        <v>230.45</v>
      </c>
      <c r="G1687">
        <v>24263982</v>
      </c>
      <c r="H1687" s="116"/>
      <c r="I1687" s="116"/>
      <c r="L1687" s="170">
        <v>44489</v>
      </c>
      <c r="M1687" s="116">
        <v>230.35</v>
      </c>
      <c r="N1687" s="116">
        <v>236.3</v>
      </c>
      <c r="O1687" s="116">
        <v>217.5</v>
      </c>
      <c r="P1687" s="116">
        <v>225</v>
      </c>
      <c r="Q1687" s="116">
        <v>230.35</v>
      </c>
      <c r="R1687">
        <v>219286012</v>
      </c>
    </row>
    <row r="1688" spans="1:18" x14ac:dyDescent="0.25">
      <c r="A1688" s="170">
        <v>44490</v>
      </c>
      <c r="B1688" s="116">
        <v>234.45</v>
      </c>
      <c r="C1688" s="116">
        <v>226.05</v>
      </c>
      <c r="D1688" s="116">
        <v>220.55</v>
      </c>
      <c r="E1688" s="116">
        <v>234</v>
      </c>
      <c r="F1688" s="116">
        <v>226.05</v>
      </c>
      <c r="G1688">
        <v>11720700</v>
      </c>
      <c r="H1688" s="116"/>
      <c r="I1688" s="116"/>
      <c r="L1688" s="170">
        <v>44490</v>
      </c>
      <c r="M1688" s="116">
        <v>226.15</v>
      </c>
      <c r="N1688" s="116">
        <v>234.4</v>
      </c>
      <c r="O1688" s="116">
        <v>220.55</v>
      </c>
      <c r="P1688" s="116">
        <v>234</v>
      </c>
      <c r="Q1688" s="116">
        <v>226.15</v>
      </c>
      <c r="R1688">
        <v>82393222</v>
      </c>
    </row>
    <row r="1689" spans="1:18" x14ac:dyDescent="0.25">
      <c r="A1689" s="170">
        <v>44491</v>
      </c>
      <c r="B1689" s="116">
        <v>233.85</v>
      </c>
      <c r="C1689" s="116">
        <v>222.15</v>
      </c>
      <c r="D1689" s="116">
        <v>216.1</v>
      </c>
      <c r="E1689" s="116">
        <v>228.75</v>
      </c>
      <c r="F1689" s="116">
        <v>222.15</v>
      </c>
      <c r="G1689">
        <v>8300717</v>
      </c>
      <c r="H1689" s="116"/>
      <c r="I1689" s="116"/>
      <c r="L1689" s="170">
        <v>44491</v>
      </c>
      <c r="M1689" s="116">
        <v>222</v>
      </c>
      <c r="N1689" s="116">
        <v>233.8</v>
      </c>
      <c r="O1689" s="116">
        <v>216</v>
      </c>
      <c r="P1689" s="116">
        <v>228.5</v>
      </c>
      <c r="Q1689" s="116">
        <v>222</v>
      </c>
      <c r="R1689">
        <v>85764004</v>
      </c>
    </row>
    <row r="1690" spans="1:18" x14ac:dyDescent="0.25">
      <c r="A1690" s="170">
        <v>44494</v>
      </c>
      <c r="B1690" s="116">
        <v>225</v>
      </c>
      <c r="C1690" s="116">
        <v>213.6</v>
      </c>
      <c r="D1690" s="116">
        <v>208</v>
      </c>
      <c r="E1690" s="116">
        <v>225</v>
      </c>
      <c r="F1690" s="116">
        <v>213.6</v>
      </c>
      <c r="G1690">
        <v>12059781</v>
      </c>
      <c r="H1690" s="116"/>
      <c r="I1690" s="116"/>
      <c r="L1690" s="170">
        <v>44494</v>
      </c>
      <c r="M1690" s="116">
        <v>213.6</v>
      </c>
      <c r="N1690" s="116">
        <v>224.9</v>
      </c>
      <c r="O1690" s="116">
        <v>208</v>
      </c>
      <c r="P1690" s="116">
        <v>224.6</v>
      </c>
      <c r="Q1690" s="116">
        <v>213.6</v>
      </c>
      <c r="R1690">
        <v>92057542</v>
      </c>
    </row>
    <row r="1691" spans="1:18" x14ac:dyDescent="0.25">
      <c r="A1691" s="170">
        <v>44495</v>
      </c>
      <c r="B1691" s="116">
        <v>232.4</v>
      </c>
      <c r="C1691" s="116">
        <v>225.35</v>
      </c>
      <c r="D1691" s="116">
        <v>214.4</v>
      </c>
      <c r="E1691" s="116">
        <v>215</v>
      </c>
      <c r="F1691" s="116">
        <v>225.35</v>
      </c>
      <c r="G1691">
        <v>9855758</v>
      </c>
      <c r="H1691" s="116"/>
      <c r="I1691" s="116"/>
      <c r="L1691" s="170">
        <v>44495</v>
      </c>
      <c r="M1691" s="116">
        <v>225.3</v>
      </c>
      <c r="N1691" s="116">
        <v>232.3</v>
      </c>
      <c r="O1691" s="116">
        <v>214.25</v>
      </c>
      <c r="P1691" s="116">
        <v>215.05</v>
      </c>
      <c r="Q1691" s="116">
        <v>225.3</v>
      </c>
      <c r="R1691">
        <v>113036438</v>
      </c>
    </row>
    <row r="1692" spans="1:18" x14ac:dyDescent="0.25">
      <c r="A1692" s="170">
        <v>44496</v>
      </c>
      <c r="B1692" s="116">
        <v>232.85</v>
      </c>
      <c r="C1692" s="116">
        <v>224.15</v>
      </c>
      <c r="D1692" s="116">
        <v>222.6</v>
      </c>
      <c r="E1692" s="116">
        <v>231.5</v>
      </c>
      <c r="F1692" s="116">
        <v>224.15</v>
      </c>
      <c r="G1692">
        <v>8403726</v>
      </c>
      <c r="H1692" s="116"/>
      <c r="I1692" s="116"/>
      <c r="L1692" s="170">
        <v>44496</v>
      </c>
      <c r="M1692" s="116">
        <v>224.25</v>
      </c>
      <c r="N1692" s="116">
        <v>232.7</v>
      </c>
      <c r="O1692" s="116">
        <v>222.7</v>
      </c>
      <c r="P1692" s="116">
        <v>231.5</v>
      </c>
      <c r="Q1692" s="116">
        <v>224.25</v>
      </c>
      <c r="R1692">
        <v>78577000</v>
      </c>
    </row>
    <row r="1693" spans="1:18" x14ac:dyDescent="0.25">
      <c r="A1693" s="170">
        <v>44497</v>
      </c>
      <c r="B1693" s="116">
        <v>225.15</v>
      </c>
      <c r="C1693" s="116">
        <v>218.05</v>
      </c>
      <c r="D1693" s="116">
        <v>216.75</v>
      </c>
      <c r="E1693" s="116">
        <v>225.15</v>
      </c>
      <c r="F1693" s="116">
        <v>218.05</v>
      </c>
      <c r="G1693">
        <v>5166836</v>
      </c>
      <c r="H1693" s="116"/>
      <c r="I1693" s="116"/>
      <c r="L1693" s="170">
        <v>44497</v>
      </c>
      <c r="M1693" s="116">
        <v>218</v>
      </c>
      <c r="N1693" s="116">
        <v>224.8</v>
      </c>
      <c r="O1693" s="116">
        <v>216.6</v>
      </c>
      <c r="P1693" s="116">
        <v>224.8</v>
      </c>
      <c r="Q1693" s="116">
        <v>218</v>
      </c>
      <c r="R1693">
        <v>64733467</v>
      </c>
    </row>
    <row r="1694" spans="1:18" x14ac:dyDescent="0.25">
      <c r="A1694" s="170">
        <v>44498</v>
      </c>
      <c r="B1694" s="116">
        <v>217.75</v>
      </c>
      <c r="C1694" s="116">
        <v>214.25</v>
      </c>
      <c r="D1694" s="116">
        <v>201.2</v>
      </c>
      <c r="E1694" s="116">
        <v>210</v>
      </c>
      <c r="F1694" s="116">
        <v>214.25</v>
      </c>
      <c r="G1694">
        <v>13960052</v>
      </c>
      <c r="H1694" s="116"/>
      <c r="I1694" s="116"/>
      <c r="L1694" s="170">
        <v>44498</v>
      </c>
      <c r="M1694" s="116">
        <v>214.3</v>
      </c>
      <c r="N1694" s="116">
        <v>217.7</v>
      </c>
      <c r="O1694" s="116">
        <v>201.4</v>
      </c>
      <c r="P1694" s="116">
        <v>210.5</v>
      </c>
      <c r="Q1694" s="116">
        <v>214.3</v>
      </c>
      <c r="R1694">
        <v>115032835</v>
      </c>
    </row>
    <row r="1695" spans="1:18" x14ac:dyDescent="0.25">
      <c r="A1695" s="170">
        <v>44501</v>
      </c>
      <c r="B1695" s="116">
        <v>225.15</v>
      </c>
      <c r="C1695" s="116">
        <v>223.05</v>
      </c>
      <c r="D1695" s="116">
        <v>214.4</v>
      </c>
      <c r="E1695" s="116">
        <v>219.8</v>
      </c>
      <c r="F1695" s="116">
        <v>223.05</v>
      </c>
      <c r="G1695">
        <v>4331221</v>
      </c>
      <c r="H1695" s="116"/>
      <c r="I1695" s="116"/>
      <c r="L1695" s="170">
        <v>44501</v>
      </c>
      <c r="M1695" s="116">
        <v>222.95</v>
      </c>
      <c r="N1695" s="116">
        <v>225.2</v>
      </c>
      <c r="O1695" s="116">
        <v>214.4</v>
      </c>
      <c r="P1695" s="116">
        <v>219.95</v>
      </c>
      <c r="Q1695" s="116">
        <v>222.95</v>
      </c>
      <c r="R1695">
        <v>59687720</v>
      </c>
    </row>
    <row r="1696" spans="1:18" x14ac:dyDescent="0.25">
      <c r="A1696" s="170">
        <v>44502</v>
      </c>
      <c r="B1696" s="116">
        <v>234.95</v>
      </c>
      <c r="C1696" s="116">
        <v>228.45</v>
      </c>
      <c r="D1696" s="116">
        <v>227.25</v>
      </c>
      <c r="E1696" s="116">
        <v>227.5</v>
      </c>
      <c r="F1696" s="116">
        <v>228.45</v>
      </c>
      <c r="G1696">
        <v>9937198</v>
      </c>
      <c r="H1696" s="116"/>
      <c r="I1696" s="116"/>
      <c r="L1696" s="170">
        <v>44502</v>
      </c>
      <c r="M1696" s="116">
        <v>228.5</v>
      </c>
      <c r="N1696" s="116">
        <v>235</v>
      </c>
      <c r="O1696" s="116">
        <v>227.25</v>
      </c>
      <c r="P1696" s="116">
        <v>228</v>
      </c>
      <c r="Q1696" s="116">
        <v>228.5</v>
      </c>
      <c r="R1696">
        <v>91597155</v>
      </c>
    </row>
    <row r="1697" spans="1:18" x14ac:dyDescent="0.25">
      <c r="A1697" s="170">
        <v>44503</v>
      </c>
      <c r="B1697" s="116">
        <v>231</v>
      </c>
      <c r="C1697" s="116">
        <v>228.7</v>
      </c>
      <c r="D1697" s="116">
        <v>226.3</v>
      </c>
      <c r="E1697" s="116">
        <v>230.2</v>
      </c>
      <c r="F1697" s="116">
        <v>228.7</v>
      </c>
      <c r="G1697">
        <v>4513743</v>
      </c>
      <c r="H1697" s="116"/>
      <c r="I1697" s="116"/>
      <c r="L1697" s="170">
        <v>44503</v>
      </c>
      <c r="M1697" s="116">
        <v>228.8</v>
      </c>
      <c r="N1697" s="116">
        <v>230.9</v>
      </c>
      <c r="O1697" s="116">
        <v>226.2</v>
      </c>
      <c r="P1697" s="116">
        <v>230</v>
      </c>
      <c r="Q1697" s="116">
        <v>228.8</v>
      </c>
      <c r="R1697">
        <v>49974804</v>
      </c>
    </row>
    <row r="1698" spans="1:18" x14ac:dyDescent="0.25">
      <c r="A1698" s="170">
        <v>44504</v>
      </c>
      <c r="B1698" s="116">
        <v>233.35</v>
      </c>
      <c r="C1698" s="116">
        <v>231.35</v>
      </c>
      <c r="D1698" s="116">
        <v>230.7</v>
      </c>
      <c r="E1698" s="116">
        <v>232.9</v>
      </c>
      <c r="F1698" s="116">
        <v>231.35</v>
      </c>
      <c r="G1698">
        <v>1095942</v>
      </c>
      <c r="H1698" s="116"/>
      <c r="I1698" s="116"/>
      <c r="L1698" s="170">
        <v>44504</v>
      </c>
      <c r="M1698" s="116">
        <v>231.35</v>
      </c>
      <c r="N1698" s="116">
        <v>233.15</v>
      </c>
      <c r="O1698" s="116">
        <v>230.6</v>
      </c>
      <c r="P1698" s="116">
        <v>231.8</v>
      </c>
      <c r="Q1698" s="116">
        <v>231.35</v>
      </c>
      <c r="R1698">
        <v>14860447</v>
      </c>
    </row>
    <row r="1699" spans="1:18" x14ac:dyDescent="0.25">
      <c r="A1699" s="170">
        <v>44508</v>
      </c>
      <c r="B1699" s="116">
        <v>235.7</v>
      </c>
      <c r="C1699" s="116">
        <v>234.55</v>
      </c>
      <c r="D1699" s="116">
        <v>228.8</v>
      </c>
      <c r="E1699" s="116">
        <v>233.2</v>
      </c>
      <c r="F1699" s="116">
        <v>234.55</v>
      </c>
      <c r="G1699">
        <v>3395230</v>
      </c>
      <c r="H1699" s="116"/>
      <c r="I1699" s="116"/>
      <c r="L1699" s="170">
        <v>44508</v>
      </c>
      <c r="M1699" s="116">
        <v>234.55</v>
      </c>
      <c r="N1699" s="116">
        <v>235.65</v>
      </c>
      <c r="O1699" s="116">
        <v>228.75</v>
      </c>
      <c r="P1699" s="116">
        <v>233</v>
      </c>
      <c r="Q1699" s="116">
        <v>234.55</v>
      </c>
      <c r="R1699">
        <v>53880144</v>
      </c>
    </row>
    <row r="1700" spans="1:18" x14ac:dyDescent="0.25">
      <c r="A1700" s="170">
        <v>44509</v>
      </c>
      <c r="B1700" s="116">
        <v>248</v>
      </c>
      <c r="C1700" s="116">
        <v>242</v>
      </c>
      <c r="D1700" s="116">
        <v>234.7</v>
      </c>
      <c r="E1700" s="116">
        <v>237.1</v>
      </c>
      <c r="F1700" s="116">
        <v>242</v>
      </c>
      <c r="G1700">
        <v>11798133</v>
      </c>
      <c r="H1700" s="116"/>
      <c r="I1700" s="116"/>
      <c r="L1700" s="170">
        <v>44509</v>
      </c>
      <c r="M1700" s="116">
        <v>241.9</v>
      </c>
      <c r="N1700" s="116">
        <v>247.95</v>
      </c>
      <c r="O1700" s="116">
        <v>234.65</v>
      </c>
      <c r="P1700" s="116">
        <v>235</v>
      </c>
      <c r="Q1700" s="116">
        <v>241.9</v>
      </c>
      <c r="R1700">
        <v>103894620</v>
      </c>
    </row>
    <row r="1701" spans="1:18" x14ac:dyDescent="0.25">
      <c r="A1701" s="170">
        <v>44510</v>
      </c>
      <c r="B1701" s="116">
        <v>241.9</v>
      </c>
      <c r="C1701" s="116">
        <v>237</v>
      </c>
      <c r="D1701" s="116">
        <v>236.35</v>
      </c>
      <c r="E1701" s="116">
        <v>241.9</v>
      </c>
      <c r="F1701" s="116">
        <v>237</v>
      </c>
      <c r="G1701">
        <v>5945571</v>
      </c>
      <c r="H1701" s="116"/>
      <c r="I1701" s="116"/>
      <c r="L1701" s="170">
        <v>44510</v>
      </c>
      <c r="M1701" s="116">
        <v>237</v>
      </c>
      <c r="N1701" s="116">
        <v>241.4</v>
      </c>
      <c r="O1701" s="116">
        <v>236.3</v>
      </c>
      <c r="P1701" s="116">
        <v>241.4</v>
      </c>
      <c r="Q1701" s="116">
        <v>237</v>
      </c>
      <c r="R1701">
        <v>47845906</v>
      </c>
    </row>
    <row r="1702" spans="1:18" x14ac:dyDescent="0.25">
      <c r="A1702" s="170">
        <v>44511</v>
      </c>
      <c r="B1702" s="116">
        <v>241.25</v>
      </c>
      <c r="C1702" s="116">
        <v>239.8</v>
      </c>
      <c r="D1702" s="116">
        <v>235.55</v>
      </c>
      <c r="E1702" s="116">
        <v>237.9</v>
      </c>
      <c r="F1702" s="116">
        <v>239.8</v>
      </c>
      <c r="G1702">
        <v>6131047</v>
      </c>
      <c r="H1702" s="116"/>
      <c r="I1702" s="116"/>
      <c r="L1702" s="170">
        <v>44511</v>
      </c>
      <c r="M1702" s="116">
        <v>239.75</v>
      </c>
      <c r="N1702" s="116">
        <v>241.3</v>
      </c>
      <c r="O1702" s="116">
        <v>235.55</v>
      </c>
      <c r="P1702" s="116">
        <v>237.5</v>
      </c>
      <c r="Q1702" s="116">
        <v>239.75</v>
      </c>
      <c r="R1702">
        <v>50433666</v>
      </c>
    </row>
    <row r="1703" spans="1:18" x14ac:dyDescent="0.25">
      <c r="A1703" s="170">
        <v>44512</v>
      </c>
      <c r="B1703" s="116">
        <v>242.5</v>
      </c>
      <c r="C1703" s="116">
        <v>239.95</v>
      </c>
      <c r="D1703" s="116">
        <v>236</v>
      </c>
      <c r="E1703" s="116">
        <v>242</v>
      </c>
      <c r="F1703" s="116">
        <v>239.95</v>
      </c>
      <c r="G1703">
        <v>4581376</v>
      </c>
      <c r="H1703" s="116"/>
      <c r="I1703" s="116"/>
      <c r="L1703" s="170">
        <v>44512</v>
      </c>
      <c r="M1703" s="116">
        <v>239.85</v>
      </c>
      <c r="N1703" s="116">
        <v>242.4</v>
      </c>
      <c r="O1703" s="116">
        <v>236</v>
      </c>
      <c r="P1703" s="116">
        <v>242</v>
      </c>
      <c r="Q1703" s="116">
        <v>239.85</v>
      </c>
      <c r="R1703">
        <v>42038250</v>
      </c>
    </row>
    <row r="1704" spans="1:18" x14ac:dyDescent="0.25">
      <c r="A1704" s="170">
        <v>44515</v>
      </c>
      <c r="B1704" s="116">
        <v>244</v>
      </c>
      <c r="C1704" s="116">
        <v>241.65</v>
      </c>
      <c r="D1704" s="116">
        <v>239.45</v>
      </c>
      <c r="E1704" s="116">
        <v>242</v>
      </c>
      <c r="F1704" s="116">
        <v>241.65</v>
      </c>
      <c r="G1704">
        <v>4743354</v>
      </c>
      <c r="H1704" s="116"/>
      <c r="I1704" s="116"/>
      <c r="L1704" s="170">
        <v>44515</v>
      </c>
      <c r="M1704" s="116">
        <v>241.65</v>
      </c>
      <c r="N1704" s="116">
        <v>244</v>
      </c>
      <c r="O1704" s="116">
        <v>239.3</v>
      </c>
      <c r="P1704" s="116">
        <v>241.85</v>
      </c>
      <c r="Q1704" s="116">
        <v>241.65</v>
      </c>
      <c r="R1704">
        <v>32578602</v>
      </c>
    </row>
    <row r="1705" spans="1:18" x14ac:dyDescent="0.25">
      <c r="A1705" s="170">
        <v>44516</v>
      </c>
      <c r="B1705" s="116">
        <v>247.5</v>
      </c>
      <c r="C1705" s="116">
        <v>244.35</v>
      </c>
      <c r="D1705" s="116">
        <v>241.4</v>
      </c>
      <c r="E1705" s="116">
        <v>243.15</v>
      </c>
      <c r="F1705" s="116">
        <v>244.35</v>
      </c>
      <c r="G1705">
        <v>6035504</v>
      </c>
      <c r="H1705" s="116"/>
      <c r="I1705" s="116"/>
      <c r="L1705" s="170">
        <v>44516</v>
      </c>
      <c r="M1705" s="116">
        <v>244.5</v>
      </c>
      <c r="N1705" s="116">
        <v>247.65</v>
      </c>
      <c r="O1705" s="116">
        <v>241.5</v>
      </c>
      <c r="P1705" s="116">
        <v>242.15</v>
      </c>
      <c r="Q1705" s="116">
        <v>244.5</v>
      </c>
      <c r="R1705">
        <v>47776299</v>
      </c>
    </row>
    <row r="1706" spans="1:18" x14ac:dyDescent="0.25">
      <c r="A1706" s="170">
        <v>44517</v>
      </c>
      <c r="B1706" s="116">
        <v>252.5</v>
      </c>
      <c r="C1706" s="116">
        <v>249.9</v>
      </c>
      <c r="D1706" s="116">
        <v>243.15</v>
      </c>
      <c r="E1706" s="116">
        <v>245.9</v>
      </c>
      <c r="F1706" s="116">
        <v>249.9</v>
      </c>
      <c r="G1706">
        <v>4265570</v>
      </c>
      <c r="H1706" s="116"/>
      <c r="I1706" s="116"/>
      <c r="L1706" s="170">
        <v>44517</v>
      </c>
      <c r="M1706" s="116">
        <v>249.9</v>
      </c>
      <c r="N1706" s="116">
        <v>252.5</v>
      </c>
      <c r="O1706" s="116">
        <v>243</v>
      </c>
      <c r="P1706" s="116">
        <v>244.5</v>
      </c>
      <c r="Q1706" s="116">
        <v>249.9</v>
      </c>
      <c r="R1706">
        <v>58883464</v>
      </c>
    </row>
    <row r="1707" spans="1:18" x14ac:dyDescent="0.25">
      <c r="A1707" s="170">
        <v>44518</v>
      </c>
      <c r="B1707" s="116">
        <v>252.2</v>
      </c>
      <c r="C1707" s="116">
        <v>236.95</v>
      </c>
      <c r="D1707" s="116">
        <v>232.45</v>
      </c>
      <c r="E1707" s="116">
        <v>250.6</v>
      </c>
      <c r="F1707" s="116">
        <v>236.95</v>
      </c>
      <c r="G1707">
        <v>9489188</v>
      </c>
      <c r="H1707" s="116"/>
      <c r="I1707" s="116"/>
      <c r="L1707" s="170">
        <v>44518</v>
      </c>
      <c r="M1707" s="116">
        <v>237.1</v>
      </c>
      <c r="N1707" s="116">
        <v>252.05</v>
      </c>
      <c r="O1707" s="116">
        <v>232.45</v>
      </c>
      <c r="P1707" s="116">
        <v>250.4</v>
      </c>
      <c r="Q1707" s="116">
        <v>237.1</v>
      </c>
      <c r="R1707">
        <v>82052417</v>
      </c>
    </row>
    <row r="1708" spans="1:18" x14ac:dyDescent="0.25">
      <c r="A1708" s="170">
        <v>44522</v>
      </c>
      <c r="B1708" s="116">
        <v>239.9</v>
      </c>
      <c r="C1708" s="116">
        <v>227.6</v>
      </c>
      <c r="D1708" s="116">
        <v>224.15</v>
      </c>
      <c r="E1708" s="116">
        <v>239.9</v>
      </c>
      <c r="F1708" s="116">
        <v>227.6</v>
      </c>
      <c r="G1708">
        <v>5127972</v>
      </c>
      <c r="H1708" s="116"/>
      <c r="I1708" s="116"/>
      <c r="L1708" s="170">
        <v>44522</v>
      </c>
      <c r="M1708" s="116">
        <v>227.65</v>
      </c>
      <c r="N1708" s="116">
        <v>238.4</v>
      </c>
      <c r="O1708" s="116">
        <v>224</v>
      </c>
      <c r="P1708" s="116">
        <v>238.4</v>
      </c>
      <c r="Q1708" s="116">
        <v>227.65</v>
      </c>
      <c r="R1708">
        <v>62459802</v>
      </c>
    </row>
    <row r="1709" spans="1:18" x14ac:dyDescent="0.25">
      <c r="A1709" s="170">
        <v>44523</v>
      </c>
      <c r="B1709" s="116">
        <v>237.8</v>
      </c>
      <c r="C1709" s="116">
        <v>236.95</v>
      </c>
      <c r="D1709" s="116">
        <v>222.05</v>
      </c>
      <c r="E1709" s="116">
        <v>224.5</v>
      </c>
      <c r="F1709" s="116">
        <v>236.95</v>
      </c>
      <c r="G1709">
        <v>4419085</v>
      </c>
      <c r="H1709" s="116"/>
      <c r="I1709" s="116"/>
      <c r="L1709" s="170">
        <v>44523</v>
      </c>
      <c r="M1709" s="116">
        <v>236.95</v>
      </c>
      <c r="N1709" s="116">
        <v>238</v>
      </c>
      <c r="O1709" s="116">
        <v>222.2</v>
      </c>
      <c r="P1709" s="116">
        <v>223.95</v>
      </c>
      <c r="Q1709" s="116">
        <v>236.95</v>
      </c>
      <c r="R1709">
        <v>61158286</v>
      </c>
    </row>
    <row r="1710" spans="1:18" x14ac:dyDescent="0.25">
      <c r="A1710" s="170">
        <v>44524</v>
      </c>
      <c r="B1710" s="116">
        <v>246.65</v>
      </c>
      <c r="C1710" s="116">
        <v>238.9</v>
      </c>
      <c r="D1710" s="116">
        <v>237.45</v>
      </c>
      <c r="E1710" s="116">
        <v>240</v>
      </c>
      <c r="F1710" s="116">
        <v>238.9</v>
      </c>
      <c r="G1710">
        <v>5303429</v>
      </c>
      <c r="H1710" s="116"/>
      <c r="I1710" s="116"/>
      <c r="L1710" s="170">
        <v>44524</v>
      </c>
      <c r="M1710" s="116">
        <v>238.55</v>
      </c>
      <c r="N1710" s="116">
        <v>246.7</v>
      </c>
      <c r="O1710" s="116">
        <v>237.3</v>
      </c>
      <c r="P1710" s="116">
        <v>240</v>
      </c>
      <c r="Q1710" s="116">
        <v>238.55</v>
      </c>
      <c r="R1710">
        <v>67847218</v>
      </c>
    </row>
    <row r="1711" spans="1:18" x14ac:dyDescent="0.25">
      <c r="A1711" s="170">
        <v>44525</v>
      </c>
      <c r="B1711" s="116">
        <v>244.3</v>
      </c>
      <c r="C1711" s="116">
        <v>242.85</v>
      </c>
      <c r="D1711" s="116">
        <v>234</v>
      </c>
      <c r="E1711" s="116">
        <v>239.8</v>
      </c>
      <c r="F1711" s="116">
        <v>242.85</v>
      </c>
      <c r="G1711">
        <v>5243402</v>
      </c>
      <c r="H1711" s="116"/>
      <c r="I1711" s="116"/>
      <c r="L1711" s="170">
        <v>44525</v>
      </c>
      <c r="M1711" s="116">
        <v>242.8</v>
      </c>
      <c r="N1711" s="116">
        <v>244.4</v>
      </c>
      <c r="O1711" s="116">
        <v>234</v>
      </c>
      <c r="P1711" s="116">
        <v>239.45</v>
      </c>
      <c r="Q1711" s="116">
        <v>242.8</v>
      </c>
      <c r="R1711">
        <v>51777691</v>
      </c>
    </row>
    <row r="1712" spans="1:18" x14ac:dyDescent="0.25">
      <c r="A1712" s="170">
        <v>44526</v>
      </c>
      <c r="B1712" s="116">
        <v>240.25</v>
      </c>
      <c r="C1712" s="116">
        <v>227.3</v>
      </c>
      <c r="D1712" s="116">
        <v>225.85</v>
      </c>
      <c r="E1712" s="116">
        <v>237.55</v>
      </c>
      <c r="F1712" s="116">
        <v>227.3</v>
      </c>
      <c r="G1712">
        <v>9768642</v>
      </c>
      <c r="H1712" s="116"/>
      <c r="I1712" s="116"/>
      <c r="L1712" s="170">
        <v>44526</v>
      </c>
      <c r="M1712" s="116">
        <v>227.35</v>
      </c>
      <c r="N1712" s="116">
        <v>240.3</v>
      </c>
      <c r="O1712" s="116">
        <v>225.75</v>
      </c>
      <c r="P1712" s="116">
        <v>238</v>
      </c>
      <c r="Q1712" s="116">
        <v>227.35</v>
      </c>
      <c r="R1712">
        <v>80108784</v>
      </c>
    </row>
    <row r="1713" spans="1:18" x14ac:dyDescent="0.25">
      <c r="A1713" s="170">
        <v>44529</v>
      </c>
      <c r="B1713" s="116">
        <v>226.8</v>
      </c>
      <c r="C1713" s="116">
        <v>218.65</v>
      </c>
      <c r="D1713" s="116">
        <v>213.3</v>
      </c>
      <c r="E1713" s="116">
        <v>224.15</v>
      </c>
      <c r="F1713" s="116">
        <v>218.65</v>
      </c>
      <c r="G1713">
        <v>6911083</v>
      </c>
      <c r="H1713" s="116"/>
      <c r="I1713" s="116"/>
      <c r="L1713" s="170">
        <v>44529</v>
      </c>
      <c r="M1713" s="116">
        <v>218.65</v>
      </c>
      <c r="N1713" s="116">
        <v>226.75</v>
      </c>
      <c r="O1713" s="116">
        <v>213.25</v>
      </c>
      <c r="P1713" s="116">
        <v>226</v>
      </c>
      <c r="Q1713" s="116">
        <v>218.65</v>
      </c>
      <c r="R1713">
        <v>83187881</v>
      </c>
    </row>
    <row r="1714" spans="1:18" x14ac:dyDescent="0.25">
      <c r="A1714" s="170">
        <v>44530</v>
      </c>
      <c r="B1714" s="116">
        <v>228.2</v>
      </c>
      <c r="C1714" s="116">
        <v>216.8</v>
      </c>
      <c r="D1714" s="116">
        <v>213.2</v>
      </c>
      <c r="E1714" s="116">
        <v>222.5</v>
      </c>
      <c r="F1714" s="116">
        <v>216.8</v>
      </c>
      <c r="G1714">
        <v>8069591</v>
      </c>
      <c r="H1714" s="116"/>
      <c r="I1714" s="116"/>
      <c r="L1714" s="170">
        <v>44530</v>
      </c>
      <c r="M1714" s="116">
        <v>216.8</v>
      </c>
      <c r="N1714" s="116">
        <v>228.25</v>
      </c>
      <c r="O1714" s="116">
        <v>213.1</v>
      </c>
      <c r="P1714" s="116">
        <v>221.95</v>
      </c>
      <c r="Q1714" s="116">
        <v>216.8</v>
      </c>
      <c r="R1714">
        <v>222571262</v>
      </c>
    </row>
    <row r="1715" spans="1:18" x14ac:dyDescent="0.25">
      <c r="A1715" s="170">
        <v>44531</v>
      </c>
      <c r="B1715" s="116">
        <v>227.35</v>
      </c>
      <c r="C1715" s="116">
        <v>225.2</v>
      </c>
      <c r="D1715" s="116">
        <v>215.05</v>
      </c>
      <c r="E1715" s="116">
        <v>220</v>
      </c>
      <c r="F1715" s="116">
        <v>225.2</v>
      </c>
      <c r="G1715">
        <v>6494457</v>
      </c>
      <c r="H1715" s="116"/>
      <c r="I1715" s="116"/>
      <c r="L1715" s="170">
        <v>44531</v>
      </c>
      <c r="M1715" s="116">
        <v>225.2</v>
      </c>
      <c r="N1715" s="116">
        <v>227.3</v>
      </c>
      <c r="O1715" s="116">
        <v>215</v>
      </c>
      <c r="P1715" s="116">
        <v>220</v>
      </c>
      <c r="Q1715" s="116">
        <v>225.2</v>
      </c>
      <c r="R1715">
        <v>67127202</v>
      </c>
    </row>
    <row r="1716" spans="1:18" x14ac:dyDescent="0.25">
      <c r="A1716" s="170">
        <v>44532</v>
      </c>
      <c r="B1716" s="116">
        <v>231.9</v>
      </c>
      <c r="C1716" s="116">
        <v>226.35</v>
      </c>
      <c r="D1716" s="116">
        <v>221.25</v>
      </c>
      <c r="E1716" s="116">
        <v>231.9</v>
      </c>
      <c r="F1716" s="116">
        <v>226.35</v>
      </c>
      <c r="G1716">
        <v>5476547</v>
      </c>
      <c r="H1716" s="116"/>
      <c r="I1716" s="116"/>
      <c r="L1716" s="170">
        <v>44532</v>
      </c>
      <c r="M1716" s="116">
        <v>226.4</v>
      </c>
      <c r="N1716" s="116">
        <v>230.45</v>
      </c>
      <c r="O1716" s="116">
        <v>221.2</v>
      </c>
      <c r="P1716" s="116">
        <v>230.45</v>
      </c>
      <c r="Q1716" s="116">
        <v>226.4</v>
      </c>
      <c r="R1716">
        <v>78572738</v>
      </c>
    </row>
    <row r="1717" spans="1:18" x14ac:dyDescent="0.25">
      <c r="A1717" s="170">
        <v>44533</v>
      </c>
      <c r="B1717" s="116">
        <v>228.35</v>
      </c>
      <c r="C1717" s="116">
        <v>225.6</v>
      </c>
      <c r="D1717" s="116">
        <v>224.4</v>
      </c>
      <c r="E1717" s="116">
        <v>226.85</v>
      </c>
      <c r="F1717" s="116">
        <v>225.6</v>
      </c>
      <c r="G1717">
        <v>3057835</v>
      </c>
      <c r="H1717" s="116"/>
      <c r="I1717" s="116"/>
      <c r="L1717" s="170">
        <v>44533</v>
      </c>
      <c r="M1717" s="116">
        <v>225.6</v>
      </c>
      <c r="N1717" s="116">
        <v>228.3</v>
      </c>
      <c r="O1717" s="116">
        <v>224.35</v>
      </c>
      <c r="P1717" s="116">
        <v>226.8</v>
      </c>
      <c r="Q1717" s="116">
        <v>225.6</v>
      </c>
      <c r="R1717">
        <v>48145736</v>
      </c>
    </row>
    <row r="1718" spans="1:18" x14ac:dyDescent="0.25">
      <c r="A1718" s="170">
        <v>44536</v>
      </c>
      <c r="B1718" s="116">
        <v>226.5</v>
      </c>
      <c r="C1718" s="116">
        <v>220.9</v>
      </c>
      <c r="D1718" s="116">
        <v>220.2</v>
      </c>
      <c r="E1718" s="116">
        <v>225.3</v>
      </c>
      <c r="F1718" s="116">
        <v>220.9</v>
      </c>
      <c r="G1718">
        <v>3731831</v>
      </c>
      <c r="H1718" s="116"/>
      <c r="I1718" s="116"/>
      <c r="L1718" s="170">
        <v>44536</v>
      </c>
      <c r="M1718" s="116">
        <v>220.85</v>
      </c>
      <c r="N1718" s="116">
        <v>226.6</v>
      </c>
      <c r="O1718" s="116">
        <v>220.1</v>
      </c>
      <c r="P1718" s="116">
        <v>225.6</v>
      </c>
      <c r="Q1718" s="116">
        <v>220.85</v>
      </c>
      <c r="R1718">
        <v>34399066</v>
      </c>
    </row>
    <row r="1719" spans="1:18" x14ac:dyDescent="0.25">
      <c r="A1719" s="170">
        <v>44537</v>
      </c>
      <c r="B1719" s="116">
        <v>227.7</v>
      </c>
      <c r="C1719" s="116">
        <v>226.4</v>
      </c>
      <c r="D1719" s="116">
        <v>222.7</v>
      </c>
      <c r="E1719" s="116">
        <v>223.5</v>
      </c>
      <c r="F1719" s="116">
        <v>226.4</v>
      </c>
      <c r="G1719">
        <v>3388732</v>
      </c>
      <c r="H1719" s="116"/>
      <c r="I1719" s="116"/>
      <c r="L1719" s="170">
        <v>44537</v>
      </c>
      <c r="M1719" s="116">
        <v>226.45</v>
      </c>
      <c r="N1719" s="116">
        <v>227.75</v>
      </c>
      <c r="O1719" s="116">
        <v>222.75</v>
      </c>
      <c r="P1719" s="116">
        <v>224</v>
      </c>
      <c r="Q1719" s="116">
        <v>226.45</v>
      </c>
      <c r="R1719">
        <v>36287629</v>
      </c>
    </row>
    <row r="1720" spans="1:18" x14ac:dyDescent="0.25">
      <c r="A1720" s="170">
        <v>44538</v>
      </c>
      <c r="B1720" s="116">
        <v>230.8</v>
      </c>
      <c r="C1720" s="116">
        <v>229.35</v>
      </c>
      <c r="D1720" s="116">
        <v>227</v>
      </c>
      <c r="E1720" s="116">
        <v>228.35</v>
      </c>
      <c r="F1720" s="116">
        <v>229.35</v>
      </c>
      <c r="G1720">
        <v>2245675</v>
      </c>
      <c r="H1720" s="116"/>
      <c r="I1720" s="116"/>
      <c r="L1720" s="170">
        <v>44538</v>
      </c>
      <c r="M1720" s="116">
        <v>229.4</v>
      </c>
      <c r="N1720" s="116">
        <v>230.8</v>
      </c>
      <c r="O1720" s="116">
        <v>227</v>
      </c>
      <c r="P1720" s="116">
        <v>228</v>
      </c>
      <c r="Q1720" s="116">
        <v>229.4</v>
      </c>
      <c r="R1720">
        <v>30348053</v>
      </c>
    </row>
    <row r="1721" spans="1:18" x14ac:dyDescent="0.25">
      <c r="A1721" s="170">
        <v>44539</v>
      </c>
      <c r="B1721" s="116">
        <v>231</v>
      </c>
      <c r="C1721" s="116">
        <v>227.65</v>
      </c>
      <c r="D1721" s="116">
        <v>226.85</v>
      </c>
      <c r="E1721" s="116">
        <v>230</v>
      </c>
      <c r="F1721" s="116">
        <v>227.65</v>
      </c>
      <c r="G1721">
        <v>1891344</v>
      </c>
      <c r="H1721" s="116"/>
      <c r="I1721" s="116"/>
      <c r="L1721" s="170">
        <v>44539</v>
      </c>
      <c r="M1721" s="116">
        <v>227.7</v>
      </c>
      <c r="N1721" s="116">
        <v>230.9</v>
      </c>
      <c r="O1721" s="116">
        <v>226.8</v>
      </c>
      <c r="P1721" s="116">
        <v>229.9</v>
      </c>
      <c r="Q1721" s="116">
        <v>227.7</v>
      </c>
      <c r="R1721">
        <v>23516676</v>
      </c>
    </row>
    <row r="1722" spans="1:18" x14ac:dyDescent="0.25">
      <c r="A1722" s="170">
        <v>44540</v>
      </c>
      <c r="B1722" s="116">
        <v>229.8</v>
      </c>
      <c r="C1722" s="116">
        <v>227.85</v>
      </c>
      <c r="D1722" s="116">
        <v>225.5</v>
      </c>
      <c r="E1722" s="116">
        <v>226</v>
      </c>
      <c r="F1722" s="116">
        <v>227.85</v>
      </c>
      <c r="G1722">
        <v>1440460</v>
      </c>
      <c r="H1722" s="116"/>
      <c r="I1722" s="116"/>
      <c r="L1722" s="170">
        <v>44540</v>
      </c>
      <c r="M1722" s="116">
        <v>228</v>
      </c>
      <c r="N1722" s="116">
        <v>229.9</v>
      </c>
      <c r="O1722" s="116">
        <v>225.4</v>
      </c>
      <c r="P1722" s="116">
        <v>226.4</v>
      </c>
      <c r="Q1722" s="116">
        <v>228</v>
      </c>
      <c r="R1722">
        <v>26363105</v>
      </c>
    </row>
    <row r="1723" spans="1:18" x14ac:dyDescent="0.25">
      <c r="A1723" s="170">
        <v>44543</v>
      </c>
      <c r="B1723" s="116">
        <v>236.55</v>
      </c>
      <c r="C1723" s="116">
        <v>230.2</v>
      </c>
      <c r="D1723" s="116">
        <v>229.1</v>
      </c>
      <c r="E1723" s="116">
        <v>230.1</v>
      </c>
      <c r="F1723" s="116">
        <v>230.2</v>
      </c>
      <c r="G1723">
        <v>2606025</v>
      </c>
      <c r="H1723" s="116"/>
      <c r="I1723" s="116"/>
      <c r="L1723" s="170">
        <v>44543</v>
      </c>
      <c r="M1723" s="116">
        <v>230.25</v>
      </c>
      <c r="N1723" s="116">
        <v>236.5</v>
      </c>
      <c r="O1723" s="116">
        <v>229</v>
      </c>
      <c r="P1723" s="116">
        <v>230.1</v>
      </c>
      <c r="Q1723" s="116">
        <v>230.25</v>
      </c>
      <c r="R1723">
        <v>40382575</v>
      </c>
    </row>
    <row r="1724" spans="1:18" x14ac:dyDescent="0.25">
      <c r="A1724" s="170">
        <v>44544</v>
      </c>
      <c r="B1724" s="116">
        <v>230.4</v>
      </c>
      <c r="C1724" s="116">
        <v>229.05</v>
      </c>
      <c r="D1724" s="116">
        <v>225.65</v>
      </c>
      <c r="E1724" s="116">
        <v>230.4</v>
      </c>
      <c r="F1724" s="116">
        <v>229.05</v>
      </c>
      <c r="G1724">
        <v>1471113</v>
      </c>
      <c r="H1724" s="116"/>
      <c r="I1724" s="116"/>
      <c r="L1724" s="170">
        <v>44544</v>
      </c>
      <c r="M1724" s="116">
        <v>229.05</v>
      </c>
      <c r="N1724" s="116">
        <v>230</v>
      </c>
      <c r="O1724" s="116">
        <v>225.5</v>
      </c>
      <c r="P1724" s="116">
        <v>230</v>
      </c>
      <c r="Q1724" s="116">
        <v>229.05</v>
      </c>
      <c r="R1724">
        <v>24698002</v>
      </c>
    </row>
    <row r="1725" spans="1:18" x14ac:dyDescent="0.25">
      <c r="A1725" s="170">
        <v>44545</v>
      </c>
      <c r="B1725" s="116">
        <v>232.3</v>
      </c>
      <c r="C1725" s="116">
        <v>227.9</v>
      </c>
      <c r="D1725" s="116">
        <v>227</v>
      </c>
      <c r="E1725" s="116">
        <v>229.15</v>
      </c>
      <c r="F1725" s="116">
        <v>227.9</v>
      </c>
      <c r="G1725">
        <v>2402500</v>
      </c>
      <c r="H1725" s="116"/>
      <c r="I1725" s="116"/>
      <c r="L1725" s="170">
        <v>44545</v>
      </c>
      <c r="M1725" s="116">
        <v>227.85</v>
      </c>
      <c r="N1725" s="116">
        <v>232.4</v>
      </c>
      <c r="O1725" s="116">
        <v>227.05</v>
      </c>
      <c r="P1725" s="116">
        <v>229</v>
      </c>
      <c r="Q1725" s="116">
        <v>227.85</v>
      </c>
      <c r="R1725">
        <v>20127541</v>
      </c>
    </row>
    <row r="1726" spans="1:18" x14ac:dyDescent="0.25">
      <c r="A1726" s="170">
        <v>44546</v>
      </c>
      <c r="B1726" s="116">
        <v>230.15</v>
      </c>
      <c r="C1726" s="116">
        <v>221.95</v>
      </c>
      <c r="D1726" s="116">
        <v>219.25</v>
      </c>
      <c r="E1726" s="116">
        <v>230.1</v>
      </c>
      <c r="F1726" s="116">
        <v>221.95</v>
      </c>
      <c r="G1726">
        <v>4514077</v>
      </c>
      <c r="H1726" s="116"/>
      <c r="I1726" s="116"/>
      <c r="L1726" s="170">
        <v>44546</v>
      </c>
      <c r="M1726" s="116">
        <v>221.9</v>
      </c>
      <c r="N1726" s="116">
        <v>230.05</v>
      </c>
      <c r="O1726" s="116">
        <v>219.15</v>
      </c>
      <c r="P1726" s="116">
        <v>229.8</v>
      </c>
      <c r="Q1726" s="116">
        <v>221.9</v>
      </c>
      <c r="R1726">
        <v>40645402</v>
      </c>
    </row>
    <row r="1727" spans="1:18" x14ac:dyDescent="0.25">
      <c r="A1727" s="170">
        <v>44547</v>
      </c>
      <c r="B1727" s="116">
        <v>222.9</v>
      </c>
      <c r="C1727" s="116">
        <v>215.8</v>
      </c>
      <c r="D1727" s="116">
        <v>214</v>
      </c>
      <c r="E1727" s="116">
        <v>222.9</v>
      </c>
      <c r="F1727" s="116">
        <v>215.8</v>
      </c>
      <c r="G1727">
        <v>4688485</v>
      </c>
      <c r="H1727" s="116"/>
      <c r="I1727" s="116"/>
      <c r="L1727" s="170">
        <v>44547</v>
      </c>
      <c r="M1727" s="116">
        <v>215.8</v>
      </c>
      <c r="N1727" s="116">
        <v>222.7</v>
      </c>
      <c r="O1727" s="116">
        <v>214</v>
      </c>
      <c r="P1727" s="116">
        <v>222.7</v>
      </c>
      <c r="Q1727" s="116">
        <v>215.8</v>
      </c>
      <c r="R1727">
        <v>38813929</v>
      </c>
    </row>
    <row r="1728" spans="1:18" x14ac:dyDescent="0.25">
      <c r="A1728" s="170">
        <v>44550</v>
      </c>
      <c r="B1728" s="116">
        <v>211.85</v>
      </c>
      <c r="C1728" s="116">
        <v>209.1</v>
      </c>
      <c r="D1728" s="116">
        <v>202.8</v>
      </c>
      <c r="E1728" s="116">
        <v>210.65</v>
      </c>
      <c r="F1728" s="116">
        <v>209.1</v>
      </c>
      <c r="G1728">
        <v>6291941</v>
      </c>
      <c r="H1728" s="116"/>
      <c r="I1728" s="116"/>
      <c r="L1728" s="170">
        <v>44550</v>
      </c>
      <c r="M1728" s="116">
        <v>209.1</v>
      </c>
      <c r="N1728" s="116">
        <v>211.95</v>
      </c>
      <c r="O1728" s="116">
        <v>202.8</v>
      </c>
      <c r="P1728" s="116">
        <v>210.5</v>
      </c>
      <c r="Q1728" s="116">
        <v>209.1</v>
      </c>
      <c r="R1728">
        <v>47944121</v>
      </c>
    </row>
    <row r="1729" spans="1:18" x14ac:dyDescent="0.25">
      <c r="A1729" s="170">
        <v>44551</v>
      </c>
      <c r="B1729" s="116">
        <v>216.2</v>
      </c>
      <c r="C1729" s="116">
        <v>211.95</v>
      </c>
      <c r="D1729" s="116">
        <v>209.8</v>
      </c>
      <c r="E1729" s="116">
        <v>212.5</v>
      </c>
      <c r="F1729" s="116">
        <v>211.95</v>
      </c>
      <c r="G1729">
        <v>3266770</v>
      </c>
      <c r="H1729" s="116"/>
      <c r="I1729" s="116"/>
      <c r="L1729" s="170">
        <v>44551</v>
      </c>
      <c r="M1729" s="116">
        <v>211.9</v>
      </c>
      <c r="N1729" s="116">
        <v>216.25</v>
      </c>
      <c r="O1729" s="116">
        <v>209.85</v>
      </c>
      <c r="P1729" s="116">
        <v>213</v>
      </c>
      <c r="Q1729" s="116">
        <v>211.9</v>
      </c>
      <c r="R1729">
        <v>33006180</v>
      </c>
    </row>
    <row r="1730" spans="1:18" x14ac:dyDescent="0.25">
      <c r="A1730" s="170">
        <v>44552</v>
      </c>
      <c r="B1730" s="116">
        <v>218.55</v>
      </c>
      <c r="C1730" s="116">
        <v>218</v>
      </c>
      <c r="D1730" s="116">
        <v>212.9</v>
      </c>
      <c r="E1730" s="116">
        <v>214.95</v>
      </c>
      <c r="F1730" s="116">
        <v>218</v>
      </c>
      <c r="G1730">
        <v>2361123</v>
      </c>
      <c r="H1730" s="116"/>
      <c r="I1730" s="116"/>
      <c r="L1730" s="170">
        <v>44552</v>
      </c>
      <c r="M1730" s="116">
        <v>218</v>
      </c>
      <c r="N1730" s="116">
        <v>218.7</v>
      </c>
      <c r="O1730" s="116">
        <v>213.3</v>
      </c>
      <c r="P1730" s="116">
        <v>214.5</v>
      </c>
      <c r="Q1730" s="116">
        <v>218</v>
      </c>
      <c r="R1730">
        <v>21655596</v>
      </c>
    </row>
    <row r="1731" spans="1:18" x14ac:dyDescent="0.25">
      <c r="A1731" s="170">
        <v>44553</v>
      </c>
      <c r="B1731" s="116">
        <v>221.25</v>
      </c>
      <c r="C1731" s="116">
        <v>218</v>
      </c>
      <c r="D1731" s="116">
        <v>217.4</v>
      </c>
      <c r="E1731" s="116">
        <v>220.3</v>
      </c>
      <c r="F1731" s="116">
        <v>218</v>
      </c>
      <c r="G1731">
        <v>2020609</v>
      </c>
      <c r="H1731" s="116"/>
      <c r="I1731" s="116"/>
      <c r="L1731" s="170">
        <v>44553</v>
      </c>
      <c r="M1731" s="116">
        <v>218.05</v>
      </c>
      <c r="N1731" s="116">
        <v>221.25</v>
      </c>
      <c r="O1731" s="116">
        <v>217.45</v>
      </c>
      <c r="P1731" s="116">
        <v>220</v>
      </c>
      <c r="Q1731" s="116">
        <v>218.05</v>
      </c>
      <c r="R1731">
        <v>16940883</v>
      </c>
    </row>
    <row r="1732" spans="1:18" x14ac:dyDescent="0.25">
      <c r="A1732" s="170">
        <v>44554</v>
      </c>
      <c r="B1732" s="116">
        <v>219.45</v>
      </c>
      <c r="C1732" s="116">
        <v>216.85</v>
      </c>
      <c r="D1732" s="116">
        <v>214.15</v>
      </c>
      <c r="E1732" s="116">
        <v>219.4</v>
      </c>
      <c r="F1732" s="116">
        <v>216.85</v>
      </c>
      <c r="G1732">
        <v>1262336</v>
      </c>
      <c r="H1732" s="116"/>
      <c r="I1732" s="116"/>
      <c r="L1732" s="170">
        <v>44554</v>
      </c>
      <c r="M1732" s="116">
        <v>216.8</v>
      </c>
      <c r="N1732" s="116">
        <v>219.45</v>
      </c>
      <c r="O1732" s="116">
        <v>214.15</v>
      </c>
      <c r="P1732" s="116">
        <v>219.05</v>
      </c>
      <c r="Q1732" s="116">
        <v>216.8</v>
      </c>
      <c r="R1732">
        <v>18770416</v>
      </c>
    </row>
    <row r="1733" spans="1:18" x14ac:dyDescent="0.25">
      <c r="A1733" s="170">
        <v>44557</v>
      </c>
      <c r="B1733" s="116">
        <v>217.75</v>
      </c>
      <c r="C1733" s="116">
        <v>217.35</v>
      </c>
      <c r="D1733" s="116">
        <v>213.75</v>
      </c>
      <c r="E1733" s="116">
        <v>216.25</v>
      </c>
      <c r="F1733" s="116">
        <v>217.35</v>
      </c>
      <c r="G1733">
        <v>1938613</v>
      </c>
      <c r="H1733" s="116"/>
      <c r="I1733" s="116"/>
      <c r="L1733" s="170">
        <v>44557</v>
      </c>
      <c r="M1733" s="116">
        <v>217.35</v>
      </c>
      <c r="N1733" s="116">
        <v>217.75</v>
      </c>
      <c r="O1733" s="116">
        <v>213.8</v>
      </c>
      <c r="P1733" s="116">
        <v>216.6</v>
      </c>
      <c r="Q1733" s="116">
        <v>217.35</v>
      </c>
      <c r="R1733">
        <v>15870056</v>
      </c>
    </row>
    <row r="1734" spans="1:18" x14ac:dyDescent="0.25">
      <c r="A1734" s="170">
        <v>44558</v>
      </c>
      <c r="B1734" s="116">
        <v>222.2</v>
      </c>
      <c r="C1734" s="116">
        <v>221.55</v>
      </c>
      <c r="D1734" s="116">
        <v>218.3</v>
      </c>
      <c r="E1734" s="116">
        <v>219</v>
      </c>
      <c r="F1734" s="116">
        <v>221.55</v>
      </c>
      <c r="G1734">
        <v>2441962</v>
      </c>
      <c r="H1734" s="116"/>
      <c r="I1734" s="116"/>
      <c r="L1734" s="170">
        <v>44558</v>
      </c>
      <c r="M1734" s="116">
        <v>221.6</v>
      </c>
      <c r="N1734" s="116">
        <v>222.2</v>
      </c>
      <c r="O1734" s="116">
        <v>218.5</v>
      </c>
      <c r="P1734" s="116">
        <v>218.7</v>
      </c>
      <c r="Q1734" s="116">
        <v>221.6</v>
      </c>
      <c r="R1734">
        <v>19058757</v>
      </c>
    </row>
    <row r="1735" spans="1:18" x14ac:dyDescent="0.25">
      <c r="A1735" s="170">
        <v>44559</v>
      </c>
      <c r="B1735" s="116">
        <v>223.2</v>
      </c>
      <c r="C1735" s="116">
        <v>219.4</v>
      </c>
      <c r="D1735" s="116">
        <v>218.9</v>
      </c>
      <c r="E1735" s="116">
        <v>221.3</v>
      </c>
      <c r="F1735" s="116">
        <v>219.4</v>
      </c>
      <c r="G1735">
        <v>1087517</v>
      </c>
      <c r="H1735" s="116"/>
      <c r="I1735" s="116"/>
      <c r="L1735" s="170">
        <v>44559</v>
      </c>
      <c r="M1735" s="116">
        <v>219.45</v>
      </c>
      <c r="N1735" s="116">
        <v>223.25</v>
      </c>
      <c r="O1735" s="116">
        <v>218.85</v>
      </c>
      <c r="P1735" s="116">
        <v>221</v>
      </c>
      <c r="Q1735" s="116">
        <v>219.45</v>
      </c>
      <c r="R1735">
        <v>14504319</v>
      </c>
    </row>
    <row r="1736" spans="1:18" x14ac:dyDescent="0.25">
      <c r="A1736" s="170">
        <v>44560</v>
      </c>
      <c r="B1736" s="116">
        <v>221.05</v>
      </c>
      <c r="C1736" s="116">
        <v>218.35</v>
      </c>
      <c r="D1736" s="116">
        <v>217.1</v>
      </c>
      <c r="E1736" s="116">
        <v>219.15</v>
      </c>
      <c r="F1736" s="116">
        <v>218.35</v>
      </c>
      <c r="G1736">
        <v>972100</v>
      </c>
      <c r="H1736" s="116"/>
      <c r="I1736" s="116"/>
      <c r="L1736" s="170">
        <v>44560</v>
      </c>
      <c r="M1736" s="116">
        <v>218.35</v>
      </c>
      <c r="N1736" s="116">
        <v>221</v>
      </c>
      <c r="O1736" s="116">
        <v>217.05</v>
      </c>
      <c r="P1736" s="116">
        <v>218.7</v>
      </c>
      <c r="Q1736" s="116">
        <v>218.35</v>
      </c>
      <c r="R1736">
        <v>14315067</v>
      </c>
    </row>
    <row r="1737" spans="1:18" x14ac:dyDescent="0.25">
      <c r="A1737" s="170">
        <v>44561</v>
      </c>
      <c r="B1737" s="116">
        <v>221.95</v>
      </c>
      <c r="C1737" s="116">
        <v>220.9</v>
      </c>
      <c r="D1737" s="116">
        <v>218.4</v>
      </c>
      <c r="E1737" s="116">
        <v>218.55</v>
      </c>
      <c r="F1737" s="116">
        <v>220.9</v>
      </c>
      <c r="G1737">
        <v>1636408</v>
      </c>
      <c r="H1737" s="116"/>
      <c r="I1737" s="116"/>
      <c r="L1737" s="170">
        <v>44561</v>
      </c>
      <c r="M1737" s="116">
        <v>220.95</v>
      </c>
      <c r="N1737" s="116">
        <v>222</v>
      </c>
      <c r="O1737" s="116">
        <v>218.35</v>
      </c>
      <c r="P1737" s="116">
        <v>218.9</v>
      </c>
      <c r="Q1737" s="116">
        <v>220.95</v>
      </c>
      <c r="R1737">
        <v>12737974</v>
      </c>
    </row>
    <row r="1738" spans="1:18" x14ac:dyDescent="0.25">
      <c r="A1738" s="170">
        <v>44564</v>
      </c>
      <c r="B1738" s="116">
        <v>223.95</v>
      </c>
      <c r="C1738" s="116">
        <v>223.35</v>
      </c>
      <c r="D1738" s="116">
        <v>216.1</v>
      </c>
      <c r="E1738" s="116">
        <v>221.4</v>
      </c>
      <c r="F1738" s="116">
        <v>223.35</v>
      </c>
      <c r="G1738">
        <v>1187486</v>
      </c>
      <c r="H1738" s="116"/>
      <c r="I1738" s="116"/>
      <c r="L1738" s="170">
        <v>44564</v>
      </c>
      <c r="M1738" s="116">
        <v>223.4</v>
      </c>
      <c r="N1738" s="116">
        <v>223.9</v>
      </c>
      <c r="O1738" s="116">
        <v>216</v>
      </c>
      <c r="P1738" s="116">
        <v>221.2</v>
      </c>
      <c r="Q1738" s="116">
        <v>223.4</v>
      </c>
      <c r="R1738">
        <v>19062825</v>
      </c>
    </row>
    <row r="1739" spans="1:18" x14ac:dyDescent="0.25">
      <c r="A1739" s="170">
        <v>44565</v>
      </c>
      <c r="B1739" s="116">
        <v>228.4</v>
      </c>
      <c r="C1739" s="116">
        <v>226.25</v>
      </c>
      <c r="D1739" s="116">
        <v>221</v>
      </c>
      <c r="E1739" s="116">
        <v>224.8</v>
      </c>
      <c r="F1739" s="116">
        <v>226.25</v>
      </c>
      <c r="G1739">
        <v>1835881</v>
      </c>
      <c r="H1739" s="116"/>
      <c r="I1739" s="116"/>
      <c r="L1739" s="170">
        <v>44565</v>
      </c>
      <c r="M1739" s="116">
        <v>226.3</v>
      </c>
      <c r="N1739" s="116">
        <v>228.25</v>
      </c>
      <c r="O1739" s="116">
        <v>221</v>
      </c>
      <c r="P1739" s="116">
        <v>224.3</v>
      </c>
      <c r="Q1739" s="116">
        <v>226.3</v>
      </c>
      <c r="R1739">
        <v>32469988</v>
      </c>
    </row>
    <row r="1740" spans="1:18" x14ac:dyDescent="0.25">
      <c r="A1740" s="170">
        <v>44566</v>
      </c>
      <c r="B1740" s="116">
        <v>226.65</v>
      </c>
      <c r="C1740" s="116">
        <v>223.55</v>
      </c>
      <c r="D1740" s="116">
        <v>223.05</v>
      </c>
      <c r="E1740" s="116">
        <v>226.3</v>
      </c>
      <c r="F1740" s="116">
        <v>223.55</v>
      </c>
      <c r="G1740">
        <v>1253469</v>
      </c>
      <c r="H1740" s="116"/>
      <c r="I1740" s="116"/>
      <c r="L1740" s="170">
        <v>44566</v>
      </c>
      <c r="M1740" s="116">
        <v>223.5</v>
      </c>
      <c r="N1740" s="116">
        <v>226.55</v>
      </c>
      <c r="O1740" s="116">
        <v>223</v>
      </c>
      <c r="P1740" s="116">
        <v>226.4</v>
      </c>
      <c r="Q1740" s="116">
        <v>223.5</v>
      </c>
      <c r="R1740">
        <v>17271276</v>
      </c>
    </row>
    <row r="1741" spans="1:18" x14ac:dyDescent="0.25">
      <c r="A1741" s="170">
        <v>44567</v>
      </c>
      <c r="B1741" s="116">
        <v>229.7</v>
      </c>
      <c r="C1741" s="116">
        <v>228.4</v>
      </c>
      <c r="D1741" s="116">
        <v>219.7</v>
      </c>
      <c r="E1741" s="116">
        <v>220.2</v>
      </c>
      <c r="F1741" s="116">
        <v>228.4</v>
      </c>
      <c r="G1741">
        <v>3582629</v>
      </c>
      <c r="H1741" s="116"/>
      <c r="I1741" s="116"/>
      <c r="L1741" s="170">
        <v>44567</v>
      </c>
      <c r="M1741" s="116">
        <v>228.45</v>
      </c>
      <c r="N1741" s="116">
        <v>229.8</v>
      </c>
      <c r="O1741" s="116">
        <v>219.5</v>
      </c>
      <c r="P1741" s="116">
        <v>221.45</v>
      </c>
      <c r="Q1741" s="116">
        <v>228.45</v>
      </c>
      <c r="R1741">
        <v>27537005</v>
      </c>
    </row>
    <row r="1742" spans="1:18" x14ac:dyDescent="0.25">
      <c r="A1742" s="170">
        <v>44568</v>
      </c>
      <c r="B1742" s="116">
        <v>232.9</v>
      </c>
      <c r="C1742" s="116">
        <v>229.7</v>
      </c>
      <c r="D1742" s="116">
        <v>227.15</v>
      </c>
      <c r="E1742" s="116">
        <v>230.5</v>
      </c>
      <c r="F1742" s="116">
        <v>229.7</v>
      </c>
      <c r="G1742">
        <v>2133329</v>
      </c>
      <c r="H1742" s="116"/>
      <c r="I1742" s="116"/>
      <c r="L1742" s="170">
        <v>44568</v>
      </c>
      <c r="M1742" s="116">
        <v>229.8</v>
      </c>
      <c r="N1742" s="116">
        <v>232.85</v>
      </c>
      <c r="O1742" s="116">
        <v>227.1</v>
      </c>
      <c r="P1742" s="116">
        <v>230.3</v>
      </c>
      <c r="Q1742" s="116">
        <v>229.8</v>
      </c>
      <c r="R1742">
        <v>34595209</v>
      </c>
    </row>
    <row r="1743" spans="1:18" x14ac:dyDescent="0.25">
      <c r="A1743" s="170">
        <v>44571</v>
      </c>
      <c r="B1743" s="116">
        <v>233.45</v>
      </c>
      <c r="C1743" s="116">
        <v>231.7</v>
      </c>
      <c r="D1743" s="116">
        <v>230.4</v>
      </c>
      <c r="E1743" s="116">
        <v>231.3</v>
      </c>
      <c r="F1743" s="116">
        <v>231.7</v>
      </c>
      <c r="G1743">
        <v>1451869</v>
      </c>
      <c r="H1743" s="116"/>
      <c r="I1743" s="116"/>
      <c r="L1743" s="170">
        <v>44571</v>
      </c>
      <c r="M1743" s="116">
        <v>231.75</v>
      </c>
      <c r="N1743" s="116">
        <v>233.45</v>
      </c>
      <c r="O1743" s="116">
        <v>230.4</v>
      </c>
      <c r="P1743" s="116">
        <v>230.95</v>
      </c>
      <c r="Q1743" s="116">
        <v>231.75</v>
      </c>
      <c r="R1743">
        <v>22061859</v>
      </c>
    </row>
    <row r="1744" spans="1:18" x14ac:dyDescent="0.25">
      <c r="A1744" s="170">
        <v>44572</v>
      </c>
      <c r="B1744" s="116">
        <v>236.7</v>
      </c>
      <c r="C1744" s="116">
        <v>233.1</v>
      </c>
      <c r="D1744" s="116">
        <v>231.9</v>
      </c>
      <c r="E1744" s="116">
        <v>233</v>
      </c>
      <c r="F1744" s="116">
        <v>233.1</v>
      </c>
      <c r="G1744">
        <v>1851461</v>
      </c>
      <c r="H1744" s="116"/>
      <c r="I1744" s="116"/>
      <c r="L1744" s="170">
        <v>44572</v>
      </c>
      <c r="M1744" s="116">
        <v>233.1</v>
      </c>
      <c r="N1744" s="116">
        <v>236.7</v>
      </c>
      <c r="O1744" s="116">
        <v>231.8</v>
      </c>
      <c r="P1744" s="116">
        <v>233</v>
      </c>
      <c r="Q1744" s="116">
        <v>233.1</v>
      </c>
      <c r="R1744">
        <v>25489182</v>
      </c>
    </row>
    <row r="1745" spans="1:18" x14ac:dyDescent="0.25">
      <c r="A1745" s="170">
        <v>44573</v>
      </c>
      <c r="B1745" s="116">
        <v>239.6</v>
      </c>
      <c r="C1745" s="116">
        <v>237.65</v>
      </c>
      <c r="D1745" s="116">
        <v>234.35</v>
      </c>
      <c r="E1745" s="116">
        <v>235.1</v>
      </c>
      <c r="F1745" s="116">
        <v>237.65</v>
      </c>
      <c r="G1745">
        <v>3518599</v>
      </c>
      <c r="H1745" s="116"/>
      <c r="I1745" s="116"/>
      <c r="L1745" s="170">
        <v>44573</v>
      </c>
      <c r="M1745" s="116">
        <v>237.75</v>
      </c>
      <c r="N1745" s="116">
        <v>239.65</v>
      </c>
      <c r="O1745" s="116">
        <v>234.5</v>
      </c>
      <c r="P1745" s="116">
        <v>234.9</v>
      </c>
      <c r="Q1745" s="116">
        <v>237.75</v>
      </c>
      <c r="R1745">
        <v>32665403</v>
      </c>
    </row>
    <row r="1746" spans="1:18" x14ac:dyDescent="0.25">
      <c r="A1746" s="170">
        <v>44574</v>
      </c>
      <c r="B1746" s="116">
        <v>246.6</v>
      </c>
      <c r="C1746" s="116">
        <v>245.25</v>
      </c>
      <c r="D1746" s="116">
        <v>236.5</v>
      </c>
      <c r="E1746" s="116">
        <v>239.2</v>
      </c>
      <c r="F1746" s="116">
        <v>245.25</v>
      </c>
      <c r="G1746">
        <v>3579481</v>
      </c>
      <c r="H1746" s="116"/>
      <c r="I1746" s="116"/>
      <c r="L1746" s="170">
        <v>44574</v>
      </c>
      <c r="M1746" s="116">
        <v>245.3</v>
      </c>
      <c r="N1746" s="116">
        <v>246.7</v>
      </c>
      <c r="O1746" s="116">
        <v>236.5</v>
      </c>
      <c r="P1746" s="116">
        <v>239</v>
      </c>
      <c r="Q1746" s="116">
        <v>245.3</v>
      </c>
      <c r="R1746">
        <v>50250827</v>
      </c>
    </row>
    <row r="1747" spans="1:18" x14ac:dyDescent="0.25">
      <c r="A1747" s="170">
        <v>44575</v>
      </c>
      <c r="B1747" s="116">
        <v>248.5</v>
      </c>
      <c r="C1747" s="116">
        <v>244.2</v>
      </c>
      <c r="D1747" s="116">
        <v>242.5</v>
      </c>
      <c r="E1747" s="116">
        <v>243.95</v>
      </c>
      <c r="F1747" s="116">
        <v>244.2</v>
      </c>
      <c r="G1747">
        <v>2250623</v>
      </c>
      <c r="H1747" s="116"/>
      <c r="I1747" s="116"/>
      <c r="L1747" s="170">
        <v>44575</v>
      </c>
      <c r="M1747" s="116">
        <v>244.4</v>
      </c>
      <c r="N1747" s="116">
        <v>248.5</v>
      </c>
      <c r="O1747" s="116">
        <v>242.5</v>
      </c>
      <c r="P1747" s="116">
        <v>243.7</v>
      </c>
      <c r="Q1747" s="116">
        <v>244.4</v>
      </c>
      <c r="R1747">
        <v>36940487</v>
      </c>
    </row>
    <row r="1748" spans="1:18" x14ac:dyDescent="0.25">
      <c r="A1748" s="170">
        <v>44578</v>
      </c>
      <c r="B1748" s="116">
        <v>249.25</v>
      </c>
      <c r="C1748" s="116">
        <v>247.85</v>
      </c>
      <c r="D1748" s="116">
        <v>245.2</v>
      </c>
      <c r="E1748" s="116">
        <v>245.95</v>
      </c>
      <c r="F1748" s="116">
        <v>247.85</v>
      </c>
      <c r="G1748">
        <v>1545585</v>
      </c>
      <c r="H1748" s="116"/>
      <c r="I1748" s="116"/>
      <c r="L1748" s="170">
        <v>44578</v>
      </c>
      <c r="M1748" s="116">
        <v>247.85</v>
      </c>
      <c r="N1748" s="116">
        <v>249.25</v>
      </c>
      <c r="O1748" s="116">
        <v>245</v>
      </c>
      <c r="P1748" s="116">
        <v>245.9</v>
      </c>
      <c r="Q1748" s="116">
        <v>247.85</v>
      </c>
      <c r="R1748">
        <v>25339181</v>
      </c>
    </row>
    <row r="1749" spans="1:18" x14ac:dyDescent="0.25">
      <c r="A1749" s="170">
        <v>44579</v>
      </c>
      <c r="B1749" s="116">
        <v>250.6</v>
      </c>
      <c r="C1749" s="116">
        <v>239.05</v>
      </c>
      <c r="D1749" s="116">
        <v>237.85</v>
      </c>
      <c r="E1749" s="116">
        <v>250.2</v>
      </c>
      <c r="F1749" s="116">
        <v>239.05</v>
      </c>
      <c r="G1749">
        <v>4163832</v>
      </c>
      <c r="H1749" s="116"/>
      <c r="I1749" s="116"/>
      <c r="L1749" s="170">
        <v>44579</v>
      </c>
      <c r="M1749" s="116">
        <v>239.1</v>
      </c>
      <c r="N1749" s="116">
        <v>250.6</v>
      </c>
      <c r="O1749" s="116">
        <v>237.8</v>
      </c>
      <c r="P1749" s="116">
        <v>250</v>
      </c>
      <c r="Q1749" s="116">
        <v>239.1</v>
      </c>
      <c r="R1749">
        <v>30408196</v>
      </c>
    </row>
    <row r="1750" spans="1:18" x14ac:dyDescent="0.25">
      <c r="A1750" s="170">
        <v>44580</v>
      </c>
      <c r="B1750" s="116">
        <v>249.75</v>
      </c>
      <c r="C1750" s="116">
        <v>248.5</v>
      </c>
      <c r="D1750" s="116">
        <v>236.35</v>
      </c>
      <c r="E1750" s="116">
        <v>238.65</v>
      </c>
      <c r="F1750" s="116">
        <v>248.5</v>
      </c>
      <c r="G1750">
        <v>2745734</v>
      </c>
      <c r="H1750" s="116"/>
      <c r="I1750" s="116"/>
      <c r="L1750" s="170">
        <v>44580</v>
      </c>
      <c r="M1750" s="116">
        <v>248.5</v>
      </c>
      <c r="N1750" s="116">
        <v>249.7</v>
      </c>
      <c r="O1750" s="116">
        <v>236.05</v>
      </c>
      <c r="P1750" s="116">
        <v>239</v>
      </c>
      <c r="Q1750" s="116">
        <v>248.5</v>
      </c>
      <c r="R1750">
        <v>36751594</v>
      </c>
    </row>
    <row r="1751" spans="1:18" x14ac:dyDescent="0.25">
      <c r="A1751" s="170">
        <v>44581</v>
      </c>
      <c r="B1751" s="116">
        <v>252.05</v>
      </c>
      <c r="C1751" s="116">
        <v>248.65</v>
      </c>
      <c r="D1751" s="116">
        <v>245.2</v>
      </c>
      <c r="E1751" s="116">
        <v>250</v>
      </c>
      <c r="F1751" s="116">
        <v>248.65</v>
      </c>
      <c r="G1751">
        <v>3993976</v>
      </c>
      <c r="H1751" s="116"/>
      <c r="I1751" s="116"/>
      <c r="L1751" s="170">
        <v>44581</v>
      </c>
      <c r="M1751" s="116">
        <v>248.65</v>
      </c>
      <c r="N1751" s="116">
        <v>252.15</v>
      </c>
      <c r="O1751" s="116">
        <v>245.15</v>
      </c>
      <c r="P1751" s="116">
        <v>250</v>
      </c>
      <c r="Q1751" s="116">
        <v>248.65</v>
      </c>
      <c r="R1751">
        <v>35990609</v>
      </c>
    </row>
    <row r="1752" spans="1:18" x14ac:dyDescent="0.25">
      <c r="A1752" s="170">
        <v>44582</v>
      </c>
      <c r="B1752" s="116">
        <v>250.75</v>
      </c>
      <c r="C1752" s="116">
        <v>242.05</v>
      </c>
      <c r="D1752" s="116">
        <v>238.55</v>
      </c>
      <c r="E1752" s="116">
        <v>245.55</v>
      </c>
      <c r="F1752" s="116">
        <v>242.05</v>
      </c>
      <c r="G1752">
        <v>3983061</v>
      </c>
      <c r="H1752" s="116"/>
      <c r="I1752" s="116"/>
      <c r="L1752" s="170">
        <v>44582</v>
      </c>
      <c r="M1752" s="116">
        <v>241.95</v>
      </c>
      <c r="N1752" s="116">
        <v>250.8</v>
      </c>
      <c r="O1752" s="116">
        <v>238.55</v>
      </c>
      <c r="P1752" s="116">
        <v>245.8</v>
      </c>
      <c r="Q1752" s="116">
        <v>241.95</v>
      </c>
      <c r="R1752">
        <v>35507032</v>
      </c>
    </row>
    <row r="1753" spans="1:18" x14ac:dyDescent="0.25">
      <c r="A1753" s="170">
        <v>44585</v>
      </c>
      <c r="B1753" s="116">
        <v>243.85</v>
      </c>
      <c r="C1753" s="116">
        <v>229.55</v>
      </c>
      <c r="D1753" s="116">
        <v>226.7</v>
      </c>
      <c r="E1753" s="116">
        <v>242.1</v>
      </c>
      <c r="F1753" s="116">
        <v>229.55</v>
      </c>
      <c r="G1753">
        <v>6200425</v>
      </c>
      <c r="H1753" s="116"/>
      <c r="I1753" s="116"/>
      <c r="L1753" s="170">
        <v>44585</v>
      </c>
      <c r="M1753" s="116">
        <v>229.55</v>
      </c>
      <c r="N1753" s="116">
        <v>243.85</v>
      </c>
      <c r="O1753" s="116">
        <v>226.6</v>
      </c>
      <c r="P1753" s="116">
        <v>242.5</v>
      </c>
      <c r="Q1753" s="116">
        <v>229.55</v>
      </c>
      <c r="R1753">
        <v>43279408</v>
      </c>
    </row>
    <row r="1754" spans="1:18" x14ac:dyDescent="0.25">
      <c r="A1754" s="170">
        <v>44586</v>
      </c>
      <c r="B1754" s="116">
        <v>240.85</v>
      </c>
      <c r="C1754" s="116">
        <v>238.85</v>
      </c>
      <c r="D1754" s="116">
        <v>222.8</v>
      </c>
      <c r="E1754" s="116">
        <v>226.05</v>
      </c>
      <c r="F1754" s="116">
        <v>238.85</v>
      </c>
      <c r="G1754">
        <v>4610573</v>
      </c>
      <c r="H1754" s="116"/>
      <c r="I1754" s="116"/>
      <c r="L1754" s="170">
        <v>44586</v>
      </c>
      <c r="M1754" s="116">
        <v>238.8</v>
      </c>
      <c r="N1754" s="116">
        <v>240.85</v>
      </c>
      <c r="O1754" s="116">
        <v>223</v>
      </c>
      <c r="P1754" s="116">
        <v>226.25</v>
      </c>
      <c r="Q1754" s="116">
        <v>238.8</v>
      </c>
      <c r="R1754">
        <v>39449718</v>
      </c>
    </row>
    <row r="1755" spans="1:18" x14ac:dyDescent="0.25">
      <c r="A1755" s="170">
        <v>44588</v>
      </c>
      <c r="B1755" s="116">
        <v>242.25</v>
      </c>
      <c r="C1755" s="116">
        <v>241.05</v>
      </c>
      <c r="D1755" s="116">
        <v>232.65</v>
      </c>
      <c r="E1755" s="116">
        <v>235.6</v>
      </c>
      <c r="F1755" s="116">
        <v>241.05</v>
      </c>
      <c r="G1755">
        <v>4014337</v>
      </c>
      <c r="H1755" s="116"/>
      <c r="I1755" s="116"/>
      <c r="L1755" s="170">
        <v>44588</v>
      </c>
      <c r="M1755" s="116">
        <v>241.05</v>
      </c>
      <c r="N1755" s="116">
        <v>242.35</v>
      </c>
      <c r="O1755" s="116">
        <v>232.5</v>
      </c>
      <c r="P1755" s="116">
        <v>235.5</v>
      </c>
      <c r="Q1755" s="116">
        <v>241.05</v>
      </c>
      <c r="R1755">
        <v>35920383</v>
      </c>
    </row>
    <row r="1756" spans="1:18" x14ac:dyDescent="0.25">
      <c r="A1756" s="170">
        <v>44589</v>
      </c>
      <c r="B1756" s="116">
        <v>249.9</v>
      </c>
      <c r="C1756" s="116">
        <v>244.05</v>
      </c>
      <c r="D1756" s="116">
        <v>242.9</v>
      </c>
      <c r="E1756" s="116">
        <v>244.3</v>
      </c>
      <c r="F1756" s="116">
        <v>244.05</v>
      </c>
      <c r="G1756">
        <v>3940148</v>
      </c>
      <c r="H1756" s="116"/>
      <c r="I1756" s="116"/>
      <c r="L1756" s="170">
        <v>44589</v>
      </c>
      <c r="M1756" s="116">
        <v>244.05</v>
      </c>
      <c r="N1756" s="116">
        <v>250</v>
      </c>
      <c r="O1756" s="116">
        <v>242.85</v>
      </c>
      <c r="P1756" s="116">
        <v>244.7</v>
      </c>
      <c r="Q1756" s="116">
        <v>244.05</v>
      </c>
      <c r="R1756">
        <v>34523855</v>
      </c>
    </row>
    <row r="1757" spans="1:18" x14ac:dyDescent="0.25">
      <c r="A1757" s="170">
        <v>44592</v>
      </c>
      <c r="B1757" s="116">
        <v>249.5</v>
      </c>
      <c r="C1757" s="116">
        <v>246.05</v>
      </c>
      <c r="D1757" s="116">
        <v>245.25</v>
      </c>
      <c r="E1757" s="116">
        <v>247.9</v>
      </c>
      <c r="F1757" s="116">
        <v>246.05</v>
      </c>
      <c r="G1757">
        <v>2895927</v>
      </c>
      <c r="H1757" s="116"/>
      <c r="I1757" s="116"/>
      <c r="L1757" s="170">
        <v>44592</v>
      </c>
      <c r="M1757" s="116">
        <v>246.05</v>
      </c>
      <c r="N1757" s="116">
        <v>249.55</v>
      </c>
      <c r="O1757" s="116">
        <v>245.3</v>
      </c>
      <c r="P1757" s="116">
        <v>247.95</v>
      </c>
      <c r="Q1757" s="116">
        <v>246.05</v>
      </c>
      <c r="R1757">
        <v>24939671</v>
      </c>
    </row>
    <row r="1758" spans="1:18" x14ac:dyDescent="0.25">
      <c r="A1758" s="170">
        <v>44593</v>
      </c>
      <c r="B1758" s="116">
        <v>256.3</v>
      </c>
      <c r="C1758" s="116">
        <v>249.8</v>
      </c>
      <c r="D1758" s="116">
        <v>244.7</v>
      </c>
      <c r="E1758" s="116">
        <v>249.9</v>
      </c>
      <c r="F1758" s="116">
        <v>249.8</v>
      </c>
      <c r="G1758">
        <v>8929863</v>
      </c>
      <c r="H1758" s="116"/>
      <c r="I1758" s="116"/>
      <c r="L1758" s="170">
        <v>44593</v>
      </c>
      <c r="M1758" s="116">
        <v>249.85</v>
      </c>
      <c r="N1758" s="116">
        <v>256.39999999999998</v>
      </c>
      <c r="O1758" s="116">
        <v>244.8</v>
      </c>
      <c r="P1758" s="116">
        <v>249.5</v>
      </c>
      <c r="Q1758" s="116">
        <v>249.85</v>
      </c>
      <c r="R1758">
        <v>74185275</v>
      </c>
    </row>
    <row r="1759" spans="1:18" x14ac:dyDescent="0.25">
      <c r="A1759" s="170">
        <v>44594</v>
      </c>
      <c r="B1759" s="116">
        <v>255</v>
      </c>
      <c r="C1759" s="116">
        <v>250.6</v>
      </c>
      <c r="D1759" s="116">
        <v>249.3</v>
      </c>
      <c r="E1759" s="116">
        <v>251.9</v>
      </c>
      <c r="F1759" s="116">
        <v>250.6</v>
      </c>
      <c r="G1759">
        <v>1929770</v>
      </c>
      <c r="H1759" s="116"/>
      <c r="I1759" s="116"/>
      <c r="L1759" s="170">
        <v>44594</v>
      </c>
      <c r="M1759" s="116">
        <v>250.6</v>
      </c>
      <c r="N1759" s="116">
        <v>255</v>
      </c>
      <c r="O1759" s="116">
        <v>249.25</v>
      </c>
      <c r="P1759" s="116">
        <v>251.9</v>
      </c>
      <c r="Q1759" s="116">
        <v>250.6</v>
      </c>
      <c r="R1759">
        <v>25162901</v>
      </c>
    </row>
    <row r="1760" spans="1:18" x14ac:dyDescent="0.25">
      <c r="A1760" s="170">
        <v>44595</v>
      </c>
      <c r="B1760" s="116">
        <v>254.3</v>
      </c>
      <c r="C1760" s="116">
        <v>252.85</v>
      </c>
      <c r="D1760" s="116">
        <v>249.3</v>
      </c>
      <c r="E1760" s="116">
        <v>250.85</v>
      </c>
      <c r="F1760" s="116">
        <v>252.85</v>
      </c>
      <c r="G1760">
        <v>3307431</v>
      </c>
      <c r="H1760" s="116"/>
      <c r="I1760" s="116"/>
      <c r="L1760" s="170">
        <v>44595</v>
      </c>
      <c r="M1760" s="116">
        <v>252.85</v>
      </c>
      <c r="N1760" s="116">
        <v>254.4</v>
      </c>
      <c r="O1760" s="116">
        <v>249.3</v>
      </c>
      <c r="P1760" s="116">
        <v>250.55</v>
      </c>
      <c r="Q1760" s="116">
        <v>252.85</v>
      </c>
      <c r="R1760">
        <v>27724870</v>
      </c>
    </row>
    <row r="1761" spans="1:18" x14ac:dyDescent="0.25">
      <c r="A1761" s="170">
        <v>44596</v>
      </c>
      <c r="B1761" s="116">
        <v>257.85000000000002</v>
      </c>
      <c r="C1761" s="116">
        <v>254.35</v>
      </c>
      <c r="D1761" s="116">
        <v>253</v>
      </c>
      <c r="E1761" s="116">
        <v>253.5</v>
      </c>
      <c r="F1761" s="116">
        <v>254.35</v>
      </c>
      <c r="G1761">
        <v>4189835</v>
      </c>
      <c r="H1761" s="116"/>
      <c r="I1761" s="116"/>
      <c r="L1761" s="170">
        <v>44596</v>
      </c>
      <c r="M1761" s="116">
        <v>254.35</v>
      </c>
      <c r="N1761" s="116">
        <v>257.89999999999998</v>
      </c>
      <c r="O1761" s="116">
        <v>253</v>
      </c>
      <c r="P1761" s="116">
        <v>253.8</v>
      </c>
      <c r="Q1761" s="116">
        <v>254.35</v>
      </c>
      <c r="R1761">
        <v>39309420</v>
      </c>
    </row>
    <row r="1762" spans="1:18" x14ac:dyDescent="0.25">
      <c r="A1762" s="170">
        <v>44599</v>
      </c>
      <c r="B1762" s="116">
        <v>256.8</v>
      </c>
      <c r="C1762" s="116">
        <v>251.85</v>
      </c>
      <c r="D1762" s="116">
        <v>250.55</v>
      </c>
      <c r="E1762" s="116">
        <v>256.39999999999998</v>
      </c>
      <c r="F1762" s="116">
        <v>251.85</v>
      </c>
      <c r="G1762">
        <v>3327669</v>
      </c>
      <c r="H1762" s="116"/>
      <c r="I1762" s="116"/>
      <c r="L1762" s="170">
        <v>44599</v>
      </c>
      <c r="M1762" s="116">
        <v>251.8</v>
      </c>
      <c r="N1762" s="116">
        <v>256.7</v>
      </c>
      <c r="O1762" s="116">
        <v>250.55</v>
      </c>
      <c r="P1762" s="116">
        <v>255.5</v>
      </c>
      <c r="Q1762" s="116">
        <v>251.8</v>
      </c>
      <c r="R1762">
        <v>32770930</v>
      </c>
    </row>
    <row r="1763" spans="1:18" x14ac:dyDescent="0.25">
      <c r="A1763" s="170">
        <v>44600</v>
      </c>
      <c r="B1763" s="116">
        <v>253.75</v>
      </c>
      <c r="C1763" s="116">
        <v>234.75</v>
      </c>
      <c r="D1763" s="116">
        <v>232.7</v>
      </c>
      <c r="E1763" s="116">
        <v>252.7</v>
      </c>
      <c r="F1763" s="116">
        <v>234.75</v>
      </c>
      <c r="G1763">
        <v>8179436</v>
      </c>
      <c r="H1763" s="116"/>
      <c r="I1763" s="116"/>
      <c r="L1763" s="170">
        <v>44600</v>
      </c>
      <c r="M1763" s="116">
        <v>234.85</v>
      </c>
      <c r="N1763" s="116">
        <v>253.6</v>
      </c>
      <c r="O1763" s="116">
        <v>232.6</v>
      </c>
      <c r="P1763" s="116">
        <v>252.5</v>
      </c>
      <c r="Q1763" s="116">
        <v>234.85</v>
      </c>
      <c r="R1763">
        <v>82053977</v>
      </c>
    </row>
    <row r="1764" spans="1:18" x14ac:dyDescent="0.25">
      <c r="A1764" s="170">
        <v>44601</v>
      </c>
      <c r="B1764" s="116">
        <v>238.9</v>
      </c>
      <c r="C1764" s="116">
        <v>237.95</v>
      </c>
      <c r="D1764" s="116">
        <v>232.7</v>
      </c>
      <c r="E1764" s="116">
        <v>237.9</v>
      </c>
      <c r="F1764" s="116">
        <v>237.95</v>
      </c>
      <c r="G1764">
        <v>2758835</v>
      </c>
      <c r="H1764" s="116"/>
      <c r="I1764" s="116"/>
      <c r="L1764" s="170">
        <v>44601</v>
      </c>
      <c r="M1764" s="116">
        <v>238</v>
      </c>
      <c r="N1764" s="116">
        <v>238.9</v>
      </c>
      <c r="O1764" s="116">
        <v>232.6</v>
      </c>
      <c r="P1764" s="116">
        <v>236.7</v>
      </c>
      <c r="Q1764" s="116">
        <v>238</v>
      </c>
      <c r="R1764">
        <v>35604075</v>
      </c>
    </row>
    <row r="1765" spans="1:18" x14ac:dyDescent="0.25">
      <c r="A1765" s="170">
        <v>44602</v>
      </c>
      <c r="B1765" s="116">
        <v>244.45</v>
      </c>
      <c r="C1765" s="116">
        <v>241.3</v>
      </c>
      <c r="D1765" s="116">
        <v>234.2</v>
      </c>
      <c r="E1765" s="116">
        <v>238.9</v>
      </c>
      <c r="F1765" s="116">
        <v>241.3</v>
      </c>
      <c r="G1765">
        <v>2950494</v>
      </c>
      <c r="H1765" s="116"/>
      <c r="I1765" s="116"/>
      <c r="L1765" s="170">
        <v>44602</v>
      </c>
      <c r="M1765" s="116">
        <v>241.3</v>
      </c>
      <c r="N1765" s="116">
        <v>244.5</v>
      </c>
      <c r="O1765" s="116">
        <v>234.1</v>
      </c>
      <c r="P1765" s="116">
        <v>238.5</v>
      </c>
      <c r="Q1765" s="116">
        <v>241.3</v>
      </c>
      <c r="R1765">
        <v>55153254</v>
      </c>
    </row>
    <row r="1766" spans="1:18" x14ac:dyDescent="0.25">
      <c r="A1766" s="170">
        <v>44603</v>
      </c>
      <c r="B1766" s="116">
        <v>242</v>
      </c>
      <c r="C1766" s="116">
        <v>232.3</v>
      </c>
      <c r="D1766" s="116">
        <v>230.35</v>
      </c>
      <c r="E1766" s="116">
        <v>239.95</v>
      </c>
      <c r="F1766" s="116">
        <v>232.3</v>
      </c>
      <c r="G1766">
        <v>3340019</v>
      </c>
      <c r="H1766" s="116"/>
      <c r="I1766" s="116"/>
      <c r="L1766" s="170">
        <v>44603</v>
      </c>
      <c r="M1766" s="116">
        <v>232.3</v>
      </c>
      <c r="N1766" s="116">
        <v>242.05</v>
      </c>
      <c r="O1766" s="116">
        <v>230.2</v>
      </c>
      <c r="P1766" s="116">
        <v>240</v>
      </c>
      <c r="Q1766" s="116">
        <v>232.3</v>
      </c>
      <c r="R1766">
        <v>36050888</v>
      </c>
    </row>
    <row r="1767" spans="1:18" x14ac:dyDescent="0.25">
      <c r="A1767" s="170">
        <v>44606</v>
      </c>
      <c r="B1767" s="116">
        <v>226.95</v>
      </c>
      <c r="C1767" s="116">
        <v>220.5</v>
      </c>
      <c r="D1767" s="116">
        <v>215</v>
      </c>
      <c r="E1767" s="116">
        <v>225.4</v>
      </c>
      <c r="F1767" s="116">
        <v>220.5</v>
      </c>
      <c r="G1767">
        <v>5495036</v>
      </c>
      <c r="H1767" s="116"/>
      <c r="I1767" s="116"/>
      <c r="L1767" s="170">
        <v>44606</v>
      </c>
      <c r="M1767" s="116">
        <v>220.5</v>
      </c>
      <c r="N1767" s="116">
        <v>226.85</v>
      </c>
      <c r="O1767" s="116">
        <v>216</v>
      </c>
      <c r="P1767" s="116">
        <v>226</v>
      </c>
      <c r="Q1767" s="116">
        <v>220.5</v>
      </c>
      <c r="R1767">
        <v>38301829</v>
      </c>
    </row>
    <row r="1768" spans="1:18" x14ac:dyDescent="0.25">
      <c r="A1768" s="170">
        <v>44607</v>
      </c>
      <c r="B1768" s="116">
        <v>232</v>
      </c>
      <c r="C1768" s="116">
        <v>230.4</v>
      </c>
      <c r="D1768" s="116">
        <v>218.8</v>
      </c>
      <c r="E1768" s="116">
        <v>223.3</v>
      </c>
      <c r="F1768" s="116">
        <v>230.4</v>
      </c>
      <c r="G1768">
        <v>4965154</v>
      </c>
      <c r="H1768" s="116"/>
      <c r="I1768" s="116"/>
      <c r="L1768" s="170">
        <v>44607</v>
      </c>
      <c r="M1768" s="116">
        <v>230.4</v>
      </c>
      <c r="N1768" s="116">
        <v>231.75</v>
      </c>
      <c r="O1768" s="116">
        <v>218.8</v>
      </c>
      <c r="P1768" s="116">
        <v>222.75</v>
      </c>
      <c r="Q1768" s="116">
        <v>230.4</v>
      </c>
      <c r="R1768">
        <v>36314556</v>
      </c>
    </row>
    <row r="1769" spans="1:18" x14ac:dyDescent="0.25">
      <c r="A1769" s="170">
        <v>44608</v>
      </c>
      <c r="B1769" s="116">
        <v>236.75</v>
      </c>
      <c r="C1769" s="116">
        <v>231.4</v>
      </c>
      <c r="D1769" s="116">
        <v>230.25</v>
      </c>
      <c r="E1769" s="116">
        <v>233.4</v>
      </c>
      <c r="F1769" s="116">
        <v>231.4</v>
      </c>
      <c r="G1769">
        <v>3813044</v>
      </c>
      <c r="H1769" s="116"/>
      <c r="I1769" s="116"/>
      <c r="L1769" s="170">
        <v>44608</v>
      </c>
      <c r="M1769" s="116">
        <v>231.35</v>
      </c>
      <c r="N1769" s="116">
        <v>236.9</v>
      </c>
      <c r="O1769" s="116">
        <v>230.1</v>
      </c>
      <c r="P1769" s="116">
        <v>233.4</v>
      </c>
      <c r="Q1769" s="116">
        <v>231.35</v>
      </c>
      <c r="R1769">
        <v>35144286</v>
      </c>
    </row>
    <row r="1770" spans="1:18" x14ac:dyDescent="0.25">
      <c r="A1770" s="170">
        <v>44609</v>
      </c>
      <c r="B1770" s="116">
        <v>233.8</v>
      </c>
      <c r="C1770" s="116">
        <v>227.75</v>
      </c>
      <c r="D1770" s="116">
        <v>227</v>
      </c>
      <c r="E1770" s="116">
        <v>233.5</v>
      </c>
      <c r="F1770" s="116">
        <v>227.75</v>
      </c>
      <c r="G1770">
        <v>2799606</v>
      </c>
      <c r="H1770" s="116"/>
      <c r="I1770" s="116"/>
      <c r="L1770" s="170">
        <v>44609</v>
      </c>
      <c r="M1770" s="116">
        <v>227.75</v>
      </c>
      <c r="N1770" s="116">
        <v>233.85</v>
      </c>
      <c r="O1770" s="116">
        <v>227</v>
      </c>
      <c r="P1770" s="116">
        <v>233.35</v>
      </c>
      <c r="Q1770" s="116">
        <v>227.75</v>
      </c>
      <c r="R1770">
        <v>23381354</v>
      </c>
    </row>
    <row r="1771" spans="1:18" x14ac:dyDescent="0.25">
      <c r="A1771" s="170">
        <v>44610</v>
      </c>
      <c r="B1771" s="116">
        <v>230</v>
      </c>
      <c r="C1771" s="116">
        <v>225.8</v>
      </c>
      <c r="D1771" s="116">
        <v>224.55</v>
      </c>
      <c r="E1771" s="116">
        <v>227.2</v>
      </c>
      <c r="F1771" s="116">
        <v>225.8</v>
      </c>
      <c r="G1771">
        <v>2443697</v>
      </c>
      <c r="H1771" s="116"/>
      <c r="I1771" s="116"/>
      <c r="L1771" s="170">
        <v>44610</v>
      </c>
      <c r="M1771" s="116">
        <v>225.75</v>
      </c>
      <c r="N1771" s="116">
        <v>230</v>
      </c>
      <c r="O1771" s="116">
        <v>224.65</v>
      </c>
      <c r="P1771" s="116">
        <v>227</v>
      </c>
      <c r="Q1771" s="116">
        <v>225.75</v>
      </c>
      <c r="R1771">
        <v>18717812</v>
      </c>
    </row>
    <row r="1772" spans="1:18" x14ac:dyDescent="0.25">
      <c r="A1772" s="170">
        <v>44613</v>
      </c>
      <c r="B1772" s="116">
        <v>227.55</v>
      </c>
      <c r="C1772" s="116">
        <v>225</v>
      </c>
      <c r="D1772" s="116">
        <v>222.3</v>
      </c>
      <c r="E1772" s="116">
        <v>224.1</v>
      </c>
      <c r="F1772" s="116">
        <v>225</v>
      </c>
      <c r="G1772">
        <v>2764107</v>
      </c>
      <c r="H1772" s="116"/>
      <c r="I1772" s="116"/>
      <c r="L1772" s="170">
        <v>44613</v>
      </c>
      <c r="M1772" s="116">
        <v>225</v>
      </c>
      <c r="N1772" s="116">
        <v>227.65</v>
      </c>
      <c r="O1772" s="116">
        <v>222.25</v>
      </c>
      <c r="P1772" s="116">
        <v>224</v>
      </c>
      <c r="Q1772" s="116">
        <v>225</v>
      </c>
      <c r="R1772">
        <v>24657963</v>
      </c>
    </row>
    <row r="1773" spans="1:18" x14ac:dyDescent="0.25">
      <c r="A1773" s="170">
        <v>44614</v>
      </c>
      <c r="B1773" s="116">
        <v>224.7</v>
      </c>
      <c r="C1773" s="116">
        <v>222.6</v>
      </c>
      <c r="D1773" s="116">
        <v>210</v>
      </c>
      <c r="E1773" s="116">
        <v>210</v>
      </c>
      <c r="F1773" s="116">
        <v>222.6</v>
      </c>
      <c r="G1773">
        <v>3922494</v>
      </c>
      <c r="H1773" s="116"/>
      <c r="I1773" s="116"/>
      <c r="L1773" s="170">
        <v>44614</v>
      </c>
      <c r="M1773" s="116">
        <v>222.65</v>
      </c>
      <c r="N1773" s="116">
        <v>224.85</v>
      </c>
      <c r="O1773" s="116">
        <v>217.3</v>
      </c>
      <c r="P1773" s="116">
        <v>218</v>
      </c>
      <c r="Q1773" s="116">
        <v>222.65</v>
      </c>
      <c r="R1773">
        <v>29360421</v>
      </c>
    </row>
    <row r="1774" spans="1:18" x14ac:dyDescent="0.25">
      <c r="A1774" s="170">
        <v>44615</v>
      </c>
      <c r="B1774" s="116">
        <v>226.85</v>
      </c>
      <c r="C1774" s="116">
        <v>221.2</v>
      </c>
      <c r="D1774" s="116">
        <v>220.5</v>
      </c>
      <c r="E1774" s="116">
        <v>226.05</v>
      </c>
      <c r="F1774" s="116">
        <v>221.2</v>
      </c>
      <c r="G1774">
        <v>1518912</v>
      </c>
      <c r="H1774" s="116"/>
      <c r="I1774" s="116"/>
      <c r="L1774" s="170">
        <v>44615</v>
      </c>
      <c r="M1774" s="116">
        <v>221.2</v>
      </c>
      <c r="N1774" s="116">
        <v>226.8</v>
      </c>
      <c r="O1774" s="116">
        <v>220.35</v>
      </c>
      <c r="P1774" s="116">
        <v>226</v>
      </c>
      <c r="Q1774" s="116">
        <v>221.2</v>
      </c>
      <c r="R1774">
        <v>23583042</v>
      </c>
    </row>
    <row r="1775" spans="1:18" x14ac:dyDescent="0.25">
      <c r="A1775" s="170">
        <v>44616</v>
      </c>
      <c r="B1775" s="116">
        <v>216.05</v>
      </c>
      <c r="C1775" s="116">
        <v>204.35</v>
      </c>
      <c r="D1775" s="116">
        <v>203.3</v>
      </c>
      <c r="E1775" s="116">
        <v>211.2</v>
      </c>
      <c r="F1775" s="116">
        <v>204.35</v>
      </c>
      <c r="G1775">
        <v>8646430</v>
      </c>
      <c r="H1775" s="116"/>
      <c r="I1775" s="116"/>
      <c r="L1775" s="170">
        <v>44616</v>
      </c>
      <c r="M1775" s="116">
        <v>204.3</v>
      </c>
      <c r="N1775" s="116">
        <v>216.15</v>
      </c>
      <c r="O1775" s="116">
        <v>203.25</v>
      </c>
      <c r="P1775" s="116">
        <v>213</v>
      </c>
      <c r="Q1775" s="116">
        <v>204.3</v>
      </c>
      <c r="R1775">
        <v>60097152</v>
      </c>
    </row>
    <row r="1776" spans="1:18" x14ac:dyDescent="0.25">
      <c r="A1776" s="170">
        <v>44617</v>
      </c>
      <c r="B1776" s="116">
        <v>221</v>
      </c>
      <c r="C1776" s="116">
        <v>220.05</v>
      </c>
      <c r="D1776" s="116">
        <v>208.2</v>
      </c>
      <c r="E1776" s="116">
        <v>208.2</v>
      </c>
      <c r="F1776" s="116">
        <v>220.05</v>
      </c>
      <c r="G1776">
        <v>6181827</v>
      </c>
      <c r="H1776" s="116"/>
      <c r="I1776" s="116"/>
      <c r="L1776" s="170">
        <v>44617</v>
      </c>
      <c r="M1776" s="116">
        <v>220</v>
      </c>
      <c r="N1776" s="116">
        <v>221.3</v>
      </c>
      <c r="O1776" s="116">
        <v>209.55</v>
      </c>
      <c r="P1776" s="116">
        <v>210</v>
      </c>
      <c r="Q1776" s="116">
        <v>220</v>
      </c>
      <c r="R1776">
        <v>52157687</v>
      </c>
    </row>
    <row r="1777" spans="1:18" x14ac:dyDescent="0.25">
      <c r="A1777" s="170">
        <v>44620</v>
      </c>
      <c r="B1777" s="116">
        <v>224.4</v>
      </c>
      <c r="C1777" s="116">
        <v>223.05</v>
      </c>
      <c r="D1777" s="116">
        <v>214.1</v>
      </c>
      <c r="E1777" s="116">
        <v>217.7</v>
      </c>
      <c r="F1777" s="116">
        <v>223.05</v>
      </c>
      <c r="G1777">
        <v>3755733</v>
      </c>
      <c r="H1777" s="116"/>
      <c r="I1777" s="116"/>
      <c r="L1777" s="170">
        <v>44620</v>
      </c>
      <c r="M1777" s="116">
        <v>223.05</v>
      </c>
      <c r="N1777" s="116">
        <v>224.35</v>
      </c>
      <c r="O1777" s="116">
        <v>214.1</v>
      </c>
      <c r="P1777" s="116">
        <v>217.5</v>
      </c>
      <c r="Q1777" s="116">
        <v>223.05</v>
      </c>
      <c r="R1777">
        <v>35508015</v>
      </c>
    </row>
    <row r="1778" spans="1:18" x14ac:dyDescent="0.25">
      <c r="A1778" s="170">
        <v>44622</v>
      </c>
      <c r="B1778" s="116">
        <v>227.2</v>
      </c>
      <c r="C1778" s="116">
        <v>225.4</v>
      </c>
      <c r="D1778" s="116">
        <v>218.3</v>
      </c>
      <c r="E1778" s="116">
        <v>221.3</v>
      </c>
      <c r="F1778" s="116">
        <v>225.4</v>
      </c>
      <c r="G1778">
        <v>3363264</v>
      </c>
      <c r="H1778" s="116"/>
      <c r="I1778" s="116"/>
      <c r="L1778" s="170">
        <v>44622</v>
      </c>
      <c r="M1778" s="116">
        <v>225.4</v>
      </c>
      <c r="N1778" s="116">
        <v>227.25</v>
      </c>
      <c r="O1778" s="116">
        <v>218.4</v>
      </c>
      <c r="P1778" s="116">
        <v>220</v>
      </c>
      <c r="Q1778" s="116">
        <v>225.4</v>
      </c>
      <c r="R1778">
        <v>28297089</v>
      </c>
    </row>
    <row r="1779" spans="1:18" x14ac:dyDescent="0.25">
      <c r="A1779" s="170">
        <v>44623</v>
      </c>
      <c r="B1779" s="116">
        <v>230.5</v>
      </c>
      <c r="C1779" s="116">
        <v>226.6</v>
      </c>
      <c r="D1779" s="116">
        <v>225.85</v>
      </c>
      <c r="E1779" s="116">
        <v>229.35</v>
      </c>
      <c r="F1779" s="116">
        <v>226.6</v>
      </c>
      <c r="G1779">
        <v>1628433</v>
      </c>
      <c r="H1779" s="116"/>
      <c r="I1779" s="116"/>
      <c r="L1779" s="170">
        <v>44623</v>
      </c>
      <c r="M1779" s="116">
        <v>226.6</v>
      </c>
      <c r="N1779" s="116">
        <v>230.55</v>
      </c>
      <c r="O1779" s="116">
        <v>225.9</v>
      </c>
      <c r="P1779" s="116">
        <v>229</v>
      </c>
      <c r="Q1779" s="116">
        <v>226.6</v>
      </c>
      <c r="R1779">
        <v>22429798</v>
      </c>
    </row>
    <row r="1780" spans="1:18" x14ac:dyDescent="0.25">
      <c r="A1780" s="170">
        <v>44624</v>
      </c>
      <c r="B1780" s="116">
        <v>226.45</v>
      </c>
      <c r="C1780" s="116">
        <v>221.45</v>
      </c>
      <c r="D1780" s="116">
        <v>220.75</v>
      </c>
      <c r="E1780" s="116">
        <v>225.05</v>
      </c>
      <c r="F1780" s="116">
        <v>221.45</v>
      </c>
      <c r="G1780">
        <v>2949511</v>
      </c>
      <c r="H1780" s="116"/>
      <c r="I1780" s="116"/>
      <c r="L1780" s="170">
        <v>44624</v>
      </c>
      <c r="M1780" s="116">
        <v>221.45</v>
      </c>
      <c r="N1780" s="116">
        <v>226.45</v>
      </c>
      <c r="O1780" s="116">
        <v>220.8</v>
      </c>
      <c r="P1780" s="116">
        <v>225</v>
      </c>
      <c r="Q1780" s="116">
        <v>221.45</v>
      </c>
      <c r="R1780">
        <v>22427429</v>
      </c>
    </row>
    <row r="1781" spans="1:18" x14ac:dyDescent="0.25">
      <c r="A1781" s="170">
        <v>44627</v>
      </c>
      <c r="B1781" s="116">
        <v>219.6</v>
      </c>
      <c r="C1781" s="116">
        <v>216.25</v>
      </c>
      <c r="D1781" s="116">
        <v>212.25</v>
      </c>
      <c r="E1781" s="116">
        <v>214.35</v>
      </c>
      <c r="F1781" s="116">
        <v>216.25</v>
      </c>
      <c r="G1781">
        <v>3780800</v>
      </c>
      <c r="H1781" s="116"/>
      <c r="I1781" s="116"/>
      <c r="L1781" s="170">
        <v>44627</v>
      </c>
      <c r="M1781" s="116">
        <v>216.2</v>
      </c>
      <c r="N1781" s="116">
        <v>219.7</v>
      </c>
      <c r="O1781" s="116">
        <v>212.25</v>
      </c>
      <c r="P1781" s="116">
        <v>217</v>
      </c>
      <c r="Q1781" s="116">
        <v>216.2</v>
      </c>
      <c r="R1781">
        <v>23498823</v>
      </c>
    </row>
    <row r="1782" spans="1:18" x14ac:dyDescent="0.25">
      <c r="A1782" s="170">
        <v>44628</v>
      </c>
      <c r="B1782" s="116">
        <v>227.8</v>
      </c>
      <c r="C1782" s="116">
        <v>227</v>
      </c>
      <c r="D1782" s="116">
        <v>215</v>
      </c>
      <c r="E1782" s="116">
        <v>217.35</v>
      </c>
      <c r="F1782" s="116">
        <v>227</v>
      </c>
      <c r="G1782">
        <v>4815651</v>
      </c>
      <c r="H1782" s="116"/>
      <c r="I1782" s="116"/>
      <c r="L1782" s="170">
        <v>44628</v>
      </c>
      <c r="M1782" s="116">
        <v>226.95</v>
      </c>
      <c r="N1782" s="116">
        <v>227.8</v>
      </c>
      <c r="O1782" s="116">
        <v>214.6</v>
      </c>
      <c r="P1782" s="116">
        <v>215</v>
      </c>
      <c r="Q1782" s="116">
        <v>226.95</v>
      </c>
      <c r="R1782">
        <v>41105290</v>
      </c>
    </row>
    <row r="1783" spans="1:18" x14ac:dyDescent="0.25">
      <c r="A1783" s="170">
        <v>44629</v>
      </c>
      <c r="B1783" s="116">
        <v>231.1</v>
      </c>
      <c r="C1783" s="116">
        <v>229.25</v>
      </c>
      <c r="D1783" s="116">
        <v>226.2</v>
      </c>
      <c r="E1783" s="116">
        <v>229.9</v>
      </c>
      <c r="F1783" s="116">
        <v>229.25</v>
      </c>
      <c r="G1783">
        <v>3079880</v>
      </c>
      <c r="H1783" s="116"/>
      <c r="I1783" s="116"/>
      <c r="L1783" s="170">
        <v>44629</v>
      </c>
      <c r="M1783" s="116">
        <v>229.25</v>
      </c>
      <c r="N1783" s="116">
        <v>231.2</v>
      </c>
      <c r="O1783" s="116">
        <v>226.3</v>
      </c>
      <c r="P1783" s="116">
        <v>229.1</v>
      </c>
      <c r="Q1783" s="116">
        <v>229.25</v>
      </c>
      <c r="R1783">
        <v>25437632</v>
      </c>
    </row>
    <row r="1784" spans="1:18" x14ac:dyDescent="0.25">
      <c r="A1784" s="170">
        <v>44630</v>
      </c>
      <c r="B1784" s="116">
        <v>235.95</v>
      </c>
      <c r="C1784" s="116">
        <v>232.3</v>
      </c>
      <c r="D1784" s="116">
        <v>229.9</v>
      </c>
      <c r="E1784" s="116">
        <v>234.55</v>
      </c>
      <c r="F1784" s="116">
        <v>232.3</v>
      </c>
      <c r="G1784">
        <v>2966270</v>
      </c>
      <c r="H1784" s="116"/>
      <c r="I1784" s="116"/>
      <c r="L1784" s="170">
        <v>44630</v>
      </c>
      <c r="M1784" s="116">
        <v>232.25</v>
      </c>
      <c r="N1784" s="116">
        <v>235.85</v>
      </c>
      <c r="O1784" s="116">
        <v>229.9</v>
      </c>
      <c r="P1784" s="116">
        <v>235</v>
      </c>
      <c r="Q1784" s="116">
        <v>232.25</v>
      </c>
      <c r="R1784">
        <v>25462569</v>
      </c>
    </row>
    <row r="1785" spans="1:18" x14ac:dyDescent="0.25">
      <c r="A1785" s="170">
        <v>44631</v>
      </c>
      <c r="B1785" s="116">
        <v>234.2</v>
      </c>
      <c r="C1785" s="116">
        <v>233.15</v>
      </c>
      <c r="D1785" s="116">
        <v>230.2</v>
      </c>
      <c r="E1785" s="116">
        <v>232.35</v>
      </c>
      <c r="F1785" s="116">
        <v>233.15</v>
      </c>
      <c r="G1785">
        <v>1828156</v>
      </c>
      <c r="H1785" s="116"/>
      <c r="I1785" s="116"/>
      <c r="L1785" s="170">
        <v>44631</v>
      </c>
      <c r="M1785" s="116">
        <v>233.15</v>
      </c>
      <c r="N1785" s="116">
        <v>234.25</v>
      </c>
      <c r="O1785" s="116">
        <v>230.3</v>
      </c>
      <c r="P1785" s="116">
        <v>231.9</v>
      </c>
      <c r="Q1785" s="116">
        <v>233.15</v>
      </c>
      <c r="R1785">
        <v>18163055</v>
      </c>
    </row>
    <row r="1786" spans="1:18" x14ac:dyDescent="0.25">
      <c r="A1786" s="170">
        <v>44634</v>
      </c>
      <c r="B1786" s="116">
        <v>234.65</v>
      </c>
      <c r="C1786" s="116">
        <v>231.5</v>
      </c>
      <c r="D1786" s="116">
        <v>230.5</v>
      </c>
      <c r="E1786" s="116">
        <v>232</v>
      </c>
      <c r="F1786" s="116">
        <v>231.5</v>
      </c>
      <c r="G1786">
        <v>1524284</v>
      </c>
      <c r="H1786" s="116"/>
      <c r="I1786" s="116"/>
      <c r="L1786" s="170">
        <v>44634</v>
      </c>
      <c r="M1786" s="116">
        <v>231.55</v>
      </c>
      <c r="N1786" s="116">
        <v>234.65</v>
      </c>
      <c r="O1786" s="116">
        <v>230.55</v>
      </c>
      <c r="P1786" s="116">
        <v>233.1</v>
      </c>
      <c r="Q1786" s="116">
        <v>231.55</v>
      </c>
      <c r="R1786">
        <v>12074559</v>
      </c>
    </row>
    <row r="1787" spans="1:18" x14ac:dyDescent="0.25">
      <c r="A1787" s="170">
        <v>44635</v>
      </c>
      <c r="B1787" s="116">
        <v>233.35</v>
      </c>
      <c r="C1787" s="116">
        <v>227.4</v>
      </c>
      <c r="D1787" s="116">
        <v>225.35</v>
      </c>
      <c r="E1787" s="116">
        <v>231.9</v>
      </c>
      <c r="F1787" s="116">
        <v>227.4</v>
      </c>
      <c r="G1787">
        <v>1065698</v>
      </c>
      <c r="H1787" s="116"/>
      <c r="I1787" s="116"/>
      <c r="L1787" s="170">
        <v>44635</v>
      </c>
      <c r="M1787" s="116">
        <v>227.4</v>
      </c>
      <c r="N1787" s="116">
        <v>233.3</v>
      </c>
      <c r="O1787" s="116">
        <v>225.3</v>
      </c>
      <c r="P1787" s="116">
        <v>231.95</v>
      </c>
      <c r="Q1787" s="116">
        <v>227.4</v>
      </c>
      <c r="R1787">
        <v>16150855</v>
      </c>
    </row>
    <row r="1788" spans="1:18" x14ac:dyDescent="0.25">
      <c r="A1788" s="170">
        <v>44636</v>
      </c>
      <c r="B1788" s="116">
        <v>231.85</v>
      </c>
      <c r="C1788" s="116">
        <v>230.4</v>
      </c>
      <c r="D1788" s="116">
        <v>229.05</v>
      </c>
      <c r="E1788" s="116">
        <v>229.4</v>
      </c>
      <c r="F1788" s="116">
        <v>230.4</v>
      </c>
      <c r="G1788">
        <v>1295640</v>
      </c>
      <c r="H1788" s="116"/>
      <c r="I1788" s="116"/>
      <c r="L1788" s="170">
        <v>44636</v>
      </c>
      <c r="M1788" s="116">
        <v>230.45</v>
      </c>
      <c r="N1788" s="116">
        <v>231.7</v>
      </c>
      <c r="O1788" s="116">
        <v>229.05</v>
      </c>
      <c r="P1788" s="116">
        <v>230</v>
      </c>
      <c r="Q1788" s="116">
        <v>230.45</v>
      </c>
      <c r="R1788">
        <v>12428032</v>
      </c>
    </row>
    <row r="1789" spans="1:18" x14ac:dyDescent="0.25">
      <c r="A1789" s="170">
        <v>44637</v>
      </c>
      <c r="B1789" s="116">
        <v>233.9</v>
      </c>
      <c r="C1789" s="116">
        <v>231.75</v>
      </c>
      <c r="D1789" s="116">
        <v>231.3</v>
      </c>
      <c r="E1789" s="116">
        <v>233.3</v>
      </c>
      <c r="F1789" s="116">
        <v>231.75</v>
      </c>
      <c r="G1789">
        <v>686776</v>
      </c>
      <c r="H1789" s="116"/>
      <c r="I1789" s="116"/>
      <c r="L1789" s="170">
        <v>44637</v>
      </c>
      <c r="M1789" s="116">
        <v>231.75</v>
      </c>
      <c r="N1789" s="116">
        <v>233.95</v>
      </c>
      <c r="O1789" s="116">
        <v>231.3</v>
      </c>
      <c r="P1789" s="116">
        <v>233.6</v>
      </c>
      <c r="Q1789" s="116">
        <v>231.75</v>
      </c>
      <c r="R1789">
        <v>16453329</v>
      </c>
    </row>
    <row r="1790" spans="1:18" x14ac:dyDescent="0.25">
      <c r="A1790" s="170">
        <v>44641</v>
      </c>
      <c r="B1790" s="116">
        <v>233.5</v>
      </c>
      <c r="C1790" s="116">
        <v>228</v>
      </c>
      <c r="D1790" s="116">
        <v>227.4</v>
      </c>
      <c r="E1790" s="116">
        <v>233</v>
      </c>
      <c r="F1790" s="116">
        <v>228</v>
      </c>
      <c r="G1790">
        <v>1552158</v>
      </c>
      <c r="H1790" s="116"/>
      <c r="I1790" s="116"/>
      <c r="L1790" s="170">
        <v>44641</v>
      </c>
      <c r="M1790" s="116">
        <v>227.95</v>
      </c>
      <c r="N1790" s="116">
        <v>233.4</v>
      </c>
      <c r="O1790" s="116">
        <v>227.35</v>
      </c>
      <c r="P1790" s="116">
        <v>232.95</v>
      </c>
      <c r="Q1790" s="116">
        <v>227.95</v>
      </c>
      <c r="R1790">
        <v>12356508</v>
      </c>
    </row>
    <row r="1791" spans="1:18" x14ac:dyDescent="0.25">
      <c r="A1791" s="170">
        <v>44642</v>
      </c>
      <c r="B1791" s="116">
        <v>231.9</v>
      </c>
      <c r="C1791" s="116">
        <v>231.3</v>
      </c>
      <c r="D1791" s="116">
        <v>226.3</v>
      </c>
      <c r="E1791" s="116">
        <v>229.7</v>
      </c>
      <c r="F1791" s="116">
        <v>231.3</v>
      </c>
      <c r="G1791">
        <v>1535322</v>
      </c>
      <c r="H1791" s="116"/>
      <c r="I1791" s="116"/>
      <c r="L1791" s="170">
        <v>44642</v>
      </c>
      <c r="M1791" s="116">
        <v>231.4</v>
      </c>
      <c r="N1791" s="116">
        <v>231.9</v>
      </c>
      <c r="O1791" s="116">
        <v>226.3</v>
      </c>
      <c r="P1791" s="116">
        <v>229.1</v>
      </c>
      <c r="Q1791" s="116">
        <v>231.4</v>
      </c>
      <c r="R1791">
        <v>14893566</v>
      </c>
    </row>
    <row r="1792" spans="1:18" x14ac:dyDescent="0.25">
      <c r="A1792" s="170">
        <v>44643</v>
      </c>
      <c r="B1792" s="116">
        <v>237.45</v>
      </c>
      <c r="C1792" s="116">
        <v>234.4</v>
      </c>
      <c r="D1792" s="116">
        <v>231.7</v>
      </c>
      <c r="E1792" s="116">
        <v>232.9</v>
      </c>
      <c r="F1792" s="116">
        <v>234.4</v>
      </c>
      <c r="G1792">
        <v>1795694</v>
      </c>
      <c r="H1792" s="116"/>
      <c r="I1792" s="116"/>
      <c r="L1792" s="170">
        <v>44643</v>
      </c>
      <c r="M1792" s="116">
        <v>234.3</v>
      </c>
      <c r="N1792" s="116">
        <v>237.45</v>
      </c>
      <c r="O1792" s="116">
        <v>231.65</v>
      </c>
      <c r="P1792" s="116">
        <v>232.35</v>
      </c>
      <c r="Q1792" s="116">
        <v>234.3</v>
      </c>
      <c r="R1792">
        <v>29507641</v>
      </c>
    </row>
    <row r="1793" spans="1:18" x14ac:dyDescent="0.25">
      <c r="A1793" s="170">
        <v>44644</v>
      </c>
      <c r="B1793" s="116">
        <v>241</v>
      </c>
      <c r="C1793" s="116">
        <v>239.55</v>
      </c>
      <c r="D1793" s="116">
        <v>232.85</v>
      </c>
      <c r="E1793" s="116">
        <v>234.75</v>
      </c>
      <c r="F1793" s="116">
        <v>239.55</v>
      </c>
      <c r="G1793">
        <v>3409708</v>
      </c>
      <c r="H1793" s="116"/>
      <c r="I1793" s="116"/>
      <c r="L1793" s="170">
        <v>44644</v>
      </c>
      <c r="M1793" s="116">
        <v>239.5</v>
      </c>
      <c r="N1793" s="116">
        <v>241</v>
      </c>
      <c r="O1793" s="116">
        <v>232.95</v>
      </c>
      <c r="P1793" s="116">
        <v>234</v>
      </c>
      <c r="Q1793" s="116">
        <v>239.5</v>
      </c>
      <c r="R1793">
        <v>31525902</v>
      </c>
    </row>
    <row r="1794" spans="1:18" x14ac:dyDescent="0.25">
      <c r="A1794" s="170">
        <v>44645</v>
      </c>
      <c r="B1794" s="116">
        <v>244.2</v>
      </c>
      <c r="C1794" s="116">
        <v>241.35</v>
      </c>
      <c r="D1794" s="116">
        <v>239.2</v>
      </c>
      <c r="E1794" s="116">
        <v>240</v>
      </c>
      <c r="F1794" s="116">
        <v>241.35</v>
      </c>
      <c r="G1794">
        <v>3261005</v>
      </c>
      <c r="H1794" s="116"/>
      <c r="I1794" s="116"/>
      <c r="L1794" s="170">
        <v>44645</v>
      </c>
      <c r="M1794" s="116">
        <v>241.35</v>
      </c>
      <c r="N1794" s="116">
        <v>244.3</v>
      </c>
      <c r="O1794" s="116">
        <v>239.2</v>
      </c>
      <c r="P1794" s="116">
        <v>240</v>
      </c>
      <c r="Q1794" s="116">
        <v>241.35</v>
      </c>
      <c r="R1794">
        <v>24286187</v>
      </c>
    </row>
    <row r="1795" spans="1:18" x14ac:dyDescent="0.25">
      <c r="A1795" s="170">
        <v>44648</v>
      </c>
      <c r="B1795" s="116">
        <v>243.9</v>
      </c>
      <c r="C1795" s="116">
        <v>239.55</v>
      </c>
      <c r="D1795" s="116">
        <v>237.5</v>
      </c>
      <c r="E1795" s="116">
        <v>242.8</v>
      </c>
      <c r="F1795" s="116">
        <v>239.55</v>
      </c>
      <c r="G1795">
        <v>1799856</v>
      </c>
      <c r="H1795" s="116"/>
      <c r="I1795" s="116"/>
      <c r="L1795" s="170">
        <v>44648</v>
      </c>
      <c r="M1795" s="116">
        <v>239.6</v>
      </c>
      <c r="N1795" s="116">
        <v>244</v>
      </c>
      <c r="O1795" s="116">
        <v>237.45</v>
      </c>
      <c r="P1795" s="116">
        <v>242.55</v>
      </c>
      <c r="Q1795" s="116">
        <v>239.6</v>
      </c>
      <c r="R1795">
        <v>14835527</v>
      </c>
    </row>
    <row r="1796" spans="1:18" x14ac:dyDescent="0.25">
      <c r="A1796" s="170">
        <v>44649</v>
      </c>
      <c r="B1796" s="116">
        <v>244.85</v>
      </c>
      <c r="C1796" s="116">
        <v>239.3</v>
      </c>
      <c r="D1796" s="116">
        <v>238.55</v>
      </c>
      <c r="E1796" s="116">
        <v>243.9</v>
      </c>
      <c r="F1796" s="116">
        <v>239.3</v>
      </c>
      <c r="G1796">
        <v>1072936</v>
      </c>
      <c r="H1796" s="116"/>
      <c r="I1796" s="116"/>
      <c r="L1796" s="170">
        <v>44649</v>
      </c>
      <c r="M1796" s="116">
        <v>239.1</v>
      </c>
      <c r="N1796" s="116">
        <v>244.9</v>
      </c>
      <c r="O1796" s="116">
        <v>238.5</v>
      </c>
      <c r="P1796" s="116">
        <v>243.6</v>
      </c>
      <c r="Q1796" s="116">
        <v>239.1</v>
      </c>
      <c r="R1796">
        <v>20061075</v>
      </c>
    </row>
    <row r="1797" spans="1:18" x14ac:dyDescent="0.25">
      <c r="A1797" s="170">
        <v>44650</v>
      </c>
      <c r="B1797" s="116">
        <v>244.85</v>
      </c>
      <c r="C1797" s="116">
        <v>241.6</v>
      </c>
      <c r="D1797" s="116">
        <v>237.85</v>
      </c>
      <c r="E1797" s="116">
        <v>241</v>
      </c>
      <c r="F1797" s="116">
        <v>241.6</v>
      </c>
      <c r="G1797">
        <v>2663049</v>
      </c>
      <c r="H1797" s="116"/>
      <c r="I1797" s="116"/>
      <c r="L1797" s="170">
        <v>44650</v>
      </c>
      <c r="M1797" s="116">
        <v>241.7</v>
      </c>
      <c r="N1797" s="116">
        <v>244.9</v>
      </c>
      <c r="O1797" s="116">
        <v>237.75</v>
      </c>
      <c r="P1797" s="116">
        <v>240.95</v>
      </c>
      <c r="Q1797" s="116">
        <v>241.7</v>
      </c>
      <c r="R1797">
        <v>22893839</v>
      </c>
    </row>
    <row r="1798" spans="1:18" x14ac:dyDescent="0.25">
      <c r="A1798" s="170">
        <v>44651</v>
      </c>
      <c r="B1798" s="116">
        <v>242.85</v>
      </c>
      <c r="C1798" s="116">
        <v>238.85</v>
      </c>
      <c r="D1798" s="116">
        <v>237.95</v>
      </c>
      <c r="E1798" s="116">
        <v>242.55</v>
      </c>
      <c r="F1798" s="116">
        <v>238.85</v>
      </c>
      <c r="G1798">
        <v>761026</v>
      </c>
      <c r="H1798" s="116"/>
      <c r="I1798" s="116"/>
      <c r="L1798" s="170">
        <v>44651</v>
      </c>
      <c r="M1798" s="116">
        <v>238.65</v>
      </c>
      <c r="N1798" s="116">
        <v>242.9</v>
      </c>
      <c r="O1798" s="116">
        <v>237.65</v>
      </c>
      <c r="P1798" s="116">
        <v>242.9</v>
      </c>
      <c r="Q1798" s="116">
        <v>238.65</v>
      </c>
      <c r="R1798">
        <v>13956014</v>
      </c>
    </row>
    <row r="1799" spans="1:18" x14ac:dyDescent="0.25">
      <c r="A1799" s="170">
        <v>44652</v>
      </c>
      <c r="B1799" s="116">
        <v>246.25</v>
      </c>
      <c r="C1799" s="116">
        <v>245.4</v>
      </c>
      <c r="D1799" s="116">
        <v>237.2</v>
      </c>
      <c r="E1799" s="116">
        <v>237.4</v>
      </c>
      <c r="F1799" s="116">
        <v>245.4</v>
      </c>
      <c r="G1799">
        <v>3142666</v>
      </c>
      <c r="H1799" s="116"/>
      <c r="I1799" s="116"/>
      <c r="L1799" s="170">
        <v>44652</v>
      </c>
      <c r="M1799" s="116">
        <v>245.45</v>
      </c>
      <c r="N1799" s="116">
        <v>246.35</v>
      </c>
      <c r="O1799" s="116">
        <v>237.1</v>
      </c>
      <c r="P1799" s="116">
        <v>237.65</v>
      </c>
      <c r="Q1799" s="116">
        <v>245.45</v>
      </c>
      <c r="R1799">
        <v>25666798</v>
      </c>
    </row>
    <row r="1800" spans="1:18" x14ac:dyDescent="0.25">
      <c r="A1800" s="170">
        <v>44655</v>
      </c>
      <c r="B1800" s="116">
        <v>253.5</v>
      </c>
      <c r="C1800" s="116">
        <v>251.95</v>
      </c>
      <c r="D1800" s="116">
        <v>246.1</v>
      </c>
      <c r="E1800" s="116">
        <v>247.35</v>
      </c>
      <c r="F1800" s="116">
        <v>251.95</v>
      </c>
      <c r="G1800">
        <v>2603282</v>
      </c>
      <c r="H1800" s="116"/>
      <c r="I1800" s="116"/>
      <c r="L1800" s="170">
        <v>44655</v>
      </c>
      <c r="M1800" s="116">
        <v>251.95</v>
      </c>
      <c r="N1800" s="116">
        <v>253.55</v>
      </c>
      <c r="O1800" s="116">
        <v>246.1</v>
      </c>
      <c r="P1800" s="116">
        <v>247.15</v>
      </c>
      <c r="Q1800" s="116">
        <v>251.95</v>
      </c>
      <c r="R1800">
        <v>39380622</v>
      </c>
    </row>
    <row r="1801" spans="1:18" x14ac:dyDescent="0.25">
      <c r="A1801" s="170">
        <v>44656</v>
      </c>
      <c r="B1801" s="116">
        <v>275.2</v>
      </c>
      <c r="C1801" s="116">
        <v>273.60000000000002</v>
      </c>
      <c r="D1801" s="116">
        <v>252.3</v>
      </c>
      <c r="E1801" s="116">
        <v>253.8</v>
      </c>
      <c r="F1801" s="116">
        <v>273.60000000000002</v>
      </c>
      <c r="G1801">
        <v>8322318</v>
      </c>
      <c r="H1801" s="116"/>
      <c r="I1801" s="116"/>
      <c r="L1801" s="170">
        <v>44656</v>
      </c>
      <c r="M1801" s="116">
        <v>273.60000000000002</v>
      </c>
      <c r="N1801" s="116">
        <v>275.25</v>
      </c>
      <c r="O1801" s="116">
        <v>252.1</v>
      </c>
      <c r="P1801" s="116">
        <v>253.85</v>
      </c>
      <c r="Q1801" s="116">
        <v>273.60000000000002</v>
      </c>
      <c r="R1801">
        <v>94568156</v>
      </c>
    </row>
    <row r="1802" spans="1:18" x14ac:dyDescent="0.25">
      <c r="A1802" s="170">
        <v>44657</v>
      </c>
      <c r="B1802" s="116">
        <v>296.5</v>
      </c>
      <c r="C1802" s="116">
        <v>289.8</v>
      </c>
      <c r="D1802" s="116">
        <v>273</v>
      </c>
      <c r="E1802" s="116">
        <v>275.8</v>
      </c>
      <c r="F1802" s="116">
        <v>289.8</v>
      </c>
      <c r="G1802">
        <v>18202888</v>
      </c>
      <c r="H1802" s="116"/>
      <c r="I1802" s="116"/>
      <c r="L1802" s="170">
        <v>44657</v>
      </c>
      <c r="M1802" s="116">
        <v>289.8</v>
      </c>
      <c r="N1802" s="116">
        <v>296.5</v>
      </c>
      <c r="O1802" s="116">
        <v>273.10000000000002</v>
      </c>
      <c r="P1802" s="116">
        <v>275.95</v>
      </c>
      <c r="Q1802" s="116">
        <v>289.8</v>
      </c>
      <c r="R1802">
        <v>227551020</v>
      </c>
    </row>
    <row r="1803" spans="1:18" x14ac:dyDescent="0.25">
      <c r="A1803" s="170">
        <v>44658</v>
      </c>
      <c r="B1803" s="116">
        <v>298</v>
      </c>
      <c r="C1803" s="116">
        <v>277.89999999999998</v>
      </c>
      <c r="D1803" s="116">
        <v>275.89999999999998</v>
      </c>
      <c r="E1803" s="116">
        <v>293</v>
      </c>
      <c r="F1803" s="116">
        <v>277.89999999999998</v>
      </c>
      <c r="G1803">
        <v>14506587</v>
      </c>
      <c r="H1803" s="116"/>
      <c r="I1803" s="116"/>
      <c r="L1803" s="170">
        <v>44658</v>
      </c>
      <c r="M1803" s="116">
        <v>277.8</v>
      </c>
      <c r="N1803" s="116">
        <v>298.05</v>
      </c>
      <c r="O1803" s="116">
        <v>276</v>
      </c>
      <c r="P1803" s="116">
        <v>292.35000000000002</v>
      </c>
      <c r="Q1803" s="116">
        <v>277.8</v>
      </c>
      <c r="R1803">
        <v>151174247</v>
      </c>
    </row>
    <row r="1804" spans="1:18" x14ac:dyDescent="0.25">
      <c r="A1804" s="170">
        <v>44659</v>
      </c>
      <c r="B1804" s="116">
        <v>283</v>
      </c>
      <c r="C1804" s="116">
        <v>278.14999999999998</v>
      </c>
      <c r="D1804" s="116">
        <v>272.85000000000002</v>
      </c>
      <c r="E1804" s="116">
        <v>280.45</v>
      </c>
      <c r="F1804" s="116">
        <v>278.14999999999998</v>
      </c>
      <c r="G1804">
        <v>5935637</v>
      </c>
      <c r="H1804" s="116"/>
      <c r="I1804" s="116"/>
      <c r="L1804" s="170">
        <v>44659</v>
      </c>
      <c r="M1804" s="116">
        <v>278.10000000000002</v>
      </c>
      <c r="N1804" s="116">
        <v>282.8</v>
      </c>
      <c r="O1804" s="116">
        <v>273.05</v>
      </c>
      <c r="P1804" s="116">
        <v>280.89999999999998</v>
      </c>
      <c r="Q1804" s="116">
        <v>278.10000000000002</v>
      </c>
      <c r="R1804">
        <v>64353330</v>
      </c>
    </row>
    <row r="1805" spans="1:18" x14ac:dyDescent="0.25">
      <c r="A1805" s="170">
        <v>44662</v>
      </c>
      <c r="B1805" s="116">
        <v>288.5</v>
      </c>
      <c r="C1805" s="116">
        <v>282.95</v>
      </c>
      <c r="D1805" s="116">
        <v>280.14999999999998</v>
      </c>
      <c r="E1805" s="116">
        <v>281</v>
      </c>
      <c r="F1805" s="116">
        <v>282.95</v>
      </c>
      <c r="G1805">
        <v>4534488</v>
      </c>
      <c r="H1805" s="116"/>
      <c r="I1805" s="116"/>
      <c r="L1805" s="170">
        <v>44662</v>
      </c>
      <c r="M1805" s="116">
        <v>282.89999999999998</v>
      </c>
      <c r="N1805" s="116">
        <v>288.45</v>
      </c>
      <c r="O1805" s="116">
        <v>280.35000000000002</v>
      </c>
      <c r="P1805" s="116">
        <v>281</v>
      </c>
      <c r="Q1805" s="116">
        <v>282.89999999999998</v>
      </c>
      <c r="R1805">
        <v>47972951</v>
      </c>
    </row>
    <row r="1806" spans="1:18" x14ac:dyDescent="0.25">
      <c r="A1806" s="170">
        <v>44663</v>
      </c>
      <c r="B1806" s="116">
        <v>283.55</v>
      </c>
      <c r="C1806" s="116">
        <v>275.25</v>
      </c>
      <c r="D1806" s="116">
        <v>271.7</v>
      </c>
      <c r="E1806" s="116">
        <v>283.5</v>
      </c>
      <c r="F1806" s="116">
        <v>275.25</v>
      </c>
      <c r="G1806">
        <v>4090305</v>
      </c>
      <c r="H1806" s="116"/>
      <c r="I1806" s="116"/>
      <c r="L1806" s="170">
        <v>44663</v>
      </c>
      <c r="M1806" s="116">
        <v>275.14999999999998</v>
      </c>
      <c r="N1806" s="116">
        <v>283.35000000000002</v>
      </c>
      <c r="O1806" s="116">
        <v>271.60000000000002</v>
      </c>
      <c r="P1806" s="116">
        <v>283.35000000000002</v>
      </c>
      <c r="Q1806" s="116">
        <v>275.14999999999998</v>
      </c>
      <c r="R1806">
        <v>44771140</v>
      </c>
    </row>
    <row r="1807" spans="1:18" x14ac:dyDescent="0.25">
      <c r="A1807" s="170">
        <v>44664</v>
      </c>
      <c r="B1807" s="116">
        <v>280.25</v>
      </c>
      <c r="C1807" s="116">
        <v>273.05</v>
      </c>
      <c r="D1807" s="116">
        <v>272.35000000000002</v>
      </c>
      <c r="E1807" s="116">
        <v>278.7</v>
      </c>
      <c r="F1807" s="116">
        <v>273.05</v>
      </c>
      <c r="G1807">
        <v>2608816</v>
      </c>
      <c r="H1807" s="116"/>
      <c r="I1807" s="116"/>
      <c r="L1807" s="170">
        <v>44664</v>
      </c>
      <c r="M1807" s="116">
        <v>273.10000000000002</v>
      </c>
      <c r="N1807" s="116">
        <v>280.3</v>
      </c>
      <c r="O1807" s="116">
        <v>272.3</v>
      </c>
      <c r="P1807" s="116">
        <v>278.60000000000002</v>
      </c>
      <c r="Q1807" s="116">
        <v>273.10000000000002</v>
      </c>
      <c r="R1807">
        <v>31460232</v>
      </c>
    </row>
    <row r="1808" spans="1:18" x14ac:dyDescent="0.25">
      <c r="A1808" s="170">
        <v>44669</v>
      </c>
      <c r="B1808" s="116">
        <v>269.3</v>
      </c>
      <c r="C1808" s="116">
        <v>257.89999999999998</v>
      </c>
      <c r="D1808" s="116">
        <v>252.3</v>
      </c>
      <c r="E1808" s="116">
        <v>269.3</v>
      </c>
      <c r="F1808" s="116">
        <v>257.89999999999998</v>
      </c>
      <c r="G1808">
        <v>4476477</v>
      </c>
      <c r="H1808" s="116"/>
      <c r="I1808" s="116"/>
      <c r="L1808" s="170">
        <v>44669</v>
      </c>
      <c r="M1808" s="116">
        <v>257.89999999999998</v>
      </c>
      <c r="N1808" s="116">
        <v>267.89999999999998</v>
      </c>
      <c r="O1808" s="116">
        <v>252</v>
      </c>
      <c r="P1808" s="116">
        <v>267.89999999999998</v>
      </c>
      <c r="Q1808" s="116">
        <v>257.89999999999998</v>
      </c>
      <c r="R1808">
        <v>89819229</v>
      </c>
    </row>
    <row r="1809" spans="1:18" x14ac:dyDescent="0.25">
      <c r="A1809" s="170">
        <v>44670</v>
      </c>
      <c r="B1809" s="116">
        <v>262</v>
      </c>
      <c r="C1809" s="116">
        <v>246.7</v>
      </c>
      <c r="D1809" s="116">
        <v>242.5</v>
      </c>
      <c r="E1809" s="116">
        <v>261.3</v>
      </c>
      <c r="F1809" s="116">
        <v>246.7</v>
      </c>
      <c r="G1809">
        <v>3477604</v>
      </c>
      <c r="H1809" s="116"/>
      <c r="I1809" s="116"/>
      <c r="L1809" s="170">
        <v>44670</v>
      </c>
      <c r="M1809" s="116">
        <v>246.45</v>
      </c>
      <c r="N1809" s="116">
        <v>262</v>
      </c>
      <c r="O1809" s="116">
        <v>242.5</v>
      </c>
      <c r="P1809" s="116">
        <v>260.5</v>
      </c>
      <c r="Q1809" s="116">
        <v>246.45</v>
      </c>
      <c r="R1809">
        <v>53483065</v>
      </c>
    </row>
    <row r="1810" spans="1:18" x14ac:dyDescent="0.25">
      <c r="A1810" s="170">
        <v>44671</v>
      </c>
      <c r="B1810" s="116">
        <v>255.1</v>
      </c>
      <c r="C1810" s="116">
        <v>249.7</v>
      </c>
      <c r="D1810" s="116">
        <v>246.7</v>
      </c>
      <c r="E1810" s="116">
        <v>249.6</v>
      </c>
      <c r="F1810" s="116">
        <v>249.7</v>
      </c>
      <c r="G1810">
        <v>4190265</v>
      </c>
      <c r="H1810" s="116"/>
      <c r="I1810" s="116"/>
      <c r="L1810" s="170">
        <v>44671</v>
      </c>
      <c r="M1810" s="116">
        <v>249.65</v>
      </c>
      <c r="N1810" s="116">
        <v>254.7</v>
      </c>
      <c r="O1810" s="116">
        <v>246.55</v>
      </c>
      <c r="P1810" s="116">
        <v>250</v>
      </c>
      <c r="Q1810" s="116">
        <v>249.65</v>
      </c>
      <c r="R1810">
        <v>41573598</v>
      </c>
    </row>
    <row r="1811" spans="1:18" x14ac:dyDescent="0.25">
      <c r="A1811" s="170">
        <v>44672</v>
      </c>
      <c r="B1811" s="116">
        <v>260</v>
      </c>
      <c r="C1811" s="116">
        <v>258.8</v>
      </c>
      <c r="D1811" s="116">
        <v>250.75</v>
      </c>
      <c r="E1811" s="116">
        <v>253</v>
      </c>
      <c r="F1811" s="116">
        <v>258.8</v>
      </c>
      <c r="G1811">
        <v>4167985</v>
      </c>
      <c r="H1811" s="116"/>
      <c r="I1811" s="116"/>
      <c r="L1811" s="170">
        <v>44672</v>
      </c>
      <c r="M1811" s="116">
        <v>258.85000000000002</v>
      </c>
      <c r="N1811" s="116">
        <v>260.2</v>
      </c>
      <c r="O1811" s="116">
        <v>250.7</v>
      </c>
      <c r="P1811" s="116">
        <v>253</v>
      </c>
      <c r="Q1811" s="116">
        <v>258.85000000000002</v>
      </c>
      <c r="R1811">
        <v>40617734</v>
      </c>
    </row>
    <row r="1812" spans="1:18" x14ac:dyDescent="0.25">
      <c r="A1812" s="170">
        <v>44673</v>
      </c>
      <c r="B1812" s="116">
        <v>259</v>
      </c>
      <c r="C1812" s="116">
        <v>253.25</v>
      </c>
      <c r="D1812" s="116">
        <v>252.3</v>
      </c>
      <c r="E1812" s="116">
        <v>258.10000000000002</v>
      </c>
      <c r="F1812" s="116">
        <v>253.25</v>
      </c>
      <c r="G1812">
        <v>1792109</v>
      </c>
      <c r="H1812" s="116"/>
      <c r="I1812" s="116"/>
      <c r="L1812" s="170">
        <v>44673</v>
      </c>
      <c r="M1812" s="116">
        <v>253.1</v>
      </c>
      <c r="N1812" s="116">
        <v>259</v>
      </c>
      <c r="O1812" s="116">
        <v>252.3</v>
      </c>
      <c r="P1812" s="116">
        <v>258</v>
      </c>
      <c r="Q1812" s="116">
        <v>253.1</v>
      </c>
      <c r="R1812">
        <v>30569068</v>
      </c>
    </row>
    <row r="1813" spans="1:18" x14ac:dyDescent="0.25">
      <c r="A1813" s="170">
        <v>44676</v>
      </c>
      <c r="B1813" s="116">
        <v>251.5</v>
      </c>
      <c r="C1813" s="116">
        <v>247.4</v>
      </c>
      <c r="D1813" s="116">
        <v>244.75</v>
      </c>
      <c r="E1813" s="116">
        <v>247.55</v>
      </c>
      <c r="F1813" s="116">
        <v>247.4</v>
      </c>
      <c r="G1813">
        <v>3213624</v>
      </c>
      <c r="H1813" s="116"/>
      <c r="I1813" s="116"/>
      <c r="L1813" s="170">
        <v>44676</v>
      </c>
      <c r="M1813" s="116">
        <v>247.35</v>
      </c>
      <c r="N1813" s="116">
        <v>251.55</v>
      </c>
      <c r="O1813" s="116">
        <v>244.7</v>
      </c>
      <c r="P1813" s="116">
        <v>248</v>
      </c>
      <c r="Q1813" s="116">
        <v>247.35</v>
      </c>
      <c r="R1813">
        <v>24620801</v>
      </c>
    </row>
    <row r="1814" spans="1:18" x14ac:dyDescent="0.25">
      <c r="A1814" s="170">
        <v>44677</v>
      </c>
      <c r="B1814" s="116">
        <v>251.65</v>
      </c>
      <c r="C1814" s="116">
        <v>248.8</v>
      </c>
      <c r="D1814" s="116">
        <v>248.05</v>
      </c>
      <c r="E1814" s="116">
        <v>251</v>
      </c>
      <c r="F1814" s="116">
        <v>248.8</v>
      </c>
      <c r="G1814">
        <v>2134841</v>
      </c>
      <c r="H1814" s="116"/>
      <c r="I1814" s="116"/>
      <c r="L1814" s="170">
        <v>44677</v>
      </c>
      <c r="M1814" s="116">
        <v>248.85</v>
      </c>
      <c r="N1814" s="116">
        <v>251.45</v>
      </c>
      <c r="O1814" s="116">
        <v>248.05</v>
      </c>
      <c r="P1814" s="116">
        <v>251.15</v>
      </c>
      <c r="Q1814" s="116">
        <v>248.85</v>
      </c>
      <c r="R1814">
        <v>17965504</v>
      </c>
    </row>
    <row r="1815" spans="1:18" x14ac:dyDescent="0.25">
      <c r="A1815" s="170">
        <v>44678</v>
      </c>
      <c r="B1815" s="116">
        <v>255.15</v>
      </c>
      <c r="C1815" s="116">
        <v>247.3</v>
      </c>
      <c r="D1815" s="116">
        <v>245.55</v>
      </c>
      <c r="E1815" s="116">
        <v>248</v>
      </c>
      <c r="F1815" s="116">
        <v>247.3</v>
      </c>
      <c r="G1815">
        <v>1823627</v>
      </c>
      <c r="H1815" s="116"/>
      <c r="I1815" s="116"/>
      <c r="L1815" s="170">
        <v>44678</v>
      </c>
      <c r="M1815" s="116">
        <v>247.35</v>
      </c>
      <c r="N1815" s="116">
        <v>255.25</v>
      </c>
      <c r="O1815" s="116">
        <v>245.5</v>
      </c>
      <c r="P1815" s="116">
        <v>247.8</v>
      </c>
      <c r="Q1815" s="116">
        <v>247.35</v>
      </c>
      <c r="R1815">
        <v>32027943</v>
      </c>
    </row>
    <row r="1816" spans="1:18" x14ac:dyDescent="0.25">
      <c r="A1816" s="170">
        <v>44679</v>
      </c>
      <c r="B1816" s="116">
        <v>250.8</v>
      </c>
      <c r="C1816" s="116">
        <v>248.35</v>
      </c>
      <c r="D1816" s="116">
        <v>244.5</v>
      </c>
      <c r="E1816" s="116">
        <v>250.55</v>
      </c>
      <c r="F1816" s="116">
        <v>248.35</v>
      </c>
      <c r="G1816">
        <v>1111168</v>
      </c>
      <c r="H1816" s="116"/>
      <c r="I1816" s="116"/>
      <c r="L1816" s="170">
        <v>44679</v>
      </c>
      <c r="M1816" s="116">
        <v>248.25</v>
      </c>
      <c r="N1816" s="116">
        <v>250.9</v>
      </c>
      <c r="O1816" s="116">
        <v>244.4</v>
      </c>
      <c r="P1816" s="116">
        <v>250.9</v>
      </c>
      <c r="Q1816" s="116">
        <v>248.25</v>
      </c>
      <c r="R1816">
        <v>20911099</v>
      </c>
    </row>
    <row r="1817" spans="1:18" x14ac:dyDescent="0.25">
      <c r="A1817" s="170">
        <v>44680</v>
      </c>
      <c r="B1817" s="116">
        <v>253.25</v>
      </c>
      <c r="C1817" s="116">
        <v>242.3</v>
      </c>
      <c r="D1817" s="116">
        <v>240.85</v>
      </c>
      <c r="E1817" s="116">
        <v>250.95</v>
      </c>
      <c r="F1817" s="116">
        <v>242.3</v>
      </c>
      <c r="G1817">
        <v>2485691</v>
      </c>
      <c r="H1817" s="116"/>
      <c r="I1817" s="116"/>
      <c r="L1817" s="170">
        <v>44680</v>
      </c>
      <c r="M1817" s="116">
        <v>242.35</v>
      </c>
      <c r="N1817" s="116">
        <v>253.2</v>
      </c>
      <c r="O1817" s="116">
        <v>240.85</v>
      </c>
      <c r="P1817" s="116">
        <v>250.9</v>
      </c>
      <c r="Q1817" s="116">
        <v>242.35</v>
      </c>
      <c r="R1817">
        <v>26234765</v>
      </c>
    </row>
    <row r="1818" spans="1:18" x14ac:dyDescent="0.25">
      <c r="A1818" s="170">
        <v>44683</v>
      </c>
      <c r="B1818" s="116">
        <v>249.6</v>
      </c>
      <c r="C1818" s="116">
        <v>248.5</v>
      </c>
      <c r="D1818" s="116">
        <v>238.35</v>
      </c>
      <c r="E1818" s="116">
        <v>240.1</v>
      </c>
      <c r="F1818" s="116">
        <v>248.5</v>
      </c>
      <c r="G1818">
        <v>1611015</v>
      </c>
      <c r="H1818" s="116"/>
      <c r="I1818" s="116"/>
      <c r="L1818" s="170">
        <v>44683</v>
      </c>
      <c r="M1818" s="116">
        <v>248.5</v>
      </c>
      <c r="N1818" s="116">
        <v>249.65</v>
      </c>
      <c r="O1818" s="116">
        <v>238.4</v>
      </c>
      <c r="P1818" s="116">
        <v>240</v>
      </c>
      <c r="Q1818" s="116">
        <v>248.5</v>
      </c>
      <c r="R1818">
        <v>26535475</v>
      </c>
    </row>
    <row r="1819" spans="1:18" x14ac:dyDescent="0.25">
      <c r="A1819" s="170">
        <v>44685</v>
      </c>
      <c r="B1819" s="116">
        <v>254</v>
      </c>
      <c r="C1819" s="116">
        <v>244.95</v>
      </c>
      <c r="D1819" s="116">
        <v>242.9</v>
      </c>
      <c r="E1819" s="116">
        <v>250.1</v>
      </c>
      <c r="F1819" s="116">
        <v>244.95</v>
      </c>
      <c r="G1819">
        <v>3581662</v>
      </c>
      <c r="H1819" s="116"/>
      <c r="I1819" s="116"/>
      <c r="L1819" s="170">
        <v>44685</v>
      </c>
      <c r="M1819" s="116">
        <v>244.95</v>
      </c>
      <c r="N1819" s="116">
        <v>254.2</v>
      </c>
      <c r="O1819" s="116">
        <v>242.85</v>
      </c>
      <c r="P1819" s="116">
        <v>249.85</v>
      </c>
      <c r="Q1819" s="116">
        <v>244.95</v>
      </c>
      <c r="R1819">
        <v>30780217</v>
      </c>
    </row>
    <row r="1820" spans="1:18" x14ac:dyDescent="0.25">
      <c r="A1820" s="170">
        <v>44686</v>
      </c>
      <c r="B1820" s="116">
        <v>251.3</v>
      </c>
      <c r="C1820" s="116">
        <v>247.55</v>
      </c>
      <c r="D1820" s="116">
        <v>244.9</v>
      </c>
      <c r="E1820" s="116">
        <v>249</v>
      </c>
      <c r="F1820" s="116">
        <v>247.55</v>
      </c>
      <c r="G1820">
        <v>2542156</v>
      </c>
      <c r="H1820" s="116"/>
      <c r="I1820" s="116"/>
      <c r="L1820" s="170">
        <v>44686</v>
      </c>
      <c r="M1820" s="116">
        <v>247.5</v>
      </c>
      <c r="N1820" s="116">
        <v>251.3</v>
      </c>
      <c r="O1820" s="116">
        <v>244.95</v>
      </c>
      <c r="P1820" s="116">
        <v>248.95</v>
      </c>
      <c r="Q1820" s="116">
        <v>247.5</v>
      </c>
      <c r="R1820">
        <v>24304759</v>
      </c>
    </row>
    <row r="1821" spans="1:18" x14ac:dyDescent="0.25">
      <c r="A1821" s="170">
        <v>44687</v>
      </c>
      <c r="B1821" s="116">
        <v>246.9</v>
      </c>
      <c r="C1821" s="116">
        <v>245.2</v>
      </c>
      <c r="D1821" s="116">
        <v>240.65</v>
      </c>
      <c r="E1821" s="116">
        <v>243</v>
      </c>
      <c r="F1821" s="116">
        <v>245.2</v>
      </c>
      <c r="G1821">
        <v>3620170</v>
      </c>
      <c r="H1821" s="116"/>
      <c r="I1821" s="116"/>
      <c r="L1821" s="170">
        <v>44687</v>
      </c>
      <c r="M1821" s="116">
        <v>245.2</v>
      </c>
      <c r="N1821" s="116">
        <v>247</v>
      </c>
      <c r="O1821" s="116">
        <v>240.65</v>
      </c>
      <c r="P1821" s="116">
        <v>243</v>
      </c>
      <c r="Q1821" s="116">
        <v>245.2</v>
      </c>
      <c r="R1821">
        <v>28044381</v>
      </c>
    </row>
    <row r="1822" spans="1:18" x14ac:dyDescent="0.25">
      <c r="A1822" s="170">
        <v>44690</v>
      </c>
      <c r="B1822" s="116">
        <v>236.75</v>
      </c>
      <c r="C1822" s="116">
        <v>229.9</v>
      </c>
      <c r="D1822" s="116">
        <v>223.05</v>
      </c>
      <c r="E1822" s="116">
        <v>235.35</v>
      </c>
      <c r="F1822" s="116">
        <v>229.9</v>
      </c>
      <c r="G1822">
        <v>6525894</v>
      </c>
      <c r="H1822" s="116"/>
      <c r="I1822" s="116"/>
      <c r="L1822" s="170">
        <v>44690</v>
      </c>
      <c r="M1822" s="116">
        <v>230</v>
      </c>
      <c r="N1822" s="116">
        <v>236.5</v>
      </c>
      <c r="O1822" s="116">
        <v>223.05</v>
      </c>
      <c r="P1822" s="116">
        <v>235</v>
      </c>
      <c r="Q1822" s="116">
        <v>230</v>
      </c>
      <c r="R1822">
        <v>60959066</v>
      </c>
    </row>
    <row r="1823" spans="1:18" x14ac:dyDescent="0.25">
      <c r="A1823" s="170">
        <v>44691</v>
      </c>
      <c r="B1823" s="116">
        <v>234.5</v>
      </c>
      <c r="C1823" s="116">
        <v>222.35</v>
      </c>
      <c r="D1823" s="116">
        <v>220.7</v>
      </c>
      <c r="E1823" s="116">
        <v>229.4</v>
      </c>
      <c r="F1823" s="116">
        <v>222.35</v>
      </c>
      <c r="G1823">
        <v>2038238</v>
      </c>
      <c r="H1823" s="116"/>
      <c r="I1823" s="116"/>
      <c r="L1823" s="170">
        <v>44691</v>
      </c>
      <c r="M1823" s="116">
        <v>222.15</v>
      </c>
      <c r="N1823" s="116">
        <v>234.5</v>
      </c>
      <c r="O1823" s="116">
        <v>220.65</v>
      </c>
      <c r="P1823" s="116">
        <v>229.95</v>
      </c>
      <c r="Q1823" s="116">
        <v>222.15</v>
      </c>
      <c r="R1823">
        <v>30274946</v>
      </c>
    </row>
    <row r="1824" spans="1:18" x14ac:dyDescent="0.25">
      <c r="A1824" s="170">
        <v>44692</v>
      </c>
      <c r="B1824" s="116">
        <v>229.75</v>
      </c>
      <c r="C1824" s="116">
        <v>226.55</v>
      </c>
      <c r="D1824" s="116">
        <v>219.55</v>
      </c>
      <c r="E1824" s="116">
        <v>222.5</v>
      </c>
      <c r="F1824" s="116">
        <v>226.55</v>
      </c>
      <c r="G1824">
        <v>3801866</v>
      </c>
      <c r="H1824" s="116"/>
      <c r="I1824" s="116"/>
      <c r="L1824" s="170">
        <v>44692</v>
      </c>
      <c r="M1824" s="116">
        <v>226.5</v>
      </c>
      <c r="N1824" s="116">
        <v>229.8</v>
      </c>
      <c r="O1824" s="116">
        <v>219.5</v>
      </c>
      <c r="P1824" s="116">
        <v>222.8</v>
      </c>
      <c r="Q1824" s="116">
        <v>226.5</v>
      </c>
      <c r="R1824">
        <v>35097575</v>
      </c>
    </row>
    <row r="1825" spans="1:18" x14ac:dyDescent="0.25">
      <c r="A1825" s="170">
        <v>44693</v>
      </c>
      <c r="B1825" s="116">
        <v>227</v>
      </c>
      <c r="C1825" s="116">
        <v>219.05</v>
      </c>
      <c r="D1825" s="116">
        <v>217</v>
      </c>
      <c r="E1825" s="116">
        <v>226</v>
      </c>
      <c r="F1825" s="116">
        <v>219.05</v>
      </c>
      <c r="G1825">
        <v>3314203</v>
      </c>
      <c r="H1825" s="116"/>
      <c r="I1825" s="116"/>
      <c r="L1825" s="170">
        <v>44693</v>
      </c>
      <c r="M1825" s="116">
        <v>219.05</v>
      </c>
      <c r="N1825" s="116">
        <v>227.05</v>
      </c>
      <c r="O1825" s="116">
        <v>217.05</v>
      </c>
      <c r="P1825" s="116">
        <v>225.8</v>
      </c>
      <c r="Q1825" s="116">
        <v>219.05</v>
      </c>
      <c r="R1825">
        <v>29320356</v>
      </c>
    </row>
    <row r="1826" spans="1:18" x14ac:dyDescent="0.25">
      <c r="A1826" s="170">
        <v>44694</v>
      </c>
      <c r="B1826" s="116">
        <v>229.15</v>
      </c>
      <c r="C1826" s="116">
        <v>222.85</v>
      </c>
      <c r="D1826" s="116">
        <v>221.25</v>
      </c>
      <c r="E1826" s="116">
        <v>224.55</v>
      </c>
      <c r="F1826" s="116">
        <v>222.85</v>
      </c>
      <c r="G1826">
        <v>2842618</v>
      </c>
      <c r="H1826" s="116"/>
      <c r="I1826" s="116"/>
      <c r="L1826" s="170">
        <v>44694</v>
      </c>
      <c r="M1826" s="116">
        <v>222.8</v>
      </c>
      <c r="N1826" s="116">
        <v>229.2</v>
      </c>
      <c r="O1826" s="116">
        <v>221.3</v>
      </c>
      <c r="P1826" s="116">
        <v>225</v>
      </c>
      <c r="Q1826" s="116">
        <v>222.8</v>
      </c>
      <c r="R1826">
        <v>33108597</v>
      </c>
    </row>
    <row r="1827" spans="1:18" x14ac:dyDescent="0.25">
      <c r="A1827" s="170">
        <v>44697</v>
      </c>
      <c r="B1827" s="116">
        <v>227.65</v>
      </c>
      <c r="C1827" s="116">
        <v>226.65</v>
      </c>
      <c r="D1827" s="116">
        <v>220.35</v>
      </c>
      <c r="E1827" s="116">
        <v>225.7</v>
      </c>
      <c r="F1827" s="116">
        <v>226.65</v>
      </c>
      <c r="G1827">
        <v>2235603</v>
      </c>
      <c r="H1827" s="116"/>
      <c r="I1827" s="116"/>
      <c r="L1827" s="170">
        <v>44697</v>
      </c>
      <c r="M1827" s="116">
        <v>226.6</v>
      </c>
      <c r="N1827" s="116">
        <v>227.65</v>
      </c>
      <c r="O1827" s="116">
        <v>220.5</v>
      </c>
      <c r="P1827" s="116">
        <v>224.9</v>
      </c>
      <c r="Q1827" s="116">
        <v>226.6</v>
      </c>
      <c r="R1827">
        <v>22192986</v>
      </c>
    </row>
    <row r="1828" spans="1:18" x14ac:dyDescent="0.25">
      <c r="A1828" s="170">
        <v>44698</v>
      </c>
      <c r="B1828" s="116">
        <v>242.4</v>
      </c>
      <c r="C1828" s="116">
        <v>241.25</v>
      </c>
      <c r="D1828" s="116">
        <v>227.75</v>
      </c>
      <c r="E1828" s="116">
        <v>229</v>
      </c>
      <c r="F1828" s="116">
        <v>241.25</v>
      </c>
      <c r="G1828">
        <v>3845749</v>
      </c>
      <c r="H1828" s="116"/>
      <c r="I1828" s="116"/>
      <c r="L1828" s="170">
        <v>44698</v>
      </c>
      <c r="M1828" s="116">
        <v>241.15</v>
      </c>
      <c r="N1828" s="116">
        <v>242.5</v>
      </c>
      <c r="O1828" s="116">
        <v>227.85</v>
      </c>
      <c r="P1828" s="116">
        <v>228.95</v>
      </c>
      <c r="Q1828" s="116">
        <v>241.15</v>
      </c>
      <c r="R1828">
        <v>34735919</v>
      </c>
    </row>
    <row r="1829" spans="1:18" x14ac:dyDescent="0.25">
      <c r="A1829" s="170">
        <v>44699</v>
      </c>
      <c r="B1829" s="116">
        <v>243.4</v>
      </c>
      <c r="C1829" s="116">
        <v>237.75</v>
      </c>
      <c r="D1829" s="116">
        <v>236.3</v>
      </c>
      <c r="E1829" s="116">
        <v>243.4</v>
      </c>
      <c r="F1829" s="116">
        <v>237.75</v>
      </c>
      <c r="G1829">
        <v>2554785</v>
      </c>
      <c r="H1829" s="116"/>
      <c r="I1829" s="116"/>
      <c r="L1829" s="170">
        <v>44699</v>
      </c>
      <c r="M1829" s="116">
        <v>237.7</v>
      </c>
      <c r="N1829" s="116">
        <v>243.35</v>
      </c>
      <c r="O1829" s="116">
        <v>236.5</v>
      </c>
      <c r="P1829" s="116">
        <v>243.35</v>
      </c>
      <c r="Q1829" s="116">
        <v>237.7</v>
      </c>
      <c r="R1829">
        <v>25004758</v>
      </c>
    </row>
    <row r="1830" spans="1:18" x14ac:dyDescent="0.25">
      <c r="A1830" s="170">
        <v>44700</v>
      </c>
      <c r="B1830" s="116">
        <v>232.55</v>
      </c>
      <c r="C1830" s="116">
        <v>228.45</v>
      </c>
      <c r="D1830" s="116">
        <v>226.5</v>
      </c>
      <c r="E1830" s="116">
        <v>229.1</v>
      </c>
      <c r="F1830" s="116">
        <v>228.45</v>
      </c>
      <c r="G1830">
        <v>2723434</v>
      </c>
      <c r="H1830" s="116"/>
      <c r="I1830" s="116"/>
      <c r="L1830" s="170">
        <v>44700</v>
      </c>
      <c r="M1830" s="116">
        <v>228.45</v>
      </c>
      <c r="N1830" s="116">
        <v>232.6</v>
      </c>
      <c r="O1830" s="116">
        <v>226.35</v>
      </c>
      <c r="P1830" s="116">
        <v>229.5</v>
      </c>
      <c r="Q1830" s="116">
        <v>228.45</v>
      </c>
      <c r="R1830">
        <v>23697546</v>
      </c>
    </row>
    <row r="1831" spans="1:18" x14ac:dyDescent="0.25">
      <c r="A1831" s="170">
        <v>44701</v>
      </c>
      <c r="B1831" s="116">
        <v>236</v>
      </c>
      <c r="C1831" s="116">
        <v>233.25</v>
      </c>
      <c r="D1831" s="116">
        <v>230.35</v>
      </c>
      <c r="E1831" s="116">
        <v>232.5</v>
      </c>
      <c r="F1831" s="116">
        <v>233.25</v>
      </c>
      <c r="G1831">
        <v>2095644</v>
      </c>
      <c r="H1831" s="116"/>
      <c r="I1831" s="116"/>
      <c r="L1831" s="170">
        <v>44701</v>
      </c>
      <c r="M1831" s="116">
        <v>233.25</v>
      </c>
      <c r="N1831" s="116">
        <v>236</v>
      </c>
      <c r="O1831" s="116">
        <v>230.25</v>
      </c>
      <c r="P1831" s="116">
        <v>232.5</v>
      </c>
      <c r="Q1831" s="116">
        <v>233.25</v>
      </c>
      <c r="R1831">
        <v>18294157</v>
      </c>
    </row>
    <row r="1832" spans="1:18" x14ac:dyDescent="0.25">
      <c r="A1832" s="170">
        <v>44704</v>
      </c>
      <c r="B1832" s="116">
        <v>236</v>
      </c>
      <c r="C1832" s="116">
        <v>229.75</v>
      </c>
      <c r="D1832" s="116">
        <v>228.8</v>
      </c>
      <c r="E1832" s="116">
        <v>235.1</v>
      </c>
      <c r="F1832" s="116">
        <v>229.75</v>
      </c>
      <c r="G1832">
        <v>1829958</v>
      </c>
      <c r="H1832" s="116"/>
      <c r="I1832" s="116"/>
      <c r="L1832" s="170">
        <v>44704</v>
      </c>
      <c r="M1832" s="116">
        <v>229.8</v>
      </c>
      <c r="N1832" s="116">
        <v>235.9</v>
      </c>
      <c r="O1832" s="116">
        <v>228.75</v>
      </c>
      <c r="P1832" s="116">
        <v>234.95</v>
      </c>
      <c r="Q1832" s="116">
        <v>229.8</v>
      </c>
      <c r="R1832">
        <v>16642801</v>
      </c>
    </row>
    <row r="1833" spans="1:18" x14ac:dyDescent="0.25">
      <c r="A1833" s="170">
        <v>44705</v>
      </c>
      <c r="B1833" s="116">
        <v>231.4</v>
      </c>
      <c r="C1833" s="116">
        <v>227.05</v>
      </c>
      <c r="D1833" s="116">
        <v>224.85</v>
      </c>
      <c r="E1833" s="116">
        <v>230.05</v>
      </c>
      <c r="F1833" s="116">
        <v>227.05</v>
      </c>
      <c r="G1833">
        <v>1108362</v>
      </c>
      <c r="H1833" s="116"/>
      <c r="I1833" s="116"/>
      <c r="L1833" s="170">
        <v>44705</v>
      </c>
      <c r="M1833" s="116">
        <v>227</v>
      </c>
      <c r="N1833" s="116">
        <v>231.4</v>
      </c>
      <c r="O1833" s="116">
        <v>224.75</v>
      </c>
      <c r="P1833" s="116">
        <v>230.2</v>
      </c>
      <c r="Q1833" s="116">
        <v>227</v>
      </c>
      <c r="R1833">
        <v>17636195</v>
      </c>
    </row>
    <row r="1834" spans="1:18" x14ac:dyDescent="0.25">
      <c r="A1834" s="170">
        <v>44706</v>
      </c>
      <c r="B1834" s="116">
        <v>229.95</v>
      </c>
      <c r="C1834" s="116">
        <v>220.9</v>
      </c>
      <c r="D1834" s="116">
        <v>220</v>
      </c>
      <c r="E1834" s="116">
        <v>228.55</v>
      </c>
      <c r="F1834" s="116">
        <v>220.9</v>
      </c>
      <c r="G1834">
        <v>1781551</v>
      </c>
      <c r="H1834" s="116"/>
      <c r="I1834" s="116"/>
      <c r="L1834" s="170">
        <v>44706</v>
      </c>
      <c r="M1834" s="116">
        <v>220.9</v>
      </c>
      <c r="N1834" s="116">
        <v>229.9</v>
      </c>
      <c r="O1834" s="116">
        <v>220</v>
      </c>
      <c r="P1834" s="116">
        <v>229</v>
      </c>
      <c r="Q1834" s="116">
        <v>220.9</v>
      </c>
      <c r="R1834">
        <v>16194564</v>
      </c>
    </row>
    <row r="1835" spans="1:18" x14ac:dyDescent="0.25">
      <c r="A1835" s="170">
        <v>44707</v>
      </c>
      <c r="B1835" s="116">
        <v>224.35</v>
      </c>
      <c r="C1835" s="116">
        <v>221.4</v>
      </c>
      <c r="D1835" s="116">
        <v>210.25</v>
      </c>
      <c r="E1835" s="116">
        <v>222.4</v>
      </c>
      <c r="F1835" s="116">
        <v>221.4</v>
      </c>
      <c r="G1835">
        <v>3890146</v>
      </c>
      <c r="H1835" s="116"/>
      <c r="I1835" s="116"/>
      <c r="L1835" s="170">
        <v>44707</v>
      </c>
      <c r="M1835" s="116">
        <v>221.45</v>
      </c>
      <c r="N1835" s="116">
        <v>224.3</v>
      </c>
      <c r="O1835" s="116">
        <v>210.2</v>
      </c>
      <c r="P1835" s="116">
        <v>222.95</v>
      </c>
      <c r="Q1835" s="116">
        <v>221.45</v>
      </c>
      <c r="R1835">
        <v>34963419</v>
      </c>
    </row>
    <row r="1836" spans="1:18" x14ac:dyDescent="0.25">
      <c r="A1836" s="170">
        <v>44708</v>
      </c>
      <c r="B1836" s="116">
        <v>226.9</v>
      </c>
      <c r="C1836" s="116">
        <v>224.7</v>
      </c>
      <c r="D1836" s="116">
        <v>222.8</v>
      </c>
      <c r="E1836" s="116">
        <v>225.7</v>
      </c>
      <c r="F1836" s="116">
        <v>224.7</v>
      </c>
      <c r="G1836">
        <v>914876</v>
      </c>
      <c r="H1836" s="116"/>
      <c r="I1836" s="116"/>
      <c r="L1836" s="170">
        <v>44708</v>
      </c>
      <c r="M1836" s="116">
        <v>224.65</v>
      </c>
      <c r="N1836" s="116">
        <v>226.8</v>
      </c>
      <c r="O1836" s="116">
        <v>222.7</v>
      </c>
      <c r="P1836" s="116">
        <v>225.7</v>
      </c>
      <c r="Q1836" s="116">
        <v>224.65</v>
      </c>
      <c r="R1836">
        <v>16159280</v>
      </c>
    </row>
    <row r="1837" spans="1:18" x14ac:dyDescent="0.25">
      <c r="A1837" s="170">
        <v>44711</v>
      </c>
      <c r="B1837" s="116">
        <v>233.9</v>
      </c>
      <c r="C1837" s="116">
        <v>233.25</v>
      </c>
      <c r="D1837" s="116">
        <v>217.55</v>
      </c>
      <c r="E1837" s="116">
        <v>227.95</v>
      </c>
      <c r="F1837" s="116">
        <v>233.25</v>
      </c>
      <c r="G1837">
        <v>2519655</v>
      </c>
      <c r="H1837" s="116"/>
      <c r="I1837" s="116"/>
      <c r="L1837" s="170">
        <v>44711</v>
      </c>
      <c r="M1837" s="116">
        <v>233.25</v>
      </c>
      <c r="N1837" s="116">
        <v>233.9</v>
      </c>
      <c r="O1837" s="116">
        <v>227</v>
      </c>
      <c r="P1837" s="116">
        <v>227.9</v>
      </c>
      <c r="Q1837" s="116">
        <v>233.25</v>
      </c>
      <c r="R1837">
        <v>19674867</v>
      </c>
    </row>
    <row r="1838" spans="1:18" x14ac:dyDescent="0.25">
      <c r="A1838" s="170">
        <v>44712</v>
      </c>
      <c r="B1838" s="116">
        <v>237.6</v>
      </c>
      <c r="C1838" s="116">
        <v>235.1</v>
      </c>
      <c r="D1838" s="116">
        <v>231.15</v>
      </c>
      <c r="E1838" s="116">
        <v>233.15</v>
      </c>
      <c r="F1838" s="116">
        <v>235.1</v>
      </c>
      <c r="G1838">
        <v>2683385</v>
      </c>
      <c r="H1838" s="116"/>
      <c r="I1838" s="116"/>
      <c r="L1838" s="170">
        <v>44712</v>
      </c>
      <c r="M1838" s="116">
        <v>235.15</v>
      </c>
      <c r="N1838" s="116">
        <v>237.6</v>
      </c>
      <c r="O1838" s="116">
        <v>231.3</v>
      </c>
      <c r="P1838" s="116">
        <v>232.9</v>
      </c>
      <c r="Q1838" s="116">
        <v>235.15</v>
      </c>
      <c r="R1838">
        <v>21535025</v>
      </c>
    </row>
    <row r="1839" spans="1:18" x14ac:dyDescent="0.25">
      <c r="A1839" s="170">
        <v>44713</v>
      </c>
      <c r="B1839" s="116">
        <v>236.15</v>
      </c>
      <c r="C1839" s="116">
        <v>232.65</v>
      </c>
      <c r="D1839" s="116">
        <v>230.6</v>
      </c>
      <c r="E1839" s="116">
        <v>233.8</v>
      </c>
      <c r="F1839" s="116">
        <v>232.65</v>
      </c>
      <c r="G1839">
        <v>685148</v>
      </c>
      <c r="H1839" s="116"/>
      <c r="I1839" s="116"/>
      <c r="L1839" s="170">
        <v>44713</v>
      </c>
      <c r="M1839" s="116">
        <v>232.75</v>
      </c>
      <c r="N1839" s="116">
        <v>236.2</v>
      </c>
      <c r="O1839" s="116">
        <v>230.55</v>
      </c>
      <c r="P1839" s="116">
        <v>233.6</v>
      </c>
      <c r="Q1839" s="116">
        <v>232.75</v>
      </c>
      <c r="R1839">
        <v>14805104</v>
      </c>
    </row>
    <row r="1840" spans="1:18" x14ac:dyDescent="0.25">
      <c r="A1840" s="170">
        <v>44714</v>
      </c>
      <c r="B1840" s="116">
        <v>235.9</v>
      </c>
      <c r="C1840" s="116">
        <v>234.2</v>
      </c>
      <c r="D1840" s="116">
        <v>231.25</v>
      </c>
      <c r="E1840" s="116">
        <v>232.8</v>
      </c>
      <c r="F1840" s="116">
        <v>234.2</v>
      </c>
      <c r="G1840">
        <v>854733</v>
      </c>
      <c r="H1840" s="116"/>
      <c r="I1840" s="116"/>
      <c r="L1840" s="170">
        <v>44714</v>
      </c>
      <c r="M1840" s="116">
        <v>234.2</v>
      </c>
      <c r="N1840" s="116">
        <v>235.9</v>
      </c>
      <c r="O1840" s="116">
        <v>231.3</v>
      </c>
      <c r="P1840" s="116">
        <v>232</v>
      </c>
      <c r="Q1840" s="116">
        <v>234.2</v>
      </c>
      <c r="R1840">
        <v>13296442</v>
      </c>
    </row>
    <row r="1841" spans="1:18" x14ac:dyDescent="0.25">
      <c r="A1841" s="170">
        <v>44715</v>
      </c>
      <c r="B1841" s="116">
        <v>236.9</v>
      </c>
      <c r="C1841" s="116">
        <v>231.05</v>
      </c>
      <c r="D1841" s="116">
        <v>230.3</v>
      </c>
      <c r="E1841" s="116">
        <v>236.9</v>
      </c>
      <c r="F1841" s="116">
        <v>231.05</v>
      </c>
      <c r="G1841">
        <v>1189257</v>
      </c>
      <c r="H1841" s="116"/>
      <c r="I1841" s="116"/>
      <c r="L1841" s="170">
        <v>44715</v>
      </c>
      <c r="M1841" s="116">
        <v>231.05</v>
      </c>
      <c r="N1841" s="116">
        <v>236.85</v>
      </c>
      <c r="O1841" s="116">
        <v>230.2</v>
      </c>
      <c r="P1841" s="116">
        <v>236.3</v>
      </c>
      <c r="Q1841" s="116">
        <v>231.05</v>
      </c>
      <c r="R1841">
        <v>11433422</v>
      </c>
    </row>
    <row r="1842" spans="1:18" x14ac:dyDescent="0.25">
      <c r="A1842" s="170">
        <v>44718</v>
      </c>
      <c r="B1842" s="116">
        <v>233.6</v>
      </c>
      <c r="C1842" s="116">
        <v>232.3</v>
      </c>
      <c r="D1842" s="116">
        <v>227.5</v>
      </c>
      <c r="E1842" s="116">
        <v>231.05</v>
      </c>
      <c r="F1842" s="116">
        <v>232.3</v>
      </c>
      <c r="G1842">
        <v>1316518</v>
      </c>
      <c r="H1842" s="116"/>
      <c r="I1842" s="116"/>
      <c r="L1842" s="170">
        <v>44718</v>
      </c>
      <c r="M1842" s="116">
        <v>232.25</v>
      </c>
      <c r="N1842" s="116">
        <v>233.6</v>
      </c>
      <c r="O1842" s="116">
        <v>227.55</v>
      </c>
      <c r="P1842" s="116">
        <v>231</v>
      </c>
      <c r="Q1842" s="116">
        <v>232.25</v>
      </c>
      <c r="R1842">
        <v>11689465</v>
      </c>
    </row>
    <row r="1843" spans="1:18" x14ac:dyDescent="0.25">
      <c r="A1843" s="170">
        <v>44719</v>
      </c>
      <c r="B1843" s="116">
        <v>235.4</v>
      </c>
      <c r="C1843" s="116">
        <v>234.7</v>
      </c>
      <c r="D1843" s="116">
        <v>229.55</v>
      </c>
      <c r="E1843" s="116">
        <v>230.95</v>
      </c>
      <c r="F1843" s="116">
        <v>234.7</v>
      </c>
      <c r="G1843">
        <v>1826948</v>
      </c>
      <c r="H1843" s="116"/>
      <c r="I1843" s="116"/>
      <c r="L1843" s="170">
        <v>44719</v>
      </c>
      <c r="M1843" s="116">
        <v>234.75</v>
      </c>
      <c r="N1843" s="116">
        <v>235.5</v>
      </c>
      <c r="O1843" s="116">
        <v>229.75</v>
      </c>
      <c r="P1843" s="116">
        <v>230.9</v>
      </c>
      <c r="Q1843" s="116">
        <v>234.75</v>
      </c>
      <c r="R1843">
        <v>14994271</v>
      </c>
    </row>
    <row r="1844" spans="1:18" x14ac:dyDescent="0.25">
      <c r="A1844" s="170">
        <v>44720</v>
      </c>
      <c r="B1844" s="116">
        <v>236.65</v>
      </c>
      <c r="C1844" s="116">
        <v>233</v>
      </c>
      <c r="D1844" s="116">
        <v>231.2</v>
      </c>
      <c r="E1844" s="116">
        <v>233.05</v>
      </c>
      <c r="F1844" s="116">
        <v>233</v>
      </c>
      <c r="G1844">
        <v>1014438</v>
      </c>
      <c r="H1844" s="116"/>
      <c r="I1844" s="116"/>
      <c r="L1844" s="170">
        <v>44720</v>
      </c>
      <c r="M1844" s="116">
        <v>233</v>
      </c>
      <c r="N1844" s="116">
        <v>236.4</v>
      </c>
      <c r="O1844" s="116">
        <v>231.1</v>
      </c>
      <c r="P1844" s="116">
        <v>235.95</v>
      </c>
      <c r="Q1844" s="116">
        <v>233</v>
      </c>
      <c r="R1844">
        <v>13235033</v>
      </c>
    </row>
    <row r="1845" spans="1:18" x14ac:dyDescent="0.25">
      <c r="A1845" s="170">
        <v>44721</v>
      </c>
      <c r="B1845" s="116">
        <v>234.7</v>
      </c>
      <c r="C1845" s="116">
        <v>233</v>
      </c>
      <c r="D1845" s="116">
        <v>231.4</v>
      </c>
      <c r="E1845" s="116">
        <v>232.5</v>
      </c>
      <c r="F1845" s="116">
        <v>233</v>
      </c>
      <c r="G1845">
        <v>1142170</v>
      </c>
      <c r="H1845" s="116"/>
      <c r="I1845" s="116"/>
      <c r="L1845" s="170">
        <v>44721</v>
      </c>
      <c r="M1845" s="116">
        <v>233.05</v>
      </c>
      <c r="N1845" s="116">
        <v>234.7</v>
      </c>
      <c r="O1845" s="116">
        <v>231.4</v>
      </c>
      <c r="P1845" s="116">
        <v>232</v>
      </c>
      <c r="Q1845" s="116">
        <v>233.05</v>
      </c>
      <c r="R1845">
        <v>10241164</v>
      </c>
    </row>
    <row r="1846" spans="1:18" x14ac:dyDescent="0.25">
      <c r="A1846" s="170">
        <v>44722</v>
      </c>
      <c r="B1846" s="116">
        <v>232.45</v>
      </c>
      <c r="C1846" s="116">
        <v>230.2</v>
      </c>
      <c r="D1846" s="116">
        <v>229.05</v>
      </c>
      <c r="E1846" s="116">
        <v>231.95</v>
      </c>
      <c r="F1846" s="116">
        <v>230.2</v>
      </c>
      <c r="G1846">
        <v>580714</v>
      </c>
      <c r="H1846" s="116"/>
      <c r="I1846" s="116"/>
      <c r="L1846" s="170">
        <v>44722</v>
      </c>
      <c r="M1846" s="116">
        <v>230.25</v>
      </c>
      <c r="N1846" s="116">
        <v>232.4</v>
      </c>
      <c r="O1846" s="116">
        <v>229</v>
      </c>
      <c r="P1846" s="116">
        <v>231.4</v>
      </c>
      <c r="Q1846" s="116">
        <v>230.25</v>
      </c>
      <c r="R1846">
        <v>9619461</v>
      </c>
    </row>
    <row r="1847" spans="1:18" x14ac:dyDescent="0.25">
      <c r="A1847" s="170">
        <v>44725</v>
      </c>
      <c r="B1847" s="116">
        <v>226.4</v>
      </c>
      <c r="C1847" s="116">
        <v>219.5</v>
      </c>
      <c r="D1847" s="116">
        <v>218.9</v>
      </c>
      <c r="E1847" s="116">
        <v>223.95</v>
      </c>
      <c r="F1847" s="116">
        <v>219.5</v>
      </c>
      <c r="G1847">
        <v>1002297</v>
      </c>
      <c r="H1847" s="116"/>
      <c r="I1847" s="116"/>
      <c r="L1847" s="170">
        <v>44725</v>
      </c>
      <c r="M1847" s="116">
        <v>219.5</v>
      </c>
      <c r="N1847" s="116">
        <v>226.35</v>
      </c>
      <c r="O1847" s="116">
        <v>218.9</v>
      </c>
      <c r="P1847" s="116">
        <v>223.45</v>
      </c>
      <c r="Q1847" s="116">
        <v>219.5</v>
      </c>
      <c r="R1847">
        <v>19190225</v>
      </c>
    </row>
    <row r="1848" spans="1:18" x14ac:dyDescent="0.25">
      <c r="A1848" s="170">
        <v>44726</v>
      </c>
      <c r="B1848" s="116">
        <v>224.4</v>
      </c>
      <c r="C1848" s="116">
        <v>220.45</v>
      </c>
      <c r="D1848" s="116">
        <v>214.8</v>
      </c>
      <c r="E1848" s="116">
        <v>214.95</v>
      </c>
      <c r="F1848" s="116">
        <v>220.45</v>
      </c>
      <c r="G1848">
        <v>1623252</v>
      </c>
      <c r="H1848" s="116"/>
      <c r="I1848" s="116"/>
      <c r="L1848" s="170">
        <v>44726</v>
      </c>
      <c r="M1848" s="116">
        <v>220.4</v>
      </c>
      <c r="N1848" s="116">
        <v>224.4</v>
      </c>
      <c r="O1848" s="116">
        <v>214.65</v>
      </c>
      <c r="P1848" s="116">
        <v>214.7</v>
      </c>
      <c r="Q1848" s="116">
        <v>220.4</v>
      </c>
      <c r="R1848">
        <v>16235651</v>
      </c>
    </row>
    <row r="1849" spans="1:18" x14ac:dyDescent="0.25">
      <c r="A1849" s="170">
        <v>44727</v>
      </c>
      <c r="B1849" s="116">
        <v>222.4</v>
      </c>
      <c r="C1849" s="116">
        <v>218.9</v>
      </c>
      <c r="D1849" s="116">
        <v>218.4</v>
      </c>
      <c r="E1849" s="116">
        <v>220.7</v>
      </c>
      <c r="F1849" s="116">
        <v>218.9</v>
      </c>
      <c r="G1849">
        <v>1119793</v>
      </c>
      <c r="H1849" s="116"/>
      <c r="I1849" s="116"/>
      <c r="L1849" s="170">
        <v>44727</v>
      </c>
      <c r="M1849" s="116">
        <v>218.95</v>
      </c>
      <c r="N1849" s="116">
        <v>222.3</v>
      </c>
      <c r="O1849" s="116">
        <v>218.3</v>
      </c>
      <c r="P1849" s="116">
        <v>221</v>
      </c>
      <c r="Q1849" s="116">
        <v>218.95</v>
      </c>
      <c r="R1849">
        <v>11820899</v>
      </c>
    </row>
    <row r="1850" spans="1:18" x14ac:dyDescent="0.25">
      <c r="A1850" s="170">
        <v>44728</v>
      </c>
      <c r="B1850" s="116">
        <v>223.3</v>
      </c>
      <c r="C1850" s="116">
        <v>209.85</v>
      </c>
      <c r="D1850" s="116">
        <v>209</v>
      </c>
      <c r="E1850" s="116">
        <v>222.75</v>
      </c>
      <c r="F1850" s="116">
        <v>209.85</v>
      </c>
      <c r="G1850">
        <v>1218284</v>
      </c>
      <c r="H1850" s="116"/>
      <c r="I1850" s="116"/>
      <c r="L1850" s="170">
        <v>44728</v>
      </c>
      <c r="M1850" s="116">
        <v>209.8</v>
      </c>
      <c r="N1850" s="116">
        <v>223.3</v>
      </c>
      <c r="O1850" s="116">
        <v>209</v>
      </c>
      <c r="P1850" s="116">
        <v>222.4</v>
      </c>
      <c r="Q1850" s="116">
        <v>209.8</v>
      </c>
      <c r="R1850">
        <v>22486470</v>
      </c>
    </row>
    <row r="1851" spans="1:18" x14ac:dyDescent="0.25">
      <c r="A1851" s="170">
        <v>44729</v>
      </c>
      <c r="B1851" s="116">
        <v>214</v>
      </c>
      <c r="C1851" s="116">
        <v>210.45</v>
      </c>
      <c r="D1851" s="116">
        <v>207</v>
      </c>
      <c r="E1851" s="116">
        <v>209.4</v>
      </c>
      <c r="F1851" s="116">
        <v>210.45</v>
      </c>
      <c r="G1851">
        <v>2207033</v>
      </c>
      <c r="H1851" s="116"/>
      <c r="I1851" s="116"/>
      <c r="L1851" s="170">
        <v>44729</v>
      </c>
      <c r="M1851" s="116">
        <v>210.3</v>
      </c>
      <c r="N1851" s="116">
        <v>213.95</v>
      </c>
      <c r="O1851" s="116">
        <v>207.05</v>
      </c>
      <c r="P1851" s="116">
        <v>209.8</v>
      </c>
      <c r="Q1851" s="116">
        <v>210.3</v>
      </c>
      <c r="R1851">
        <v>20447908</v>
      </c>
    </row>
    <row r="1852" spans="1:18" x14ac:dyDescent="0.25">
      <c r="A1852" s="170">
        <v>44732</v>
      </c>
      <c r="B1852" s="116">
        <v>213.05</v>
      </c>
      <c r="C1852" s="116">
        <v>194.75</v>
      </c>
      <c r="D1852" s="116">
        <v>190</v>
      </c>
      <c r="E1852" s="116">
        <v>211.3</v>
      </c>
      <c r="F1852" s="116">
        <v>194.75</v>
      </c>
      <c r="G1852">
        <v>5265949</v>
      </c>
      <c r="H1852" s="116"/>
      <c r="I1852" s="116"/>
      <c r="L1852" s="170">
        <v>44732</v>
      </c>
      <c r="M1852" s="116">
        <v>194.9</v>
      </c>
      <c r="N1852" s="116">
        <v>212.9</v>
      </c>
      <c r="O1852" s="116">
        <v>190</v>
      </c>
      <c r="P1852" s="116">
        <v>211.8</v>
      </c>
      <c r="Q1852" s="116">
        <v>194.9</v>
      </c>
      <c r="R1852">
        <v>46007687</v>
      </c>
    </row>
    <row r="1853" spans="1:18" x14ac:dyDescent="0.25">
      <c r="A1853" s="170">
        <v>44733</v>
      </c>
      <c r="B1853" s="116">
        <v>207.8</v>
      </c>
      <c r="C1853" s="116">
        <v>204.55</v>
      </c>
      <c r="D1853" s="116">
        <v>192.5</v>
      </c>
      <c r="E1853" s="116">
        <v>198.9</v>
      </c>
      <c r="F1853" s="116">
        <v>204.55</v>
      </c>
      <c r="G1853">
        <v>1813268</v>
      </c>
      <c r="H1853" s="116"/>
      <c r="I1853" s="116"/>
      <c r="L1853" s="170">
        <v>44733</v>
      </c>
      <c r="M1853" s="116">
        <v>204.55</v>
      </c>
      <c r="N1853" s="116">
        <v>207.75</v>
      </c>
      <c r="O1853" s="116">
        <v>192.5</v>
      </c>
      <c r="P1853" s="116">
        <v>197.8</v>
      </c>
      <c r="Q1853" s="116">
        <v>204.55</v>
      </c>
      <c r="R1853">
        <v>40390379</v>
      </c>
    </row>
    <row r="1854" spans="1:18" x14ac:dyDescent="0.25">
      <c r="A1854" s="170">
        <v>44734</v>
      </c>
      <c r="B1854" s="116">
        <v>204.6</v>
      </c>
      <c r="C1854" s="116">
        <v>201.3</v>
      </c>
      <c r="D1854" s="116">
        <v>198.85</v>
      </c>
      <c r="E1854" s="116">
        <v>204.55</v>
      </c>
      <c r="F1854" s="116">
        <v>201.3</v>
      </c>
      <c r="G1854">
        <v>1684091</v>
      </c>
      <c r="H1854" s="116"/>
      <c r="I1854" s="116"/>
      <c r="L1854" s="170">
        <v>44734</v>
      </c>
      <c r="M1854" s="116">
        <v>201.3</v>
      </c>
      <c r="N1854" s="116">
        <v>204.6</v>
      </c>
      <c r="O1854" s="116">
        <v>199</v>
      </c>
      <c r="P1854" s="116">
        <v>203.7</v>
      </c>
      <c r="Q1854" s="116">
        <v>201.3</v>
      </c>
      <c r="R1854">
        <v>19099052</v>
      </c>
    </row>
    <row r="1855" spans="1:18" x14ac:dyDescent="0.25">
      <c r="A1855" s="170">
        <v>44735</v>
      </c>
      <c r="B1855" s="116">
        <v>204.85</v>
      </c>
      <c r="C1855" s="116">
        <v>202.95</v>
      </c>
      <c r="D1855" s="116">
        <v>198.75</v>
      </c>
      <c r="E1855" s="116">
        <v>201</v>
      </c>
      <c r="F1855" s="116">
        <v>202.95</v>
      </c>
      <c r="G1855">
        <v>2028424</v>
      </c>
      <c r="H1855" s="116"/>
      <c r="I1855" s="116"/>
      <c r="L1855" s="170">
        <v>44735</v>
      </c>
      <c r="M1855" s="116">
        <v>202.95</v>
      </c>
      <c r="N1855" s="116">
        <v>204.9</v>
      </c>
      <c r="O1855" s="116">
        <v>198.65</v>
      </c>
      <c r="P1855" s="116">
        <v>201.3</v>
      </c>
      <c r="Q1855" s="116">
        <v>202.95</v>
      </c>
      <c r="R1855">
        <v>20176334</v>
      </c>
    </row>
    <row r="1856" spans="1:18" x14ac:dyDescent="0.25">
      <c r="A1856" s="170">
        <v>44736</v>
      </c>
      <c r="B1856" s="116">
        <v>208.75</v>
      </c>
      <c r="C1856" s="116">
        <v>207.85</v>
      </c>
      <c r="D1856" s="116">
        <v>203.8</v>
      </c>
      <c r="E1856" s="116">
        <v>205</v>
      </c>
      <c r="F1856" s="116">
        <v>207.85</v>
      </c>
      <c r="G1856">
        <v>1387075</v>
      </c>
      <c r="H1856" s="116"/>
      <c r="I1856" s="116"/>
      <c r="L1856" s="170">
        <v>44736</v>
      </c>
      <c r="M1856" s="116">
        <v>207.9</v>
      </c>
      <c r="N1856" s="116">
        <v>208.75</v>
      </c>
      <c r="O1856" s="116">
        <v>203.7</v>
      </c>
      <c r="P1856" s="116">
        <v>204.9</v>
      </c>
      <c r="Q1856" s="116">
        <v>207.9</v>
      </c>
      <c r="R1856">
        <v>16789270</v>
      </c>
    </row>
    <row r="1857" spans="1:18" x14ac:dyDescent="0.25">
      <c r="A1857" s="170">
        <v>44739</v>
      </c>
      <c r="B1857" s="116">
        <v>211.6</v>
      </c>
      <c r="C1857" s="116">
        <v>208.05</v>
      </c>
      <c r="D1857" s="116">
        <v>207.75</v>
      </c>
      <c r="E1857" s="116">
        <v>210.3</v>
      </c>
      <c r="F1857" s="116">
        <v>208.05</v>
      </c>
      <c r="G1857">
        <v>811150</v>
      </c>
      <c r="H1857" s="116"/>
      <c r="I1857" s="116"/>
      <c r="L1857" s="170">
        <v>44739</v>
      </c>
      <c r="M1857" s="116">
        <v>208.15</v>
      </c>
      <c r="N1857" s="116">
        <v>211.6</v>
      </c>
      <c r="O1857" s="116">
        <v>207.65</v>
      </c>
      <c r="P1857" s="116">
        <v>209.9</v>
      </c>
      <c r="Q1857" s="116">
        <v>208.15</v>
      </c>
      <c r="R1857">
        <v>18526023</v>
      </c>
    </row>
    <row r="1858" spans="1:18" x14ac:dyDescent="0.25">
      <c r="A1858" s="170">
        <v>44740</v>
      </c>
      <c r="B1858" s="116">
        <v>209.05</v>
      </c>
      <c r="C1858" s="116">
        <v>208.7</v>
      </c>
      <c r="D1858" s="116">
        <v>204.95</v>
      </c>
      <c r="E1858" s="116">
        <v>206.6</v>
      </c>
      <c r="F1858" s="116">
        <v>208.7</v>
      </c>
      <c r="G1858">
        <v>594605</v>
      </c>
      <c r="H1858" s="116"/>
      <c r="I1858" s="116"/>
      <c r="L1858" s="170">
        <v>44740</v>
      </c>
      <c r="M1858" s="116">
        <v>208.65</v>
      </c>
      <c r="N1858" s="116">
        <v>209.15</v>
      </c>
      <c r="O1858" s="116">
        <v>204.9</v>
      </c>
      <c r="P1858" s="116">
        <v>206.1</v>
      </c>
      <c r="Q1858" s="116">
        <v>208.65</v>
      </c>
      <c r="R1858">
        <v>13321760</v>
      </c>
    </row>
    <row r="1859" spans="1:18" x14ac:dyDescent="0.25">
      <c r="A1859" s="170">
        <v>44741</v>
      </c>
      <c r="B1859" s="116">
        <v>209.7</v>
      </c>
      <c r="C1859" s="116">
        <v>207.2</v>
      </c>
      <c r="D1859" s="116">
        <v>205.65</v>
      </c>
      <c r="E1859" s="116">
        <v>205.75</v>
      </c>
      <c r="F1859" s="116">
        <v>207.2</v>
      </c>
      <c r="G1859">
        <v>1036665</v>
      </c>
      <c r="H1859" s="116"/>
      <c r="I1859" s="116"/>
      <c r="L1859" s="170">
        <v>44741</v>
      </c>
      <c r="M1859" s="116">
        <v>207.3</v>
      </c>
      <c r="N1859" s="116">
        <v>209.7</v>
      </c>
      <c r="O1859" s="116">
        <v>205.75</v>
      </c>
      <c r="P1859" s="116">
        <v>206.1</v>
      </c>
      <c r="Q1859" s="116">
        <v>207.3</v>
      </c>
      <c r="R1859">
        <v>12179447</v>
      </c>
    </row>
    <row r="1860" spans="1:18" x14ac:dyDescent="0.25">
      <c r="A1860" s="170">
        <v>44742</v>
      </c>
      <c r="B1860" s="116">
        <v>209.3</v>
      </c>
      <c r="C1860" s="116">
        <v>202.35</v>
      </c>
      <c r="D1860" s="116">
        <v>201.5</v>
      </c>
      <c r="E1860" s="116">
        <v>207.5</v>
      </c>
      <c r="F1860" s="116">
        <v>202.35</v>
      </c>
      <c r="G1860">
        <v>700573</v>
      </c>
      <c r="H1860" s="116"/>
      <c r="I1860" s="116"/>
      <c r="L1860" s="170">
        <v>44742</v>
      </c>
      <c r="M1860" s="116">
        <v>202.2</v>
      </c>
      <c r="N1860" s="116">
        <v>209.25</v>
      </c>
      <c r="O1860" s="116">
        <v>201.4</v>
      </c>
      <c r="P1860" s="116">
        <v>207.3</v>
      </c>
      <c r="Q1860" s="116">
        <v>202.2</v>
      </c>
      <c r="R1860">
        <v>16161389</v>
      </c>
    </row>
    <row r="1861" spans="1:18" x14ac:dyDescent="0.25">
      <c r="A1861" s="170">
        <v>44743</v>
      </c>
      <c r="B1861" s="116">
        <v>207.6</v>
      </c>
      <c r="C1861" s="116">
        <v>207</v>
      </c>
      <c r="D1861" s="116">
        <v>200.55</v>
      </c>
      <c r="E1861" s="116">
        <v>204.25</v>
      </c>
      <c r="F1861" s="116">
        <v>207</v>
      </c>
      <c r="G1861">
        <v>1505100</v>
      </c>
      <c r="H1861" s="116"/>
      <c r="I1861" s="116"/>
      <c r="L1861" s="170">
        <v>44743</v>
      </c>
      <c r="M1861" s="116">
        <v>207</v>
      </c>
      <c r="N1861" s="116">
        <v>207.65</v>
      </c>
      <c r="O1861" s="116">
        <v>200.6</v>
      </c>
      <c r="P1861" s="116">
        <v>202.7</v>
      </c>
      <c r="Q1861" s="116">
        <v>207</v>
      </c>
      <c r="R1861">
        <v>15807993</v>
      </c>
    </row>
    <row r="1862" spans="1:18" x14ac:dyDescent="0.25">
      <c r="A1862" s="170">
        <v>44746</v>
      </c>
      <c r="B1862" s="116">
        <v>212.5</v>
      </c>
      <c r="C1862" s="116">
        <v>211.5</v>
      </c>
      <c r="D1862" s="116">
        <v>207.35</v>
      </c>
      <c r="E1862" s="116">
        <v>207.35</v>
      </c>
      <c r="F1862" s="116">
        <v>211.5</v>
      </c>
      <c r="G1862">
        <v>775864</v>
      </c>
      <c r="H1862" s="116"/>
      <c r="I1862" s="116"/>
      <c r="L1862" s="170">
        <v>44746</v>
      </c>
      <c r="M1862" s="116">
        <v>211.45</v>
      </c>
      <c r="N1862" s="116">
        <v>212.8</v>
      </c>
      <c r="O1862" s="116">
        <v>207.2</v>
      </c>
      <c r="P1862" s="116">
        <v>207.7</v>
      </c>
      <c r="Q1862" s="116">
        <v>211.45</v>
      </c>
      <c r="R1862">
        <v>14714951</v>
      </c>
    </row>
    <row r="1863" spans="1:18" x14ac:dyDescent="0.25">
      <c r="A1863" s="170">
        <v>44747</v>
      </c>
      <c r="B1863" s="116">
        <v>217.1</v>
      </c>
      <c r="C1863" s="116">
        <v>212.75</v>
      </c>
      <c r="D1863" s="116">
        <v>212</v>
      </c>
      <c r="E1863" s="116">
        <v>214.7</v>
      </c>
      <c r="F1863" s="116">
        <v>212.75</v>
      </c>
      <c r="G1863">
        <v>1766469</v>
      </c>
      <c r="H1863" s="116"/>
      <c r="I1863" s="116"/>
      <c r="L1863" s="170">
        <v>44747</v>
      </c>
      <c r="M1863" s="116">
        <v>212.8</v>
      </c>
      <c r="N1863" s="116">
        <v>217.1</v>
      </c>
      <c r="O1863" s="116">
        <v>212</v>
      </c>
      <c r="P1863" s="116">
        <v>214.5</v>
      </c>
      <c r="Q1863" s="116">
        <v>212.8</v>
      </c>
      <c r="R1863">
        <v>18209477</v>
      </c>
    </row>
    <row r="1864" spans="1:18" x14ac:dyDescent="0.25">
      <c r="A1864" s="170">
        <v>44748</v>
      </c>
      <c r="B1864" s="116">
        <v>216.1</v>
      </c>
      <c r="C1864" s="116">
        <v>213.95</v>
      </c>
      <c r="D1864" s="116">
        <v>210.1</v>
      </c>
      <c r="E1864" s="116">
        <v>216.1</v>
      </c>
      <c r="F1864" s="116">
        <v>213.95</v>
      </c>
      <c r="G1864">
        <v>774829</v>
      </c>
      <c r="H1864" s="116"/>
      <c r="I1864" s="116"/>
      <c r="L1864" s="170">
        <v>44748</v>
      </c>
      <c r="M1864" s="116">
        <v>214</v>
      </c>
      <c r="N1864" s="116">
        <v>214.75</v>
      </c>
      <c r="O1864" s="116">
        <v>210.1</v>
      </c>
      <c r="P1864" s="116">
        <v>212.5</v>
      </c>
      <c r="Q1864" s="116">
        <v>214</v>
      </c>
      <c r="R1864">
        <v>13022748</v>
      </c>
    </row>
    <row r="1865" spans="1:18" x14ac:dyDescent="0.25">
      <c r="A1865" s="170">
        <v>44749</v>
      </c>
      <c r="B1865" s="116">
        <v>216.45</v>
      </c>
      <c r="C1865" s="116">
        <v>214.5</v>
      </c>
      <c r="D1865" s="116">
        <v>212.35</v>
      </c>
      <c r="E1865" s="116">
        <v>215.9</v>
      </c>
      <c r="F1865" s="116">
        <v>214.5</v>
      </c>
      <c r="G1865">
        <v>937404</v>
      </c>
      <c r="H1865" s="116"/>
      <c r="I1865" s="116"/>
      <c r="L1865" s="170">
        <v>44749</v>
      </c>
      <c r="M1865" s="116">
        <v>214.55</v>
      </c>
      <c r="N1865" s="116">
        <v>216.3</v>
      </c>
      <c r="O1865" s="116">
        <v>212.3</v>
      </c>
      <c r="P1865" s="116">
        <v>215.95</v>
      </c>
      <c r="Q1865" s="116">
        <v>214.55</v>
      </c>
      <c r="R1865">
        <v>14827327</v>
      </c>
    </row>
    <row r="1866" spans="1:18" x14ac:dyDescent="0.25">
      <c r="A1866" s="170">
        <v>44750</v>
      </c>
      <c r="B1866" s="116">
        <v>220.85</v>
      </c>
      <c r="C1866" s="116">
        <v>220.05</v>
      </c>
      <c r="D1866" s="116">
        <v>214.8</v>
      </c>
      <c r="E1866" s="116">
        <v>217.2</v>
      </c>
      <c r="F1866" s="116">
        <v>220.05</v>
      </c>
      <c r="G1866">
        <v>859912</v>
      </c>
      <c r="H1866" s="116"/>
      <c r="I1866" s="116"/>
      <c r="L1866" s="170">
        <v>44750</v>
      </c>
      <c r="M1866" s="116">
        <v>220.05</v>
      </c>
      <c r="N1866" s="116">
        <v>220.85</v>
      </c>
      <c r="O1866" s="116">
        <v>214.75</v>
      </c>
      <c r="P1866" s="116">
        <v>217.7</v>
      </c>
      <c r="Q1866" s="116">
        <v>220.05</v>
      </c>
      <c r="R1866">
        <v>17940782</v>
      </c>
    </row>
    <row r="1867" spans="1:18" x14ac:dyDescent="0.25">
      <c r="A1867" s="170">
        <v>44753</v>
      </c>
      <c r="B1867" s="116">
        <v>221.85</v>
      </c>
      <c r="C1867" s="116">
        <v>220.8</v>
      </c>
      <c r="D1867" s="116">
        <v>218.2</v>
      </c>
      <c r="E1867" s="116">
        <v>219.25</v>
      </c>
      <c r="F1867" s="116">
        <v>220.8</v>
      </c>
      <c r="G1867">
        <v>1579360</v>
      </c>
      <c r="H1867" s="116"/>
      <c r="I1867" s="116"/>
      <c r="L1867" s="170">
        <v>44753</v>
      </c>
      <c r="M1867" s="116">
        <v>220.75</v>
      </c>
      <c r="N1867" s="116">
        <v>221.9</v>
      </c>
      <c r="O1867" s="116">
        <v>218.3</v>
      </c>
      <c r="P1867" s="116">
        <v>219</v>
      </c>
      <c r="Q1867" s="116">
        <v>220.75</v>
      </c>
      <c r="R1867">
        <v>14996210</v>
      </c>
    </row>
    <row r="1868" spans="1:18" x14ac:dyDescent="0.25">
      <c r="A1868" s="170">
        <v>44754</v>
      </c>
      <c r="B1868" s="116">
        <v>224.2</v>
      </c>
      <c r="C1868" s="116">
        <v>221.45</v>
      </c>
      <c r="D1868" s="116">
        <v>218.8</v>
      </c>
      <c r="E1868" s="116">
        <v>220.25</v>
      </c>
      <c r="F1868" s="116">
        <v>221.45</v>
      </c>
      <c r="G1868">
        <v>1486038</v>
      </c>
      <c r="H1868" s="116"/>
      <c r="I1868" s="116"/>
      <c r="L1868" s="170">
        <v>44754</v>
      </c>
      <c r="M1868" s="116">
        <v>221.5</v>
      </c>
      <c r="N1868" s="116">
        <v>224.2</v>
      </c>
      <c r="O1868" s="116">
        <v>219.1</v>
      </c>
      <c r="P1868" s="116">
        <v>219.85</v>
      </c>
      <c r="Q1868" s="116">
        <v>221.5</v>
      </c>
      <c r="R1868">
        <v>14294272</v>
      </c>
    </row>
    <row r="1869" spans="1:18" x14ac:dyDescent="0.25">
      <c r="A1869" s="170">
        <v>44755</v>
      </c>
      <c r="B1869" s="116">
        <v>223.3</v>
      </c>
      <c r="C1869" s="116">
        <v>220.85</v>
      </c>
      <c r="D1869" s="116">
        <v>219.95</v>
      </c>
      <c r="E1869" s="116">
        <v>222.25</v>
      </c>
      <c r="F1869" s="116">
        <v>220.85</v>
      </c>
      <c r="G1869">
        <v>652656</v>
      </c>
      <c r="H1869" s="116"/>
      <c r="I1869" s="116"/>
      <c r="L1869" s="170">
        <v>44755</v>
      </c>
      <c r="M1869" s="116">
        <v>220.75</v>
      </c>
      <c r="N1869" s="116">
        <v>223.25</v>
      </c>
      <c r="O1869" s="116">
        <v>219.85</v>
      </c>
      <c r="P1869" s="116">
        <v>222</v>
      </c>
      <c r="Q1869" s="116">
        <v>220.75</v>
      </c>
      <c r="R1869">
        <v>11090495</v>
      </c>
    </row>
    <row r="1870" spans="1:18" x14ac:dyDescent="0.25">
      <c r="A1870" s="170">
        <v>44756</v>
      </c>
      <c r="B1870" s="116">
        <v>223.25</v>
      </c>
      <c r="C1870" s="116">
        <v>221.25</v>
      </c>
      <c r="D1870" s="116">
        <v>219.15</v>
      </c>
      <c r="E1870" s="116">
        <v>223</v>
      </c>
      <c r="F1870" s="116">
        <v>221.25</v>
      </c>
      <c r="G1870">
        <v>1200225</v>
      </c>
      <c r="H1870" s="116"/>
      <c r="I1870" s="116"/>
      <c r="L1870" s="170">
        <v>44756</v>
      </c>
      <c r="M1870" s="116">
        <v>221.35</v>
      </c>
      <c r="N1870" s="116">
        <v>223.25</v>
      </c>
      <c r="O1870" s="116">
        <v>219.15</v>
      </c>
      <c r="P1870" s="116">
        <v>222.9</v>
      </c>
      <c r="Q1870" s="116">
        <v>221.35</v>
      </c>
      <c r="R1870">
        <v>11027964</v>
      </c>
    </row>
    <row r="1871" spans="1:18" x14ac:dyDescent="0.25">
      <c r="A1871" s="170">
        <v>44757</v>
      </c>
      <c r="B1871" s="116">
        <v>226.25</v>
      </c>
      <c r="C1871" s="116">
        <v>225.05</v>
      </c>
      <c r="D1871" s="116">
        <v>221.45</v>
      </c>
      <c r="E1871" s="116">
        <v>221.45</v>
      </c>
      <c r="F1871" s="116">
        <v>225.05</v>
      </c>
      <c r="G1871">
        <v>819214</v>
      </c>
      <c r="H1871" s="116"/>
      <c r="I1871" s="116"/>
      <c r="L1871" s="170">
        <v>44757</v>
      </c>
      <c r="M1871" s="116">
        <v>225</v>
      </c>
      <c r="N1871" s="116">
        <v>226.2</v>
      </c>
      <c r="O1871" s="116">
        <v>221.65</v>
      </c>
      <c r="P1871" s="116">
        <v>221.9</v>
      </c>
      <c r="Q1871" s="116">
        <v>225</v>
      </c>
      <c r="R1871">
        <v>13191940</v>
      </c>
    </row>
    <row r="1872" spans="1:18" x14ac:dyDescent="0.25">
      <c r="A1872" s="170">
        <v>44760</v>
      </c>
      <c r="B1872" s="116">
        <v>228.85</v>
      </c>
      <c r="C1872" s="116">
        <v>227.8</v>
      </c>
      <c r="D1872" s="116">
        <v>225.45</v>
      </c>
      <c r="E1872" s="116">
        <v>226.75</v>
      </c>
      <c r="F1872" s="116">
        <v>227.8</v>
      </c>
      <c r="G1872">
        <v>2977442</v>
      </c>
      <c r="H1872" s="116"/>
      <c r="I1872" s="116"/>
      <c r="L1872" s="170">
        <v>44760</v>
      </c>
      <c r="M1872" s="116">
        <v>227.8</v>
      </c>
      <c r="N1872" s="116">
        <v>228.9</v>
      </c>
      <c r="O1872" s="116">
        <v>225.5</v>
      </c>
      <c r="P1872" s="116">
        <v>226.95</v>
      </c>
      <c r="Q1872" s="116">
        <v>227.8</v>
      </c>
      <c r="R1872">
        <v>11035599</v>
      </c>
    </row>
    <row r="1873" spans="1:18" x14ac:dyDescent="0.25">
      <c r="A1873" s="170">
        <v>44761</v>
      </c>
      <c r="B1873" s="116">
        <v>229.55</v>
      </c>
      <c r="C1873" s="116">
        <v>228.15</v>
      </c>
      <c r="D1873" s="116">
        <v>226.5</v>
      </c>
      <c r="E1873" s="116">
        <v>227.05</v>
      </c>
      <c r="F1873" s="116">
        <v>228.15</v>
      </c>
      <c r="G1873">
        <v>1074248</v>
      </c>
      <c r="H1873" s="116"/>
      <c r="I1873" s="116"/>
      <c r="L1873" s="170">
        <v>44761</v>
      </c>
      <c r="M1873" s="116">
        <v>228</v>
      </c>
      <c r="N1873" s="116">
        <v>229.5</v>
      </c>
      <c r="O1873" s="116">
        <v>226.5</v>
      </c>
      <c r="P1873" s="116">
        <v>226.65</v>
      </c>
      <c r="Q1873" s="116">
        <v>228</v>
      </c>
      <c r="R1873">
        <v>7716506</v>
      </c>
    </row>
    <row r="1874" spans="1:18" x14ac:dyDescent="0.25">
      <c r="A1874" s="170">
        <v>44762</v>
      </c>
      <c r="B1874" s="116">
        <v>230.5</v>
      </c>
      <c r="C1874" s="116">
        <v>227.4</v>
      </c>
      <c r="D1874" s="116">
        <v>226.65</v>
      </c>
      <c r="E1874" s="116">
        <v>230</v>
      </c>
      <c r="F1874" s="116">
        <v>227.4</v>
      </c>
      <c r="G1874">
        <v>1222750</v>
      </c>
      <c r="H1874" s="116"/>
      <c r="I1874" s="116"/>
      <c r="L1874" s="170">
        <v>44762</v>
      </c>
      <c r="M1874" s="116">
        <v>227.6</v>
      </c>
      <c r="N1874" s="116">
        <v>230.6</v>
      </c>
      <c r="O1874" s="116">
        <v>226.8</v>
      </c>
      <c r="P1874" s="116">
        <v>230</v>
      </c>
      <c r="Q1874" s="116">
        <v>227.6</v>
      </c>
      <c r="R1874">
        <v>10163009</v>
      </c>
    </row>
    <row r="1875" spans="1:18" x14ac:dyDescent="0.25">
      <c r="A1875" s="170">
        <v>44763</v>
      </c>
      <c r="B1875" s="116">
        <v>230.9</v>
      </c>
      <c r="C1875" s="116">
        <v>230</v>
      </c>
      <c r="D1875" s="116">
        <v>226.5</v>
      </c>
      <c r="E1875" s="116">
        <v>226.5</v>
      </c>
      <c r="F1875" s="116">
        <v>230</v>
      </c>
      <c r="G1875">
        <v>843403</v>
      </c>
      <c r="H1875" s="116"/>
      <c r="I1875" s="116"/>
      <c r="L1875" s="170">
        <v>44763</v>
      </c>
      <c r="M1875" s="116">
        <v>230.1</v>
      </c>
      <c r="N1875" s="116">
        <v>230.9</v>
      </c>
      <c r="O1875" s="116">
        <v>226.5</v>
      </c>
      <c r="P1875" s="116">
        <v>226.7</v>
      </c>
      <c r="Q1875" s="116">
        <v>230.1</v>
      </c>
      <c r="R1875">
        <v>11218003</v>
      </c>
    </row>
    <row r="1876" spans="1:18" x14ac:dyDescent="0.25">
      <c r="A1876" s="170">
        <v>44764</v>
      </c>
      <c r="B1876" s="116">
        <v>234</v>
      </c>
      <c r="C1876" s="116">
        <v>230.85</v>
      </c>
      <c r="D1876" s="116">
        <v>230.2</v>
      </c>
      <c r="E1876" s="116">
        <v>230.5</v>
      </c>
      <c r="F1876" s="116">
        <v>230.85</v>
      </c>
      <c r="G1876">
        <v>598857</v>
      </c>
      <c r="H1876" s="116"/>
      <c r="I1876" s="116"/>
      <c r="L1876" s="170">
        <v>44764</v>
      </c>
      <c r="M1876" s="116">
        <v>230.85</v>
      </c>
      <c r="N1876" s="116">
        <v>234</v>
      </c>
      <c r="O1876" s="116">
        <v>230.2</v>
      </c>
      <c r="P1876" s="116">
        <v>230.2</v>
      </c>
      <c r="Q1876" s="116">
        <v>230.85</v>
      </c>
      <c r="R1876">
        <v>12459803</v>
      </c>
    </row>
    <row r="1877" spans="1:18" x14ac:dyDescent="0.25">
      <c r="A1877" s="170">
        <v>44767</v>
      </c>
      <c r="B1877" s="116">
        <v>233.25</v>
      </c>
      <c r="C1877" s="116">
        <v>232.5</v>
      </c>
      <c r="D1877" s="116">
        <v>229.5</v>
      </c>
      <c r="E1877" s="116">
        <v>231.4</v>
      </c>
      <c r="F1877" s="116">
        <v>232.5</v>
      </c>
      <c r="G1877">
        <v>1225952</v>
      </c>
      <c r="H1877" s="116"/>
      <c r="I1877" s="116"/>
      <c r="L1877" s="170">
        <v>44767</v>
      </c>
      <c r="M1877" s="116">
        <v>232.5</v>
      </c>
      <c r="N1877" s="116">
        <v>233.35</v>
      </c>
      <c r="O1877" s="116">
        <v>229.5</v>
      </c>
      <c r="P1877" s="116">
        <v>231.4</v>
      </c>
      <c r="Q1877" s="116">
        <v>232.5</v>
      </c>
      <c r="R1877">
        <v>10169772</v>
      </c>
    </row>
    <row r="1878" spans="1:18" x14ac:dyDescent="0.25">
      <c r="A1878" s="170">
        <v>44768</v>
      </c>
      <c r="B1878" s="116">
        <v>233.5</v>
      </c>
      <c r="C1878" s="116">
        <v>226.15</v>
      </c>
      <c r="D1878" s="116">
        <v>225.25</v>
      </c>
      <c r="E1878" s="116">
        <v>233</v>
      </c>
      <c r="F1878" s="116">
        <v>226.15</v>
      </c>
      <c r="G1878">
        <v>1171832</v>
      </c>
      <c r="H1878" s="116"/>
      <c r="I1878" s="116"/>
      <c r="L1878" s="170">
        <v>44768</v>
      </c>
      <c r="M1878" s="116">
        <v>226.15</v>
      </c>
      <c r="N1878" s="116">
        <v>233.5</v>
      </c>
      <c r="O1878" s="116">
        <v>225.1</v>
      </c>
      <c r="P1878" s="116">
        <v>233</v>
      </c>
      <c r="Q1878" s="116">
        <v>226.15</v>
      </c>
      <c r="R1878">
        <v>11541475</v>
      </c>
    </row>
    <row r="1879" spans="1:18" x14ac:dyDescent="0.25">
      <c r="A1879" s="170">
        <v>44769</v>
      </c>
      <c r="B1879" s="116">
        <v>223.9</v>
      </c>
      <c r="C1879" s="116">
        <v>217.95</v>
      </c>
      <c r="D1879" s="116">
        <v>215.5</v>
      </c>
      <c r="E1879" s="116">
        <v>221.9</v>
      </c>
      <c r="F1879" s="116">
        <v>217.95</v>
      </c>
      <c r="G1879">
        <v>2853922</v>
      </c>
      <c r="H1879" s="116"/>
      <c r="I1879" s="116"/>
      <c r="L1879" s="170">
        <v>44769</v>
      </c>
      <c r="M1879" s="116">
        <v>218</v>
      </c>
      <c r="N1879" s="116">
        <v>223.95</v>
      </c>
      <c r="O1879" s="116">
        <v>215.5</v>
      </c>
      <c r="P1879" s="116">
        <v>220.9</v>
      </c>
      <c r="Q1879" s="116">
        <v>218</v>
      </c>
      <c r="R1879">
        <v>33675845</v>
      </c>
    </row>
    <row r="1880" spans="1:18" x14ac:dyDescent="0.25">
      <c r="A1880" s="170">
        <v>44770</v>
      </c>
      <c r="B1880" s="116">
        <v>221.45</v>
      </c>
      <c r="C1880" s="116">
        <v>218.15</v>
      </c>
      <c r="D1880" s="116">
        <v>216.9</v>
      </c>
      <c r="E1880" s="116">
        <v>220.85</v>
      </c>
      <c r="F1880" s="116">
        <v>218.15</v>
      </c>
      <c r="G1880">
        <v>1046168</v>
      </c>
      <c r="H1880" s="116"/>
      <c r="I1880" s="116"/>
      <c r="L1880" s="170">
        <v>44770</v>
      </c>
      <c r="M1880" s="116">
        <v>218.15</v>
      </c>
      <c r="N1880" s="116">
        <v>221.45</v>
      </c>
      <c r="O1880" s="116">
        <v>216.9</v>
      </c>
      <c r="P1880" s="116">
        <v>220.4</v>
      </c>
      <c r="Q1880" s="116">
        <v>218.15</v>
      </c>
      <c r="R1880">
        <v>22716582</v>
      </c>
    </row>
    <row r="1881" spans="1:18" x14ac:dyDescent="0.25">
      <c r="A1881" s="170">
        <v>44771</v>
      </c>
      <c r="B1881" s="116">
        <v>222.6</v>
      </c>
      <c r="C1881" s="116">
        <v>221.9</v>
      </c>
      <c r="D1881" s="116">
        <v>218.8</v>
      </c>
      <c r="E1881" s="116">
        <v>219.95</v>
      </c>
      <c r="F1881" s="116">
        <v>221.9</v>
      </c>
      <c r="G1881">
        <v>1895119</v>
      </c>
      <c r="H1881" s="116"/>
      <c r="I1881" s="116"/>
      <c r="L1881" s="170">
        <v>44771</v>
      </c>
      <c r="M1881" s="116">
        <v>221.9</v>
      </c>
      <c r="N1881" s="116">
        <v>222.65</v>
      </c>
      <c r="O1881" s="116">
        <v>218.85</v>
      </c>
      <c r="P1881" s="116">
        <v>220.2</v>
      </c>
      <c r="Q1881" s="116">
        <v>221.9</v>
      </c>
      <c r="R1881">
        <v>19006987</v>
      </c>
    </row>
    <row r="1882" spans="1:18" x14ac:dyDescent="0.25">
      <c r="A1882" s="170">
        <v>44774</v>
      </c>
      <c r="B1882" s="116">
        <v>231.15</v>
      </c>
      <c r="C1882" s="116">
        <v>230.35</v>
      </c>
      <c r="D1882" s="116">
        <v>221.5</v>
      </c>
      <c r="E1882" s="116">
        <v>221.5</v>
      </c>
      <c r="F1882" s="116">
        <v>230.35</v>
      </c>
      <c r="G1882">
        <v>4090207</v>
      </c>
      <c r="H1882" s="116"/>
      <c r="I1882" s="116"/>
      <c r="L1882" s="170">
        <v>44774</v>
      </c>
      <c r="M1882" s="116">
        <v>230.35</v>
      </c>
      <c r="N1882" s="116">
        <v>231.25</v>
      </c>
      <c r="O1882" s="116">
        <v>221.6</v>
      </c>
      <c r="P1882" s="116">
        <v>222.3</v>
      </c>
      <c r="Q1882" s="116">
        <v>230.35</v>
      </c>
      <c r="R1882">
        <v>22010178</v>
      </c>
    </row>
    <row r="1883" spans="1:18" x14ac:dyDescent="0.25">
      <c r="A1883" s="170">
        <v>44775</v>
      </c>
      <c r="B1883" s="116">
        <v>233.5</v>
      </c>
      <c r="C1883" s="116">
        <v>232.6</v>
      </c>
      <c r="D1883" s="116">
        <v>227.35</v>
      </c>
      <c r="E1883" s="116">
        <v>231</v>
      </c>
      <c r="F1883" s="116">
        <v>232.6</v>
      </c>
      <c r="G1883">
        <v>1118471</v>
      </c>
      <c r="H1883" s="116"/>
      <c r="I1883" s="116"/>
      <c r="L1883" s="170">
        <v>44775</v>
      </c>
      <c r="M1883" s="116">
        <v>232.65</v>
      </c>
      <c r="N1883" s="116">
        <v>233.6</v>
      </c>
      <c r="O1883" s="116">
        <v>227.2</v>
      </c>
      <c r="P1883" s="116">
        <v>230</v>
      </c>
      <c r="Q1883" s="116">
        <v>232.65</v>
      </c>
      <c r="R1883">
        <v>20231195</v>
      </c>
    </row>
    <row r="1884" spans="1:18" x14ac:dyDescent="0.25">
      <c r="A1884" s="170">
        <v>44776</v>
      </c>
      <c r="B1884" s="116">
        <v>237.4</v>
      </c>
      <c r="C1884" s="116">
        <v>232.45</v>
      </c>
      <c r="D1884" s="116">
        <v>231.05</v>
      </c>
      <c r="E1884" s="116">
        <v>232.3</v>
      </c>
      <c r="F1884" s="116">
        <v>232.45</v>
      </c>
      <c r="G1884">
        <v>1272535</v>
      </c>
      <c r="H1884" s="116"/>
      <c r="I1884" s="116"/>
      <c r="L1884" s="170">
        <v>44776</v>
      </c>
      <c r="M1884" s="116">
        <v>232.5</v>
      </c>
      <c r="N1884" s="116">
        <v>237.3</v>
      </c>
      <c r="O1884" s="116">
        <v>231.05</v>
      </c>
      <c r="P1884" s="116">
        <v>232</v>
      </c>
      <c r="Q1884" s="116">
        <v>232.5</v>
      </c>
      <c r="R1884">
        <v>25614730</v>
      </c>
    </row>
    <row r="1885" spans="1:18" x14ac:dyDescent="0.25">
      <c r="A1885" s="170">
        <v>44777</v>
      </c>
      <c r="B1885" s="116">
        <v>234.95</v>
      </c>
      <c r="C1885" s="116">
        <v>227.7</v>
      </c>
      <c r="D1885" s="116">
        <v>225.3</v>
      </c>
      <c r="E1885" s="116">
        <v>233.95</v>
      </c>
      <c r="F1885" s="116">
        <v>227.7</v>
      </c>
      <c r="G1885">
        <v>923339</v>
      </c>
      <c r="H1885" s="116"/>
      <c r="I1885" s="116"/>
      <c r="L1885" s="170">
        <v>44777</v>
      </c>
      <c r="M1885" s="116">
        <v>227.65</v>
      </c>
      <c r="N1885" s="116">
        <v>234.8</v>
      </c>
      <c r="O1885" s="116">
        <v>225.3</v>
      </c>
      <c r="P1885" s="116">
        <v>233.8</v>
      </c>
      <c r="Q1885" s="116">
        <v>227.65</v>
      </c>
      <c r="R1885">
        <v>20979139</v>
      </c>
    </row>
    <row r="1886" spans="1:18" x14ac:dyDescent="0.25">
      <c r="A1886" s="170">
        <v>44778</v>
      </c>
      <c r="B1886" s="116">
        <v>233.1</v>
      </c>
      <c r="C1886" s="116">
        <v>232.1</v>
      </c>
      <c r="D1886" s="116">
        <v>227.7</v>
      </c>
      <c r="E1886" s="116">
        <v>228.95</v>
      </c>
      <c r="F1886" s="116">
        <v>232.1</v>
      </c>
      <c r="G1886">
        <v>1866857</v>
      </c>
      <c r="H1886" s="116"/>
      <c r="I1886" s="116"/>
      <c r="L1886" s="170">
        <v>44778</v>
      </c>
      <c r="M1886" s="116">
        <v>232.1</v>
      </c>
      <c r="N1886" s="116">
        <v>233.25</v>
      </c>
      <c r="O1886" s="116">
        <v>227.7</v>
      </c>
      <c r="P1886" s="116">
        <v>228.65</v>
      </c>
      <c r="Q1886" s="116">
        <v>232.1</v>
      </c>
      <c r="R1886">
        <v>33228441</v>
      </c>
    </row>
    <row r="1887" spans="1:18" x14ac:dyDescent="0.25">
      <c r="A1887" s="170">
        <v>44781</v>
      </c>
      <c r="B1887" s="116">
        <v>232.8</v>
      </c>
      <c r="C1887" s="116">
        <v>228.3</v>
      </c>
      <c r="D1887" s="116">
        <v>227.7</v>
      </c>
      <c r="E1887" s="116">
        <v>231.6</v>
      </c>
      <c r="F1887" s="116">
        <v>228.3</v>
      </c>
      <c r="G1887">
        <v>2019546</v>
      </c>
      <c r="H1887" s="116"/>
      <c r="I1887" s="116"/>
      <c r="L1887" s="170">
        <v>44781</v>
      </c>
      <c r="M1887" s="116">
        <v>228.25</v>
      </c>
      <c r="N1887" s="116">
        <v>232.85</v>
      </c>
      <c r="O1887" s="116">
        <v>227.7</v>
      </c>
      <c r="P1887" s="116">
        <v>232.05</v>
      </c>
      <c r="Q1887" s="116">
        <v>228.25</v>
      </c>
      <c r="R1887">
        <v>11852419</v>
      </c>
    </row>
    <row r="1888" spans="1:18" x14ac:dyDescent="0.25">
      <c r="A1888" s="170">
        <v>44783</v>
      </c>
      <c r="B1888" s="116">
        <v>230.3</v>
      </c>
      <c r="C1888" s="116">
        <v>228.45</v>
      </c>
      <c r="D1888" s="116">
        <v>227.2</v>
      </c>
      <c r="E1888" s="116">
        <v>229.15</v>
      </c>
      <c r="F1888" s="116">
        <v>228.45</v>
      </c>
      <c r="G1888">
        <v>720894</v>
      </c>
      <c r="H1888" s="116"/>
      <c r="I1888" s="116"/>
      <c r="L1888" s="170">
        <v>44783</v>
      </c>
      <c r="M1888" s="116">
        <v>228.5</v>
      </c>
      <c r="N1888" s="116">
        <v>230.4</v>
      </c>
      <c r="O1888" s="116">
        <v>227.15</v>
      </c>
      <c r="P1888" s="116">
        <v>229.5</v>
      </c>
      <c r="Q1888" s="116">
        <v>228.5</v>
      </c>
      <c r="R1888">
        <v>11392194</v>
      </c>
    </row>
    <row r="1889" spans="1:18" x14ac:dyDescent="0.25">
      <c r="A1889" s="170">
        <v>44784</v>
      </c>
      <c r="B1889" s="116">
        <v>231.4</v>
      </c>
      <c r="C1889" s="116">
        <v>229.45</v>
      </c>
      <c r="D1889" s="116">
        <v>228.35</v>
      </c>
      <c r="E1889" s="116">
        <v>230.45</v>
      </c>
      <c r="F1889" s="116">
        <v>229.45</v>
      </c>
      <c r="G1889">
        <v>458084</v>
      </c>
      <c r="H1889" s="116"/>
      <c r="I1889" s="116"/>
      <c r="L1889" s="170">
        <v>44784</v>
      </c>
      <c r="M1889" s="116">
        <v>229.4</v>
      </c>
      <c r="N1889" s="116">
        <v>231.35</v>
      </c>
      <c r="O1889" s="116">
        <v>228.35</v>
      </c>
      <c r="P1889" s="116">
        <v>229.9</v>
      </c>
      <c r="Q1889" s="116">
        <v>229.4</v>
      </c>
      <c r="R1889">
        <v>9195356</v>
      </c>
    </row>
    <row r="1890" spans="1:18" x14ac:dyDescent="0.25">
      <c r="A1890" s="170">
        <v>44785</v>
      </c>
      <c r="B1890" s="116">
        <v>235.5</v>
      </c>
      <c r="C1890" s="116">
        <v>232.4</v>
      </c>
      <c r="D1890" s="116">
        <v>228.65</v>
      </c>
      <c r="E1890" s="116">
        <v>229.5</v>
      </c>
      <c r="F1890" s="116">
        <v>232.4</v>
      </c>
      <c r="G1890">
        <v>2598852</v>
      </c>
      <c r="H1890" s="116"/>
      <c r="I1890" s="116"/>
      <c r="L1890" s="170">
        <v>44785</v>
      </c>
      <c r="M1890" s="116">
        <v>232.4</v>
      </c>
      <c r="N1890" s="116">
        <v>235.7</v>
      </c>
      <c r="O1890" s="116">
        <v>228.6</v>
      </c>
      <c r="P1890" s="116">
        <v>230</v>
      </c>
      <c r="Q1890" s="116">
        <v>232.4</v>
      </c>
      <c r="R1890">
        <v>23305682</v>
      </c>
    </row>
    <row r="1891" spans="1:18" x14ac:dyDescent="0.25">
      <c r="A1891" s="170">
        <v>44789</v>
      </c>
      <c r="B1891" s="116">
        <v>237.45</v>
      </c>
      <c r="C1891" s="116">
        <v>236</v>
      </c>
      <c r="D1891" s="116">
        <v>231.35</v>
      </c>
      <c r="E1891" s="116">
        <v>232.4</v>
      </c>
      <c r="F1891" s="116">
        <v>236</v>
      </c>
      <c r="G1891">
        <v>2126597</v>
      </c>
      <c r="H1891" s="116"/>
      <c r="I1891" s="116"/>
      <c r="L1891" s="170">
        <v>44789</v>
      </c>
      <c r="M1891" s="116">
        <v>236</v>
      </c>
      <c r="N1891" s="116">
        <v>237.5</v>
      </c>
      <c r="O1891" s="116">
        <v>231.4</v>
      </c>
      <c r="P1891" s="116">
        <v>233.65</v>
      </c>
      <c r="Q1891" s="116">
        <v>236</v>
      </c>
      <c r="R1891">
        <v>18790189</v>
      </c>
    </row>
    <row r="1892" spans="1:18" x14ac:dyDescent="0.25">
      <c r="A1892" s="170">
        <v>44790</v>
      </c>
      <c r="B1892" s="116">
        <v>241.7</v>
      </c>
      <c r="C1892" s="116">
        <v>237.2</v>
      </c>
      <c r="D1892" s="116">
        <v>236.55</v>
      </c>
      <c r="E1892" s="116">
        <v>238.05</v>
      </c>
      <c r="F1892" s="116">
        <v>237.2</v>
      </c>
      <c r="G1892">
        <v>2717855</v>
      </c>
      <c r="H1892" s="116"/>
      <c r="I1892" s="116"/>
      <c r="L1892" s="170">
        <v>44790</v>
      </c>
      <c r="M1892" s="116">
        <v>237.3</v>
      </c>
      <c r="N1892" s="116">
        <v>241.8</v>
      </c>
      <c r="O1892" s="116">
        <v>236.6</v>
      </c>
      <c r="P1892" s="116">
        <v>238.45</v>
      </c>
      <c r="Q1892" s="116">
        <v>237.3</v>
      </c>
      <c r="R1892">
        <v>23760210</v>
      </c>
    </row>
    <row r="1893" spans="1:18" x14ac:dyDescent="0.25">
      <c r="A1893" s="170">
        <v>44791</v>
      </c>
      <c r="B1893" s="116">
        <v>239.7</v>
      </c>
      <c r="C1893" s="116">
        <v>238</v>
      </c>
      <c r="D1893" s="116">
        <v>236</v>
      </c>
      <c r="E1893" s="116">
        <v>237.15</v>
      </c>
      <c r="F1893" s="116">
        <v>238</v>
      </c>
      <c r="G1893">
        <v>1101807</v>
      </c>
      <c r="H1893" s="116"/>
      <c r="I1893" s="116"/>
      <c r="L1893" s="170">
        <v>44791</v>
      </c>
      <c r="M1893" s="116">
        <v>237.95</v>
      </c>
      <c r="N1893" s="116">
        <v>239.8</v>
      </c>
      <c r="O1893" s="116">
        <v>235.9</v>
      </c>
      <c r="P1893" s="116">
        <v>236.95</v>
      </c>
      <c r="Q1893" s="116">
        <v>237.95</v>
      </c>
      <c r="R1893">
        <v>15238636</v>
      </c>
    </row>
    <row r="1894" spans="1:18" x14ac:dyDescent="0.25">
      <c r="A1894" s="170">
        <v>44792</v>
      </c>
      <c r="B1894" s="116">
        <v>241.85</v>
      </c>
      <c r="C1894" s="116">
        <v>232.7</v>
      </c>
      <c r="D1894" s="116">
        <v>231.85</v>
      </c>
      <c r="E1894" s="116">
        <v>238.4</v>
      </c>
      <c r="F1894" s="116">
        <v>232.7</v>
      </c>
      <c r="G1894">
        <v>2351892</v>
      </c>
      <c r="H1894" s="116"/>
      <c r="I1894" s="116"/>
      <c r="L1894" s="170">
        <v>44792</v>
      </c>
      <c r="M1894" s="116">
        <v>232.65</v>
      </c>
      <c r="N1894" s="116">
        <v>241.9</v>
      </c>
      <c r="O1894" s="116">
        <v>232</v>
      </c>
      <c r="P1894" s="116">
        <v>238.85</v>
      </c>
      <c r="Q1894" s="116">
        <v>232.65</v>
      </c>
      <c r="R1894">
        <v>23097652</v>
      </c>
    </row>
    <row r="1895" spans="1:18" x14ac:dyDescent="0.25">
      <c r="A1895" s="170">
        <v>44795</v>
      </c>
      <c r="B1895" s="116">
        <v>232.5</v>
      </c>
      <c r="C1895" s="116">
        <v>224.2</v>
      </c>
      <c r="D1895" s="116">
        <v>223</v>
      </c>
      <c r="E1895" s="116">
        <v>232.3</v>
      </c>
      <c r="F1895" s="116">
        <v>224.2</v>
      </c>
      <c r="G1895">
        <v>2674547</v>
      </c>
      <c r="H1895" s="116"/>
      <c r="I1895" s="116"/>
      <c r="L1895" s="170">
        <v>44795</v>
      </c>
      <c r="M1895" s="116">
        <v>224.15</v>
      </c>
      <c r="N1895" s="116">
        <v>232.65</v>
      </c>
      <c r="O1895" s="116">
        <v>222.85</v>
      </c>
      <c r="P1895" s="116">
        <v>232.65</v>
      </c>
      <c r="Q1895" s="116">
        <v>224.15</v>
      </c>
      <c r="R1895">
        <v>20956719</v>
      </c>
    </row>
    <row r="1896" spans="1:18" x14ac:dyDescent="0.25">
      <c r="A1896" s="170">
        <v>44796</v>
      </c>
      <c r="B1896" s="116">
        <v>232.05</v>
      </c>
      <c r="C1896" s="116">
        <v>231.5</v>
      </c>
      <c r="D1896" s="116">
        <v>221.55</v>
      </c>
      <c r="E1896" s="116">
        <v>222.55</v>
      </c>
      <c r="F1896" s="116">
        <v>231.5</v>
      </c>
      <c r="G1896">
        <v>2061346</v>
      </c>
      <c r="H1896" s="116"/>
      <c r="I1896" s="116"/>
      <c r="L1896" s="170">
        <v>44796</v>
      </c>
      <c r="M1896" s="116">
        <v>231.45</v>
      </c>
      <c r="N1896" s="116">
        <v>232.1</v>
      </c>
      <c r="O1896" s="116">
        <v>221.65</v>
      </c>
      <c r="P1896" s="116">
        <v>222.75</v>
      </c>
      <c r="Q1896" s="116">
        <v>231.45</v>
      </c>
      <c r="R1896">
        <v>19119958</v>
      </c>
    </row>
    <row r="1897" spans="1:18" x14ac:dyDescent="0.25">
      <c r="A1897" s="170">
        <v>44797</v>
      </c>
      <c r="B1897" s="116">
        <v>232.8</v>
      </c>
      <c r="C1897" s="116">
        <v>229.5</v>
      </c>
      <c r="D1897" s="116">
        <v>227.5</v>
      </c>
      <c r="E1897" s="116">
        <v>231.6</v>
      </c>
      <c r="F1897" s="116">
        <v>229.5</v>
      </c>
      <c r="G1897">
        <v>1610190</v>
      </c>
      <c r="H1897" s="116"/>
      <c r="I1897" s="116"/>
      <c r="L1897" s="170">
        <v>44797</v>
      </c>
      <c r="M1897" s="116">
        <v>229.6</v>
      </c>
      <c r="N1897" s="116">
        <v>232.8</v>
      </c>
      <c r="O1897" s="116">
        <v>227.5</v>
      </c>
      <c r="P1897" s="116">
        <v>230.95</v>
      </c>
      <c r="Q1897" s="116">
        <v>229.6</v>
      </c>
      <c r="R1897">
        <v>14521061</v>
      </c>
    </row>
    <row r="1898" spans="1:18" x14ac:dyDescent="0.25">
      <c r="A1898" s="170">
        <v>44798</v>
      </c>
      <c r="B1898" s="116">
        <v>233.25</v>
      </c>
      <c r="C1898" s="116">
        <v>229.2</v>
      </c>
      <c r="D1898" s="116">
        <v>228.6</v>
      </c>
      <c r="E1898" s="116">
        <v>230.2</v>
      </c>
      <c r="F1898" s="116">
        <v>229.2</v>
      </c>
      <c r="G1898">
        <v>1112570</v>
      </c>
      <c r="H1898" s="116"/>
      <c r="I1898" s="116"/>
      <c r="L1898" s="170">
        <v>44798</v>
      </c>
      <c r="M1898" s="116">
        <v>229.3</v>
      </c>
      <c r="N1898" s="116">
        <v>233.2</v>
      </c>
      <c r="O1898" s="116">
        <v>228.65</v>
      </c>
      <c r="P1898" s="116">
        <v>230.6</v>
      </c>
      <c r="Q1898" s="116">
        <v>229.3</v>
      </c>
      <c r="R1898">
        <v>13814880</v>
      </c>
    </row>
    <row r="1899" spans="1:18" x14ac:dyDescent="0.25">
      <c r="A1899" s="170">
        <v>44799</v>
      </c>
      <c r="B1899" s="116">
        <v>236.35</v>
      </c>
      <c r="C1899" s="116">
        <v>235.1</v>
      </c>
      <c r="D1899" s="116">
        <v>230.2</v>
      </c>
      <c r="E1899" s="116">
        <v>230.2</v>
      </c>
      <c r="F1899" s="116">
        <v>235.1</v>
      </c>
      <c r="G1899">
        <v>772261</v>
      </c>
      <c r="H1899" s="116"/>
      <c r="I1899" s="116"/>
      <c r="L1899" s="170">
        <v>44799</v>
      </c>
      <c r="M1899" s="116">
        <v>235.1</v>
      </c>
      <c r="N1899" s="116">
        <v>236.4</v>
      </c>
      <c r="O1899" s="116">
        <v>230.85</v>
      </c>
      <c r="P1899" s="116">
        <v>231</v>
      </c>
      <c r="Q1899" s="116">
        <v>235.1</v>
      </c>
      <c r="R1899">
        <v>19400636</v>
      </c>
    </row>
    <row r="1900" spans="1:18" x14ac:dyDescent="0.25">
      <c r="A1900" s="170">
        <v>44802</v>
      </c>
      <c r="B1900" s="116">
        <v>233.7</v>
      </c>
      <c r="C1900" s="116">
        <v>232.7</v>
      </c>
      <c r="D1900" s="116">
        <v>226</v>
      </c>
      <c r="E1900" s="116">
        <v>226</v>
      </c>
      <c r="F1900" s="116">
        <v>232.7</v>
      </c>
      <c r="G1900">
        <v>1632019</v>
      </c>
      <c r="H1900" s="116"/>
      <c r="I1900" s="116"/>
      <c r="L1900" s="170">
        <v>44802</v>
      </c>
      <c r="M1900" s="116">
        <v>232.65</v>
      </c>
      <c r="N1900" s="116">
        <v>233.7</v>
      </c>
      <c r="O1900" s="116">
        <v>227.1</v>
      </c>
      <c r="P1900" s="116">
        <v>227.15</v>
      </c>
      <c r="Q1900" s="116">
        <v>232.65</v>
      </c>
      <c r="R1900">
        <v>14098344</v>
      </c>
    </row>
    <row r="1901" spans="1:18" x14ac:dyDescent="0.25">
      <c r="A1901" s="170">
        <v>44803</v>
      </c>
      <c r="B1901" s="116">
        <v>237.5</v>
      </c>
      <c r="C1901" s="116">
        <v>236.9</v>
      </c>
      <c r="D1901" s="116">
        <v>233.7</v>
      </c>
      <c r="E1901" s="116">
        <v>233.7</v>
      </c>
      <c r="F1901" s="116">
        <v>236.9</v>
      </c>
      <c r="G1901">
        <v>1817511</v>
      </c>
      <c r="H1901" s="116"/>
      <c r="I1901" s="116"/>
      <c r="L1901" s="170">
        <v>44803</v>
      </c>
      <c r="M1901" s="116">
        <v>236.95</v>
      </c>
      <c r="N1901" s="116">
        <v>237.5</v>
      </c>
      <c r="O1901" s="116">
        <v>234</v>
      </c>
      <c r="P1901" s="116">
        <v>234</v>
      </c>
      <c r="Q1901" s="116">
        <v>236.95</v>
      </c>
      <c r="R1901">
        <v>13418819</v>
      </c>
    </row>
    <row r="1902" spans="1:18" x14ac:dyDescent="0.25">
      <c r="A1902" s="170">
        <v>44805</v>
      </c>
      <c r="B1902" s="116">
        <v>240.15</v>
      </c>
      <c r="C1902" s="116">
        <v>237.1</v>
      </c>
      <c r="D1902" s="116">
        <v>234.45</v>
      </c>
      <c r="E1902" s="116">
        <v>235.8</v>
      </c>
      <c r="F1902" s="116">
        <v>237.1</v>
      </c>
      <c r="G1902">
        <v>847729</v>
      </c>
      <c r="H1902" s="116"/>
      <c r="I1902" s="116"/>
      <c r="L1902" s="170">
        <v>44805</v>
      </c>
      <c r="M1902" s="116">
        <v>237.2</v>
      </c>
      <c r="N1902" s="116">
        <v>240.25</v>
      </c>
      <c r="O1902" s="116">
        <v>234.4</v>
      </c>
      <c r="P1902" s="116">
        <v>235.05</v>
      </c>
      <c r="Q1902" s="116">
        <v>237.2</v>
      </c>
      <c r="R1902">
        <v>14693953</v>
      </c>
    </row>
    <row r="1903" spans="1:18" x14ac:dyDescent="0.25">
      <c r="A1903" s="170">
        <v>44806</v>
      </c>
      <c r="B1903" s="116">
        <v>239.5</v>
      </c>
      <c r="C1903" s="116">
        <v>235</v>
      </c>
      <c r="D1903" s="116">
        <v>233.3</v>
      </c>
      <c r="E1903" s="116">
        <v>238.1</v>
      </c>
      <c r="F1903" s="116">
        <v>235</v>
      </c>
      <c r="G1903">
        <v>949709</v>
      </c>
      <c r="H1903" s="116"/>
      <c r="I1903" s="116"/>
      <c r="L1903" s="170">
        <v>44806</v>
      </c>
      <c r="M1903" s="116">
        <v>235.2</v>
      </c>
      <c r="N1903" s="116">
        <v>239.5</v>
      </c>
      <c r="O1903" s="116">
        <v>234.45</v>
      </c>
      <c r="P1903" s="116">
        <v>238.45</v>
      </c>
      <c r="Q1903" s="116">
        <v>235.2</v>
      </c>
      <c r="R1903">
        <v>12347290</v>
      </c>
    </row>
    <row r="1904" spans="1:18" x14ac:dyDescent="0.25">
      <c r="A1904" s="170">
        <v>44809</v>
      </c>
      <c r="B1904" s="116">
        <v>238.4</v>
      </c>
      <c r="C1904" s="116">
        <v>236.4</v>
      </c>
      <c r="D1904" s="116">
        <v>235.1</v>
      </c>
      <c r="E1904" s="116">
        <v>235.1</v>
      </c>
      <c r="F1904" s="116">
        <v>236.4</v>
      </c>
      <c r="G1904">
        <v>733426</v>
      </c>
      <c r="H1904" s="116"/>
      <c r="I1904" s="116"/>
      <c r="L1904" s="170">
        <v>44809</v>
      </c>
      <c r="M1904" s="116">
        <v>236.45</v>
      </c>
      <c r="N1904" s="116">
        <v>238.4</v>
      </c>
      <c r="O1904" s="116">
        <v>235.2</v>
      </c>
      <c r="P1904" s="116">
        <v>235.45</v>
      </c>
      <c r="Q1904" s="116">
        <v>236.45</v>
      </c>
      <c r="R1904">
        <v>10500643</v>
      </c>
    </row>
    <row r="1905" spans="1:18" x14ac:dyDescent="0.25">
      <c r="A1905" s="170">
        <v>44810</v>
      </c>
      <c r="B1905" s="116">
        <v>248</v>
      </c>
      <c r="C1905" s="116">
        <v>247.35</v>
      </c>
      <c r="D1905" s="116">
        <v>237.3</v>
      </c>
      <c r="E1905" s="116">
        <v>237.3</v>
      </c>
      <c r="F1905" s="116">
        <v>247.35</v>
      </c>
      <c r="G1905">
        <v>2845405</v>
      </c>
      <c r="H1905" s="116"/>
      <c r="I1905" s="116"/>
      <c r="L1905" s="170">
        <v>44810</v>
      </c>
      <c r="M1905" s="116">
        <v>247.35</v>
      </c>
      <c r="N1905" s="116">
        <v>248</v>
      </c>
      <c r="O1905" s="116">
        <v>237.2</v>
      </c>
      <c r="P1905" s="116">
        <v>237.65</v>
      </c>
      <c r="Q1905" s="116">
        <v>247.35</v>
      </c>
      <c r="R1905">
        <v>61475311</v>
      </c>
    </row>
    <row r="1906" spans="1:18" x14ac:dyDescent="0.25">
      <c r="A1906" s="170">
        <v>44811</v>
      </c>
      <c r="B1906" s="116">
        <v>251</v>
      </c>
      <c r="C1906" s="116">
        <v>246.95</v>
      </c>
      <c r="D1906" s="116">
        <v>245.05</v>
      </c>
      <c r="E1906" s="116">
        <v>247</v>
      </c>
      <c r="F1906" s="116">
        <v>246.95</v>
      </c>
      <c r="G1906">
        <v>2943376</v>
      </c>
      <c r="H1906" s="116"/>
      <c r="I1906" s="116"/>
      <c r="L1906" s="170">
        <v>44811</v>
      </c>
      <c r="M1906" s="116">
        <v>246.95</v>
      </c>
      <c r="N1906" s="116">
        <v>251.15</v>
      </c>
      <c r="O1906" s="116">
        <v>245.2</v>
      </c>
      <c r="P1906" s="116">
        <v>246.95</v>
      </c>
      <c r="Q1906" s="116">
        <v>246.95</v>
      </c>
      <c r="R1906">
        <v>30474615</v>
      </c>
    </row>
    <row r="1907" spans="1:18" x14ac:dyDescent="0.25">
      <c r="A1907" s="170">
        <v>44812</v>
      </c>
      <c r="B1907" s="116">
        <v>250</v>
      </c>
      <c r="C1907" s="116">
        <v>244.9</v>
      </c>
      <c r="D1907" s="116">
        <v>243.45</v>
      </c>
      <c r="E1907" s="116">
        <v>249.45</v>
      </c>
      <c r="F1907" s="116">
        <v>244.9</v>
      </c>
      <c r="G1907">
        <v>1693576</v>
      </c>
      <c r="H1907" s="116"/>
      <c r="I1907" s="116"/>
      <c r="L1907" s="170">
        <v>44812</v>
      </c>
      <c r="M1907" s="116">
        <v>244.9</v>
      </c>
      <c r="N1907" s="116">
        <v>250.1</v>
      </c>
      <c r="O1907" s="116">
        <v>243.6</v>
      </c>
      <c r="P1907" s="116">
        <v>249.55</v>
      </c>
      <c r="Q1907" s="116">
        <v>244.9</v>
      </c>
      <c r="R1907">
        <v>14951235</v>
      </c>
    </row>
    <row r="1908" spans="1:18" x14ac:dyDescent="0.25">
      <c r="A1908" s="170">
        <v>44813</v>
      </c>
      <c r="B1908" s="116">
        <v>246.95</v>
      </c>
      <c r="C1908" s="116">
        <v>242.35</v>
      </c>
      <c r="D1908" s="116">
        <v>241.15</v>
      </c>
      <c r="E1908" s="116">
        <v>246.05</v>
      </c>
      <c r="F1908" s="116">
        <v>242.35</v>
      </c>
      <c r="G1908">
        <v>1440094</v>
      </c>
      <c r="H1908" s="116"/>
      <c r="I1908" s="116"/>
      <c r="L1908" s="170">
        <v>44813</v>
      </c>
      <c r="M1908" s="116">
        <v>242.35</v>
      </c>
      <c r="N1908" s="116">
        <v>247</v>
      </c>
      <c r="O1908" s="116">
        <v>241.2</v>
      </c>
      <c r="P1908" s="116">
        <v>246.5</v>
      </c>
      <c r="Q1908" s="116">
        <v>242.35</v>
      </c>
      <c r="R1908">
        <v>12290186</v>
      </c>
    </row>
    <row r="1909" spans="1:18" x14ac:dyDescent="0.25">
      <c r="A1909" s="170">
        <v>44816</v>
      </c>
      <c r="B1909" s="116">
        <v>245.2</v>
      </c>
      <c r="C1909" s="116">
        <v>242.75</v>
      </c>
      <c r="D1909" s="116">
        <v>241.6</v>
      </c>
      <c r="E1909" s="116">
        <v>243.2</v>
      </c>
      <c r="F1909" s="116">
        <v>242.75</v>
      </c>
      <c r="G1909">
        <v>1780313</v>
      </c>
      <c r="H1909" s="116"/>
      <c r="I1909" s="116"/>
      <c r="L1909" s="170">
        <v>44816</v>
      </c>
      <c r="M1909" s="116">
        <v>242.8</v>
      </c>
      <c r="N1909" s="116">
        <v>245.2</v>
      </c>
      <c r="O1909" s="116">
        <v>241.7</v>
      </c>
      <c r="P1909" s="116">
        <v>243.7</v>
      </c>
      <c r="Q1909" s="116">
        <v>242.8</v>
      </c>
      <c r="R1909">
        <v>10322525</v>
      </c>
    </row>
    <row r="1910" spans="1:18" x14ac:dyDescent="0.25">
      <c r="A1910" s="170">
        <v>44817</v>
      </c>
      <c r="B1910" s="116">
        <v>244.9</v>
      </c>
      <c r="C1910" s="116">
        <v>241</v>
      </c>
      <c r="D1910" s="116">
        <v>240.1</v>
      </c>
      <c r="E1910" s="116">
        <v>243</v>
      </c>
      <c r="F1910" s="116">
        <v>241</v>
      </c>
      <c r="G1910">
        <v>706539</v>
      </c>
      <c r="H1910" s="116"/>
      <c r="I1910" s="116"/>
      <c r="L1910" s="170">
        <v>44817</v>
      </c>
      <c r="M1910" s="116">
        <v>241.05</v>
      </c>
      <c r="N1910" s="116">
        <v>244.9</v>
      </c>
      <c r="O1910" s="116">
        <v>240.05</v>
      </c>
      <c r="P1910" s="116">
        <v>243.9</v>
      </c>
      <c r="Q1910" s="116">
        <v>241.05</v>
      </c>
      <c r="R1910">
        <v>13871114</v>
      </c>
    </row>
    <row r="1911" spans="1:18" x14ac:dyDescent="0.25">
      <c r="A1911" s="170">
        <v>44818</v>
      </c>
      <c r="B1911" s="116">
        <v>244.1</v>
      </c>
      <c r="C1911" s="116">
        <v>241.45</v>
      </c>
      <c r="D1911" s="116">
        <v>236.6</v>
      </c>
      <c r="E1911" s="116">
        <v>236.8</v>
      </c>
      <c r="F1911" s="116">
        <v>241.45</v>
      </c>
      <c r="G1911">
        <v>1219819</v>
      </c>
      <c r="H1911" s="116"/>
      <c r="I1911" s="116"/>
      <c r="L1911" s="170">
        <v>44818</v>
      </c>
      <c r="M1911" s="116">
        <v>241.5</v>
      </c>
      <c r="N1911" s="116">
        <v>244.15</v>
      </c>
      <c r="O1911" s="116">
        <v>236.65</v>
      </c>
      <c r="P1911" s="116">
        <v>237.45</v>
      </c>
      <c r="Q1911" s="116">
        <v>241.5</v>
      </c>
      <c r="R1911">
        <v>24228696</v>
      </c>
    </row>
    <row r="1912" spans="1:18" x14ac:dyDescent="0.25">
      <c r="A1912" s="170">
        <v>44819</v>
      </c>
      <c r="B1912" s="116">
        <v>246.8</v>
      </c>
      <c r="C1912" s="116">
        <v>245.25</v>
      </c>
      <c r="D1912" s="116">
        <v>240</v>
      </c>
      <c r="E1912" s="116">
        <v>242</v>
      </c>
      <c r="F1912" s="116">
        <v>245.25</v>
      </c>
      <c r="G1912">
        <v>962944</v>
      </c>
      <c r="H1912" s="116"/>
      <c r="I1912" s="116"/>
      <c r="L1912" s="170">
        <v>44819</v>
      </c>
      <c r="M1912" s="116">
        <v>245.4</v>
      </c>
      <c r="N1912" s="116">
        <v>246.9</v>
      </c>
      <c r="O1912" s="116">
        <v>239.9</v>
      </c>
      <c r="P1912" s="116">
        <v>242.35</v>
      </c>
      <c r="Q1912" s="116">
        <v>245.4</v>
      </c>
      <c r="R1912">
        <v>19214950</v>
      </c>
    </row>
    <row r="1913" spans="1:18" x14ac:dyDescent="0.25">
      <c r="A1913" s="170">
        <v>44820</v>
      </c>
      <c r="B1913" s="116">
        <v>247.85</v>
      </c>
      <c r="C1913" s="116">
        <v>236.7</v>
      </c>
      <c r="D1913" s="116">
        <v>232.7</v>
      </c>
      <c r="E1913" s="116">
        <v>247.15</v>
      </c>
      <c r="F1913" s="116">
        <v>236.7</v>
      </c>
      <c r="G1913">
        <v>2072306</v>
      </c>
      <c r="H1913" s="116"/>
      <c r="I1913" s="116"/>
      <c r="L1913" s="170">
        <v>44820</v>
      </c>
      <c r="M1913" s="116">
        <v>236.3</v>
      </c>
      <c r="N1913" s="116">
        <v>247.75</v>
      </c>
      <c r="O1913" s="116">
        <v>232.65</v>
      </c>
      <c r="P1913" s="116">
        <v>246.9</v>
      </c>
      <c r="Q1913" s="116">
        <v>236.3</v>
      </c>
      <c r="R1913">
        <v>58044047</v>
      </c>
    </row>
    <row r="1914" spans="1:18" x14ac:dyDescent="0.25">
      <c r="A1914" s="170">
        <v>44823</v>
      </c>
      <c r="B1914" s="116">
        <v>238</v>
      </c>
      <c r="C1914" s="116">
        <v>232.25</v>
      </c>
      <c r="D1914" s="116">
        <v>231.8</v>
      </c>
      <c r="E1914" s="116">
        <v>236</v>
      </c>
      <c r="F1914" s="116">
        <v>232.25</v>
      </c>
      <c r="G1914">
        <v>2730402</v>
      </c>
      <c r="H1914" s="116"/>
      <c r="I1914" s="116"/>
      <c r="L1914" s="170">
        <v>44823</v>
      </c>
      <c r="M1914" s="116">
        <v>232.35</v>
      </c>
      <c r="N1914" s="116">
        <v>237.95</v>
      </c>
      <c r="O1914" s="116">
        <v>231.9</v>
      </c>
      <c r="P1914" s="116">
        <v>237.5</v>
      </c>
      <c r="Q1914" s="116">
        <v>232.35</v>
      </c>
      <c r="R1914">
        <v>14016637</v>
      </c>
    </row>
    <row r="1915" spans="1:18" x14ac:dyDescent="0.25">
      <c r="A1915" s="170">
        <v>44824</v>
      </c>
      <c r="B1915" s="116">
        <v>237.5</v>
      </c>
      <c r="C1915" s="116">
        <v>235.15</v>
      </c>
      <c r="D1915" s="116">
        <v>234.5</v>
      </c>
      <c r="E1915" s="116">
        <v>235.3</v>
      </c>
      <c r="F1915" s="116">
        <v>235.15</v>
      </c>
      <c r="G1915">
        <v>480747</v>
      </c>
      <c r="H1915" s="116"/>
      <c r="I1915" s="116"/>
      <c r="L1915" s="170">
        <v>44824</v>
      </c>
      <c r="M1915" s="116">
        <v>235.25</v>
      </c>
      <c r="N1915" s="116">
        <v>237.5</v>
      </c>
      <c r="O1915" s="116">
        <v>234.15</v>
      </c>
      <c r="P1915" s="116">
        <v>235</v>
      </c>
      <c r="Q1915" s="116">
        <v>235.25</v>
      </c>
      <c r="R1915">
        <v>10376536</v>
      </c>
    </row>
    <row r="1916" spans="1:18" x14ac:dyDescent="0.25">
      <c r="A1916" s="170">
        <v>44825</v>
      </c>
      <c r="B1916" s="116">
        <v>236.6</v>
      </c>
      <c r="C1916" s="116">
        <v>231.2</v>
      </c>
      <c r="D1916" s="116">
        <v>230.3</v>
      </c>
      <c r="E1916" s="116">
        <v>235.1</v>
      </c>
      <c r="F1916" s="116">
        <v>231.2</v>
      </c>
      <c r="G1916">
        <v>678311</v>
      </c>
      <c r="H1916" s="116"/>
      <c r="I1916" s="116"/>
      <c r="L1916" s="170">
        <v>44825</v>
      </c>
      <c r="M1916" s="116">
        <v>231.2</v>
      </c>
      <c r="N1916" s="116">
        <v>236.6</v>
      </c>
      <c r="O1916" s="116">
        <v>230.35</v>
      </c>
      <c r="P1916" s="116">
        <v>235.5</v>
      </c>
      <c r="Q1916" s="116">
        <v>231.2</v>
      </c>
      <c r="R1916">
        <v>14179308</v>
      </c>
    </row>
    <row r="1917" spans="1:18" x14ac:dyDescent="0.25">
      <c r="A1917" s="170">
        <v>44826</v>
      </c>
      <c r="B1917" s="116">
        <v>233.6</v>
      </c>
      <c r="C1917" s="116">
        <v>231.65</v>
      </c>
      <c r="D1917" s="116">
        <v>227.3</v>
      </c>
      <c r="E1917" s="116">
        <v>229.5</v>
      </c>
      <c r="F1917" s="116">
        <v>231.65</v>
      </c>
      <c r="G1917">
        <v>1442058</v>
      </c>
      <c r="H1917" s="116"/>
      <c r="I1917" s="116"/>
      <c r="L1917" s="170">
        <v>44826</v>
      </c>
      <c r="M1917" s="116">
        <v>231.65</v>
      </c>
      <c r="N1917" s="116">
        <v>233.5</v>
      </c>
      <c r="O1917" s="116">
        <v>227.45</v>
      </c>
      <c r="P1917" s="116">
        <v>229.1</v>
      </c>
      <c r="Q1917" s="116">
        <v>231.65</v>
      </c>
      <c r="R1917">
        <v>19648230</v>
      </c>
    </row>
    <row r="1918" spans="1:18" x14ac:dyDescent="0.25">
      <c r="A1918" s="170">
        <v>44827</v>
      </c>
      <c r="B1918" s="116">
        <v>232.45</v>
      </c>
      <c r="C1918" s="116">
        <v>224.6</v>
      </c>
      <c r="D1918" s="116">
        <v>223.6</v>
      </c>
      <c r="E1918" s="116">
        <v>231.65</v>
      </c>
      <c r="F1918" s="116">
        <v>224.6</v>
      </c>
      <c r="G1918">
        <v>1544309</v>
      </c>
      <c r="H1918" s="116"/>
      <c r="I1918" s="116"/>
      <c r="L1918" s="170">
        <v>44827</v>
      </c>
      <c r="M1918" s="116">
        <v>224.5</v>
      </c>
      <c r="N1918" s="116">
        <v>232.35</v>
      </c>
      <c r="O1918" s="116">
        <v>223.55</v>
      </c>
      <c r="P1918" s="116">
        <v>231.25</v>
      </c>
      <c r="Q1918" s="116">
        <v>224.5</v>
      </c>
      <c r="R1918">
        <v>16143866</v>
      </c>
    </row>
    <row r="1919" spans="1:18" x14ac:dyDescent="0.25">
      <c r="A1919" s="170">
        <v>44830</v>
      </c>
      <c r="B1919" s="116">
        <v>223.45</v>
      </c>
      <c r="C1919" s="116">
        <v>215.55</v>
      </c>
      <c r="D1919" s="116">
        <v>212.35</v>
      </c>
      <c r="E1919" s="116">
        <v>222.6</v>
      </c>
      <c r="F1919" s="116">
        <v>215.55</v>
      </c>
      <c r="G1919">
        <v>3119657</v>
      </c>
      <c r="H1919" s="116"/>
      <c r="I1919" s="116"/>
      <c r="L1919" s="170">
        <v>44830</v>
      </c>
      <c r="M1919" s="116">
        <v>215.3</v>
      </c>
      <c r="N1919" s="116">
        <v>223.55</v>
      </c>
      <c r="O1919" s="116">
        <v>212.5</v>
      </c>
      <c r="P1919" s="116">
        <v>222.8</v>
      </c>
      <c r="Q1919" s="116">
        <v>215.3</v>
      </c>
      <c r="R1919">
        <v>22684799</v>
      </c>
    </row>
    <row r="1920" spans="1:18" x14ac:dyDescent="0.25">
      <c r="A1920" s="170">
        <v>44831</v>
      </c>
      <c r="B1920" s="116">
        <v>219.9</v>
      </c>
      <c r="C1920" s="116">
        <v>217.45</v>
      </c>
      <c r="D1920" s="116">
        <v>214.4</v>
      </c>
      <c r="E1920" s="116">
        <v>217.05</v>
      </c>
      <c r="F1920" s="116">
        <v>217.45</v>
      </c>
      <c r="G1920">
        <v>1741324</v>
      </c>
      <c r="H1920" s="116"/>
      <c r="I1920" s="116"/>
      <c r="L1920" s="170">
        <v>44831</v>
      </c>
      <c r="M1920" s="116">
        <v>217.5</v>
      </c>
      <c r="N1920" s="116">
        <v>219.85</v>
      </c>
      <c r="O1920" s="116">
        <v>214.45</v>
      </c>
      <c r="P1920" s="116">
        <v>217.3</v>
      </c>
      <c r="Q1920" s="116">
        <v>217.5</v>
      </c>
      <c r="R1920">
        <v>14097631</v>
      </c>
    </row>
    <row r="1921" spans="1:18" x14ac:dyDescent="0.25">
      <c r="A1921" s="170">
        <v>44832</v>
      </c>
      <c r="B1921" s="116">
        <v>216.85</v>
      </c>
      <c r="C1921" s="116">
        <v>213.85</v>
      </c>
      <c r="D1921" s="116">
        <v>212.95</v>
      </c>
      <c r="E1921" s="116">
        <v>215.35</v>
      </c>
      <c r="F1921" s="116">
        <v>213.85</v>
      </c>
      <c r="G1921">
        <v>606925</v>
      </c>
      <c r="H1921" s="116"/>
      <c r="I1921" s="116"/>
      <c r="L1921" s="170">
        <v>44832</v>
      </c>
      <c r="M1921" s="116">
        <v>213.9</v>
      </c>
      <c r="N1921" s="116">
        <v>216.85</v>
      </c>
      <c r="O1921" s="116">
        <v>212.75</v>
      </c>
      <c r="P1921" s="116">
        <v>215</v>
      </c>
      <c r="Q1921" s="116">
        <v>213.9</v>
      </c>
      <c r="R1921">
        <v>12102060</v>
      </c>
    </row>
    <row r="1922" spans="1:18" x14ac:dyDescent="0.25">
      <c r="A1922" s="170">
        <v>44833</v>
      </c>
      <c r="B1922" s="116">
        <v>218</v>
      </c>
      <c r="C1922" s="116">
        <v>212.25</v>
      </c>
      <c r="D1922" s="116">
        <v>210.5</v>
      </c>
      <c r="E1922" s="116">
        <v>215.8</v>
      </c>
      <c r="F1922" s="116">
        <v>212.25</v>
      </c>
      <c r="G1922">
        <v>903927</v>
      </c>
      <c r="H1922" s="116"/>
      <c r="I1922" s="116"/>
      <c r="L1922" s="170">
        <v>44833</v>
      </c>
      <c r="M1922" s="116">
        <v>212.25</v>
      </c>
      <c r="N1922" s="116">
        <v>218</v>
      </c>
      <c r="O1922" s="116">
        <v>210.5</v>
      </c>
      <c r="P1922" s="116">
        <v>216.15</v>
      </c>
      <c r="Q1922" s="116">
        <v>212.25</v>
      </c>
      <c r="R1922">
        <v>18736174</v>
      </c>
    </row>
    <row r="1923" spans="1:18" x14ac:dyDescent="0.25">
      <c r="A1923" s="170">
        <v>44834</v>
      </c>
      <c r="B1923" s="116">
        <v>217</v>
      </c>
      <c r="C1923" s="116">
        <v>216.5</v>
      </c>
      <c r="D1923" s="116">
        <v>210.2</v>
      </c>
      <c r="E1923" s="116">
        <v>211.75</v>
      </c>
      <c r="F1923" s="116">
        <v>216.5</v>
      </c>
      <c r="G1923">
        <v>1503876</v>
      </c>
      <c r="H1923" s="116"/>
      <c r="I1923" s="116"/>
      <c r="L1923" s="170">
        <v>44834</v>
      </c>
      <c r="M1923" s="116">
        <v>216.5</v>
      </c>
      <c r="N1923" s="116">
        <v>217.1</v>
      </c>
      <c r="O1923" s="116">
        <v>210.25</v>
      </c>
      <c r="P1923" s="116">
        <v>212.2</v>
      </c>
      <c r="Q1923" s="116">
        <v>216.5</v>
      </c>
      <c r="R1923">
        <v>13008102</v>
      </c>
    </row>
    <row r="1924" spans="1:18" x14ac:dyDescent="0.25">
      <c r="A1924" s="170">
        <v>44837</v>
      </c>
      <c r="B1924" s="116">
        <v>218.05</v>
      </c>
      <c r="C1924" s="116">
        <v>213.25</v>
      </c>
      <c r="D1924" s="116">
        <v>211.95</v>
      </c>
      <c r="E1924" s="116">
        <v>216.5</v>
      </c>
      <c r="F1924" s="116">
        <v>213.25</v>
      </c>
      <c r="G1924">
        <v>1317633</v>
      </c>
      <c r="H1924" s="116"/>
      <c r="I1924" s="116"/>
      <c r="L1924" s="170">
        <v>44837</v>
      </c>
      <c r="M1924" s="116">
        <v>213.15</v>
      </c>
      <c r="N1924" s="116">
        <v>218</v>
      </c>
      <c r="O1924" s="116">
        <v>211.8</v>
      </c>
      <c r="P1924" s="116">
        <v>216.5</v>
      </c>
      <c r="Q1924" s="116">
        <v>213.15</v>
      </c>
      <c r="R1924">
        <v>10864491</v>
      </c>
    </row>
    <row r="1925" spans="1:18" x14ac:dyDescent="0.25">
      <c r="A1925" s="170">
        <v>44838</v>
      </c>
      <c r="B1925" s="116">
        <v>219.95</v>
      </c>
      <c r="C1925" s="116">
        <v>219</v>
      </c>
      <c r="D1925" s="116">
        <v>216.2</v>
      </c>
      <c r="E1925" s="116">
        <v>216.5</v>
      </c>
      <c r="F1925" s="116">
        <v>219</v>
      </c>
      <c r="G1925">
        <v>526697</v>
      </c>
      <c r="H1925" s="116"/>
      <c r="I1925" s="116"/>
      <c r="L1925" s="170">
        <v>44838</v>
      </c>
      <c r="M1925" s="116">
        <v>219.05</v>
      </c>
      <c r="N1925" s="116">
        <v>219.95</v>
      </c>
      <c r="O1925" s="116">
        <v>216.2</v>
      </c>
      <c r="P1925" s="116">
        <v>216.8</v>
      </c>
      <c r="Q1925" s="116">
        <v>219.05</v>
      </c>
      <c r="R1925">
        <v>11173725</v>
      </c>
    </row>
    <row r="1926" spans="1:18" x14ac:dyDescent="0.25">
      <c r="A1926" s="170">
        <v>44840</v>
      </c>
      <c r="B1926" s="116">
        <v>223.25</v>
      </c>
      <c r="C1926" s="116">
        <v>221.7</v>
      </c>
      <c r="D1926" s="116">
        <v>220.55</v>
      </c>
      <c r="E1926" s="116">
        <v>221.3</v>
      </c>
      <c r="F1926" s="116">
        <v>221.7</v>
      </c>
      <c r="G1926">
        <v>517734</v>
      </c>
      <c r="H1926" s="116"/>
      <c r="I1926" s="116"/>
      <c r="L1926" s="170">
        <v>44840</v>
      </c>
      <c r="M1926" s="116">
        <v>221.7</v>
      </c>
      <c r="N1926" s="116">
        <v>223.25</v>
      </c>
      <c r="O1926" s="116">
        <v>220.25</v>
      </c>
      <c r="P1926" s="116">
        <v>221</v>
      </c>
      <c r="Q1926" s="116">
        <v>221.7</v>
      </c>
      <c r="R1926">
        <v>10571565</v>
      </c>
    </row>
    <row r="1927" spans="1:18" x14ac:dyDescent="0.25">
      <c r="A1927" s="170">
        <v>44841</v>
      </c>
      <c r="B1927" s="116">
        <v>222.9</v>
      </c>
      <c r="C1927" s="116">
        <v>222.55</v>
      </c>
      <c r="D1927" s="116">
        <v>218.85</v>
      </c>
      <c r="E1927" s="116">
        <v>221.3</v>
      </c>
      <c r="F1927" s="116">
        <v>222.55</v>
      </c>
      <c r="G1927">
        <v>1042282</v>
      </c>
      <c r="H1927" s="116"/>
      <c r="I1927" s="116"/>
      <c r="L1927" s="170">
        <v>44841</v>
      </c>
      <c r="M1927" s="116">
        <v>222.5</v>
      </c>
      <c r="N1927" s="116">
        <v>222.9</v>
      </c>
      <c r="O1927" s="116">
        <v>218.75</v>
      </c>
      <c r="P1927" s="116">
        <v>221.65</v>
      </c>
      <c r="Q1927" s="116">
        <v>222.5</v>
      </c>
      <c r="R1927">
        <v>11098716</v>
      </c>
    </row>
    <row r="1928" spans="1:18" x14ac:dyDescent="0.25">
      <c r="A1928" s="170">
        <v>44844</v>
      </c>
      <c r="B1928" s="116">
        <v>220.8</v>
      </c>
      <c r="C1928" s="116">
        <v>220.3</v>
      </c>
      <c r="D1928" s="116">
        <v>217.05</v>
      </c>
      <c r="E1928" s="116">
        <v>219.55</v>
      </c>
      <c r="F1928" s="116">
        <v>220.3</v>
      </c>
      <c r="G1928">
        <v>1018916</v>
      </c>
      <c r="H1928" s="116"/>
      <c r="I1928" s="116"/>
      <c r="L1928" s="170">
        <v>44844</v>
      </c>
      <c r="M1928" s="116">
        <v>220.35</v>
      </c>
      <c r="N1928" s="116">
        <v>220.75</v>
      </c>
      <c r="O1928" s="116">
        <v>217.1</v>
      </c>
      <c r="P1928" s="116">
        <v>220</v>
      </c>
      <c r="Q1928" s="116">
        <v>220.35</v>
      </c>
      <c r="R1928">
        <v>9516511</v>
      </c>
    </row>
    <row r="1929" spans="1:18" x14ac:dyDescent="0.25">
      <c r="A1929" s="170">
        <v>44845</v>
      </c>
      <c r="B1929" s="116">
        <v>222.25</v>
      </c>
      <c r="C1929" s="116">
        <v>217.15</v>
      </c>
      <c r="D1929" s="116">
        <v>216.6</v>
      </c>
      <c r="E1929" s="116">
        <v>220.3</v>
      </c>
      <c r="F1929" s="116">
        <v>217.15</v>
      </c>
      <c r="G1929">
        <v>2304569</v>
      </c>
      <c r="H1929" s="116"/>
      <c r="I1929" s="116"/>
      <c r="L1929" s="170">
        <v>44845</v>
      </c>
      <c r="M1929" s="116">
        <v>217.15</v>
      </c>
      <c r="N1929" s="116">
        <v>222.25</v>
      </c>
      <c r="O1929" s="116">
        <v>216.5</v>
      </c>
      <c r="P1929" s="116">
        <v>220.4</v>
      </c>
      <c r="Q1929" s="116">
        <v>217.15</v>
      </c>
      <c r="R1929">
        <v>9006207</v>
      </c>
    </row>
    <row r="1930" spans="1:18" x14ac:dyDescent="0.25">
      <c r="A1930" s="170">
        <v>44846</v>
      </c>
      <c r="B1930" s="116">
        <v>219.35</v>
      </c>
      <c r="C1930" s="116">
        <v>217.95</v>
      </c>
      <c r="D1930" s="116">
        <v>215.05</v>
      </c>
      <c r="E1930" s="116">
        <v>217.8</v>
      </c>
      <c r="F1930" s="116">
        <v>217.95</v>
      </c>
      <c r="G1930">
        <v>910768</v>
      </c>
      <c r="H1930" s="116"/>
      <c r="I1930" s="116"/>
      <c r="L1930" s="170">
        <v>44846</v>
      </c>
      <c r="M1930" s="116">
        <v>217.95</v>
      </c>
      <c r="N1930" s="116">
        <v>219.4</v>
      </c>
      <c r="O1930" s="116">
        <v>215.05</v>
      </c>
      <c r="P1930" s="116">
        <v>218</v>
      </c>
      <c r="Q1930" s="116">
        <v>217.95</v>
      </c>
      <c r="R1930">
        <v>9504518</v>
      </c>
    </row>
    <row r="1931" spans="1:18" x14ac:dyDescent="0.25">
      <c r="A1931" s="170">
        <v>44847</v>
      </c>
      <c r="B1931" s="116">
        <v>218.95</v>
      </c>
      <c r="C1931" s="116">
        <v>216.1</v>
      </c>
      <c r="D1931" s="116">
        <v>213.5</v>
      </c>
      <c r="E1931" s="116">
        <v>217.95</v>
      </c>
      <c r="F1931" s="116">
        <v>216.1</v>
      </c>
      <c r="G1931">
        <v>1121259</v>
      </c>
      <c r="H1931" s="116"/>
      <c r="I1931" s="116"/>
      <c r="L1931" s="170">
        <v>44847</v>
      </c>
      <c r="M1931" s="116">
        <v>216.15</v>
      </c>
      <c r="N1931" s="116">
        <v>218.9</v>
      </c>
      <c r="O1931" s="116">
        <v>213.5</v>
      </c>
      <c r="P1931" s="116">
        <v>217.95</v>
      </c>
      <c r="Q1931" s="116">
        <v>216.15</v>
      </c>
      <c r="R1931">
        <v>9559072</v>
      </c>
    </row>
    <row r="1932" spans="1:18" x14ac:dyDescent="0.25">
      <c r="A1932" s="170">
        <v>44848</v>
      </c>
      <c r="B1932" s="116">
        <v>220.6</v>
      </c>
      <c r="C1932" s="116">
        <v>215.9</v>
      </c>
      <c r="D1932" s="116">
        <v>215.6</v>
      </c>
      <c r="E1932" s="116">
        <v>219.5</v>
      </c>
      <c r="F1932" s="116">
        <v>215.9</v>
      </c>
      <c r="G1932">
        <v>392853</v>
      </c>
      <c r="H1932" s="116"/>
      <c r="I1932" s="116"/>
      <c r="L1932" s="170">
        <v>44848</v>
      </c>
      <c r="M1932" s="116">
        <v>215.9</v>
      </c>
      <c r="N1932" s="116">
        <v>220.6</v>
      </c>
      <c r="O1932" s="116">
        <v>215.5</v>
      </c>
      <c r="P1932" s="116">
        <v>220</v>
      </c>
      <c r="Q1932" s="116">
        <v>215.9</v>
      </c>
      <c r="R1932">
        <v>8739363</v>
      </c>
    </row>
    <row r="1933" spans="1:18" x14ac:dyDescent="0.25">
      <c r="A1933" s="170">
        <v>44851</v>
      </c>
      <c r="B1933" s="116">
        <v>218.45</v>
      </c>
      <c r="C1933" s="116">
        <v>217.9</v>
      </c>
      <c r="D1933" s="116">
        <v>211.75</v>
      </c>
      <c r="E1933" s="116">
        <v>211.75</v>
      </c>
      <c r="F1933" s="116">
        <v>217.9</v>
      </c>
      <c r="G1933">
        <v>931987</v>
      </c>
      <c r="H1933" s="116"/>
      <c r="I1933" s="116"/>
      <c r="L1933" s="170">
        <v>44851</v>
      </c>
      <c r="M1933" s="116">
        <v>217.95</v>
      </c>
      <c r="N1933" s="116">
        <v>218.5</v>
      </c>
      <c r="O1933" s="116">
        <v>213.85</v>
      </c>
      <c r="P1933" s="116">
        <v>215</v>
      </c>
      <c r="Q1933" s="116">
        <v>217.95</v>
      </c>
      <c r="R1933">
        <v>9420098</v>
      </c>
    </row>
    <row r="1934" spans="1:18" x14ac:dyDescent="0.25">
      <c r="A1934" s="170">
        <v>44852</v>
      </c>
      <c r="B1934" s="116">
        <v>221.95</v>
      </c>
      <c r="C1934" s="116">
        <v>220.7</v>
      </c>
      <c r="D1934" s="116">
        <v>218.75</v>
      </c>
      <c r="E1934" s="116">
        <v>219.65</v>
      </c>
      <c r="F1934" s="116">
        <v>220.7</v>
      </c>
      <c r="G1934">
        <v>506752</v>
      </c>
      <c r="H1934" s="116"/>
      <c r="I1934" s="116"/>
      <c r="L1934" s="170">
        <v>44852</v>
      </c>
      <c r="M1934" s="116">
        <v>220.65</v>
      </c>
      <c r="N1934" s="116">
        <v>222</v>
      </c>
      <c r="O1934" s="116">
        <v>218.65</v>
      </c>
      <c r="P1934" s="116">
        <v>219.05</v>
      </c>
      <c r="Q1934" s="116">
        <v>220.65</v>
      </c>
      <c r="R1934">
        <v>10267276</v>
      </c>
    </row>
    <row r="1935" spans="1:18" x14ac:dyDescent="0.25">
      <c r="A1935" s="170">
        <v>44853</v>
      </c>
      <c r="B1935" s="116">
        <v>221.7</v>
      </c>
      <c r="C1935" s="116">
        <v>218.45</v>
      </c>
      <c r="D1935" s="116">
        <v>217.55</v>
      </c>
      <c r="E1935" s="116">
        <v>221.45</v>
      </c>
      <c r="F1935" s="116">
        <v>218.45</v>
      </c>
      <c r="G1935">
        <v>943954</v>
      </c>
      <c r="H1935" s="116"/>
      <c r="I1935" s="116"/>
      <c r="L1935" s="170">
        <v>44853</v>
      </c>
      <c r="M1935" s="116">
        <v>218.4</v>
      </c>
      <c r="N1935" s="116">
        <v>221.65</v>
      </c>
      <c r="O1935" s="116">
        <v>217.55</v>
      </c>
      <c r="P1935" s="116">
        <v>221.4</v>
      </c>
      <c r="Q1935" s="116">
        <v>218.4</v>
      </c>
      <c r="R1935">
        <v>7712123</v>
      </c>
    </row>
    <row r="1936" spans="1:18" x14ac:dyDescent="0.25">
      <c r="A1936" s="170">
        <v>44854</v>
      </c>
      <c r="B1936" s="116">
        <v>221.35</v>
      </c>
      <c r="C1936" s="116">
        <v>220.6</v>
      </c>
      <c r="D1936" s="116">
        <v>216.1</v>
      </c>
      <c r="E1936" s="116">
        <v>216.3</v>
      </c>
      <c r="F1936" s="116">
        <v>220.6</v>
      </c>
      <c r="G1936">
        <v>915097</v>
      </c>
      <c r="H1936" s="116"/>
      <c r="I1936" s="116"/>
      <c r="L1936" s="170">
        <v>44854</v>
      </c>
      <c r="M1936" s="116">
        <v>220.8</v>
      </c>
      <c r="N1936" s="116">
        <v>221.3</v>
      </c>
      <c r="O1936" s="116">
        <v>216.1</v>
      </c>
      <c r="P1936" s="116">
        <v>217.85</v>
      </c>
      <c r="Q1936" s="116">
        <v>220.8</v>
      </c>
      <c r="R1936">
        <v>7889548</v>
      </c>
    </row>
    <row r="1937" spans="1:18" x14ac:dyDescent="0.25">
      <c r="A1937" s="170">
        <v>44855</v>
      </c>
      <c r="B1937" s="116">
        <v>222.15</v>
      </c>
      <c r="C1937" s="116">
        <v>218.6</v>
      </c>
      <c r="D1937" s="116">
        <v>217.5</v>
      </c>
      <c r="E1937" s="116">
        <v>221</v>
      </c>
      <c r="F1937" s="116">
        <v>218.6</v>
      </c>
      <c r="G1937">
        <v>375715</v>
      </c>
      <c r="H1937" s="116"/>
      <c r="I1937" s="116"/>
      <c r="L1937" s="170">
        <v>44855</v>
      </c>
      <c r="M1937" s="116">
        <v>218.6</v>
      </c>
      <c r="N1937" s="116">
        <v>222.25</v>
      </c>
      <c r="O1937" s="116">
        <v>217.55</v>
      </c>
      <c r="P1937" s="116">
        <v>221.25</v>
      </c>
      <c r="Q1937" s="116">
        <v>218.6</v>
      </c>
      <c r="R1937">
        <v>8153053</v>
      </c>
    </row>
    <row r="1938" spans="1:18" x14ac:dyDescent="0.25">
      <c r="A1938" s="170">
        <v>44858</v>
      </c>
      <c r="B1938" s="116">
        <v>221</v>
      </c>
      <c r="C1938" s="116">
        <v>219</v>
      </c>
      <c r="D1938" s="116">
        <v>218.5</v>
      </c>
      <c r="E1938" s="116">
        <v>220.6</v>
      </c>
      <c r="F1938" s="116">
        <v>219</v>
      </c>
      <c r="G1938">
        <v>402934</v>
      </c>
      <c r="H1938" s="116"/>
      <c r="I1938" s="116"/>
      <c r="L1938" s="170">
        <v>44858</v>
      </c>
      <c r="M1938" s="116">
        <v>219</v>
      </c>
      <c r="N1938" s="116">
        <v>221.15</v>
      </c>
      <c r="O1938" s="116">
        <v>218.3</v>
      </c>
      <c r="P1938" s="116">
        <v>221</v>
      </c>
      <c r="Q1938" s="116">
        <v>219</v>
      </c>
      <c r="R1938">
        <v>2893840</v>
      </c>
    </row>
    <row r="1939" spans="1:18" x14ac:dyDescent="0.25">
      <c r="A1939" s="170">
        <v>44859</v>
      </c>
      <c r="B1939" s="116">
        <v>222.9</v>
      </c>
      <c r="C1939" s="116">
        <v>220.7</v>
      </c>
      <c r="D1939" s="116">
        <v>217.6</v>
      </c>
      <c r="E1939" s="116">
        <v>218.7</v>
      </c>
      <c r="F1939" s="116">
        <v>220.7</v>
      </c>
      <c r="G1939">
        <v>2388430</v>
      </c>
      <c r="H1939" s="116"/>
      <c r="I1939" s="116"/>
      <c r="L1939" s="170">
        <v>44859</v>
      </c>
      <c r="M1939" s="116">
        <v>220.65</v>
      </c>
      <c r="N1939" s="116">
        <v>222.9</v>
      </c>
      <c r="O1939" s="116">
        <v>217.65</v>
      </c>
      <c r="P1939" s="116">
        <v>219.1</v>
      </c>
      <c r="Q1939" s="116">
        <v>220.65</v>
      </c>
      <c r="R1939">
        <v>9040336</v>
      </c>
    </row>
    <row r="1940" spans="1:18" x14ac:dyDescent="0.25">
      <c r="A1940" s="170">
        <v>44861</v>
      </c>
      <c r="B1940" s="116">
        <v>226.95</v>
      </c>
      <c r="C1940" s="116">
        <v>225.9</v>
      </c>
      <c r="D1940" s="116">
        <v>221.05</v>
      </c>
      <c r="E1940" s="116">
        <v>221.05</v>
      </c>
      <c r="F1940" s="116">
        <v>225.9</v>
      </c>
      <c r="G1940">
        <v>1567781</v>
      </c>
      <c r="H1940" s="116"/>
      <c r="I1940" s="116"/>
      <c r="L1940" s="170">
        <v>44861</v>
      </c>
      <c r="M1940" s="116">
        <v>225.85</v>
      </c>
      <c r="N1940" s="116">
        <v>226.9</v>
      </c>
      <c r="O1940" s="116">
        <v>221.1</v>
      </c>
      <c r="P1940" s="116">
        <v>221.8</v>
      </c>
      <c r="Q1940" s="116">
        <v>225.85</v>
      </c>
      <c r="R1940">
        <v>12783887</v>
      </c>
    </row>
    <row r="1941" spans="1:18" x14ac:dyDescent="0.25">
      <c r="A1941" s="170">
        <v>44862</v>
      </c>
      <c r="B1941" s="116">
        <v>227.4</v>
      </c>
      <c r="C1941" s="116">
        <v>225</v>
      </c>
      <c r="D1941" s="116">
        <v>222.5</v>
      </c>
      <c r="E1941" s="116">
        <v>227.4</v>
      </c>
      <c r="F1941" s="116">
        <v>225</v>
      </c>
      <c r="G1941">
        <v>1659395</v>
      </c>
      <c r="H1941" s="116"/>
      <c r="I1941" s="116"/>
      <c r="L1941" s="170">
        <v>44862</v>
      </c>
      <c r="M1941" s="116">
        <v>225.05</v>
      </c>
      <c r="N1941" s="116">
        <v>227.7</v>
      </c>
      <c r="O1941" s="116">
        <v>222.55</v>
      </c>
      <c r="P1941" s="116">
        <v>227</v>
      </c>
      <c r="Q1941" s="116">
        <v>225.05</v>
      </c>
      <c r="R1941">
        <v>13141721</v>
      </c>
    </row>
    <row r="1942" spans="1:18" x14ac:dyDescent="0.25">
      <c r="A1942" s="170">
        <v>44865</v>
      </c>
      <c r="B1942" s="116">
        <v>229.65</v>
      </c>
      <c r="C1942" s="116">
        <v>225.95</v>
      </c>
      <c r="D1942" s="116">
        <v>224.25</v>
      </c>
      <c r="E1942" s="116">
        <v>229.65</v>
      </c>
      <c r="F1942" s="116">
        <v>225.95</v>
      </c>
      <c r="G1942">
        <v>976283</v>
      </c>
      <c r="H1942" s="116"/>
      <c r="I1942" s="116"/>
      <c r="L1942" s="170">
        <v>44865</v>
      </c>
      <c r="M1942" s="116">
        <v>226</v>
      </c>
      <c r="N1942" s="116">
        <v>229</v>
      </c>
      <c r="O1942" s="116">
        <v>224.2</v>
      </c>
      <c r="P1942" s="116">
        <v>228.1</v>
      </c>
      <c r="Q1942" s="116">
        <v>226</v>
      </c>
      <c r="R1942">
        <v>22697530</v>
      </c>
    </row>
    <row r="1943" spans="1:18" x14ac:dyDescent="0.25">
      <c r="A1943" s="170">
        <v>44866</v>
      </c>
      <c r="B1943" s="116">
        <v>231.35</v>
      </c>
      <c r="C1943" s="116">
        <v>230.6</v>
      </c>
      <c r="D1943" s="116">
        <v>226.05</v>
      </c>
      <c r="E1943" s="116">
        <v>226.05</v>
      </c>
      <c r="F1943" s="116">
        <v>230.6</v>
      </c>
      <c r="G1943">
        <v>836506</v>
      </c>
      <c r="H1943" s="116"/>
      <c r="I1943" s="116"/>
      <c r="L1943" s="170">
        <v>44866</v>
      </c>
      <c r="M1943" s="116">
        <v>230.6</v>
      </c>
      <c r="N1943" s="116">
        <v>231.35</v>
      </c>
      <c r="O1943" s="116">
        <v>226.5</v>
      </c>
      <c r="P1943" s="116">
        <v>226.5</v>
      </c>
      <c r="Q1943" s="116">
        <v>230.6</v>
      </c>
      <c r="R1943">
        <v>16978101</v>
      </c>
    </row>
    <row r="1944" spans="1:18" x14ac:dyDescent="0.25">
      <c r="A1944" s="170">
        <v>44867</v>
      </c>
      <c r="B1944" s="116">
        <v>231.9</v>
      </c>
      <c r="C1944" s="116">
        <v>229</v>
      </c>
      <c r="D1944" s="116">
        <v>227.85</v>
      </c>
      <c r="E1944" s="116">
        <v>229.6</v>
      </c>
      <c r="F1944" s="116">
        <v>229</v>
      </c>
      <c r="G1944">
        <v>2005710</v>
      </c>
      <c r="H1944" s="116"/>
      <c r="I1944" s="116"/>
      <c r="L1944" s="170">
        <v>44867</v>
      </c>
      <c r="M1944" s="116">
        <v>229.05</v>
      </c>
      <c r="N1944" s="116">
        <v>231.8</v>
      </c>
      <c r="O1944" s="116">
        <v>227.8</v>
      </c>
      <c r="P1944" s="116">
        <v>230</v>
      </c>
      <c r="Q1944" s="116">
        <v>229.05</v>
      </c>
      <c r="R1944">
        <v>9478217</v>
      </c>
    </row>
    <row r="1945" spans="1:18" x14ac:dyDescent="0.25">
      <c r="A1945" s="170">
        <v>44868</v>
      </c>
      <c r="B1945" s="116">
        <v>229.45</v>
      </c>
      <c r="C1945" s="116">
        <v>227.35</v>
      </c>
      <c r="D1945" s="116">
        <v>225.75</v>
      </c>
      <c r="E1945" s="116">
        <v>227.8</v>
      </c>
      <c r="F1945" s="116">
        <v>227.35</v>
      </c>
      <c r="G1945">
        <v>340370</v>
      </c>
      <c r="H1945" s="116"/>
      <c r="I1945" s="116"/>
      <c r="L1945" s="170">
        <v>44868</v>
      </c>
      <c r="M1945" s="116">
        <v>227.4</v>
      </c>
      <c r="N1945" s="116">
        <v>229.5</v>
      </c>
      <c r="O1945" s="116">
        <v>225.75</v>
      </c>
      <c r="P1945" s="116">
        <v>228.2</v>
      </c>
      <c r="Q1945" s="116">
        <v>227.4</v>
      </c>
      <c r="R1945">
        <v>9095013</v>
      </c>
    </row>
    <row r="1946" spans="1:18" x14ac:dyDescent="0.25">
      <c r="A1946" s="170">
        <v>44869</v>
      </c>
      <c r="B1946" s="116">
        <v>229.3</v>
      </c>
      <c r="C1946" s="116">
        <v>228.25</v>
      </c>
      <c r="D1946" s="116">
        <v>226.75</v>
      </c>
      <c r="E1946" s="116">
        <v>228</v>
      </c>
      <c r="F1946" s="116">
        <v>228.25</v>
      </c>
      <c r="G1946">
        <v>281960</v>
      </c>
      <c r="H1946" s="116"/>
      <c r="I1946" s="116"/>
      <c r="L1946" s="170">
        <v>44869</v>
      </c>
      <c r="M1946" s="116">
        <v>228.3</v>
      </c>
      <c r="N1946" s="116">
        <v>229.4</v>
      </c>
      <c r="O1946" s="116">
        <v>226.75</v>
      </c>
      <c r="P1946" s="116">
        <v>227.7</v>
      </c>
      <c r="Q1946" s="116">
        <v>228.3</v>
      </c>
      <c r="R1946">
        <v>8681681</v>
      </c>
    </row>
    <row r="1947" spans="1:18" x14ac:dyDescent="0.25">
      <c r="A1947" s="170">
        <v>44872</v>
      </c>
      <c r="B1947" s="116">
        <v>230.35</v>
      </c>
      <c r="C1947" s="116">
        <v>229.2</v>
      </c>
      <c r="D1947" s="116">
        <v>227</v>
      </c>
      <c r="E1947" s="116">
        <v>228.05</v>
      </c>
      <c r="F1947" s="116">
        <v>229.2</v>
      </c>
      <c r="G1947">
        <v>412761</v>
      </c>
      <c r="H1947" s="116"/>
      <c r="I1947" s="116"/>
      <c r="L1947" s="170">
        <v>44872</v>
      </c>
      <c r="M1947" s="116">
        <v>229.15</v>
      </c>
      <c r="N1947" s="116">
        <v>230.4</v>
      </c>
      <c r="O1947" s="116">
        <v>226.9</v>
      </c>
      <c r="P1947" s="116">
        <v>228.35</v>
      </c>
      <c r="Q1947" s="116">
        <v>229.15</v>
      </c>
      <c r="R1947">
        <v>9570452</v>
      </c>
    </row>
    <row r="1948" spans="1:18" x14ac:dyDescent="0.25">
      <c r="A1948" s="170">
        <v>44874</v>
      </c>
      <c r="B1948" s="116">
        <v>234.5</v>
      </c>
      <c r="C1948" s="116">
        <v>231.4</v>
      </c>
      <c r="D1948" s="116">
        <v>228.85</v>
      </c>
      <c r="E1948" s="116">
        <v>229.2</v>
      </c>
      <c r="F1948" s="116">
        <v>231.4</v>
      </c>
      <c r="G1948">
        <v>2076284</v>
      </c>
      <c r="H1948" s="116"/>
      <c r="I1948" s="116"/>
      <c r="L1948" s="170">
        <v>44874</v>
      </c>
      <c r="M1948" s="116">
        <v>231.35</v>
      </c>
      <c r="N1948" s="116">
        <v>234.5</v>
      </c>
      <c r="O1948" s="116">
        <v>228.85</v>
      </c>
      <c r="P1948" s="116">
        <v>230.1</v>
      </c>
      <c r="Q1948" s="116">
        <v>231.35</v>
      </c>
      <c r="R1948">
        <v>16625632</v>
      </c>
    </row>
    <row r="1949" spans="1:18" x14ac:dyDescent="0.25">
      <c r="A1949" s="170">
        <v>44875</v>
      </c>
      <c r="B1949" s="116">
        <v>233.35</v>
      </c>
      <c r="C1949" s="116">
        <v>229.15</v>
      </c>
      <c r="D1949" s="116">
        <v>228.45</v>
      </c>
      <c r="E1949" s="116">
        <v>231</v>
      </c>
      <c r="F1949" s="116">
        <v>229.15</v>
      </c>
      <c r="G1949">
        <v>1103425</v>
      </c>
      <c r="H1949" s="116"/>
      <c r="I1949" s="116"/>
      <c r="L1949" s="170">
        <v>44875</v>
      </c>
      <c r="M1949" s="116">
        <v>229.2</v>
      </c>
      <c r="N1949" s="116">
        <v>233.4</v>
      </c>
      <c r="O1949" s="116">
        <v>228.5</v>
      </c>
      <c r="P1949" s="116">
        <v>231.2</v>
      </c>
      <c r="Q1949" s="116">
        <v>229.2</v>
      </c>
      <c r="R1949">
        <v>8944902</v>
      </c>
    </row>
    <row r="1950" spans="1:18" x14ac:dyDescent="0.25">
      <c r="A1950" s="170">
        <v>44876</v>
      </c>
      <c r="B1950" s="116">
        <v>232.2</v>
      </c>
      <c r="C1950" s="116">
        <v>229.75</v>
      </c>
      <c r="D1950" s="116">
        <v>229.35</v>
      </c>
      <c r="E1950" s="116">
        <v>231.7</v>
      </c>
      <c r="F1950" s="116">
        <v>229.75</v>
      </c>
      <c r="G1950">
        <v>353076</v>
      </c>
      <c r="H1950" s="116"/>
      <c r="I1950" s="116"/>
      <c r="L1950" s="170">
        <v>44876</v>
      </c>
      <c r="M1950" s="116">
        <v>229.75</v>
      </c>
      <c r="N1950" s="116">
        <v>232</v>
      </c>
      <c r="O1950" s="116">
        <v>229.2</v>
      </c>
      <c r="P1950" s="116">
        <v>232</v>
      </c>
      <c r="Q1950" s="116">
        <v>229.75</v>
      </c>
      <c r="R1950">
        <v>7259679</v>
      </c>
    </row>
    <row r="1951" spans="1:18" x14ac:dyDescent="0.25">
      <c r="A1951" s="170">
        <v>44879</v>
      </c>
      <c r="B1951" s="116">
        <v>230.4</v>
      </c>
      <c r="C1951" s="116">
        <v>227.7</v>
      </c>
      <c r="D1951" s="116">
        <v>226.8</v>
      </c>
      <c r="E1951" s="116">
        <v>229.4</v>
      </c>
      <c r="F1951" s="116">
        <v>227.7</v>
      </c>
      <c r="G1951">
        <v>797913</v>
      </c>
      <c r="H1951" s="116"/>
      <c r="I1951" s="116"/>
      <c r="L1951" s="170">
        <v>44879</v>
      </c>
      <c r="M1951" s="116">
        <v>227.7</v>
      </c>
      <c r="N1951" s="116">
        <v>230.4</v>
      </c>
      <c r="O1951" s="116">
        <v>226.8</v>
      </c>
      <c r="P1951" s="116">
        <v>230.05</v>
      </c>
      <c r="Q1951" s="116">
        <v>227.7</v>
      </c>
      <c r="R1951">
        <v>7310857</v>
      </c>
    </row>
    <row r="1952" spans="1:18" x14ac:dyDescent="0.25">
      <c r="A1952" s="170">
        <v>44880</v>
      </c>
      <c r="B1952" s="116">
        <v>230.15</v>
      </c>
      <c r="C1952" s="116">
        <v>229.5</v>
      </c>
      <c r="D1952" s="116">
        <v>228</v>
      </c>
      <c r="E1952" s="116">
        <v>228.1</v>
      </c>
      <c r="F1952" s="116">
        <v>229.5</v>
      </c>
      <c r="G1952">
        <v>418489</v>
      </c>
      <c r="H1952" s="116"/>
      <c r="I1952" s="116"/>
      <c r="L1952" s="170">
        <v>44880</v>
      </c>
      <c r="M1952" s="116">
        <v>229.5</v>
      </c>
      <c r="N1952" s="116">
        <v>230.25</v>
      </c>
      <c r="O1952" s="116">
        <v>228</v>
      </c>
      <c r="P1952" s="116">
        <v>228.45</v>
      </c>
      <c r="Q1952" s="116">
        <v>229.5</v>
      </c>
      <c r="R1952">
        <v>6426117</v>
      </c>
    </row>
    <row r="1953" spans="1:18" x14ac:dyDescent="0.25">
      <c r="A1953" s="170">
        <v>44881</v>
      </c>
      <c r="B1953" s="116">
        <v>229.95</v>
      </c>
      <c r="C1953" s="116">
        <v>224.6</v>
      </c>
      <c r="D1953" s="116">
        <v>222.3</v>
      </c>
      <c r="E1953" s="116">
        <v>228.7</v>
      </c>
      <c r="F1953" s="116">
        <v>224.6</v>
      </c>
      <c r="G1953">
        <v>1349696</v>
      </c>
      <c r="H1953" s="116"/>
      <c r="I1953" s="116"/>
      <c r="L1953" s="170">
        <v>44881</v>
      </c>
      <c r="M1953" s="116">
        <v>224.6</v>
      </c>
      <c r="N1953" s="116">
        <v>230</v>
      </c>
      <c r="O1953" s="116">
        <v>222.25</v>
      </c>
      <c r="P1953" s="116">
        <v>229.5</v>
      </c>
      <c r="Q1953" s="116">
        <v>224.6</v>
      </c>
      <c r="R1953">
        <v>10662953</v>
      </c>
    </row>
    <row r="1954" spans="1:18" x14ac:dyDescent="0.25">
      <c r="A1954" s="170">
        <v>44882</v>
      </c>
      <c r="B1954" s="116">
        <v>224.95</v>
      </c>
      <c r="C1954" s="116">
        <v>221.3</v>
      </c>
      <c r="D1954" s="116">
        <v>221</v>
      </c>
      <c r="E1954" s="116">
        <v>224.05</v>
      </c>
      <c r="F1954" s="116">
        <v>221.3</v>
      </c>
      <c r="G1954">
        <v>866618</v>
      </c>
      <c r="H1954" s="116"/>
      <c r="I1954" s="116"/>
      <c r="L1954" s="170">
        <v>44882</v>
      </c>
      <c r="M1954" s="116">
        <v>221.4</v>
      </c>
      <c r="N1954" s="116">
        <v>224.9</v>
      </c>
      <c r="O1954" s="116">
        <v>221</v>
      </c>
      <c r="P1954" s="116">
        <v>224.7</v>
      </c>
      <c r="Q1954" s="116">
        <v>221.4</v>
      </c>
      <c r="R1954">
        <v>10679502</v>
      </c>
    </row>
    <row r="1955" spans="1:18" x14ac:dyDescent="0.25">
      <c r="A1955" s="170">
        <v>44883</v>
      </c>
      <c r="B1955" s="116">
        <v>222.8</v>
      </c>
      <c r="C1955" s="116">
        <v>220.4</v>
      </c>
      <c r="D1955" s="116">
        <v>218.75</v>
      </c>
      <c r="E1955" s="116">
        <v>222.7</v>
      </c>
      <c r="F1955" s="116">
        <v>220.4</v>
      </c>
      <c r="G1955">
        <v>435043</v>
      </c>
      <c r="H1955" s="116"/>
      <c r="I1955" s="116"/>
      <c r="L1955" s="170">
        <v>44883</v>
      </c>
      <c r="M1955" s="116">
        <v>220.45</v>
      </c>
      <c r="N1955" s="116">
        <v>222.85</v>
      </c>
      <c r="O1955" s="116">
        <v>218.7</v>
      </c>
      <c r="P1955" s="116">
        <v>222.35</v>
      </c>
      <c r="Q1955" s="116">
        <v>220.45</v>
      </c>
      <c r="R1955">
        <v>7718744</v>
      </c>
    </row>
    <row r="1956" spans="1:18" x14ac:dyDescent="0.25">
      <c r="A1956" s="170">
        <v>44886</v>
      </c>
      <c r="B1956" s="116">
        <v>222.3</v>
      </c>
      <c r="C1956" s="116">
        <v>221.3</v>
      </c>
      <c r="D1956" s="116">
        <v>218.4</v>
      </c>
      <c r="E1956" s="116">
        <v>220.05</v>
      </c>
      <c r="F1956" s="116">
        <v>221.3</v>
      </c>
      <c r="G1956">
        <v>299999</v>
      </c>
      <c r="H1956" s="116"/>
      <c r="I1956" s="116"/>
      <c r="L1956" s="170">
        <v>44886</v>
      </c>
      <c r="M1956" s="116">
        <v>221.4</v>
      </c>
      <c r="N1956" s="116">
        <v>222.4</v>
      </c>
      <c r="O1956" s="116">
        <v>218.4</v>
      </c>
      <c r="P1956" s="116">
        <v>220.45</v>
      </c>
      <c r="Q1956" s="116">
        <v>221.4</v>
      </c>
      <c r="R1956">
        <v>6226956</v>
      </c>
    </row>
    <row r="1957" spans="1:18" x14ac:dyDescent="0.25">
      <c r="A1957" s="170">
        <v>44887</v>
      </c>
      <c r="B1957" s="116">
        <v>221.85</v>
      </c>
      <c r="C1957" s="116">
        <v>220.45</v>
      </c>
      <c r="D1957" s="116">
        <v>219.1</v>
      </c>
      <c r="E1957" s="116">
        <v>221</v>
      </c>
      <c r="F1957" s="116">
        <v>220.45</v>
      </c>
      <c r="G1957">
        <v>392774</v>
      </c>
      <c r="H1957" s="116"/>
      <c r="I1957" s="116"/>
      <c r="L1957" s="170">
        <v>44887</v>
      </c>
      <c r="M1957" s="116">
        <v>220.5</v>
      </c>
      <c r="N1957" s="116">
        <v>222</v>
      </c>
      <c r="O1957" s="116">
        <v>219.05</v>
      </c>
      <c r="P1957" s="116">
        <v>221.05</v>
      </c>
      <c r="Q1957" s="116">
        <v>220.5</v>
      </c>
      <c r="R1957">
        <v>7105721</v>
      </c>
    </row>
    <row r="1958" spans="1:18" x14ac:dyDescent="0.25">
      <c r="A1958" s="170">
        <v>44888</v>
      </c>
      <c r="B1958" s="116">
        <v>222.3</v>
      </c>
      <c r="C1958" s="116">
        <v>220.75</v>
      </c>
      <c r="D1958" s="116">
        <v>220.45</v>
      </c>
      <c r="E1958" s="116">
        <v>221.5</v>
      </c>
      <c r="F1958" s="116">
        <v>220.75</v>
      </c>
      <c r="G1958">
        <v>261074</v>
      </c>
      <c r="H1958" s="116"/>
      <c r="I1958" s="116"/>
      <c r="L1958" s="170">
        <v>44888</v>
      </c>
      <c r="M1958" s="116">
        <v>220.8</v>
      </c>
      <c r="N1958" s="116">
        <v>222.25</v>
      </c>
      <c r="O1958" s="116">
        <v>220.5</v>
      </c>
      <c r="P1958" s="116">
        <v>221.5</v>
      </c>
      <c r="Q1958" s="116">
        <v>220.8</v>
      </c>
      <c r="R1958">
        <v>5966239</v>
      </c>
    </row>
    <row r="1959" spans="1:18" x14ac:dyDescent="0.25">
      <c r="A1959" s="170">
        <v>44889</v>
      </c>
      <c r="B1959" s="116">
        <v>221.6</v>
      </c>
      <c r="C1959" s="116">
        <v>220.75</v>
      </c>
      <c r="D1959" s="116">
        <v>219.55</v>
      </c>
      <c r="E1959" s="116">
        <v>221</v>
      </c>
      <c r="F1959" s="116">
        <v>220.75</v>
      </c>
      <c r="G1959">
        <v>262687</v>
      </c>
      <c r="H1959" s="116"/>
      <c r="I1959" s="116"/>
      <c r="L1959" s="170">
        <v>44889</v>
      </c>
      <c r="M1959" s="116">
        <v>220.75</v>
      </c>
      <c r="N1959" s="116">
        <v>221.7</v>
      </c>
      <c r="O1959" s="116">
        <v>219.6</v>
      </c>
      <c r="P1959" s="116">
        <v>221</v>
      </c>
      <c r="Q1959" s="116">
        <v>220.75</v>
      </c>
      <c r="R1959">
        <v>6612342</v>
      </c>
    </row>
    <row r="1960" spans="1:18" x14ac:dyDescent="0.25">
      <c r="A1960" s="170">
        <v>44890</v>
      </c>
      <c r="B1960" s="116">
        <v>224.75</v>
      </c>
      <c r="C1960" s="116">
        <v>224.15</v>
      </c>
      <c r="D1960" s="116">
        <v>220.25</v>
      </c>
      <c r="E1960" s="116">
        <v>220.65</v>
      </c>
      <c r="F1960" s="116">
        <v>224.15</v>
      </c>
      <c r="G1960">
        <v>1016314</v>
      </c>
      <c r="H1960" s="116"/>
      <c r="I1960" s="116"/>
      <c r="L1960" s="170">
        <v>44890</v>
      </c>
      <c r="M1960" s="116">
        <v>224.1</v>
      </c>
      <c r="N1960" s="116">
        <v>224.85</v>
      </c>
      <c r="O1960" s="116">
        <v>220.35</v>
      </c>
      <c r="P1960" s="116">
        <v>221.2</v>
      </c>
      <c r="Q1960" s="116">
        <v>224.1</v>
      </c>
      <c r="R1960">
        <v>8062766</v>
      </c>
    </row>
    <row r="1961" spans="1:18" x14ac:dyDescent="0.25">
      <c r="A1961" s="170">
        <v>44893</v>
      </c>
      <c r="B1961" s="116">
        <v>226.35</v>
      </c>
      <c r="C1961" s="116">
        <v>224.65</v>
      </c>
      <c r="D1961" s="116">
        <v>223.2</v>
      </c>
      <c r="E1961" s="116">
        <v>223.7</v>
      </c>
      <c r="F1961" s="116">
        <v>224.65</v>
      </c>
      <c r="G1961">
        <v>785776</v>
      </c>
      <c r="H1961" s="116"/>
      <c r="I1961" s="116"/>
      <c r="L1961" s="170">
        <v>44893</v>
      </c>
      <c r="M1961" s="116">
        <v>224.6</v>
      </c>
      <c r="N1961" s="116">
        <v>226.45</v>
      </c>
      <c r="O1961" s="116">
        <v>223.3</v>
      </c>
      <c r="P1961" s="116">
        <v>224.1</v>
      </c>
      <c r="Q1961" s="116">
        <v>224.6</v>
      </c>
      <c r="R1961">
        <v>7388645</v>
      </c>
    </row>
    <row r="1962" spans="1:18" x14ac:dyDescent="0.25">
      <c r="A1962" s="170">
        <v>44894</v>
      </c>
      <c r="B1962" s="116">
        <v>225.45</v>
      </c>
      <c r="C1962" s="116">
        <v>223.35</v>
      </c>
      <c r="D1962" s="116">
        <v>222.95</v>
      </c>
      <c r="E1962" s="116">
        <v>224.7</v>
      </c>
      <c r="F1962" s="116">
        <v>223.35</v>
      </c>
      <c r="G1962">
        <v>680910</v>
      </c>
      <c r="H1962" s="116"/>
      <c r="I1962" s="116"/>
      <c r="L1962" s="170">
        <v>44894</v>
      </c>
      <c r="M1962" s="116">
        <v>223.45</v>
      </c>
      <c r="N1962" s="116">
        <v>225.45</v>
      </c>
      <c r="O1962" s="116">
        <v>222.9</v>
      </c>
      <c r="P1962" s="116">
        <v>225</v>
      </c>
      <c r="Q1962" s="116">
        <v>223.45</v>
      </c>
      <c r="R1962">
        <v>6165404</v>
      </c>
    </row>
    <row r="1963" spans="1:18" x14ac:dyDescent="0.25">
      <c r="A1963" s="170">
        <v>44895</v>
      </c>
      <c r="B1963" s="116">
        <v>225.35</v>
      </c>
      <c r="C1963" s="116">
        <v>224.8</v>
      </c>
      <c r="D1963" s="116">
        <v>222.6</v>
      </c>
      <c r="E1963" s="116">
        <v>222.8</v>
      </c>
      <c r="F1963" s="116">
        <v>224.8</v>
      </c>
      <c r="G1963">
        <v>320015</v>
      </c>
      <c r="H1963" s="116"/>
      <c r="I1963" s="116"/>
      <c r="L1963" s="170">
        <v>44895</v>
      </c>
      <c r="M1963" s="116">
        <v>224.8</v>
      </c>
      <c r="N1963" s="116">
        <v>225.4</v>
      </c>
      <c r="O1963" s="116">
        <v>222.65</v>
      </c>
      <c r="P1963" s="116">
        <v>223.55</v>
      </c>
      <c r="Q1963" s="116">
        <v>224.8</v>
      </c>
      <c r="R1963">
        <v>8815900</v>
      </c>
    </row>
    <row r="1964" spans="1:18" x14ac:dyDescent="0.25">
      <c r="A1964" s="170">
        <v>44896</v>
      </c>
      <c r="B1964" s="116">
        <v>227.1</v>
      </c>
      <c r="C1964" s="116">
        <v>224.85</v>
      </c>
      <c r="D1964" s="116">
        <v>223.6</v>
      </c>
      <c r="E1964" s="116">
        <v>224.75</v>
      </c>
      <c r="F1964" s="116">
        <v>224.85</v>
      </c>
      <c r="G1964">
        <v>1018149</v>
      </c>
      <c r="H1964" s="116"/>
      <c r="I1964" s="116"/>
      <c r="L1964" s="170">
        <v>44896</v>
      </c>
      <c r="M1964" s="116">
        <v>224.85</v>
      </c>
      <c r="N1964" s="116">
        <v>227.15</v>
      </c>
      <c r="O1964" s="116">
        <v>223.6</v>
      </c>
      <c r="P1964" s="116">
        <v>225.25</v>
      </c>
      <c r="Q1964" s="116">
        <v>224.85</v>
      </c>
      <c r="R1964">
        <v>7833074</v>
      </c>
    </row>
    <row r="1965" spans="1:18" x14ac:dyDescent="0.25">
      <c r="A1965" s="170">
        <v>44897</v>
      </c>
      <c r="B1965" s="116">
        <v>226.25</v>
      </c>
      <c r="C1965" s="116">
        <v>225.2</v>
      </c>
      <c r="D1965" s="116">
        <v>223.9</v>
      </c>
      <c r="E1965" s="116">
        <v>225.1</v>
      </c>
      <c r="F1965" s="116">
        <v>225.2</v>
      </c>
      <c r="G1965">
        <v>321519</v>
      </c>
      <c r="H1965" s="116"/>
      <c r="I1965" s="116"/>
      <c r="L1965" s="170">
        <v>44897</v>
      </c>
      <c r="M1965" s="116">
        <v>225.25</v>
      </c>
      <c r="N1965" s="116">
        <v>226.35</v>
      </c>
      <c r="O1965" s="116">
        <v>223.85</v>
      </c>
      <c r="P1965" s="116">
        <v>225.45</v>
      </c>
      <c r="Q1965" s="116">
        <v>225.25</v>
      </c>
      <c r="R1965">
        <v>7223274</v>
      </c>
    </row>
    <row r="1966" spans="1:18" x14ac:dyDescent="0.25">
      <c r="A1966" s="170">
        <v>44900</v>
      </c>
      <c r="B1966" s="116">
        <v>225.9</v>
      </c>
      <c r="C1966" s="116">
        <v>224.15</v>
      </c>
      <c r="D1966" s="116">
        <v>222.4</v>
      </c>
      <c r="E1966" s="116">
        <v>225.2</v>
      </c>
      <c r="F1966" s="116">
        <v>224.15</v>
      </c>
      <c r="G1966">
        <v>703603</v>
      </c>
      <c r="H1966" s="116"/>
      <c r="I1966" s="116"/>
      <c r="L1966" s="170">
        <v>44900</v>
      </c>
      <c r="M1966" s="116">
        <v>224.2</v>
      </c>
      <c r="N1966" s="116">
        <v>225.85</v>
      </c>
      <c r="O1966" s="116">
        <v>222.35</v>
      </c>
      <c r="P1966" s="116">
        <v>225.25</v>
      </c>
      <c r="Q1966" s="116">
        <v>224.2</v>
      </c>
      <c r="R1966">
        <v>10750610</v>
      </c>
    </row>
    <row r="1967" spans="1:18" x14ac:dyDescent="0.25">
      <c r="A1967" s="170">
        <v>44901</v>
      </c>
      <c r="B1967" s="116">
        <v>230.25</v>
      </c>
      <c r="C1967" s="116">
        <v>228.7</v>
      </c>
      <c r="D1967" s="116">
        <v>223.35</v>
      </c>
      <c r="E1967" s="116">
        <v>224</v>
      </c>
      <c r="F1967" s="116">
        <v>228.7</v>
      </c>
      <c r="G1967">
        <v>733841</v>
      </c>
      <c r="H1967" s="116"/>
      <c r="I1967" s="116"/>
      <c r="L1967" s="170">
        <v>44901</v>
      </c>
      <c r="M1967" s="116">
        <v>228.8</v>
      </c>
      <c r="N1967" s="116">
        <v>230.3</v>
      </c>
      <c r="O1967" s="116">
        <v>223.5</v>
      </c>
      <c r="P1967" s="116">
        <v>224.2</v>
      </c>
      <c r="Q1967" s="116">
        <v>228.8</v>
      </c>
      <c r="R1967">
        <v>20071039</v>
      </c>
    </row>
    <row r="1968" spans="1:18" x14ac:dyDescent="0.25">
      <c r="A1968" s="170">
        <v>44902</v>
      </c>
      <c r="B1968" s="116">
        <v>229.5</v>
      </c>
      <c r="C1968" s="116">
        <v>225.9</v>
      </c>
      <c r="D1968" s="116">
        <v>225.4</v>
      </c>
      <c r="E1968" s="116">
        <v>228.25</v>
      </c>
      <c r="F1968" s="116">
        <v>225.9</v>
      </c>
      <c r="G1968">
        <v>519676</v>
      </c>
      <c r="H1968" s="116"/>
      <c r="I1968" s="116"/>
      <c r="L1968" s="170">
        <v>44902</v>
      </c>
      <c r="M1968" s="116">
        <v>225.85</v>
      </c>
      <c r="N1968" s="116">
        <v>229.6</v>
      </c>
      <c r="O1968" s="116">
        <v>225.4</v>
      </c>
      <c r="P1968" s="116">
        <v>228.8</v>
      </c>
      <c r="Q1968" s="116">
        <v>225.85</v>
      </c>
      <c r="R1968">
        <v>7548312</v>
      </c>
    </row>
    <row r="1969" spans="1:18" x14ac:dyDescent="0.25">
      <c r="A1969" s="170">
        <v>44903</v>
      </c>
      <c r="B1969" s="116">
        <v>227.2</v>
      </c>
      <c r="C1969" s="116">
        <v>225</v>
      </c>
      <c r="D1969" s="116">
        <v>224.65</v>
      </c>
      <c r="E1969" s="116">
        <v>225.6</v>
      </c>
      <c r="F1969" s="116">
        <v>225</v>
      </c>
      <c r="G1969">
        <v>717329</v>
      </c>
      <c r="H1969" s="116"/>
      <c r="I1969" s="116"/>
      <c r="L1969" s="170">
        <v>44903</v>
      </c>
      <c r="M1969" s="116">
        <v>225.05</v>
      </c>
      <c r="N1969" s="116">
        <v>227.3</v>
      </c>
      <c r="O1969" s="116">
        <v>224.8</v>
      </c>
      <c r="P1969" s="116">
        <v>226</v>
      </c>
      <c r="Q1969" s="116">
        <v>225.05</v>
      </c>
      <c r="R1969">
        <v>7507975</v>
      </c>
    </row>
    <row r="1970" spans="1:18" x14ac:dyDescent="0.25">
      <c r="A1970" s="170">
        <v>44904</v>
      </c>
      <c r="B1970" s="116">
        <v>226.4</v>
      </c>
      <c r="C1970" s="116">
        <v>219.45</v>
      </c>
      <c r="D1970" s="116">
        <v>217.55</v>
      </c>
      <c r="E1970" s="116">
        <v>225.4</v>
      </c>
      <c r="F1970" s="116">
        <v>219.45</v>
      </c>
      <c r="G1970">
        <v>518426</v>
      </c>
      <c r="H1970" s="116"/>
      <c r="I1970" s="116"/>
      <c r="L1970" s="170">
        <v>44904</v>
      </c>
      <c r="M1970" s="116">
        <v>219.4</v>
      </c>
      <c r="N1970" s="116">
        <v>226.5</v>
      </c>
      <c r="O1970" s="116">
        <v>217.5</v>
      </c>
      <c r="P1970" s="116">
        <v>225.9</v>
      </c>
      <c r="Q1970" s="116">
        <v>219.4</v>
      </c>
      <c r="R1970">
        <v>13087278</v>
      </c>
    </row>
    <row r="1971" spans="1:18" x14ac:dyDescent="0.25">
      <c r="A1971" s="170">
        <v>44907</v>
      </c>
      <c r="B1971" s="116">
        <v>219.65</v>
      </c>
      <c r="C1971" s="116">
        <v>217.85</v>
      </c>
      <c r="D1971" s="116">
        <v>215.55</v>
      </c>
      <c r="E1971" s="116">
        <v>219.45</v>
      </c>
      <c r="F1971" s="116">
        <v>217.85</v>
      </c>
      <c r="G1971">
        <v>1424493</v>
      </c>
      <c r="H1971" s="116"/>
      <c r="I1971" s="116"/>
      <c r="L1971" s="170">
        <v>44907</v>
      </c>
      <c r="M1971" s="116">
        <v>217.7</v>
      </c>
      <c r="N1971" s="116">
        <v>219.75</v>
      </c>
      <c r="O1971" s="116">
        <v>215.7</v>
      </c>
      <c r="P1971" s="116">
        <v>219.75</v>
      </c>
      <c r="Q1971" s="116">
        <v>217.7</v>
      </c>
      <c r="R1971">
        <v>8858525</v>
      </c>
    </row>
    <row r="1972" spans="1:18" x14ac:dyDescent="0.25">
      <c r="A1972" s="170">
        <v>44908</v>
      </c>
      <c r="B1972" s="116">
        <v>220.25</v>
      </c>
      <c r="C1972" s="116">
        <v>218.8</v>
      </c>
      <c r="D1972" s="116">
        <v>217.85</v>
      </c>
      <c r="E1972" s="116">
        <v>218.5</v>
      </c>
      <c r="F1972" s="116">
        <v>218.8</v>
      </c>
      <c r="G1972">
        <v>758055</v>
      </c>
      <c r="H1972" s="116"/>
      <c r="I1972" s="116"/>
      <c r="L1972" s="170">
        <v>44908</v>
      </c>
      <c r="M1972" s="116">
        <v>218.85</v>
      </c>
      <c r="N1972" s="116">
        <v>220.3</v>
      </c>
      <c r="O1972" s="116">
        <v>217.8</v>
      </c>
      <c r="P1972" s="116">
        <v>218.8</v>
      </c>
      <c r="Q1972" s="116">
        <v>218.85</v>
      </c>
      <c r="R1972">
        <v>7265105</v>
      </c>
    </row>
    <row r="1973" spans="1:18" x14ac:dyDescent="0.25">
      <c r="A1973" s="170">
        <v>44909</v>
      </c>
      <c r="B1973" s="116">
        <v>223.15</v>
      </c>
      <c r="C1973" s="116">
        <v>222.7</v>
      </c>
      <c r="D1973" s="116">
        <v>219.5</v>
      </c>
      <c r="E1973" s="116">
        <v>219.5</v>
      </c>
      <c r="F1973" s="116">
        <v>222.7</v>
      </c>
      <c r="G1973">
        <v>577267</v>
      </c>
      <c r="H1973" s="116"/>
      <c r="I1973" s="116"/>
      <c r="L1973" s="170">
        <v>44909</v>
      </c>
      <c r="M1973" s="116">
        <v>222.7</v>
      </c>
      <c r="N1973" s="116">
        <v>223.2</v>
      </c>
      <c r="O1973" s="116">
        <v>219.4</v>
      </c>
      <c r="P1973" s="116">
        <v>219.8</v>
      </c>
      <c r="Q1973" s="116">
        <v>222.7</v>
      </c>
      <c r="R1973">
        <v>9179593</v>
      </c>
    </row>
    <row r="1974" spans="1:18" x14ac:dyDescent="0.25">
      <c r="A1974" s="170">
        <v>44910</v>
      </c>
      <c r="B1974" s="116">
        <v>224.8</v>
      </c>
      <c r="C1974" s="116">
        <v>221.9</v>
      </c>
      <c r="D1974" s="116">
        <v>221</v>
      </c>
      <c r="E1974" s="116">
        <v>222.35</v>
      </c>
      <c r="F1974" s="116">
        <v>221.9</v>
      </c>
      <c r="G1974">
        <v>1099104</v>
      </c>
      <c r="H1974" s="116"/>
      <c r="I1974" s="116"/>
      <c r="L1974" s="170">
        <v>44910</v>
      </c>
      <c r="M1974" s="116">
        <v>221.8</v>
      </c>
      <c r="N1974" s="116">
        <v>224.8</v>
      </c>
      <c r="O1974" s="116">
        <v>221.05</v>
      </c>
      <c r="P1974" s="116">
        <v>222.65</v>
      </c>
      <c r="Q1974" s="116">
        <v>221.8</v>
      </c>
      <c r="R1974">
        <v>7909066</v>
      </c>
    </row>
    <row r="1975" spans="1:18" x14ac:dyDescent="0.25">
      <c r="A1975" s="170">
        <v>44911</v>
      </c>
      <c r="B1975" s="116">
        <v>222.4</v>
      </c>
      <c r="C1975" s="116">
        <v>217.35</v>
      </c>
      <c r="D1975" s="116">
        <v>216.15</v>
      </c>
      <c r="E1975" s="116">
        <v>220</v>
      </c>
      <c r="F1975" s="116">
        <v>217.35</v>
      </c>
      <c r="G1975">
        <v>1304379</v>
      </c>
      <c r="H1975" s="116"/>
      <c r="I1975" s="116"/>
      <c r="L1975" s="170">
        <v>44911</v>
      </c>
      <c r="M1975" s="116">
        <v>217.35</v>
      </c>
      <c r="N1975" s="116">
        <v>222.5</v>
      </c>
      <c r="O1975" s="116">
        <v>216.05</v>
      </c>
      <c r="P1975" s="116">
        <v>221</v>
      </c>
      <c r="Q1975" s="116">
        <v>217.35</v>
      </c>
      <c r="R1975">
        <v>10349382</v>
      </c>
    </row>
    <row r="1976" spans="1:18" x14ac:dyDescent="0.25">
      <c r="A1976" s="170">
        <v>44914</v>
      </c>
      <c r="B1976" s="116">
        <v>218</v>
      </c>
      <c r="C1976" s="116">
        <v>216.8</v>
      </c>
      <c r="D1976" s="116">
        <v>214.85</v>
      </c>
      <c r="E1976" s="116">
        <v>217.75</v>
      </c>
      <c r="F1976" s="116">
        <v>216.8</v>
      </c>
      <c r="G1976">
        <v>914763</v>
      </c>
      <c r="H1976" s="116"/>
      <c r="I1976" s="116"/>
      <c r="L1976" s="170">
        <v>44914</v>
      </c>
      <c r="M1976" s="116">
        <v>216.8</v>
      </c>
      <c r="N1976" s="116">
        <v>218</v>
      </c>
      <c r="O1976" s="116">
        <v>214.9</v>
      </c>
      <c r="P1976" s="116">
        <v>218</v>
      </c>
      <c r="Q1976" s="116">
        <v>216.8</v>
      </c>
      <c r="R1976">
        <v>9302368</v>
      </c>
    </row>
    <row r="1977" spans="1:18" x14ac:dyDescent="0.25">
      <c r="A1977" s="170">
        <v>44915</v>
      </c>
      <c r="B1977" s="116">
        <v>218.4</v>
      </c>
      <c r="C1977" s="116">
        <v>217.8</v>
      </c>
      <c r="D1977" s="116">
        <v>214.65</v>
      </c>
      <c r="E1977" s="116">
        <v>216.1</v>
      </c>
      <c r="F1977" s="116">
        <v>217.8</v>
      </c>
      <c r="G1977">
        <v>1006681</v>
      </c>
      <c r="H1977" s="116"/>
      <c r="I1977" s="116"/>
      <c r="L1977" s="170">
        <v>44915</v>
      </c>
      <c r="M1977" s="116">
        <v>217.85</v>
      </c>
      <c r="N1977" s="116">
        <v>218.5</v>
      </c>
      <c r="O1977" s="116">
        <v>214.6</v>
      </c>
      <c r="P1977" s="116">
        <v>216.8</v>
      </c>
      <c r="Q1977" s="116">
        <v>217.85</v>
      </c>
      <c r="R1977">
        <v>6418826</v>
      </c>
    </row>
    <row r="1978" spans="1:18" x14ac:dyDescent="0.25">
      <c r="A1978" s="170">
        <v>44916</v>
      </c>
      <c r="B1978" s="116">
        <v>219.4</v>
      </c>
      <c r="C1978" s="116">
        <v>213.75</v>
      </c>
      <c r="D1978" s="116">
        <v>212.55</v>
      </c>
      <c r="E1978" s="116">
        <v>218.1</v>
      </c>
      <c r="F1978" s="116">
        <v>213.75</v>
      </c>
      <c r="G1978">
        <v>553204</v>
      </c>
      <c r="H1978" s="116"/>
      <c r="I1978" s="116"/>
      <c r="L1978" s="170">
        <v>44916</v>
      </c>
      <c r="M1978" s="116">
        <v>213.8</v>
      </c>
      <c r="N1978" s="116">
        <v>219.4</v>
      </c>
      <c r="O1978" s="116">
        <v>212.5</v>
      </c>
      <c r="P1978" s="116">
        <v>218.4</v>
      </c>
      <c r="Q1978" s="116">
        <v>213.8</v>
      </c>
      <c r="R1978">
        <v>9737819</v>
      </c>
    </row>
    <row r="1979" spans="1:18" x14ac:dyDescent="0.25">
      <c r="A1979" s="170">
        <v>44917</v>
      </c>
      <c r="B1979" s="116">
        <v>215.35</v>
      </c>
      <c r="C1979" s="116">
        <v>208.85</v>
      </c>
      <c r="D1979" s="116">
        <v>206.6</v>
      </c>
      <c r="E1979" s="116">
        <v>214.65</v>
      </c>
      <c r="F1979" s="116">
        <v>208.85</v>
      </c>
      <c r="G1979">
        <v>700307</v>
      </c>
      <c r="H1979" s="116"/>
      <c r="I1979" s="116"/>
      <c r="L1979" s="170">
        <v>44917</v>
      </c>
      <c r="M1979" s="116">
        <v>208.9</v>
      </c>
      <c r="N1979" s="116">
        <v>215.3</v>
      </c>
      <c r="O1979" s="116">
        <v>206.55</v>
      </c>
      <c r="P1979" s="116">
        <v>214.9</v>
      </c>
      <c r="Q1979" s="116">
        <v>208.9</v>
      </c>
      <c r="R1979">
        <v>14020296</v>
      </c>
    </row>
    <row r="1980" spans="1:18" x14ac:dyDescent="0.25">
      <c r="A1980" s="170">
        <v>44918</v>
      </c>
      <c r="B1980" s="116">
        <v>207.85</v>
      </c>
      <c r="C1980" s="116">
        <v>197</v>
      </c>
      <c r="D1980" s="116">
        <v>196</v>
      </c>
      <c r="E1980" s="116">
        <v>205.2</v>
      </c>
      <c r="F1980" s="116">
        <v>197</v>
      </c>
      <c r="G1980">
        <v>1384709</v>
      </c>
      <c r="H1980" s="116"/>
      <c r="I1980" s="116"/>
      <c r="L1980" s="170">
        <v>44918</v>
      </c>
      <c r="M1980" s="116">
        <v>196.9</v>
      </c>
      <c r="N1980" s="116">
        <v>207.9</v>
      </c>
      <c r="O1980" s="116">
        <v>196</v>
      </c>
      <c r="P1980" s="116">
        <v>206.2</v>
      </c>
      <c r="Q1980" s="116">
        <v>196.9</v>
      </c>
      <c r="R1980">
        <v>20819266</v>
      </c>
    </row>
    <row r="1981" spans="1:18" x14ac:dyDescent="0.25">
      <c r="A1981" s="170">
        <v>44921</v>
      </c>
      <c r="B1981" s="116">
        <v>204.7</v>
      </c>
      <c r="C1981" s="116">
        <v>203.25</v>
      </c>
      <c r="D1981" s="116">
        <v>194.45</v>
      </c>
      <c r="E1981" s="116">
        <v>195.2</v>
      </c>
      <c r="F1981" s="116">
        <v>203.25</v>
      </c>
      <c r="G1981">
        <v>2100410</v>
      </c>
      <c r="H1981" s="116"/>
      <c r="I1981" s="116"/>
      <c r="L1981" s="170">
        <v>44921</v>
      </c>
      <c r="M1981" s="116">
        <v>203.15</v>
      </c>
      <c r="N1981" s="116">
        <v>204.65</v>
      </c>
      <c r="O1981" s="116">
        <v>194.6</v>
      </c>
      <c r="P1981" s="116">
        <v>197.3</v>
      </c>
      <c r="Q1981" s="116">
        <v>203.15</v>
      </c>
      <c r="R1981">
        <v>18203352</v>
      </c>
    </row>
    <row r="1982" spans="1:18" x14ac:dyDescent="0.25">
      <c r="A1982" s="170">
        <v>44922</v>
      </c>
      <c r="B1982" s="116">
        <v>208.3</v>
      </c>
      <c r="C1982" s="116">
        <v>207.7</v>
      </c>
      <c r="D1982" s="116">
        <v>204.85</v>
      </c>
      <c r="E1982" s="116">
        <v>207.3</v>
      </c>
      <c r="F1982" s="116">
        <v>207.7</v>
      </c>
      <c r="G1982">
        <v>1330719</v>
      </c>
      <c r="H1982" s="116"/>
      <c r="I1982" s="116"/>
      <c r="L1982" s="170">
        <v>44922</v>
      </c>
      <c r="M1982" s="116">
        <v>207.7</v>
      </c>
      <c r="N1982" s="116">
        <v>208.3</v>
      </c>
      <c r="O1982" s="116">
        <v>204.8</v>
      </c>
      <c r="P1982" s="116">
        <v>206.8</v>
      </c>
      <c r="Q1982" s="116">
        <v>207.7</v>
      </c>
      <c r="R1982">
        <v>11851262</v>
      </c>
    </row>
    <row r="1983" spans="1:18" x14ac:dyDescent="0.25">
      <c r="A1983" s="170">
        <v>44923</v>
      </c>
      <c r="B1983" s="116">
        <v>210.3</v>
      </c>
      <c r="C1983" s="116">
        <v>208.15</v>
      </c>
      <c r="D1983" s="116">
        <v>206.85</v>
      </c>
      <c r="E1983" s="116">
        <v>207.1</v>
      </c>
      <c r="F1983" s="116">
        <v>208.15</v>
      </c>
      <c r="G1983">
        <v>904799</v>
      </c>
      <c r="H1983" s="116"/>
      <c r="I1983" s="116"/>
      <c r="L1983" s="170">
        <v>44923</v>
      </c>
      <c r="M1983" s="116">
        <v>208.25</v>
      </c>
      <c r="N1983" s="116">
        <v>210.3</v>
      </c>
      <c r="O1983" s="116">
        <v>206.8</v>
      </c>
      <c r="P1983" s="116">
        <v>207.35</v>
      </c>
      <c r="Q1983" s="116">
        <v>208.25</v>
      </c>
      <c r="R1983">
        <v>8920331</v>
      </c>
    </row>
    <row r="1984" spans="1:18" x14ac:dyDescent="0.25">
      <c r="A1984" s="170">
        <v>44924</v>
      </c>
      <c r="B1984" s="116">
        <v>208.75</v>
      </c>
      <c r="C1984" s="116">
        <v>205.85</v>
      </c>
      <c r="D1984" s="116">
        <v>205</v>
      </c>
      <c r="E1984" s="116">
        <v>208.7</v>
      </c>
      <c r="F1984" s="116">
        <v>205.85</v>
      </c>
      <c r="G1984">
        <v>479493</v>
      </c>
      <c r="H1984" s="116"/>
      <c r="I1984" s="116"/>
      <c r="L1984" s="170">
        <v>44924</v>
      </c>
      <c r="M1984" s="116">
        <v>205.85</v>
      </c>
      <c r="N1984" s="116">
        <v>208.8</v>
      </c>
      <c r="O1984" s="116">
        <v>205</v>
      </c>
      <c r="P1984" s="116">
        <v>208.8</v>
      </c>
      <c r="Q1984" s="116">
        <v>205.85</v>
      </c>
      <c r="R1984">
        <v>15374707</v>
      </c>
    </row>
    <row r="1985" spans="1:18" x14ac:dyDescent="0.25">
      <c r="A1985" s="170">
        <v>44925</v>
      </c>
      <c r="B1985" s="116">
        <v>209.95</v>
      </c>
      <c r="C1985" s="116">
        <v>207.7</v>
      </c>
      <c r="D1985" s="116">
        <v>207.05</v>
      </c>
      <c r="E1985" s="116">
        <v>207.8</v>
      </c>
      <c r="F1985" s="116">
        <v>207.7</v>
      </c>
      <c r="G1985">
        <v>917803</v>
      </c>
      <c r="H1985" s="116"/>
      <c r="I1985" s="116"/>
      <c r="L1985" s="170">
        <v>44925</v>
      </c>
      <c r="M1985" s="116">
        <v>207.7</v>
      </c>
      <c r="N1985" s="116">
        <v>210</v>
      </c>
      <c r="O1985" s="116">
        <v>207</v>
      </c>
      <c r="P1985" s="116">
        <v>207.4</v>
      </c>
      <c r="Q1985" s="116">
        <v>207.7</v>
      </c>
      <c r="R1985">
        <v>7372810</v>
      </c>
    </row>
    <row r="1986" spans="1:18" x14ac:dyDescent="0.25">
      <c r="A1986" s="170">
        <v>44928</v>
      </c>
      <c r="B1986" s="116">
        <v>212.2</v>
      </c>
      <c r="C1986" s="116">
        <v>211.75</v>
      </c>
      <c r="D1986" s="116">
        <v>208.15</v>
      </c>
      <c r="E1986" s="116">
        <v>208.7</v>
      </c>
      <c r="F1986" s="116">
        <v>211.75</v>
      </c>
      <c r="G1986">
        <v>1006268</v>
      </c>
      <c r="H1986" s="116"/>
      <c r="I1986" s="116"/>
      <c r="L1986" s="170">
        <v>44928</v>
      </c>
      <c r="M1986" s="116">
        <v>211.85</v>
      </c>
      <c r="N1986" s="116">
        <v>212.2</v>
      </c>
      <c r="O1986" s="116">
        <v>208.2</v>
      </c>
      <c r="P1986" s="116">
        <v>208.75</v>
      </c>
      <c r="Q1986" s="116">
        <v>211.85</v>
      </c>
      <c r="R1986">
        <v>7746971</v>
      </c>
    </row>
    <row r="1987" spans="1:18" x14ac:dyDescent="0.25">
      <c r="A1987" s="170">
        <v>44929</v>
      </c>
      <c r="B1987" s="116">
        <v>213.05</v>
      </c>
      <c r="C1987" s="116">
        <v>211.25</v>
      </c>
      <c r="D1987" s="116">
        <v>210</v>
      </c>
      <c r="E1987" s="116">
        <v>212.2</v>
      </c>
      <c r="F1987" s="116">
        <v>211.25</v>
      </c>
      <c r="G1987">
        <v>416889</v>
      </c>
      <c r="H1987" s="116"/>
      <c r="I1987" s="116"/>
      <c r="L1987" s="170">
        <v>44929</v>
      </c>
      <c r="M1987" s="116">
        <v>211.35</v>
      </c>
      <c r="N1987" s="116">
        <v>213</v>
      </c>
      <c r="O1987" s="116">
        <v>210</v>
      </c>
      <c r="P1987" s="116">
        <v>212</v>
      </c>
      <c r="Q1987" s="116">
        <v>211.35</v>
      </c>
      <c r="R1987">
        <v>7238453</v>
      </c>
    </row>
    <row r="1988" spans="1:18" x14ac:dyDescent="0.25">
      <c r="A1988" s="170">
        <v>44930</v>
      </c>
      <c r="B1988" s="116">
        <v>211</v>
      </c>
      <c r="C1988" s="116">
        <v>208.1</v>
      </c>
      <c r="D1988" s="116">
        <v>205.85</v>
      </c>
      <c r="E1988" s="116">
        <v>211</v>
      </c>
      <c r="F1988" s="116">
        <v>208.1</v>
      </c>
      <c r="G1988">
        <v>719250</v>
      </c>
      <c r="H1988" s="116"/>
      <c r="I1988" s="116"/>
      <c r="L1988" s="170">
        <v>44930</v>
      </c>
      <c r="M1988" s="116">
        <v>208.1</v>
      </c>
      <c r="N1988" s="116">
        <v>211.35</v>
      </c>
      <c r="O1988" s="116">
        <v>205.85</v>
      </c>
      <c r="P1988" s="116">
        <v>211</v>
      </c>
      <c r="Q1988" s="116">
        <v>208.1</v>
      </c>
      <c r="R1988">
        <v>14226706</v>
      </c>
    </row>
    <row r="1989" spans="1:18" x14ac:dyDescent="0.25">
      <c r="A1989" s="170">
        <v>44931</v>
      </c>
      <c r="B1989" s="116">
        <v>209.8</v>
      </c>
      <c r="C1989" s="116">
        <v>207.65</v>
      </c>
      <c r="D1989" s="116">
        <v>205.25</v>
      </c>
      <c r="E1989" s="116">
        <v>209.8</v>
      </c>
      <c r="F1989" s="116">
        <v>207.65</v>
      </c>
      <c r="G1989">
        <v>912312</v>
      </c>
      <c r="H1989" s="116"/>
      <c r="I1989" s="116"/>
      <c r="L1989" s="170">
        <v>44931</v>
      </c>
      <c r="M1989" s="116">
        <v>207.6</v>
      </c>
      <c r="N1989" s="116">
        <v>209.75</v>
      </c>
      <c r="O1989" s="116">
        <v>205.15</v>
      </c>
      <c r="P1989" s="116">
        <v>209.6</v>
      </c>
      <c r="Q1989" s="116">
        <v>207.6</v>
      </c>
      <c r="R1989">
        <v>10272550</v>
      </c>
    </row>
    <row r="1990" spans="1:18" x14ac:dyDescent="0.25">
      <c r="A1990" s="170">
        <v>44932</v>
      </c>
      <c r="B1990" s="116">
        <v>208.75</v>
      </c>
      <c r="C1990" s="116">
        <v>205.4</v>
      </c>
      <c r="D1990" s="116">
        <v>204.1</v>
      </c>
      <c r="E1990" s="116">
        <v>207.8</v>
      </c>
      <c r="F1990" s="116">
        <v>205.4</v>
      </c>
      <c r="G1990">
        <v>1172834</v>
      </c>
      <c r="H1990" s="116"/>
      <c r="I1990" s="116"/>
      <c r="L1990" s="170">
        <v>44932</v>
      </c>
      <c r="M1990" s="116">
        <v>205.4</v>
      </c>
      <c r="N1990" s="116">
        <v>208.75</v>
      </c>
      <c r="O1990" s="116">
        <v>204.1</v>
      </c>
      <c r="P1990" s="116">
        <v>207.6</v>
      </c>
      <c r="Q1990" s="116">
        <v>205.4</v>
      </c>
      <c r="R1990">
        <v>9603038</v>
      </c>
    </row>
    <row r="1991" spans="1:18" x14ac:dyDescent="0.25">
      <c r="A1991" s="170">
        <v>44935</v>
      </c>
      <c r="B1991" s="116">
        <v>207.2</v>
      </c>
      <c r="C1991" s="116">
        <v>206.15</v>
      </c>
      <c r="D1991" s="116">
        <v>205.2</v>
      </c>
      <c r="E1991" s="116">
        <v>206.15</v>
      </c>
      <c r="F1991" s="116">
        <v>206.15</v>
      </c>
      <c r="G1991">
        <v>330865</v>
      </c>
      <c r="H1991" s="116"/>
      <c r="I1991" s="116"/>
      <c r="L1991" s="170">
        <v>44935</v>
      </c>
      <c r="M1991" s="116">
        <v>206.2</v>
      </c>
      <c r="N1991" s="116">
        <v>207.15</v>
      </c>
      <c r="O1991" s="116">
        <v>205.2</v>
      </c>
      <c r="P1991" s="116">
        <v>206.45</v>
      </c>
      <c r="Q1991" s="116">
        <v>206.2</v>
      </c>
      <c r="R1991">
        <v>6631221</v>
      </c>
    </row>
    <row r="1992" spans="1:18" x14ac:dyDescent="0.25">
      <c r="A1992" s="170">
        <v>44936</v>
      </c>
      <c r="B1992" s="116">
        <v>207.8</v>
      </c>
      <c r="C1992" s="116">
        <v>206.1</v>
      </c>
      <c r="D1992" s="116">
        <v>204.7</v>
      </c>
      <c r="E1992" s="116">
        <v>206.8</v>
      </c>
      <c r="F1992" s="116">
        <v>206.1</v>
      </c>
      <c r="G1992">
        <v>370158</v>
      </c>
      <c r="H1992" s="116"/>
      <c r="I1992" s="116"/>
      <c r="L1992" s="170">
        <v>44936</v>
      </c>
      <c r="M1992" s="116">
        <v>206.05</v>
      </c>
      <c r="N1992" s="116">
        <v>207.8</v>
      </c>
      <c r="O1992" s="116">
        <v>204.7</v>
      </c>
      <c r="P1992" s="116">
        <v>206.65</v>
      </c>
      <c r="Q1992" s="116">
        <v>206.05</v>
      </c>
      <c r="R1992">
        <v>8246247</v>
      </c>
    </row>
    <row r="1993" spans="1:18" x14ac:dyDescent="0.25">
      <c r="A1993" s="170">
        <v>44937</v>
      </c>
      <c r="B1993" s="116">
        <v>207.35</v>
      </c>
      <c r="C1993" s="116">
        <v>205.85</v>
      </c>
      <c r="D1993" s="116">
        <v>205.15</v>
      </c>
      <c r="E1993" s="116">
        <v>206.4</v>
      </c>
      <c r="F1993" s="116">
        <v>205.85</v>
      </c>
      <c r="G1993">
        <v>1375264</v>
      </c>
      <c r="H1993" s="116"/>
      <c r="I1993" s="116"/>
      <c r="L1993" s="170">
        <v>44937</v>
      </c>
      <c r="M1993" s="116">
        <v>205.85</v>
      </c>
      <c r="N1993" s="116">
        <v>207.3</v>
      </c>
      <c r="O1993" s="116">
        <v>205.15</v>
      </c>
      <c r="P1993" s="116">
        <v>206.85</v>
      </c>
      <c r="Q1993" s="116">
        <v>205.85</v>
      </c>
      <c r="R1993">
        <v>7061239</v>
      </c>
    </row>
    <row r="1994" spans="1:18" x14ac:dyDescent="0.25">
      <c r="A1994" s="170">
        <v>44938</v>
      </c>
      <c r="B1994" s="116">
        <v>206.85</v>
      </c>
      <c r="C1994" s="116">
        <v>205.65</v>
      </c>
      <c r="D1994" s="116">
        <v>203.9</v>
      </c>
      <c r="E1994" s="116">
        <v>206.15</v>
      </c>
      <c r="F1994" s="116">
        <v>205.65</v>
      </c>
      <c r="G1994">
        <v>274862</v>
      </c>
      <c r="H1994" s="116"/>
      <c r="I1994" s="116"/>
      <c r="L1994" s="170">
        <v>44938</v>
      </c>
      <c r="M1994" s="116">
        <v>205.7</v>
      </c>
      <c r="N1994" s="116">
        <v>206.8</v>
      </c>
      <c r="O1994" s="116">
        <v>203.8</v>
      </c>
      <c r="P1994" s="116">
        <v>206.4</v>
      </c>
      <c r="Q1994" s="116">
        <v>205.7</v>
      </c>
      <c r="R1994">
        <v>6167789</v>
      </c>
    </row>
    <row r="1995" spans="1:18" x14ac:dyDescent="0.25">
      <c r="A1995" s="170">
        <v>44939</v>
      </c>
      <c r="B1995" s="116">
        <v>206.75</v>
      </c>
      <c r="C1995" s="116">
        <v>206.55</v>
      </c>
      <c r="D1995" s="116">
        <v>204.25</v>
      </c>
      <c r="E1995" s="116">
        <v>205.6</v>
      </c>
      <c r="F1995" s="116">
        <v>206.55</v>
      </c>
      <c r="G1995">
        <v>701429</v>
      </c>
      <c r="H1995" s="116"/>
      <c r="I1995" s="116"/>
      <c r="L1995" s="170">
        <v>44939</v>
      </c>
      <c r="M1995" s="116">
        <v>206.45</v>
      </c>
      <c r="N1995" s="116">
        <v>206.8</v>
      </c>
      <c r="O1995" s="116">
        <v>204.15</v>
      </c>
      <c r="P1995" s="116">
        <v>205.7</v>
      </c>
      <c r="Q1995" s="116">
        <v>206.45</v>
      </c>
      <c r="R1995">
        <v>5801690</v>
      </c>
    </row>
    <row r="1996" spans="1:18" x14ac:dyDescent="0.25">
      <c r="A1996" s="170">
        <v>44942</v>
      </c>
      <c r="B1996" s="116">
        <v>208.05</v>
      </c>
      <c r="C1996" s="116">
        <v>206.95</v>
      </c>
      <c r="D1996" s="116">
        <v>206.15</v>
      </c>
      <c r="E1996" s="116">
        <v>207.05</v>
      </c>
      <c r="F1996" s="116">
        <v>206.95</v>
      </c>
      <c r="G1996">
        <v>640957</v>
      </c>
      <c r="H1996" s="116"/>
      <c r="I1996" s="116"/>
      <c r="L1996" s="170">
        <v>44942</v>
      </c>
      <c r="M1996" s="116">
        <v>206.95</v>
      </c>
      <c r="N1996" s="116">
        <v>208.25</v>
      </c>
      <c r="O1996" s="116">
        <v>206.15</v>
      </c>
      <c r="P1996" s="116">
        <v>207.3</v>
      </c>
      <c r="Q1996" s="116">
        <v>206.95</v>
      </c>
      <c r="R1996">
        <v>4396161</v>
      </c>
    </row>
    <row r="1997" spans="1:18" x14ac:dyDescent="0.25">
      <c r="A1997" s="170">
        <v>44943</v>
      </c>
      <c r="B1997" s="116">
        <v>208.55</v>
      </c>
      <c r="C1997" s="116">
        <v>207.6</v>
      </c>
      <c r="D1997" s="116">
        <v>206</v>
      </c>
      <c r="E1997" s="116">
        <v>206.5</v>
      </c>
      <c r="F1997" s="116">
        <v>207.6</v>
      </c>
      <c r="G1997">
        <v>274653</v>
      </c>
      <c r="H1997" s="116"/>
      <c r="I1997" s="116"/>
      <c r="L1997" s="170">
        <v>44943</v>
      </c>
      <c r="M1997" s="116">
        <v>207.7</v>
      </c>
      <c r="N1997" s="116">
        <v>208.5</v>
      </c>
      <c r="O1997" s="116">
        <v>206</v>
      </c>
      <c r="P1997" s="116">
        <v>206.9</v>
      </c>
      <c r="Q1997" s="116">
        <v>207.7</v>
      </c>
      <c r="R1997">
        <v>5676087</v>
      </c>
    </row>
    <row r="1998" spans="1:18" x14ac:dyDescent="0.25">
      <c r="A1998" s="170">
        <v>44944</v>
      </c>
      <c r="B1998" s="116">
        <v>208.35</v>
      </c>
      <c r="C1998" s="116">
        <v>207.4</v>
      </c>
      <c r="D1998" s="116">
        <v>207.05</v>
      </c>
      <c r="E1998" s="116">
        <v>207.05</v>
      </c>
      <c r="F1998" s="116">
        <v>207.4</v>
      </c>
      <c r="G1998">
        <v>220295</v>
      </c>
      <c r="H1998" s="116"/>
      <c r="I1998" s="116"/>
      <c r="L1998" s="170">
        <v>44944</v>
      </c>
      <c r="M1998" s="116">
        <v>207.5</v>
      </c>
      <c r="N1998" s="116">
        <v>208.35</v>
      </c>
      <c r="O1998" s="116">
        <v>207.3</v>
      </c>
      <c r="P1998" s="116">
        <v>207.65</v>
      </c>
      <c r="Q1998" s="116">
        <v>207.5</v>
      </c>
      <c r="R1998">
        <v>4564618</v>
      </c>
    </row>
    <row r="1999" spans="1:18" x14ac:dyDescent="0.25">
      <c r="A1999" s="170">
        <v>44945</v>
      </c>
      <c r="B1999" s="116">
        <v>207.4</v>
      </c>
      <c r="C1999" s="116">
        <v>205.25</v>
      </c>
      <c r="D1999" s="116">
        <v>205</v>
      </c>
      <c r="E1999" s="116">
        <v>207</v>
      </c>
      <c r="F1999" s="116">
        <v>205.25</v>
      </c>
      <c r="G1999">
        <v>193044</v>
      </c>
      <c r="H1999" s="116"/>
      <c r="I1999" s="116"/>
      <c r="L1999" s="170">
        <v>44945</v>
      </c>
      <c r="M1999" s="116">
        <v>205.3</v>
      </c>
      <c r="N1999" s="116">
        <v>207.5</v>
      </c>
      <c r="O1999" s="116">
        <v>205.05</v>
      </c>
      <c r="P1999" s="116">
        <v>206.95</v>
      </c>
      <c r="Q1999" s="116">
        <v>205.3</v>
      </c>
      <c r="R1999">
        <v>4978935</v>
      </c>
    </row>
    <row r="2000" spans="1:18" x14ac:dyDescent="0.25">
      <c r="A2000" s="170">
        <v>44946</v>
      </c>
      <c r="B2000" s="116">
        <v>208.55</v>
      </c>
      <c r="C2000" s="116">
        <v>207.15</v>
      </c>
      <c r="D2000" s="116">
        <v>205.05</v>
      </c>
      <c r="E2000" s="116">
        <v>205.05</v>
      </c>
      <c r="F2000" s="116">
        <v>207.15</v>
      </c>
      <c r="G2000">
        <v>260317</v>
      </c>
      <c r="H2000" s="116"/>
      <c r="I2000" s="116"/>
      <c r="L2000" s="170">
        <v>44946</v>
      </c>
      <c r="M2000" s="116">
        <v>207.2</v>
      </c>
      <c r="N2000" s="116">
        <v>208.5</v>
      </c>
      <c r="O2000" s="116">
        <v>205.1</v>
      </c>
      <c r="P2000" s="116">
        <v>205.35</v>
      </c>
      <c r="Q2000" s="116">
        <v>207.2</v>
      </c>
      <c r="R2000">
        <v>6362978</v>
      </c>
    </row>
    <row r="2001" spans="1:18" x14ac:dyDescent="0.25">
      <c r="A2001" s="170">
        <v>44949</v>
      </c>
      <c r="B2001" s="116">
        <v>208</v>
      </c>
      <c r="C2001" s="116">
        <v>207</v>
      </c>
      <c r="D2001" s="116">
        <v>206.7</v>
      </c>
      <c r="E2001" s="116">
        <v>207.55</v>
      </c>
      <c r="F2001" s="116">
        <v>207</v>
      </c>
      <c r="G2001">
        <v>249229</v>
      </c>
      <c r="H2001" s="116"/>
      <c r="I2001" s="116"/>
      <c r="L2001" s="170">
        <v>44949</v>
      </c>
      <c r="M2001" s="116">
        <v>207</v>
      </c>
      <c r="N2001" s="116">
        <v>208</v>
      </c>
      <c r="O2001" s="116">
        <v>206.7</v>
      </c>
      <c r="P2001" s="116">
        <v>207.75</v>
      </c>
      <c r="Q2001" s="116">
        <v>207</v>
      </c>
      <c r="R2001">
        <v>4638356</v>
      </c>
    </row>
    <row r="2002" spans="1:18" x14ac:dyDescent="0.25">
      <c r="A2002" s="170">
        <v>44950</v>
      </c>
      <c r="B2002" s="116">
        <v>208.15</v>
      </c>
      <c r="C2002" s="116">
        <v>205.75</v>
      </c>
      <c r="D2002" s="116">
        <v>205.5</v>
      </c>
      <c r="E2002" s="116">
        <v>207</v>
      </c>
      <c r="F2002" s="116">
        <v>205.75</v>
      </c>
      <c r="G2002">
        <v>289000</v>
      </c>
      <c r="H2002" s="116"/>
      <c r="I2002" s="116"/>
      <c r="L2002" s="170">
        <v>44950</v>
      </c>
      <c r="M2002" s="116">
        <v>205.85</v>
      </c>
      <c r="N2002" s="116">
        <v>208.15</v>
      </c>
      <c r="O2002" s="116">
        <v>205.5</v>
      </c>
      <c r="P2002" s="116">
        <v>207.05</v>
      </c>
      <c r="Q2002" s="116">
        <v>205.85</v>
      </c>
      <c r="R2002">
        <v>6551672</v>
      </c>
    </row>
    <row r="2003" spans="1:18" x14ac:dyDescent="0.25">
      <c r="A2003" s="170">
        <v>44951</v>
      </c>
      <c r="B2003" s="116">
        <v>206.3</v>
      </c>
      <c r="C2003" s="116">
        <v>201.55</v>
      </c>
      <c r="D2003" s="116">
        <v>201</v>
      </c>
      <c r="E2003" s="116">
        <v>205.8</v>
      </c>
      <c r="F2003" s="116">
        <v>201.55</v>
      </c>
      <c r="G2003">
        <v>405147</v>
      </c>
      <c r="H2003" s="116"/>
      <c r="I2003" s="116"/>
      <c r="L2003" s="170">
        <v>44951</v>
      </c>
      <c r="M2003" s="116">
        <v>201.45</v>
      </c>
      <c r="N2003" s="116">
        <v>206.25</v>
      </c>
      <c r="O2003" s="116">
        <v>200.85</v>
      </c>
      <c r="P2003" s="116">
        <v>205.85</v>
      </c>
      <c r="Q2003" s="116">
        <v>201.45</v>
      </c>
      <c r="R2003">
        <v>9681030</v>
      </c>
    </row>
    <row r="2004" spans="1:18" x14ac:dyDescent="0.25">
      <c r="A2004" s="170">
        <v>44953</v>
      </c>
      <c r="B2004" s="116">
        <v>203.85</v>
      </c>
      <c r="C2004" s="116">
        <v>202.45</v>
      </c>
      <c r="D2004" s="116">
        <v>196.75</v>
      </c>
      <c r="E2004" s="116">
        <v>202.1</v>
      </c>
      <c r="F2004" s="116">
        <v>202.45</v>
      </c>
      <c r="G2004">
        <v>1736563</v>
      </c>
      <c r="H2004" s="116"/>
      <c r="I2004" s="116"/>
      <c r="L2004" s="170">
        <v>44953</v>
      </c>
      <c r="M2004" s="116">
        <v>202.35</v>
      </c>
      <c r="N2004" s="116">
        <v>203.85</v>
      </c>
      <c r="O2004" s="116">
        <v>196.65</v>
      </c>
      <c r="P2004" s="116">
        <v>202.5</v>
      </c>
      <c r="Q2004" s="116">
        <v>202.35</v>
      </c>
      <c r="R2004">
        <v>13521282</v>
      </c>
    </row>
    <row r="2005" spans="1:18" x14ac:dyDescent="0.25">
      <c r="A2005" s="170">
        <v>44956</v>
      </c>
      <c r="B2005" s="116">
        <v>205.75</v>
      </c>
      <c r="C2005" s="116">
        <v>204.4</v>
      </c>
      <c r="D2005" s="116">
        <v>201.3</v>
      </c>
      <c r="E2005" s="116">
        <v>203</v>
      </c>
      <c r="F2005" s="116">
        <v>204.4</v>
      </c>
      <c r="G2005">
        <v>1545146</v>
      </c>
      <c r="H2005" s="116"/>
      <c r="I2005" s="116"/>
      <c r="L2005" s="170">
        <v>44956</v>
      </c>
      <c r="M2005" s="116">
        <v>204.35</v>
      </c>
      <c r="N2005" s="116">
        <v>205.8</v>
      </c>
      <c r="O2005" s="116">
        <v>201.35</v>
      </c>
      <c r="P2005" s="116">
        <v>203.45</v>
      </c>
      <c r="Q2005" s="116">
        <v>204.35</v>
      </c>
      <c r="R2005">
        <v>10341362</v>
      </c>
    </row>
    <row r="2006" spans="1:18" x14ac:dyDescent="0.25">
      <c r="A2006" s="170">
        <v>44957</v>
      </c>
      <c r="B2006" s="116">
        <v>214.65</v>
      </c>
      <c r="C2006" s="116">
        <v>212.9</v>
      </c>
      <c r="D2006" s="116">
        <v>204.4</v>
      </c>
      <c r="E2006" s="116">
        <v>205.5</v>
      </c>
      <c r="F2006" s="116">
        <v>212.9</v>
      </c>
      <c r="G2006">
        <v>2305227</v>
      </c>
      <c r="H2006" s="116"/>
      <c r="I2006" s="116"/>
      <c r="L2006" s="170">
        <v>44957</v>
      </c>
      <c r="M2006" s="116">
        <v>212.9</v>
      </c>
      <c r="N2006" s="116">
        <v>214.65</v>
      </c>
      <c r="O2006" s="116">
        <v>204.45</v>
      </c>
      <c r="P2006" s="116">
        <v>205.5</v>
      </c>
      <c r="Q2006" s="116">
        <v>212.9</v>
      </c>
      <c r="R2006">
        <v>16807189</v>
      </c>
    </row>
    <row r="2007" spans="1:18" x14ac:dyDescent="0.25">
      <c r="A2007" s="170">
        <v>44958</v>
      </c>
      <c r="B2007" s="116">
        <v>215.45</v>
      </c>
      <c r="C2007" s="116">
        <v>205.85</v>
      </c>
      <c r="D2007" s="116">
        <v>196.95</v>
      </c>
      <c r="E2007" s="116">
        <v>215</v>
      </c>
      <c r="F2007" s="116">
        <v>205.85</v>
      </c>
      <c r="G2007">
        <v>1097414</v>
      </c>
      <c r="H2007" s="116"/>
      <c r="I2007" s="116"/>
      <c r="L2007" s="170">
        <v>44958</v>
      </c>
      <c r="M2007" s="116">
        <v>205.85</v>
      </c>
      <c r="N2007" s="116">
        <v>215.4</v>
      </c>
      <c r="O2007" s="116">
        <v>196.65</v>
      </c>
      <c r="P2007" s="116">
        <v>214.9</v>
      </c>
      <c r="Q2007" s="116">
        <v>205.85</v>
      </c>
      <c r="R2007">
        <v>19017445</v>
      </c>
    </row>
    <row r="2008" spans="1:18" x14ac:dyDescent="0.25">
      <c r="A2008" s="170">
        <v>44959</v>
      </c>
      <c r="B2008" s="116">
        <v>208.8</v>
      </c>
      <c r="C2008" s="116">
        <v>206.3</v>
      </c>
      <c r="D2008" s="116">
        <v>204.15</v>
      </c>
      <c r="E2008" s="116">
        <v>205.85</v>
      </c>
      <c r="F2008" s="116">
        <v>206.3</v>
      </c>
      <c r="G2008">
        <v>483840</v>
      </c>
      <c r="H2008" s="116"/>
      <c r="I2008" s="116"/>
      <c r="L2008" s="170">
        <v>44959</v>
      </c>
      <c r="M2008" s="116">
        <v>206.3</v>
      </c>
      <c r="N2008" s="116">
        <v>208.8</v>
      </c>
      <c r="O2008" s="116">
        <v>204</v>
      </c>
      <c r="P2008" s="116">
        <v>204.95</v>
      </c>
      <c r="Q2008" s="116">
        <v>206.3</v>
      </c>
      <c r="R2008">
        <v>9841415</v>
      </c>
    </row>
    <row r="2009" spans="1:18" x14ac:dyDescent="0.25">
      <c r="A2009" s="170">
        <v>44960</v>
      </c>
      <c r="B2009" s="116">
        <v>208.3</v>
      </c>
      <c r="C2009" s="116">
        <v>205.3</v>
      </c>
      <c r="D2009" s="116">
        <v>202</v>
      </c>
      <c r="E2009" s="116">
        <v>207.55</v>
      </c>
      <c r="F2009" s="116">
        <v>205.3</v>
      </c>
      <c r="G2009">
        <v>584211</v>
      </c>
      <c r="H2009" s="116"/>
      <c r="I2009" s="116"/>
      <c r="L2009" s="170">
        <v>44960</v>
      </c>
      <c r="M2009" s="116">
        <v>205.3</v>
      </c>
      <c r="N2009" s="116">
        <v>208.2</v>
      </c>
      <c r="O2009" s="116">
        <v>202</v>
      </c>
      <c r="P2009" s="116">
        <v>207.5</v>
      </c>
      <c r="Q2009" s="116">
        <v>205.3</v>
      </c>
      <c r="R2009">
        <v>10618799</v>
      </c>
    </row>
    <row r="2010" spans="1:18" x14ac:dyDescent="0.25">
      <c r="A2010" s="170">
        <v>44963</v>
      </c>
      <c r="B2010" s="116">
        <v>212.8</v>
      </c>
      <c r="C2010" s="116">
        <v>208.5</v>
      </c>
      <c r="D2010" s="116">
        <v>207</v>
      </c>
      <c r="E2010" s="116">
        <v>209.05</v>
      </c>
      <c r="F2010" s="116">
        <v>208.5</v>
      </c>
      <c r="G2010">
        <v>928994</v>
      </c>
      <c r="H2010" s="116"/>
      <c r="I2010" s="116"/>
      <c r="L2010" s="170">
        <v>44963</v>
      </c>
      <c r="M2010" s="116">
        <v>208.55</v>
      </c>
      <c r="N2010" s="116">
        <v>212.85</v>
      </c>
      <c r="O2010" s="116">
        <v>206.75</v>
      </c>
      <c r="P2010" s="116">
        <v>209</v>
      </c>
      <c r="Q2010" s="116">
        <v>208.55</v>
      </c>
      <c r="R2010">
        <v>17908243</v>
      </c>
    </row>
    <row r="2011" spans="1:18" x14ac:dyDescent="0.25">
      <c r="A2011" s="170">
        <v>44964</v>
      </c>
      <c r="B2011" s="116">
        <v>209.95</v>
      </c>
      <c r="C2011" s="116">
        <v>206.15</v>
      </c>
      <c r="D2011" s="116">
        <v>204.95</v>
      </c>
      <c r="E2011" s="116">
        <v>209.95</v>
      </c>
      <c r="F2011" s="116">
        <v>206.15</v>
      </c>
      <c r="G2011">
        <v>431954</v>
      </c>
      <c r="H2011" s="116"/>
      <c r="I2011" s="116"/>
      <c r="L2011" s="170">
        <v>44964</v>
      </c>
      <c r="M2011" s="116">
        <v>206.3</v>
      </c>
      <c r="N2011" s="116">
        <v>210</v>
      </c>
      <c r="O2011" s="116">
        <v>205</v>
      </c>
      <c r="P2011" s="116">
        <v>209.5</v>
      </c>
      <c r="Q2011" s="116">
        <v>206.3</v>
      </c>
      <c r="R2011">
        <v>8095192</v>
      </c>
    </row>
    <row r="2012" spans="1:18" x14ac:dyDescent="0.25">
      <c r="A2012" s="170">
        <v>44965</v>
      </c>
      <c r="B2012" s="116">
        <v>207.5</v>
      </c>
      <c r="C2012" s="116">
        <v>207.05</v>
      </c>
      <c r="D2012" s="116">
        <v>204.15</v>
      </c>
      <c r="E2012" s="116">
        <v>206</v>
      </c>
      <c r="F2012" s="116">
        <v>207.05</v>
      </c>
      <c r="G2012">
        <v>424972</v>
      </c>
      <c r="H2012" s="116"/>
      <c r="I2012" s="116"/>
      <c r="L2012" s="170">
        <v>44965</v>
      </c>
      <c r="M2012" s="116">
        <v>207.15</v>
      </c>
      <c r="N2012" s="116">
        <v>207.55</v>
      </c>
      <c r="O2012" s="116">
        <v>204.2</v>
      </c>
      <c r="P2012" s="116">
        <v>206.3</v>
      </c>
      <c r="Q2012" s="116">
        <v>207.15</v>
      </c>
      <c r="R2012">
        <v>8259877</v>
      </c>
    </row>
    <row r="2013" spans="1:18" x14ac:dyDescent="0.25">
      <c r="A2013" s="170">
        <v>44966</v>
      </c>
      <c r="B2013" s="116">
        <v>207.6</v>
      </c>
      <c r="C2013" s="116">
        <v>205.55</v>
      </c>
      <c r="D2013" s="116">
        <v>203.55</v>
      </c>
      <c r="E2013" s="116">
        <v>207</v>
      </c>
      <c r="F2013" s="116">
        <v>205.55</v>
      </c>
      <c r="G2013">
        <v>275954</v>
      </c>
      <c r="H2013" s="116"/>
      <c r="I2013" s="116"/>
      <c r="L2013" s="170">
        <v>44966</v>
      </c>
      <c r="M2013" s="116">
        <v>205.5</v>
      </c>
      <c r="N2013" s="116">
        <v>207.65</v>
      </c>
      <c r="O2013" s="116">
        <v>203.55</v>
      </c>
      <c r="P2013" s="116">
        <v>207.2</v>
      </c>
      <c r="Q2013" s="116">
        <v>205.5</v>
      </c>
      <c r="R2013">
        <v>6294658</v>
      </c>
    </row>
    <row r="2014" spans="1:18" x14ac:dyDescent="0.25">
      <c r="A2014" s="170">
        <v>44967</v>
      </c>
      <c r="B2014" s="116">
        <v>206.2</v>
      </c>
      <c r="C2014" s="116">
        <v>204.8</v>
      </c>
      <c r="D2014" s="116">
        <v>202.9</v>
      </c>
      <c r="E2014" s="116">
        <v>205.55</v>
      </c>
      <c r="F2014" s="116">
        <v>204.8</v>
      </c>
      <c r="G2014">
        <v>632212</v>
      </c>
      <c r="H2014" s="116"/>
      <c r="I2014" s="116"/>
      <c r="L2014" s="170">
        <v>44967</v>
      </c>
      <c r="M2014" s="116">
        <v>204.8</v>
      </c>
      <c r="N2014" s="116">
        <v>206.15</v>
      </c>
      <c r="O2014" s="116">
        <v>202.85</v>
      </c>
      <c r="P2014" s="116">
        <v>205.5</v>
      </c>
      <c r="Q2014" s="116">
        <v>204.8</v>
      </c>
      <c r="R2014">
        <v>5515771</v>
      </c>
    </row>
    <row r="2015" spans="1:18" x14ac:dyDescent="0.25">
      <c r="A2015" s="170">
        <v>44970</v>
      </c>
      <c r="B2015" s="116">
        <v>206.25</v>
      </c>
      <c r="C2015" s="116">
        <v>203.65</v>
      </c>
      <c r="D2015" s="116">
        <v>202.4</v>
      </c>
      <c r="E2015" s="116">
        <v>205</v>
      </c>
      <c r="F2015" s="116">
        <v>203.65</v>
      </c>
      <c r="G2015">
        <v>400577</v>
      </c>
      <c r="H2015" s="116"/>
      <c r="I2015" s="116"/>
      <c r="L2015" s="170">
        <v>44970</v>
      </c>
      <c r="M2015" s="116">
        <v>203.6</v>
      </c>
      <c r="N2015" s="116">
        <v>206.25</v>
      </c>
      <c r="O2015" s="116">
        <v>202.3</v>
      </c>
      <c r="P2015" s="116">
        <v>205.3</v>
      </c>
      <c r="Q2015" s="116">
        <v>203.6</v>
      </c>
      <c r="R2015">
        <v>6844360</v>
      </c>
    </row>
    <row r="2016" spans="1:18" x14ac:dyDescent="0.25">
      <c r="A2016" s="170">
        <v>44971</v>
      </c>
      <c r="B2016" s="116">
        <v>204.5</v>
      </c>
      <c r="C2016" s="116">
        <v>203.1</v>
      </c>
      <c r="D2016" s="116">
        <v>201.95</v>
      </c>
      <c r="E2016" s="116">
        <v>203.3</v>
      </c>
      <c r="F2016" s="116">
        <v>203.1</v>
      </c>
      <c r="G2016">
        <v>856486</v>
      </c>
      <c r="H2016" s="116"/>
      <c r="I2016" s="116"/>
      <c r="L2016" s="170">
        <v>44971</v>
      </c>
      <c r="M2016" s="116">
        <v>203.1</v>
      </c>
      <c r="N2016" s="116">
        <v>204.5</v>
      </c>
      <c r="O2016" s="116">
        <v>201.85</v>
      </c>
      <c r="P2016" s="116">
        <v>203.7</v>
      </c>
      <c r="Q2016" s="116">
        <v>203.1</v>
      </c>
      <c r="R2016">
        <v>5125639</v>
      </c>
    </row>
    <row r="2017" spans="1:18" x14ac:dyDescent="0.25">
      <c r="A2017" s="170">
        <v>44972</v>
      </c>
      <c r="B2017" s="116">
        <v>205.7</v>
      </c>
      <c r="C2017" s="116">
        <v>205.3</v>
      </c>
      <c r="D2017" s="116">
        <v>202.5</v>
      </c>
      <c r="E2017" s="116">
        <v>202.95</v>
      </c>
      <c r="F2017" s="116">
        <v>205.3</v>
      </c>
      <c r="G2017">
        <v>294495</v>
      </c>
      <c r="H2017" s="116"/>
      <c r="I2017" s="116"/>
      <c r="L2017" s="170">
        <v>44972</v>
      </c>
      <c r="M2017" s="116">
        <v>205.25</v>
      </c>
      <c r="N2017" s="116">
        <v>205.65</v>
      </c>
      <c r="O2017" s="116">
        <v>202.35</v>
      </c>
      <c r="P2017" s="116">
        <v>202.65</v>
      </c>
      <c r="Q2017" s="116">
        <v>205.25</v>
      </c>
      <c r="R2017">
        <v>6323738</v>
      </c>
    </row>
    <row r="2018" spans="1:18" x14ac:dyDescent="0.25">
      <c r="A2018" s="170">
        <v>44973</v>
      </c>
      <c r="B2018" s="116">
        <v>206.3</v>
      </c>
      <c r="C2018" s="116">
        <v>205.05</v>
      </c>
      <c r="D2018" s="116">
        <v>204.65</v>
      </c>
      <c r="E2018" s="116">
        <v>205.95</v>
      </c>
      <c r="F2018" s="116">
        <v>205.05</v>
      </c>
      <c r="G2018">
        <v>784792</v>
      </c>
      <c r="H2018" s="116"/>
      <c r="I2018" s="116"/>
      <c r="L2018" s="170">
        <v>44973</v>
      </c>
      <c r="M2018" s="116">
        <v>205.15</v>
      </c>
      <c r="N2018" s="116">
        <v>206.4</v>
      </c>
      <c r="O2018" s="116">
        <v>204.5</v>
      </c>
      <c r="P2018" s="116">
        <v>205.6</v>
      </c>
      <c r="Q2018" s="116">
        <v>205.15</v>
      </c>
      <c r="R2018">
        <v>4862186</v>
      </c>
    </row>
    <row r="2019" spans="1:18" x14ac:dyDescent="0.25">
      <c r="A2019" s="170">
        <v>44974</v>
      </c>
      <c r="B2019" s="116">
        <v>206.1</v>
      </c>
      <c r="C2019" s="116">
        <v>204.7</v>
      </c>
      <c r="D2019" s="116">
        <v>204.2</v>
      </c>
      <c r="E2019" s="116">
        <v>204.6</v>
      </c>
      <c r="F2019" s="116">
        <v>204.7</v>
      </c>
      <c r="G2019">
        <v>596547</v>
      </c>
      <c r="H2019" s="116"/>
      <c r="I2019" s="116"/>
      <c r="L2019" s="170">
        <v>44974</v>
      </c>
      <c r="M2019" s="116">
        <v>204.7</v>
      </c>
      <c r="N2019" s="116">
        <v>206.05</v>
      </c>
      <c r="O2019" s="116">
        <v>204.15</v>
      </c>
      <c r="P2019" s="116">
        <v>204.5</v>
      </c>
      <c r="Q2019" s="116">
        <v>204.7</v>
      </c>
      <c r="R2019">
        <v>5939096</v>
      </c>
    </row>
    <row r="2020" spans="1:18" x14ac:dyDescent="0.25">
      <c r="A2020" s="170">
        <v>44977</v>
      </c>
      <c r="B2020" s="116">
        <v>205.3</v>
      </c>
      <c r="C2020" s="116">
        <v>203.8</v>
      </c>
      <c r="D2020" s="116">
        <v>202.25</v>
      </c>
      <c r="E2020" s="116">
        <v>204.9</v>
      </c>
      <c r="F2020" s="116">
        <v>203.8</v>
      </c>
      <c r="G2020">
        <v>523128</v>
      </c>
      <c r="H2020" s="116"/>
      <c r="I2020" s="116"/>
      <c r="L2020" s="170">
        <v>44977</v>
      </c>
      <c r="M2020" s="116">
        <v>203.8</v>
      </c>
      <c r="N2020" s="116">
        <v>205.35</v>
      </c>
      <c r="O2020" s="116">
        <v>202.2</v>
      </c>
      <c r="P2020" s="116">
        <v>204.8</v>
      </c>
      <c r="Q2020" s="116">
        <v>203.8</v>
      </c>
      <c r="R2020">
        <v>7780404</v>
      </c>
    </row>
    <row r="2021" spans="1:18" x14ac:dyDescent="0.25">
      <c r="A2021" s="170">
        <v>44978</v>
      </c>
      <c r="B2021" s="116">
        <v>209.7</v>
      </c>
      <c r="C2021" s="116">
        <v>207.9</v>
      </c>
      <c r="D2021" s="116">
        <v>204.35</v>
      </c>
      <c r="E2021" s="116">
        <v>204.35</v>
      </c>
      <c r="F2021" s="116">
        <v>207.9</v>
      </c>
      <c r="G2021">
        <v>647013</v>
      </c>
      <c r="H2021" s="116"/>
      <c r="I2021" s="116"/>
      <c r="L2021" s="170">
        <v>44978</v>
      </c>
      <c r="M2021" s="116">
        <v>207.95</v>
      </c>
      <c r="N2021" s="116">
        <v>209.75</v>
      </c>
      <c r="O2021" s="116">
        <v>204.6</v>
      </c>
      <c r="P2021" s="116">
        <v>204.85</v>
      </c>
      <c r="Q2021" s="116">
        <v>207.95</v>
      </c>
      <c r="R2021">
        <v>15068225</v>
      </c>
    </row>
    <row r="2022" spans="1:18" x14ac:dyDescent="0.25">
      <c r="A2022" s="170">
        <v>44979</v>
      </c>
      <c r="B2022" s="116">
        <v>207.75</v>
      </c>
      <c r="C2022" s="116">
        <v>202.15</v>
      </c>
      <c r="D2022" s="116">
        <v>201.65</v>
      </c>
      <c r="E2022" s="116">
        <v>207.75</v>
      </c>
      <c r="F2022" s="116">
        <v>202.15</v>
      </c>
      <c r="G2022">
        <v>1313201</v>
      </c>
      <c r="H2022" s="116"/>
      <c r="I2022" s="116"/>
      <c r="L2022" s="170">
        <v>44979</v>
      </c>
      <c r="M2022" s="116">
        <v>202.3</v>
      </c>
      <c r="N2022" s="116">
        <v>207.55</v>
      </c>
      <c r="O2022" s="116">
        <v>201.6</v>
      </c>
      <c r="P2022" s="116">
        <v>207.55</v>
      </c>
      <c r="Q2022" s="116">
        <v>202.3</v>
      </c>
      <c r="R2022">
        <v>15048335</v>
      </c>
    </row>
    <row r="2023" spans="1:18" x14ac:dyDescent="0.25">
      <c r="A2023" s="170">
        <v>44980</v>
      </c>
      <c r="B2023" s="116">
        <v>203.55</v>
      </c>
      <c r="C2023" s="116">
        <v>201.3</v>
      </c>
      <c r="D2023" s="116">
        <v>200.65</v>
      </c>
      <c r="E2023" s="116">
        <v>202.5</v>
      </c>
      <c r="F2023" s="116">
        <v>201.3</v>
      </c>
      <c r="G2023">
        <v>775621</v>
      </c>
      <c r="H2023" s="116"/>
      <c r="I2023" s="116"/>
      <c r="L2023" s="170">
        <v>44980</v>
      </c>
      <c r="M2023" s="116">
        <v>201.3</v>
      </c>
      <c r="N2023" s="116">
        <v>203.7</v>
      </c>
      <c r="O2023" s="116">
        <v>200.6</v>
      </c>
      <c r="P2023" s="116">
        <v>202.8</v>
      </c>
      <c r="Q2023" s="116">
        <v>201.3</v>
      </c>
      <c r="R2023">
        <v>10723010</v>
      </c>
    </row>
    <row r="2024" spans="1:18" x14ac:dyDescent="0.25">
      <c r="A2024" s="170">
        <v>44981</v>
      </c>
      <c r="B2024" s="116">
        <v>202.95</v>
      </c>
      <c r="C2024" s="116">
        <v>202.25</v>
      </c>
      <c r="D2024" s="116">
        <v>201.3</v>
      </c>
      <c r="E2024" s="116">
        <v>201.6</v>
      </c>
      <c r="F2024" s="116">
        <v>202.25</v>
      </c>
      <c r="G2024">
        <v>938796</v>
      </c>
      <c r="H2024" s="116"/>
      <c r="I2024" s="116"/>
      <c r="L2024" s="170">
        <v>44981</v>
      </c>
      <c r="M2024" s="116">
        <v>202.3</v>
      </c>
      <c r="N2024" s="116">
        <v>202.95</v>
      </c>
      <c r="O2024" s="116">
        <v>201.3</v>
      </c>
      <c r="P2024" s="116">
        <v>201.9</v>
      </c>
      <c r="Q2024" s="116">
        <v>202.3</v>
      </c>
      <c r="R2024">
        <v>5212611</v>
      </c>
    </row>
    <row r="2025" spans="1:18" x14ac:dyDescent="0.25">
      <c r="A2025" s="170">
        <v>44984</v>
      </c>
      <c r="B2025" s="116">
        <v>202.25</v>
      </c>
      <c r="C2025" s="116">
        <v>199.8</v>
      </c>
      <c r="D2025" s="116">
        <v>197.55</v>
      </c>
      <c r="E2025" s="116">
        <v>202.25</v>
      </c>
      <c r="F2025" s="116">
        <v>199.8</v>
      </c>
      <c r="G2025">
        <v>632245</v>
      </c>
      <c r="H2025" s="116"/>
      <c r="I2025" s="116"/>
      <c r="L2025" s="170">
        <v>44984</v>
      </c>
      <c r="M2025" s="116">
        <v>199.75</v>
      </c>
      <c r="N2025" s="116">
        <v>202.3</v>
      </c>
      <c r="O2025" s="116">
        <v>197.5</v>
      </c>
      <c r="P2025" s="116">
        <v>201.95</v>
      </c>
      <c r="Q2025" s="116">
        <v>199.75</v>
      </c>
      <c r="R2025">
        <v>12387738</v>
      </c>
    </row>
    <row r="2026" spans="1:18" x14ac:dyDescent="0.25">
      <c r="A2026" s="170">
        <v>44985</v>
      </c>
      <c r="B2026" s="116">
        <v>203</v>
      </c>
      <c r="C2026" s="116">
        <v>202.5</v>
      </c>
      <c r="D2026" s="116">
        <v>199.6</v>
      </c>
      <c r="E2026" s="116">
        <v>200.25</v>
      </c>
      <c r="F2026" s="116">
        <v>202.5</v>
      </c>
      <c r="G2026">
        <v>1464854</v>
      </c>
      <c r="H2026" s="116"/>
      <c r="I2026" s="116"/>
      <c r="L2026" s="170">
        <v>44985</v>
      </c>
      <c r="M2026" s="116">
        <v>202.55</v>
      </c>
      <c r="N2026" s="116">
        <v>202.95</v>
      </c>
      <c r="O2026" s="116">
        <v>199.55</v>
      </c>
      <c r="P2026" s="116">
        <v>200.95</v>
      </c>
      <c r="Q2026" s="116">
        <v>202.55</v>
      </c>
      <c r="R2026">
        <v>6795039</v>
      </c>
    </row>
    <row r="2027" spans="1:18" x14ac:dyDescent="0.25">
      <c r="A2027" s="170">
        <v>44986</v>
      </c>
      <c r="B2027" s="116">
        <v>205.35</v>
      </c>
      <c r="C2027" s="116">
        <v>204.4</v>
      </c>
      <c r="D2027" s="116">
        <v>202.35</v>
      </c>
      <c r="E2027" s="116">
        <v>203.05</v>
      </c>
      <c r="F2027" s="116">
        <v>204.4</v>
      </c>
      <c r="G2027">
        <v>332591</v>
      </c>
      <c r="H2027" s="116"/>
      <c r="I2027" s="116"/>
      <c r="L2027" s="170">
        <v>44986</v>
      </c>
      <c r="M2027" s="116">
        <v>204.55</v>
      </c>
      <c r="N2027" s="116">
        <v>205.4</v>
      </c>
      <c r="O2027" s="116">
        <v>202.4</v>
      </c>
      <c r="P2027" s="116">
        <v>203.3</v>
      </c>
      <c r="Q2027" s="116">
        <v>204.55</v>
      </c>
      <c r="R2027">
        <v>6502602</v>
      </c>
    </row>
    <row r="2028" spans="1:18" x14ac:dyDescent="0.25">
      <c r="A2028" s="170">
        <v>44987</v>
      </c>
      <c r="B2028" s="116">
        <v>206.3</v>
      </c>
      <c r="C2028" s="116">
        <v>205.65</v>
      </c>
      <c r="D2028" s="116">
        <v>203.7</v>
      </c>
      <c r="E2028" s="116">
        <v>204.2</v>
      </c>
      <c r="F2028" s="116">
        <v>205.65</v>
      </c>
      <c r="G2028">
        <v>951408</v>
      </c>
      <c r="H2028" s="116"/>
      <c r="I2028" s="116"/>
      <c r="L2028" s="170">
        <v>44987</v>
      </c>
      <c r="M2028" s="116">
        <v>205.6</v>
      </c>
      <c r="N2028" s="116">
        <v>206.3</v>
      </c>
      <c r="O2028" s="116">
        <v>203.55</v>
      </c>
      <c r="P2028" s="116">
        <v>204.5</v>
      </c>
      <c r="Q2028" s="116">
        <v>205.6</v>
      </c>
      <c r="R2028">
        <v>6290128</v>
      </c>
    </row>
    <row r="2029" spans="1:18" x14ac:dyDescent="0.25">
      <c r="A2029" s="170">
        <v>44988</v>
      </c>
      <c r="B2029" s="116">
        <v>209.2</v>
      </c>
      <c r="C2029" s="116">
        <v>207.7</v>
      </c>
      <c r="D2029" s="116">
        <v>205.75</v>
      </c>
      <c r="E2029" s="116">
        <v>205.75</v>
      </c>
      <c r="F2029" s="116">
        <v>207.7</v>
      </c>
      <c r="G2029">
        <v>1730298</v>
      </c>
      <c r="H2029" s="116"/>
      <c r="I2029" s="116"/>
      <c r="L2029" s="170">
        <v>44988</v>
      </c>
      <c r="M2029" s="116">
        <v>207.75</v>
      </c>
      <c r="N2029" s="116">
        <v>209.25</v>
      </c>
      <c r="O2029" s="116">
        <v>206</v>
      </c>
      <c r="P2029" s="116">
        <v>206.1</v>
      </c>
      <c r="Q2029" s="116">
        <v>207.75</v>
      </c>
      <c r="R2029">
        <v>9201938</v>
      </c>
    </row>
    <row r="2030" spans="1:18" x14ac:dyDescent="0.25">
      <c r="A2030" s="170">
        <v>44991</v>
      </c>
      <c r="B2030" s="116">
        <v>212.95</v>
      </c>
      <c r="C2030" s="116">
        <v>210.25</v>
      </c>
      <c r="D2030" s="116">
        <v>207.8</v>
      </c>
      <c r="E2030" s="116">
        <v>207.8</v>
      </c>
      <c r="F2030" s="116">
        <v>210.25</v>
      </c>
      <c r="G2030">
        <v>512056</v>
      </c>
      <c r="H2030" s="116"/>
      <c r="I2030" s="116"/>
      <c r="L2030" s="170">
        <v>44991</v>
      </c>
      <c r="M2030" s="116">
        <v>210.3</v>
      </c>
      <c r="N2030" s="116">
        <v>212.9</v>
      </c>
      <c r="O2030" s="116">
        <v>208.1</v>
      </c>
      <c r="P2030" s="116">
        <v>208.5</v>
      </c>
      <c r="Q2030" s="116">
        <v>210.3</v>
      </c>
      <c r="R2030">
        <v>11959992</v>
      </c>
    </row>
    <row r="2031" spans="1:18" x14ac:dyDescent="0.25">
      <c r="A2031" s="170">
        <v>44993</v>
      </c>
      <c r="B2031" s="116">
        <v>211.9</v>
      </c>
      <c r="C2031" s="116">
        <v>211.25</v>
      </c>
      <c r="D2031" s="116">
        <v>208.05</v>
      </c>
      <c r="E2031" s="116">
        <v>209.95</v>
      </c>
      <c r="F2031" s="116">
        <v>211.25</v>
      </c>
      <c r="G2031">
        <v>304534</v>
      </c>
      <c r="H2031" s="116"/>
      <c r="I2031" s="116"/>
      <c r="L2031" s="170">
        <v>44993</v>
      </c>
      <c r="M2031" s="116">
        <v>211.25</v>
      </c>
      <c r="N2031" s="116">
        <v>211.9</v>
      </c>
      <c r="O2031" s="116">
        <v>208.1</v>
      </c>
      <c r="P2031" s="116">
        <v>209.45</v>
      </c>
      <c r="Q2031" s="116">
        <v>211.25</v>
      </c>
      <c r="R2031">
        <v>7273306</v>
      </c>
    </row>
    <row r="2032" spans="1:18" x14ac:dyDescent="0.25">
      <c r="A2032" s="170">
        <v>44994</v>
      </c>
      <c r="B2032" s="116">
        <v>212.8</v>
      </c>
      <c r="C2032" s="116">
        <v>209.65</v>
      </c>
      <c r="D2032" s="116">
        <v>209.35</v>
      </c>
      <c r="E2032" s="116">
        <v>212</v>
      </c>
      <c r="F2032" s="116">
        <v>209.65</v>
      </c>
      <c r="G2032">
        <v>297659</v>
      </c>
      <c r="H2032" s="116"/>
      <c r="I2032" s="116"/>
      <c r="L2032" s="170">
        <v>44994</v>
      </c>
      <c r="M2032" s="116">
        <v>209.75</v>
      </c>
      <c r="N2032" s="116">
        <v>212.75</v>
      </c>
      <c r="O2032" s="116">
        <v>209.4</v>
      </c>
      <c r="P2032" s="116">
        <v>211.75</v>
      </c>
      <c r="Q2032" s="116">
        <v>209.75</v>
      </c>
      <c r="R2032">
        <v>7481807</v>
      </c>
    </row>
    <row r="2033" spans="1:18" x14ac:dyDescent="0.25">
      <c r="A2033" s="170">
        <v>44995</v>
      </c>
      <c r="B2033" s="116">
        <v>209.25</v>
      </c>
      <c r="C2033" s="116">
        <v>208.8</v>
      </c>
      <c r="D2033" s="116">
        <v>206</v>
      </c>
      <c r="E2033" s="116">
        <v>208</v>
      </c>
      <c r="F2033" s="116">
        <v>208.8</v>
      </c>
      <c r="G2033">
        <v>302447</v>
      </c>
      <c r="H2033" s="116"/>
      <c r="I2033" s="116"/>
      <c r="L2033" s="170">
        <v>44995</v>
      </c>
      <c r="M2033" s="116">
        <v>208.75</v>
      </c>
      <c r="N2033" s="116">
        <v>209.2</v>
      </c>
      <c r="O2033" s="116">
        <v>206</v>
      </c>
      <c r="P2033" s="116">
        <v>208.05</v>
      </c>
      <c r="Q2033" s="116">
        <v>208.75</v>
      </c>
      <c r="R2033">
        <v>5967859</v>
      </c>
    </row>
    <row r="2034" spans="1:18" x14ac:dyDescent="0.25">
      <c r="A2034" s="170">
        <v>44998</v>
      </c>
      <c r="B2034" s="116">
        <v>209.15</v>
      </c>
      <c r="C2034" s="116">
        <v>202.9</v>
      </c>
      <c r="D2034" s="116">
        <v>202.25</v>
      </c>
      <c r="E2034" s="116">
        <v>206.7</v>
      </c>
      <c r="F2034" s="116">
        <v>202.9</v>
      </c>
      <c r="G2034">
        <v>1270448</v>
      </c>
      <c r="H2034" s="116"/>
      <c r="I2034" s="116"/>
      <c r="L2034" s="170">
        <v>44998</v>
      </c>
      <c r="M2034" s="116">
        <v>202.85</v>
      </c>
      <c r="N2034" s="116">
        <v>209.2</v>
      </c>
      <c r="O2034" s="116">
        <v>202.2</v>
      </c>
      <c r="P2034" s="116">
        <v>207.05</v>
      </c>
      <c r="Q2034" s="116">
        <v>202.85</v>
      </c>
      <c r="R2034">
        <v>7250840</v>
      </c>
    </row>
    <row r="2035" spans="1:18" x14ac:dyDescent="0.25">
      <c r="A2035" s="170">
        <v>44999</v>
      </c>
      <c r="B2035" s="116">
        <v>205.2</v>
      </c>
      <c r="C2035" s="116">
        <v>203.4</v>
      </c>
      <c r="D2035" s="116">
        <v>201.75</v>
      </c>
      <c r="E2035" s="116">
        <v>203.7</v>
      </c>
      <c r="F2035" s="116">
        <v>203.4</v>
      </c>
      <c r="G2035">
        <v>1181449</v>
      </c>
      <c r="H2035" s="116"/>
      <c r="I2035" s="116"/>
      <c r="L2035" s="170">
        <v>44999</v>
      </c>
      <c r="M2035" s="116">
        <v>203.4</v>
      </c>
      <c r="N2035" s="116">
        <v>205.2</v>
      </c>
      <c r="O2035" s="116">
        <v>201.7</v>
      </c>
      <c r="P2035" s="116">
        <v>203.85</v>
      </c>
      <c r="Q2035" s="116">
        <v>203.4</v>
      </c>
      <c r="R2035">
        <v>7282943</v>
      </c>
    </row>
    <row r="2036" spans="1:18" x14ac:dyDescent="0.25">
      <c r="A2036" s="170">
        <v>45000</v>
      </c>
      <c r="B2036" s="116">
        <v>205.45</v>
      </c>
      <c r="C2036" s="116">
        <v>203</v>
      </c>
      <c r="D2036" s="116">
        <v>202.6</v>
      </c>
      <c r="E2036" s="116">
        <v>203.7</v>
      </c>
      <c r="F2036" s="116">
        <v>203</v>
      </c>
      <c r="G2036">
        <v>806686</v>
      </c>
      <c r="H2036" s="116"/>
      <c r="I2036" s="116"/>
      <c r="L2036" s="170">
        <v>45000</v>
      </c>
      <c r="M2036" s="116">
        <v>202.95</v>
      </c>
      <c r="N2036" s="116">
        <v>205.45</v>
      </c>
      <c r="O2036" s="116">
        <v>202.55</v>
      </c>
      <c r="P2036" s="116">
        <v>205</v>
      </c>
      <c r="Q2036" s="116">
        <v>202.95</v>
      </c>
      <c r="R2036">
        <v>5658938</v>
      </c>
    </row>
    <row r="2037" spans="1:18" x14ac:dyDescent="0.25">
      <c r="A2037" s="170">
        <v>45001</v>
      </c>
      <c r="B2037" s="116">
        <v>204.5</v>
      </c>
      <c r="C2037" s="116">
        <v>203.35</v>
      </c>
      <c r="D2037" s="116">
        <v>198.75</v>
      </c>
      <c r="E2037" s="116">
        <v>202.4</v>
      </c>
      <c r="F2037" s="116">
        <v>203.35</v>
      </c>
      <c r="G2037">
        <v>970956</v>
      </c>
      <c r="H2037" s="116"/>
      <c r="I2037" s="116"/>
      <c r="L2037" s="170">
        <v>45001</v>
      </c>
      <c r="M2037" s="116">
        <v>203.4</v>
      </c>
      <c r="N2037" s="116">
        <v>204.55</v>
      </c>
      <c r="O2037" s="116">
        <v>198.85</v>
      </c>
      <c r="P2037" s="116">
        <v>202.95</v>
      </c>
      <c r="Q2037" s="116">
        <v>203.4</v>
      </c>
      <c r="R2037">
        <v>7483698</v>
      </c>
    </row>
    <row r="2038" spans="1:18" x14ac:dyDescent="0.25">
      <c r="A2038" s="170">
        <v>45002</v>
      </c>
      <c r="B2038" s="116">
        <v>206.35</v>
      </c>
      <c r="C2038" s="116">
        <v>205</v>
      </c>
      <c r="D2038" s="116">
        <v>203.7</v>
      </c>
      <c r="E2038" s="116">
        <v>204</v>
      </c>
      <c r="F2038" s="116">
        <v>205</v>
      </c>
      <c r="G2038">
        <v>296847</v>
      </c>
      <c r="H2038" s="116"/>
      <c r="I2038" s="116"/>
      <c r="L2038" s="170">
        <v>45002</v>
      </c>
      <c r="M2038" s="116">
        <v>205.15</v>
      </c>
      <c r="N2038" s="116">
        <v>206.4</v>
      </c>
      <c r="O2038" s="116">
        <v>203.65</v>
      </c>
      <c r="P2038" s="116">
        <v>204.45</v>
      </c>
      <c r="Q2038" s="116">
        <v>205.15</v>
      </c>
      <c r="R2038">
        <v>6398045</v>
      </c>
    </row>
    <row r="2039" spans="1:18" x14ac:dyDescent="0.25">
      <c r="A2039" s="170">
        <v>45005</v>
      </c>
      <c r="B2039" s="116">
        <v>204.45</v>
      </c>
      <c r="C2039" s="116">
        <v>202.65</v>
      </c>
      <c r="D2039" s="116">
        <v>200.6</v>
      </c>
      <c r="E2039" s="116">
        <v>202.3</v>
      </c>
      <c r="F2039" s="116">
        <v>202.65</v>
      </c>
      <c r="G2039">
        <v>572736</v>
      </c>
      <c r="H2039" s="116"/>
      <c r="I2039" s="116"/>
      <c r="L2039" s="170">
        <v>45005</v>
      </c>
      <c r="M2039" s="116">
        <v>202.6</v>
      </c>
      <c r="N2039" s="116">
        <v>204.55</v>
      </c>
      <c r="O2039" s="116">
        <v>200.5</v>
      </c>
      <c r="P2039" s="116">
        <v>204.5</v>
      </c>
      <c r="Q2039" s="116">
        <v>202.6</v>
      </c>
      <c r="R2039">
        <v>6100721</v>
      </c>
    </row>
    <row r="2040" spans="1:18" x14ac:dyDescent="0.25">
      <c r="A2040" s="170">
        <v>45006</v>
      </c>
      <c r="B2040" s="116">
        <v>203.65</v>
      </c>
      <c r="C2040" s="116">
        <v>202.25</v>
      </c>
      <c r="D2040" s="116">
        <v>201.55</v>
      </c>
      <c r="E2040" s="116">
        <v>203.35</v>
      </c>
      <c r="F2040" s="116">
        <v>202.25</v>
      </c>
      <c r="G2040">
        <v>508997</v>
      </c>
      <c r="H2040" s="116"/>
      <c r="I2040" s="116"/>
      <c r="L2040" s="170">
        <v>45006</v>
      </c>
      <c r="M2040" s="116">
        <v>202.3</v>
      </c>
      <c r="N2040" s="116">
        <v>203.6</v>
      </c>
      <c r="O2040" s="116">
        <v>201.6</v>
      </c>
      <c r="P2040" s="116">
        <v>203</v>
      </c>
      <c r="Q2040" s="116">
        <v>202.3</v>
      </c>
      <c r="R2040">
        <v>4431418</v>
      </c>
    </row>
    <row r="2041" spans="1:18" x14ac:dyDescent="0.25">
      <c r="A2041" s="170">
        <v>45007</v>
      </c>
      <c r="B2041" s="116">
        <v>203.65</v>
      </c>
      <c r="C2041" s="116">
        <v>201</v>
      </c>
      <c r="D2041" s="116">
        <v>200.6</v>
      </c>
      <c r="E2041" s="116">
        <v>203.1</v>
      </c>
      <c r="F2041" s="116">
        <v>201</v>
      </c>
      <c r="G2041">
        <v>279738</v>
      </c>
      <c r="H2041" s="116"/>
      <c r="I2041" s="116"/>
      <c r="L2041" s="170">
        <v>45007</v>
      </c>
      <c r="M2041" s="116">
        <v>200.95</v>
      </c>
      <c r="N2041" s="116">
        <v>203.8</v>
      </c>
      <c r="O2041" s="116">
        <v>200.5</v>
      </c>
      <c r="P2041" s="116">
        <v>203.35</v>
      </c>
      <c r="Q2041" s="116">
        <v>200.95</v>
      </c>
      <c r="R2041">
        <v>7561000</v>
      </c>
    </row>
    <row r="2042" spans="1:18" x14ac:dyDescent="0.25">
      <c r="A2042" s="170">
        <v>45008</v>
      </c>
      <c r="B2042" s="116">
        <v>202.15</v>
      </c>
      <c r="C2042" s="116">
        <v>200.1</v>
      </c>
      <c r="D2042" s="116">
        <v>199.55</v>
      </c>
      <c r="E2042" s="116">
        <v>200.05</v>
      </c>
      <c r="F2042" s="116">
        <v>200.1</v>
      </c>
      <c r="G2042">
        <v>662380</v>
      </c>
      <c r="H2042" s="116"/>
      <c r="I2042" s="116"/>
      <c r="L2042" s="170">
        <v>45008</v>
      </c>
      <c r="M2042" s="116">
        <v>200.1</v>
      </c>
      <c r="N2042" s="116">
        <v>202.2</v>
      </c>
      <c r="O2042" s="116">
        <v>199.55</v>
      </c>
      <c r="P2042" s="116">
        <v>200</v>
      </c>
      <c r="Q2042" s="116">
        <v>200.1</v>
      </c>
      <c r="R2042">
        <v>5367782</v>
      </c>
    </row>
    <row r="2043" spans="1:18" x14ac:dyDescent="0.25">
      <c r="A2043" s="170">
        <v>45009</v>
      </c>
      <c r="B2043" s="116">
        <v>201.25</v>
      </c>
      <c r="C2043" s="116">
        <v>192.8</v>
      </c>
      <c r="D2043" s="116">
        <v>192.2</v>
      </c>
      <c r="E2043" s="116">
        <v>199.55</v>
      </c>
      <c r="F2043" s="116">
        <v>192.8</v>
      </c>
      <c r="G2043">
        <v>886497</v>
      </c>
      <c r="H2043" s="116"/>
      <c r="I2043" s="116"/>
      <c r="L2043" s="170">
        <v>45009</v>
      </c>
      <c r="M2043" s="116">
        <v>192.75</v>
      </c>
      <c r="N2043" s="116">
        <v>201.25</v>
      </c>
      <c r="O2043" s="116">
        <v>192.1</v>
      </c>
      <c r="P2043" s="116">
        <v>200.1</v>
      </c>
      <c r="Q2043" s="116">
        <v>192.75</v>
      </c>
      <c r="R2043">
        <v>16010459</v>
      </c>
    </row>
    <row r="2044" spans="1:18" x14ac:dyDescent="0.25">
      <c r="A2044" s="170">
        <v>45012</v>
      </c>
      <c r="B2044" s="116">
        <v>194</v>
      </c>
      <c r="C2044" s="116">
        <v>186.7</v>
      </c>
      <c r="D2044" s="116">
        <v>184.4</v>
      </c>
      <c r="E2044" s="116">
        <v>192.8</v>
      </c>
      <c r="F2044" s="116">
        <v>186.7</v>
      </c>
      <c r="G2044">
        <v>3402724</v>
      </c>
      <c r="H2044" s="116"/>
      <c r="I2044" s="116"/>
      <c r="L2044" s="170">
        <v>45012</v>
      </c>
      <c r="M2044" s="116">
        <v>186.65</v>
      </c>
      <c r="N2044" s="116">
        <v>194</v>
      </c>
      <c r="O2044" s="116">
        <v>184.45</v>
      </c>
      <c r="P2044" s="116">
        <v>192.9</v>
      </c>
      <c r="Q2044" s="116">
        <v>186.65</v>
      </c>
      <c r="R2044">
        <v>22247890</v>
      </c>
    </row>
    <row r="2045" spans="1:18" x14ac:dyDescent="0.25">
      <c r="A2045" s="170">
        <v>45013</v>
      </c>
      <c r="B2045" s="116">
        <v>187.4</v>
      </c>
      <c r="C2045" s="116">
        <v>183.95</v>
      </c>
      <c r="D2045" s="116">
        <v>182.45</v>
      </c>
      <c r="E2045" s="116">
        <v>186.7</v>
      </c>
      <c r="F2045" s="116">
        <v>183.95</v>
      </c>
      <c r="G2045">
        <v>2106359</v>
      </c>
      <c r="H2045" s="116"/>
      <c r="I2045" s="116"/>
      <c r="L2045" s="170">
        <v>45013</v>
      </c>
      <c r="M2045" s="116">
        <v>183.95</v>
      </c>
      <c r="N2045" s="116">
        <v>187.5</v>
      </c>
      <c r="O2045" s="116">
        <v>182.35</v>
      </c>
      <c r="P2045" s="116">
        <v>186.7</v>
      </c>
      <c r="Q2045" s="116">
        <v>183.95</v>
      </c>
      <c r="R2045">
        <v>12023683</v>
      </c>
    </row>
    <row r="2046" spans="1:18" x14ac:dyDescent="0.25">
      <c r="A2046" s="170">
        <v>45014</v>
      </c>
      <c r="B2046" s="116">
        <v>187.55</v>
      </c>
      <c r="C2046" s="116">
        <v>185.65</v>
      </c>
      <c r="D2046" s="116">
        <v>183.3</v>
      </c>
      <c r="E2046" s="116">
        <v>183.95</v>
      </c>
      <c r="F2046" s="116">
        <v>185.65</v>
      </c>
      <c r="G2046">
        <v>881236</v>
      </c>
      <c r="H2046" s="116"/>
      <c r="I2046" s="116"/>
      <c r="L2046" s="170">
        <v>45014</v>
      </c>
      <c r="M2046" s="116">
        <v>185.5</v>
      </c>
      <c r="N2046" s="116">
        <v>187.7</v>
      </c>
      <c r="O2046" s="116">
        <v>183.3</v>
      </c>
      <c r="P2046" s="116">
        <v>184.5</v>
      </c>
      <c r="Q2046" s="116">
        <v>185.5</v>
      </c>
      <c r="R2046">
        <v>17480941</v>
      </c>
    </row>
    <row r="2047" spans="1:18" x14ac:dyDescent="0.25">
      <c r="A2047" s="170">
        <v>45016</v>
      </c>
      <c r="B2047" s="116">
        <v>191.65</v>
      </c>
      <c r="C2047" s="116">
        <v>190.2</v>
      </c>
      <c r="D2047" s="116">
        <v>188</v>
      </c>
      <c r="E2047" s="116">
        <v>188.45</v>
      </c>
      <c r="F2047" s="116">
        <v>190.2</v>
      </c>
      <c r="G2047">
        <v>1661580</v>
      </c>
      <c r="H2047" s="116"/>
      <c r="I2047" s="116"/>
      <c r="L2047" s="170">
        <v>45016</v>
      </c>
      <c r="M2047" s="116">
        <v>190.25</v>
      </c>
      <c r="N2047" s="116">
        <v>191.6</v>
      </c>
      <c r="O2047" s="116">
        <v>187.95</v>
      </c>
      <c r="P2047" s="116">
        <v>188.5</v>
      </c>
      <c r="Q2047" s="116">
        <v>190.25</v>
      </c>
      <c r="R2047">
        <v>13519886</v>
      </c>
    </row>
    <row r="2048" spans="1:18" x14ac:dyDescent="0.25">
      <c r="A2048" s="170">
        <v>45019</v>
      </c>
      <c r="B2048" s="116">
        <v>196</v>
      </c>
      <c r="C2048" s="116">
        <v>193.95</v>
      </c>
      <c r="D2048" s="116">
        <v>192.05</v>
      </c>
      <c r="E2048" s="116">
        <v>193.85</v>
      </c>
      <c r="F2048" s="116">
        <v>193.95</v>
      </c>
      <c r="G2048">
        <v>526951</v>
      </c>
      <c r="H2048" s="116"/>
      <c r="I2048" s="116"/>
      <c r="L2048" s="170">
        <v>45019</v>
      </c>
      <c r="M2048" s="116">
        <v>193.95</v>
      </c>
      <c r="N2048" s="116">
        <v>196.05</v>
      </c>
      <c r="O2048" s="116">
        <v>192.05</v>
      </c>
      <c r="P2048" s="116">
        <v>193.35</v>
      </c>
      <c r="Q2048" s="116">
        <v>193.95</v>
      </c>
      <c r="R2048">
        <v>14927965</v>
      </c>
    </row>
    <row r="2049" spans="1:18" x14ac:dyDescent="0.25">
      <c r="A2049" s="170">
        <v>45021</v>
      </c>
      <c r="B2049" s="116">
        <v>194.95</v>
      </c>
      <c r="C2049" s="116">
        <v>194.55</v>
      </c>
      <c r="D2049" s="116">
        <v>192.45</v>
      </c>
      <c r="E2049" s="116">
        <v>194.35</v>
      </c>
      <c r="F2049" s="116">
        <v>194.55</v>
      </c>
      <c r="G2049">
        <v>540329</v>
      </c>
      <c r="H2049" s="116"/>
      <c r="I2049" s="116"/>
      <c r="L2049" s="170">
        <v>45021</v>
      </c>
      <c r="M2049" s="116">
        <v>194.6</v>
      </c>
      <c r="N2049" s="116">
        <v>194.95</v>
      </c>
      <c r="O2049" s="116">
        <v>192.5</v>
      </c>
      <c r="P2049" s="116">
        <v>194.65</v>
      </c>
      <c r="Q2049" s="116">
        <v>194.6</v>
      </c>
      <c r="R2049">
        <v>7802577</v>
      </c>
    </row>
    <row r="2050" spans="1:18" x14ac:dyDescent="0.25">
      <c r="A2050" s="170">
        <v>45022</v>
      </c>
      <c r="B2050" s="116">
        <v>196</v>
      </c>
      <c r="C2050" s="116">
        <v>195.15</v>
      </c>
      <c r="D2050" s="116">
        <v>192.1</v>
      </c>
      <c r="E2050" s="116">
        <v>193.85</v>
      </c>
      <c r="F2050" s="116">
        <v>195.15</v>
      </c>
      <c r="G2050">
        <v>386910</v>
      </c>
      <c r="H2050" s="116"/>
      <c r="I2050" s="116"/>
      <c r="L2050" s="170">
        <v>45022</v>
      </c>
      <c r="M2050" s="116">
        <v>195.25</v>
      </c>
      <c r="N2050" s="116">
        <v>196</v>
      </c>
      <c r="O2050" s="116">
        <v>192.1</v>
      </c>
      <c r="P2050" s="116">
        <v>193.5</v>
      </c>
      <c r="Q2050" s="116">
        <v>195.25</v>
      </c>
      <c r="R2050">
        <v>8898362</v>
      </c>
    </row>
    <row r="2051" spans="1:18" x14ac:dyDescent="0.25">
      <c r="A2051" s="170">
        <v>45026</v>
      </c>
      <c r="B2051" s="116">
        <v>197.7</v>
      </c>
      <c r="C2051" s="116">
        <v>195.75</v>
      </c>
      <c r="D2051" s="116">
        <v>195.1</v>
      </c>
      <c r="E2051" s="116">
        <v>195.2</v>
      </c>
      <c r="F2051" s="116">
        <v>195.75</v>
      </c>
      <c r="G2051">
        <v>399337</v>
      </c>
      <c r="H2051" s="116"/>
      <c r="I2051" s="116"/>
      <c r="L2051" s="170">
        <v>45026</v>
      </c>
      <c r="M2051" s="116">
        <v>195.7</v>
      </c>
      <c r="N2051" s="116">
        <v>197.75</v>
      </c>
      <c r="O2051" s="116">
        <v>195.1</v>
      </c>
      <c r="P2051" s="116">
        <v>195.5</v>
      </c>
      <c r="Q2051" s="116">
        <v>195.7</v>
      </c>
      <c r="R2051">
        <v>7752647</v>
      </c>
    </row>
    <row r="2052" spans="1:18" x14ac:dyDescent="0.25">
      <c r="A2052" s="170">
        <v>45027</v>
      </c>
      <c r="B2052" s="116">
        <v>197.85</v>
      </c>
      <c r="C2052" s="116">
        <v>197.5</v>
      </c>
      <c r="D2052" s="116">
        <v>195.8</v>
      </c>
      <c r="E2052" s="116">
        <v>195.8</v>
      </c>
      <c r="F2052" s="116">
        <v>197.5</v>
      </c>
      <c r="G2052">
        <v>740246</v>
      </c>
      <c r="H2052" s="116"/>
      <c r="I2052" s="116"/>
      <c r="L2052" s="170">
        <v>45027</v>
      </c>
      <c r="M2052" s="116">
        <v>197.55</v>
      </c>
      <c r="N2052" s="116">
        <v>197.9</v>
      </c>
      <c r="O2052" s="116">
        <v>195.8</v>
      </c>
      <c r="P2052" s="116">
        <v>197</v>
      </c>
      <c r="Q2052" s="116">
        <v>197.55</v>
      </c>
      <c r="R2052">
        <v>4957133</v>
      </c>
    </row>
    <row r="2053" spans="1:18" x14ac:dyDescent="0.25">
      <c r="A2053" s="170">
        <v>45028</v>
      </c>
      <c r="B2053" s="116">
        <v>198.65</v>
      </c>
      <c r="C2053" s="116">
        <v>197.05</v>
      </c>
      <c r="D2053" s="116">
        <v>195.55</v>
      </c>
      <c r="E2053" s="116">
        <v>197.6</v>
      </c>
      <c r="F2053" s="116">
        <v>197.05</v>
      </c>
      <c r="G2053">
        <v>476549</v>
      </c>
      <c r="H2053" s="116"/>
      <c r="I2053" s="116"/>
      <c r="L2053" s="170">
        <v>45028</v>
      </c>
      <c r="M2053" s="116">
        <v>197.1</v>
      </c>
      <c r="N2053" s="116">
        <v>198.6</v>
      </c>
      <c r="O2053" s="116">
        <v>195.55</v>
      </c>
      <c r="P2053" s="116">
        <v>198</v>
      </c>
      <c r="Q2053" s="116">
        <v>197.1</v>
      </c>
      <c r="R2053">
        <v>8183550</v>
      </c>
    </row>
    <row r="2054" spans="1:18" x14ac:dyDescent="0.25">
      <c r="A2054" s="170">
        <v>45029</v>
      </c>
      <c r="B2054" s="116">
        <v>197.2</v>
      </c>
      <c r="C2054" s="116">
        <v>196.2</v>
      </c>
      <c r="D2054" s="116">
        <v>194.25</v>
      </c>
      <c r="E2054" s="116">
        <v>197.05</v>
      </c>
      <c r="F2054" s="116">
        <v>196.2</v>
      </c>
      <c r="G2054">
        <v>266080</v>
      </c>
      <c r="H2054" s="116"/>
      <c r="I2054" s="116"/>
      <c r="L2054" s="170">
        <v>45029</v>
      </c>
      <c r="M2054" s="116">
        <v>196.3</v>
      </c>
      <c r="N2054" s="116">
        <v>197.2</v>
      </c>
      <c r="O2054" s="116">
        <v>194.25</v>
      </c>
      <c r="P2054" s="116">
        <v>197.2</v>
      </c>
      <c r="Q2054" s="116">
        <v>196.3</v>
      </c>
      <c r="R2054">
        <v>6448150</v>
      </c>
    </row>
    <row r="2055" spans="1:18" x14ac:dyDescent="0.25">
      <c r="A2055" s="170">
        <v>45033</v>
      </c>
      <c r="B2055" s="116">
        <v>197.6</v>
      </c>
      <c r="C2055" s="116">
        <v>196.95</v>
      </c>
      <c r="D2055" s="116">
        <v>194.8</v>
      </c>
      <c r="E2055" s="116">
        <v>195.55</v>
      </c>
      <c r="F2055" s="116">
        <v>196.95</v>
      </c>
      <c r="G2055">
        <v>268876</v>
      </c>
      <c r="H2055" s="116"/>
      <c r="I2055" s="116"/>
      <c r="L2055" s="170">
        <v>45033</v>
      </c>
      <c r="M2055" s="116">
        <v>196.95</v>
      </c>
      <c r="N2055" s="116">
        <v>197.6</v>
      </c>
      <c r="O2055" s="116">
        <v>194.8</v>
      </c>
      <c r="P2055" s="116">
        <v>196.3</v>
      </c>
      <c r="Q2055" s="116">
        <v>196.95</v>
      </c>
      <c r="R2055">
        <v>4756452</v>
      </c>
    </row>
    <row r="2056" spans="1:18" x14ac:dyDescent="0.25">
      <c r="A2056" s="170">
        <v>45034</v>
      </c>
      <c r="B2056" s="116">
        <v>198.15</v>
      </c>
      <c r="C2056" s="116">
        <v>197.2</v>
      </c>
      <c r="D2056" s="116">
        <v>196.2</v>
      </c>
      <c r="E2056" s="116">
        <v>197.05</v>
      </c>
      <c r="F2056" s="116">
        <v>197.2</v>
      </c>
      <c r="G2056">
        <v>256978</v>
      </c>
      <c r="H2056" s="116"/>
      <c r="I2056" s="116"/>
      <c r="L2056" s="170">
        <v>45034</v>
      </c>
      <c r="M2056" s="116">
        <v>197.25</v>
      </c>
      <c r="N2056" s="116">
        <v>198.2</v>
      </c>
      <c r="O2056" s="116">
        <v>196.15</v>
      </c>
      <c r="P2056" s="116">
        <v>197.5</v>
      </c>
      <c r="Q2056" s="116">
        <v>197.25</v>
      </c>
      <c r="R2056">
        <v>4249222</v>
      </c>
    </row>
    <row r="2057" spans="1:18" x14ac:dyDescent="0.25">
      <c r="A2057" s="170">
        <v>45035</v>
      </c>
      <c r="B2057" s="116">
        <v>197.85</v>
      </c>
      <c r="C2057" s="116">
        <v>193.45</v>
      </c>
      <c r="D2057" s="116">
        <v>193.05</v>
      </c>
      <c r="E2057" s="116">
        <v>197.85</v>
      </c>
      <c r="F2057" s="116">
        <v>193.45</v>
      </c>
      <c r="G2057">
        <v>697551</v>
      </c>
      <c r="H2057" s="116"/>
      <c r="I2057" s="116"/>
      <c r="L2057" s="170">
        <v>45035</v>
      </c>
      <c r="M2057" s="116">
        <v>193.45</v>
      </c>
      <c r="N2057" s="116">
        <v>197.75</v>
      </c>
      <c r="O2057" s="116">
        <v>193.05</v>
      </c>
      <c r="P2057" s="116">
        <v>197.55</v>
      </c>
      <c r="Q2057" s="116">
        <v>193.45</v>
      </c>
      <c r="R2057">
        <v>6753761</v>
      </c>
    </row>
    <row r="2058" spans="1:18" x14ac:dyDescent="0.25">
      <c r="A2058" s="170">
        <v>45036</v>
      </c>
      <c r="B2058" s="116">
        <v>196.75</v>
      </c>
      <c r="C2058" s="116">
        <v>196.35</v>
      </c>
      <c r="D2058" s="116">
        <v>193.05</v>
      </c>
      <c r="E2058" s="116">
        <v>193.05</v>
      </c>
      <c r="F2058" s="116">
        <v>196.35</v>
      </c>
      <c r="G2058">
        <v>287469</v>
      </c>
      <c r="H2058" s="116"/>
      <c r="I2058" s="116"/>
      <c r="L2058" s="170">
        <v>45036</v>
      </c>
      <c r="M2058" s="116">
        <v>196.4</v>
      </c>
      <c r="N2058" s="116">
        <v>196.8</v>
      </c>
      <c r="O2058" s="116">
        <v>193.45</v>
      </c>
      <c r="P2058" s="116">
        <v>193.55</v>
      </c>
      <c r="Q2058" s="116">
        <v>196.4</v>
      </c>
      <c r="R2058">
        <v>6086016</v>
      </c>
    </row>
    <row r="2059" spans="1:18" x14ac:dyDescent="0.25">
      <c r="A2059" s="170">
        <v>45037</v>
      </c>
      <c r="B2059" s="116">
        <v>197.15</v>
      </c>
      <c r="C2059" s="116">
        <v>195.7</v>
      </c>
      <c r="D2059" s="116">
        <v>194.55</v>
      </c>
      <c r="E2059" s="116">
        <v>196.65</v>
      </c>
      <c r="F2059" s="116">
        <v>195.7</v>
      </c>
      <c r="G2059">
        <v>223563</v>
      </c>
      <c r="H2059" s="116"/>
      <c r="I2059" s="116"/>
      <c r="L2059" s="170">
        <v>45037</v>
      </c>
      <c r="M2059" s="116">
        <v>195.7</v>
      </c>
      <c r="N2059" s="116">
        <v>196.95</v>
      </c>
      <c r="O2059" s="116">
        <v>194.5</v>
      </c>
      <c r="P2059" s="116">
        <v>196.95</v>
      </c>
      <c r="Q2059" s="116">
        <v>195.7</v>
      </c>
      <c r="R2059">
        <v>4015567</v>
      </c>
    </row>
    <row r="2060" spans="1:18" x14ac:dyDescent="0.25">
      <c r="A2060" s="170">
        <v>45040</v>
      </c>
      <c r="B2060" s="116">
        <v>196.65</v>
      </c>
      <c r="C2060" s="116">
        <v>195.8</v>
      </c>
      <c r="D2060" s="116">
        <v>194.85</v>
      </c>
      <c r="E2060" s="116">
        <v>196.1</v>
      </c>
      <c r="F2060" s="116">
        <v>195.8</v>
      </c>
      <c r="G2060">
        <v>218341</v>
      </c>
      <c r="H2060" s="116"/>
      <c r="I2060" s="116"/>
      <c r="L2060" s="170">
        <v>45040</v>
      </c>
      <c r="M2060" s="116">
        <v>195.85</v>
      </c>
      <c r="N2060" s="116">
        <v>196.7</v>
      </c>
      <c r="O2060" s="116">
        <v>194.8</v>
      </c>
      <c r="P2060" s="116">
        <v>196.5</v>
      </c>
      <c r="Q2060" s="116">
        <v>195.85</v>
      </c>
      <c r="R2060">
        <v>5017631</v>
      </c>
    </row>
    <row r="2061" spans="1:18" x14ac:dyDescent="0.25">
      <c r="A2061" s="170">
        <v>45041</v>
      </c>
      <c r="B2061" s="116">
        <v>198.8</v>
      </c>
      <c r="C2061" s="116">
        <v>197.6</v>
      </c>
      <c r="D2061" s="116">
        <v>195.4</v>
      </c>
      <c r="E2061" s="116">
        <v>195.7</v>
      </c>
      <c r="F2061" s="116">
        <v>197.6</v>
      </c>
      <c r="G2061">
        <v>320218</v>
      </c>
      <c r="H2061" s="116"/>
      <c r="I2061" s="116"/>
      <c r="L2061" s="170">
        <v>45041</v>
      </c>
      <c r="M2061" s="116">
        <v>197.65</v>
      </c>
      <c r="N2061" s="116">
        <v>198.8</v>
      </c>
      <c r="O2061" s="116">
        <v>195.35</v>
      </c>
      <c r="P2061" s="116">
        <v>195.85</v>
      </c>
      <c r="Q2061" s="116">
        <v>197.65</v>
      </c>
      <c r="R2061">
        <v>5957551</v>
      </c>
    </row>
    <row r="2062" spans="1:18" x14ac:dyDescent="0.25">
      <c r="A2062" s="170">
        <v>45042</v>
      </c>
      <c r="B2062" s="116">
        <v>198.95</v>
      </c>
      <c r="C2062" s="116">
        <v>198.15</v>
      </c>
      <c r="D2062" s="116">
        <v>196.2</v>
      </c>
      <c r="E2062" s="116">
        <v>197.65</v>
      </c>
      <c r="F2062" s="116">
        <v>198.15</v>
      </c>
      <c r="G2062">
        <v>220407</v>
      </c>
      <c r="H2062" s="116"/>
      <c r="I2062" s="116"/>
      <c r="L2062" s="170">
        <v>45042</v>
      </c>
      <c r="M2062" s="116">
        <v>198.2</v>
      </c>
      <c r="N2062" s="116">
        <v>198.95</v>
      </c>
      <c r="O2062" s="116">
        <v>196.15</v>
      </c>
      <c r="P2062" s="116">
        <v>197.65</v>
      </c>
      <c r="Q2062" s="116">
        <v>198.2</v>
      </c>
      <c r="R2062">
        <v>4910837</v>
      </c>
    </row>
    <row r="2063" spans="1:18" x14ac:dyDescent="0.25">
      <c r="A2063" s="170">
        <v>45043</v>
      </c>
      <c r="B2063" s="116">
        <v>200</v>
      </c>
      <c r="C2063" s="116">
        <v>198.45</v>
      </c>
      <c r="D2063" s="116">
        <v>197.65</v>
      </c>
      <c r="E2063" s="116">
        <v>198.1</v>
      </c>
      <c r="F2063" s="116">
        <v>198.45</v>
      </c>
      <c r="G2063">
        <v>272299</v>
      </c>
      <c r="H2063" s="116"/>
      <c r="I2063" s="116"/>
      <c r="L2063" s="170">
        <v>45043</v>
      </c>
      <c r="M2063" s="116">
        <v>198.5</v>
      </c>
      <c r="N2063" s="116">
        <v>199.95</v>
      </c>
      <c r="O2063" s="116">
        <v>197.65</v>
      </c>
      <c r="P2063" s="116">
        <v>198.45</v>
      </c>
      <c r="Q2063" s="116">
        <v>198.5</v>
      </c>
      <c r="R2063">
        <v>5215692</v>
      </c>
    </row>
    <row r="2064" spans="1:18" x14ac:dyDescent="0.25">
      <c r="A2064" s="170">
        <v>45044</v>
      </c>
      <c r="B2064" s="116">
        <v>201.5</v>
      </c>
      <c r="C2064" s="116">
        <v>201.15</v>
      </c>
      <c r="D2064" s="116">
        <v>199.05</v>
      </c>
      <c r="E2064" s="116">
        <v>199.1</v>
      </c>
      <c r="F2064" s="116">
        <v>201.15</v>
      </c>
      <c r="G2064">
        <v>312223</v>
      </c>
      <c r="H2064" s="116"/>
      <c r="I2064" s="116"/>
      <c r="L2064" s="170">
        <v>45044</v>
      </c>
      <c r="M2064" s="116">
        <v>201.1</v>
      </c>
      <c r="N2064" s="116">
        <v>201.55</v>
      </c>
      <c r="O2064" s="116">
        <v>199</v>
      </c>
      <c r="P2064" s="116">
        <v>199.5</v>
      </c>
      <c r="Q2064" s="116">
        <v>201.1</v>
      </c>
      <c r="R2064">
        <v>7951645</v>
      </c>
    </row>
    <row r="2065" spans="1:18" x14ac:dyDescent="0.25">
      <c r="A2065" s="170">
        <v>45048</v>
      </c>
      <c r="B2065" s="116">
        <v>202.9</v>
      </c>
      <c r="C2065" s="116">
        <v>201.65</v>
      </c>
      <c r="D2065" s="116">
        <v>200.45</v>
      </c>
      <c r="E2065" s="116">
        <v>201.15</v>
      </c>
      <c r="F2065" s="116">
        <v>201.65</v>
      </c>
      <c r="G2065">
        <v>978182</v>
      </c>
      <c r="H2065" s="116"/>
      <c r="I2065" s="116"/>
      <c r="L2065" s="170">
        <v>45048</v>
      </c>
      <c r="M2065" s="116">
        <v>201.75</v>
      </c>
      <c r="N2065" s="116">
        <v>202.95</v>
      </c>
      <c r="O2065" s="116">
        <v>200.4</v>
      </c>
      <c r="P2065" s="116">
        <v>201.95</v>
      </c>
      <c r="Q2065" s="116">
        <v>201.75</v>
      </c>
      <c r="R2065">
        <v>6881245</v>
      </c>
    </row>
    <row r="2066" spans="1:18" x14ac:dyDescent="0.25">
      <c r="A2066" s="170">
        <v>45049</v>
      </c>
      <c r="B2066" s="116">
        <v>204.35</v>
      </c>
      <c r="C2066" s="116">
        <v>203.8</v>
      </c>
      <c r="D2066" s="116">
        <v>200.5</v>
      </c>
      <c r="E2066" s="116">
        <v>201.4</v>
      </c>
      <c r="F2066" s="116">
        <v>203.8</v>
      </c>
      <c r="G2066">
        <v>503627</v>
      </c>
      <c r="H2066" s="116"/>
      <c r="I2066" s="116"/>
      <c r="L2066" s="170">
        <v>45049</v>
      </c>
      <c r="M2066" s="116">
        <v>203.8</v>
      </c>
      <c r="N2066" s="116">
        <v>204.25</v>
      </c>
      <c r="O2066" s="116">
        <v>200.45</v>
      </c>
      <c r="P2066" s="116">
        <v>201.8</v>
      </c>
      <c r="Q2066" s="116">
        <v>203.8</v>
      </c>
      <c r="R2066">
        <v>8641713</v>
      </c>
    </row>
    <row r="2067" spans="1:18" x14ac:dyDescent="0.25">
      <c r="A2067" s="170">
        <v>45050</v>
      </c>
      <c r="B2067" s="116">
        <v>204.65</v>
      </c>
      <c r="C2067" s="116">
        <v>203.75</v>
      </c>
      <c r="D2067" s="116">
        <v>202.1</v>
      </c>
      <c r="E2067" s="116">
        <v>203.55</v>
      </c>
      <c r="F2067" s="116">
        <v>203.75</v>
      </c>
      <c r="G2067">
        <v>402874</v>
      </c>
      <c r="H2067" s="116"/>
      <c r="I2067" s="116"/>
      <c r="L2067" s="170">
        <v>45050</v>
      </c>
      <c r="M2067" s="116">
        <v>203.85</v>
      </c>
      <c r="N2067" s="116">
        <v>204.55</v>
      </c>
      <c r="O2067" s="116">
        <v>202.1</v>
      </c>
      <c r="P2067" s="116">
        <v>203.9</v>
      </c>
      <c r="Q2067" s="116">
        <v>203.85</v>
      </c>
      <c r="R2067">
        <v>8211667</v>
      </c>
    </row>
    <row r="2068" spans="1:18" x14ac:dyDescent="0.25">
      <c r="A2068" s="170">
        <v>45051</v>
      </c>
      <c r="B2068" s="116">
        <v>205.5</v>
      </c>
      <c r="C2068" s="116">
        <v>200.1</v>
      </c>
      <c r="D2068" s="116">
        <v>199.35</v>
      </c>
      <c r="E2068" s="116">
        <v>204.45</v>
      </c>
      <c r="F2068" s="116">
        <v>200.1</v>
      </c>
      <c r="G2068">
        <v>770913</v>
      </c>
      <c r="H2068" s="116"/>
      <c r="I2068" s="116"/>
      <c r="L2068" s="170">
        <v>45051</v>
      </c>
      <c r="M2068" s="116">
        <v>200.15</v>
      </c>
      <c r="N2068" s="116">
        <v>205.6</v>
      </c>
      <c r="O2068" s="116">
        <v>199.4</v>
      </c>
      <c r="P2068" s="116">
        <v>203.9</v>
      </c>
      <c r="Q2068" s="116">
        <v>200.15</v>
      </c>
      <c r="R2068">
        <v>16337389</v>
      </c>
    </row>
    <row r="2069" spans="1:18" x14ac:dyDescent="0.25">
      <c r="A2069" s="170">
        <v>45054</v>
      </c>
      <c r="B2069" s="116">
        <v>203.15</v>
      </c>
      <c r="C2069" s="116">
        <v>202.65</v>
      </c>
      <c r="D2069" s="116">
        <v>199.6</v>
      </c>
      <c r="E2069" s="116">
        <v>200.25</v>
      </c>
      <c r="F2069" s="116">
        <v>202.65</v>
      </c>
      <c r="G2069">
        <v>406958</v>
      </c>
      <c r="H2069" s="116"/>
      <c r="I2069" s="116"/>
      <c r="L2069" s="170">
        <v>45054</v>
      </c>
      <c r="M2069" s="116">
        <v>202.7</v>
      </c>
      <c r="N2069" s="116">
        <v>203.2</v>
      </c>
      <c r="O2069" s="116">
        <v>199.5</v>
      </c>
      <c r="P2069" s="116">
        <v>201.5</v>
      </c>
      <c r="Q2069" s="116">
        <v>202.7</v>
      </c>
      <c r="R2069">
        <v>7724617</v>
      </c>
    </row>
    <row r="2070" spans="1:18" x14ac:dyDescent="0.25">
      <c r="A2070" s="170">
        <v>45055</v>
      </c>
      <c r="B2070" s="116">
        <v>205.1</v>
      </c>
      <c r="C2070" s="116">
        <v>203.4</v>
      </c>
      <c r="D2070" s="116">
        <v>202.5</v>
      </c>
      <c r="E2070" s="116">
        <v>203.5</v>
      </c>
      <c r="F2070" s="116">
        <v>203.4</v>
      </c>
      <c r="G2070">
        <v>765092</v>
      </c>
      <c r="H2070" s="116"/>
      <c r="I2070" s="116"/>
      <c r="L2070" s="170">
        <v>45055</v>
      </c>
      <c r="M2070" s="116">
        <v>203.3</v>
      </c>
      <c r="N2070" s="116">
        <v>205.1</v>
      </c>
      <c r="O2070" s="116">
        <v>202.4</v>
      </c>
      <c r="P2070" s="116">
        <v>203.75</v>
      </c>
      <c r="Q2070" s="116">
        <v>203.3</v>
      </c>
      <c r="R2070">
        <v>7956883</v>
      </c>
    </row>
    <row r="2071" spans="1:18" x14ac:dyDescent="0.25">
      <c r="A2071" s="170">
        <v>45056</v>
      </c>
      <c r="B2071" s="116">
        <v>204.35</v>
      </c>
      <c r="C2071" s="116">
        <v>204.1</v>
      </c>
      <c r="D2071" s="116">
        <v>202.15</v>
      </c>
      <c r="E2071" s="116">
        <v>203.4</v>
      </c>
      <c r="F2071" s="116">
        <v>204.1</v>
      </c>
      <c r="G2071">
        <v>693840</v>
      </c>
      <c r="H2071" s="116"/>
      <c r="I2071" s="116"/>
      <c r="L2071" s="170">
        <v>45056</v>
      </c>
      <c r="M2071" s="116">
        <v>204.15</v>
      </c>
      <c r="N2071" s="116">
        <v>204.45</v>
      </c>
      <c r="O2071" s="116">
        <v>202.2</v>
      </c>
      <c r="P2071" s="116">
        <v>203.5</v>
      </c>
      <c r="Q2071" s="116">
        <v>204.15</v>
      </c>
      <c r="R2071">
        <v>5026713</v>
      </c>
    </row>
    <row r="2072" spans="1:18" x14ac:dyDescent="0.25">
      <c r="A2072" s="170">
        <v>45057</v>
      </c>
      <c r="B2072" s="116">
        <v>207.2</v>
      </c>
      <c r="C2072" s="116">
        <v>206.25</v>
      </c>
      <c r="D2072" s="116">
        <v>204.25</v>
      </c>
      <c r="E2072" s="116">
        <v>204.25</v>
      </c>
      <c r="F2072" s="116">
        <v>206.25</v>
      </c>
      <c r="G2072">
        <v>395649</v>
      </c>
      <c r="H2072" s="116"/>
      <c r="I2072" s="116"/>
      <c r="L2072" s="170">
        <v>45057</v>
      </c>
      <c r="M2072" s="116">
        <v>206.3</v>
      </c>
      <c r="N2072" s="116">
        <v>207.2</v>
      </c>
      <c r="O2072" s="116">
        <v>204.15</v>
      </c>
      <c r="P2072" s="116">
        <v>204.5</v>
      </c>
      <c r="Q2072" s="116">
        <v>206.3</v>
      </c>
      <c r="R2072">
        <v>8986218</v>
      </c>
    </row>
    <row r="2073" spans="1:18" x14ac:dyDescent="0.25">
      <c r="A2073" s="170">
        <v>45058</v>
      </c>
      <c r="B2073" s="116">
        <v>207.7</v>
      </c>
      <c r="C2073" s="116">
        <v>207.05</v>
      </c>
      <c r="D2073" s="116">
        <v>206.2</v>
      </c>
      <c r="E2073" s="116">
        <v>206.4</v>
      </c>
      <c r="F2073" s="116">
        <v>207.05</v>
      </c>
      <c r="G2073">
        <v>490090</v>
      </c>
      <c r="H2073" s="116"/>
      <c r="I2073" s="116"/>
      <c r="L2073" s="170">
        <v>45058</v>
      </c>
      <c r="M2073" s="116">
        <v>207.05</v>
      </c>
      <c r="N2073" s="116">
        <v>207.8</v>
      </c>
      <c r="O2073" s="116">
        <v>206.15</v>
      </c>
      <c r="P2073" s="116">
        <v>206.85</v>
      </c>
      <c r="Q2073" s="116">
        <v>207.05</v>
      </c>
      <c r="R2073">
        <v>7304524</v>
      </c>
    </row>
    <row r="2074" spans="1:18" x14ac:dyDescent="0.25">
      <c r="A2074" s="170">
        <v>45061</v>
      </c>
      <c r="B2074" s="116">
        <v>209.4</v>
      </c>
      <c r="C2074" s="116">
        <v>208</v>
      </c>
      <c r="D2074" s="116">
        <v>206.5</v>
      </c>
      <c r="E2074" s="116">
        <v>207.15</v>
      </c>
      <c r="F2074" s="116">
        <v>208</v>
      </c>
      <c r="G2074">
        <v>396354</v>
      </c>
      <c r="H2074" s="116"/>
      <c r="I2074" s="116"/>
      <c r="L2074" s="170">
        <v>45061</v>
      </c>
      <c r="M2074" s="116">
        <v>208.15</v>
      </c>
      <c r="N2074" s="116">
        <v>209.4</v>
      </c>
      <c r="O2074" s="116">
        <v>206.45</v>
      </c>
      <c r="P2074" s="116">
        <v>207.65</v>
      </c>
      <c r="Q2074" s="116">
        <v>208.15</v>
      </c>
      <c r="R2074">
        <v>6740655</v>
      </c>
    </row>
    <row r="2075" spans="1:18" x14ac:dyDescent="0.25">
      <c r="A2075" s="170">
        <v>45062</v>
      </c>
      <c r="B2075" s="116">
        <v>214.95</v>
      </c>
      <c r="C2075" s="116">
        <v>211.35</v>
      </c>
      <c r="D2075" s="116">
        <v>208.05</v>
      </c>
      <c r="E2075" s="116">
        <v>208.6</v>
      </c>
      <c r="F2075" s="116">
        <v>211.35</v>
      </c>
      <c r="G2075">
        <v>697146</v>
      </c>
      <c r="H2075" s="116"/>
      <c r="I2075" s="116"/>
      <c r="L2075" s="170">
        <v>45062</v>
      </c>
      <c r="M2075" s="116">
        <v>211.35</v>
      </c>
      <c r="N2075" s="116">
        <v>215</v>
      </c>
      <c r="O2075" s="116">
        <v>208.2</v>
      </c>
      <c r="P2075" s="116">
        <v>208.85</v>
      </c>
      <c r="Q2075" s="116">
        <v>211.35</v>
      </c>
      <c r="R2075">
        <v>18196503</v>
      </c>
    </row>
    <row r="2076" spans="1:18" x14ac:dyDescent="0.25">
      <c r="A2076" s="170">
        <v>45063</v>
      </c>
      <c r="B2076" s="116">
        <v>212.45</v>
      </c>
      <c r="C2076" s="116">
        <v>207.65</v>
      </c>
      <c r="D2076" s="116">
        <v>206.8</v>
      </c>
      <c r="E2076" s="116">
        <v>211.95</v>
      </c>
      <c r="F2076" s="116">
        <v>207.65</v>
      </c>
      <c r="G2076">
        <v>524616</v>
      </c>
      <c r="H2076" s="116"/>
      <c r="I2076" s="116"/>
      <c r="L2076" s="170">
        <v>45063</v>
      </c>
      <c r="M2076" s="116">
        <v>207.75</v>
      </c>
      <c r="N2076" s="116">
        <v>212.4</v>
      </c>
      <c r="O2076" s="116">
        <v>206.85</v>
      </c>
      <c r="P2076" s="116">
        <v>212.4</v>
      </c>
      <c r="Q2076" s="116">
        <v>207.75</v>
      </c>
      <c r="R2076">
        <v>9107799</v>
      </c>
    </row>
    <row r="2077" spans="1:18" x14ac:dyDescent="0.25">
      <c r="A2077" s="170">
        <v>45064</v>
      </c>
      <c r="B2077" s="116">
        <v>209.7</v>
      </c>
      <c r="C2077" s="116">
        <v>204.6</v>
      </c>
      <c r="D2077" s="116">
        <v>204.1</v>
      </c>
      <c r="E2077" s="116">
        <v>208.7</v>
      </c>
      <c r="F2077" s="116">
        <v>204.6</v>
      </c>
      <c r="G2077">
        <v>336218</v>
      </c>
      <c r="H2077" s="116"/>
      <c r="I2077" s="116"/>
      <c r="L2077" s="170">
        <v>45064</v>
      </c>
      <c r="M2077" s="116">
        <v>204.6</v>
      </c>
      <c r="N2077" s="116">
        <v>209.7</v>
      </c>
      <c r="O2077" s="116">
        <v>204.1</v>
      </c>
      <c r="P2077" s="116">
        <v>209</v>
      </c>
      <c r="Q2077" s="116">
        <v>204.6</v>
      </c>
      <c r="R2077">
        <v>8248339</v>
      </c>
    </row>
    <row r="2078" spans="1:18" x14ac:dyDescent="0.25">
      <c r="A2078" s="170">
        <v>45065</v>
      </c>
      <c r="B2078" s="116">
        <v>206.35</v>
      </c>
      <c r="C2078" s="116">
        <v>205.8</v>
      </c>
      <c r="D2078" s="116">
        <v>201.75</v>
      </c>
      <c r="E2078" s="116">
        <v>205</v>
      </c>
      <c r="F2078" s="116">
        <v>205.8</v>
      </c>
      <c r="G2078">
        <v>389039</v>
      </c>
      <c r="H2078" s="116"/>
      <c r="I2078" s="116"/>
      <c r="L2078" s="170">
        <v>45065</v>
      </c>
      <c r="M2078" s="116">
        <v>205.85</v>
      </c>
      <c r="N2078" s="116">
        <v>206.5</v>
      </c>
      <c r="O2078" s="116">
        <v>201.8</v>
      </c>
      <c r="P2078" s="116">
        <v>206.3</v>
      </c>
      <c r="Q2078" s="116">
        <v>205.85</v>
      </c>
      <c r="R2078">
        <v>9002705</v>
      </c>
    </row>
    <row r="2079" spans="1:18" x14ac:dyDescent="0.25">
      <c r="A2079" s="170">
        <v>45068</v>
      </c>
      <c r="B2079" s="116">
        <v>206.9</v>
      </c>
      <c r="C2079" s="116">
        <v>206.15</v>
      </c>
      <c r="D2079" s="116">
        <v>204.25</v>
      </c>
      <c r="E2079" s="116">
        <v>205.8</v>
      </c>
      <c r="F2079" s="116">
        <v>206.15</v>
      </c>
      <c r="G2079">
        <v>396467</v>
      </c>
      <c r="H2079" s="116"/>
      <c r="I2079" s="116"/>
      <c r="L2079" s="170">
        <v>45068</v>
      </c>
      <c r="M2079" s="116">
        <v>206.2</v>
      </c>
      <c r="N2079" s="116">
        <v>206.9</v>
      </c>
      <c r="O2079" s="116">
        <v>204.1</v>
      </c>
      <c r="P2079" s="116">
        <v>206</v>
      </c>
      <c r="Q2079" s="116">
        <v>206.2</v>
      </c>
      <c r="R2079">
        <v>5577418</v>
      </c>
    </row>
    <row r="2080" spans="1:18" x14ac:dyDescent="0.25">
      <c r="A2080" s="170">
        <v>45069</v>
      </c>
      <c r="B2080" s="116">
        <v>207.45</v>
      </c>
      <c r="C2080" s="116">
        <v>206.8</v>
      </c>
      <c r="D2080" s="116">
        <v>205.5</v>
      </c>
      <c r="E2080" s="116">
        <v>206.1</v>
      </c>
      <c r="F2080" s="116">
        <v>206.8</v>
      </c>
      <c r="G2080">
        <v>259600</v>
      </c>
      <c r="H2080" s="116"/>
      <c r="I2080" s="116"/>
      <c r="L2080" s="170">
        <v>45069</v>
      </c>
      <c r="M2080" s="116">
        <v>206.9</v>
      </c>
      <c r="N2080" s="116">
        <v>207.45</v>
      </c>
      <c r="O2080" s="116">
        <v>205.5</v>
      </c>
      <c r="P2080" s="116">
        <v>206.5</v>
      </c>
      <c r="Q2080" s="116">
        <v>206.9</v>
      </c>
      <c r="R2080">
        <v>5017652</v>
      </c>
    </row>
    <row r="2081" spans="1:18" x14ac:dyDescent="0.25">
      <c r="A2081" s="170">
        <v>45070</v>
      </c>
      <c r="B2081" s="116">
        <v>208</v>
      </c>
      <c r="C2081" s="116">
        <v>207.3</v>
      </c>
      <c r="D2081" s="116">
        <v>205.6</v>
      </c>
      <c r="E2081" s="116">
        <v>206.15</v>
      </c>
      <c r="F2081" s="116">
        <v>207.3</v>
      </c>
      <c r="G2081">
        <v>716541</v>
      </c>
      <c r="H2081" s="116"/>
      <c r="I2081" s="116"/>
      <c r="L2081" s="170">
        <v>45070</v>
      </c>
      <c r="M2081" s="116">
        <v>207.15</v>
      </c>
      <c r="N2081" s="116">
        <v>208</v>
      </c>
      <c r="O2081" s="116">
        <v>205.55</v>
      </c>
      <c r="P2081" s="116">
        <v>206.65</v>
      </c>
      <c r="Q2081" s="116">
        <v>207.15</v>
      </c>
      <c r="R2081">
        <v>5447203</v>
      </c>
    </row>
    <row r="2082" spans="1:18" x14ac:dyDescent="0.25">
      <c r="A2082" s="170">
        <v>45071</v>
      </c>
      <c r="B2082" s="116">
        <v>211.1</v>
      </c>
      <c r="C2082" s="116">
        <v>210.85</v>
      </c>
      <c r="D2082" s="116">
        <v>206.45</v>
      </c>
      <c r="E2082" s="116">
        <v>207.05</v>
      </c>
      <c r="F2082" s="116">
        <v>210.85</v>
      </c>
      <c r="G2082">
        <v>1736194</v>
      </c>
      <c r="H2082" s="116"/>
      <c r="I2082" s="116"/>
      <c r="L2082" s="170">
        <v>45071</v>
      </c>
      <c r="M2082" s="116">
        <v>210.8</v>
      </c>
      <c r="N2082" s="116">
        <v>211.2</v>
      </c>
      <c r="O2082" s="116">
        <v>206.55</v>
      </c>
      <c r="P2082" s="116">
        <v>207.2</v>
      </c>
      <c r="Q2082" s="116">
        <v>210.8</v>
      </c>
      <c r="R2082">
        <v>8705559</v>
      </c>
    </row>
    <row r="2083" spans="1:18" x14ac:dyDescent="0.25">
      <c r="A2083" s="170">
        <v>45072</v>
      </c>
      <c r="B2083" s="116">
        <v>213.75</v>
      </c>
      <c r="C2083" s="116">
        <v>212.1</v>
      </c>
      <c r="D2083" s="116">
        <v>210.65</v>
      </c>
      <c r="E2083" s="116">
        <v>212</v>
      </c>
      <c r="F2083" s="116">
        <v>212.1</v>
      </c>
      <c r="G2083">
        <v>1233218</v>
      </c>
      <c r="H2083" s="116"/>
      <c r="I2083" s="116"/>
      <c r="L2083" s="170">
        <v>45072</v>
      </c>
      <c r="M2083" s="116">
        <v>212.2</v>
      </c>
      <c r="N2083" s="116">
        <v>213.8</v>
      </c>
      <c r="O2083" s="116">
        <v>210.65</v>
      </c>
      <c r="P2083" s="116">
        <v>212.25</v>
      </c>
      <c r="Q2083" s="116">
        <v>212.2</v>
      </c>
      <c r="R2083">
        <v>8476048</v>
      </c>
    </row>
    <row r="2084" spans="1:18" x14ac:dyDescent="0.25">
      <c r="A2084" s="170">
        <v>45075</v>
      </c>
      <c r="B2084" s="116">
        <v>217.65</v>
      </c>
      <c r="C2084" s="116">
        <v>216.95</v>
      </c>
      <c r="D2084" s="116">
        <v>211.75</v>
      </c>
      <c r="E2084" s="116">
        <v>213</v>
      </c>
      <c r="F2084" s="116">
        <v>216.95</v>
      </c>
      <c r="G2084">
        <v>557692</v>
      </c>
      <c r="H2084" s="116"/>
      <c r="I2084" s="116"/>
      <c r="L2084" s="170">
        <v>45075</v>
      </c>
      <c r="M2084" s="116">
        <v>217</v>
      </c>
      <c r="N2084" s="116">
        <v>217.7</v>
      </c>
      <c r="O2084" s="116">
        <v>211.7</v>
      </c>
      <c r="P2084" s="116">
        <v>213</v>
      </c>
      <c r="Q2084" s="116">
        <v>217</v>
      </c>
      <c r="R2084">
        <v>12956419</v>
      </c>
    </row>
    <row r="2085" spans="1:18" x14ac:dyDescent="0.25">
      <c r="A2085" s="170">
        <v>45076</v>
      </c>
      <c r="B2085" s="116">
        <v>218.45</v>
      </c>
      <c r="C2085" s="116">
        <v>217.2</v>
      </c>
      <c r="D2085" s="116">
        <v>214.95</v>
      </c>
      <c r="E2085" s="116">
        <v>217.35</v>
      </c>
      <c r="F2085" s="116">
        <v>217.2</v>
      </c>
      <c r="G2085">
        <v>848490</v>
      </c>
      <c r="H2085" s="116"/>
      <c r="I2085" s="116"/>
      <c r="L2085" s="170">
        <v>45076</v>
      </c>
      <c r="M2085" s="116">
        <v>216.9</v>
      </c>
      <c r="N2085" s="116">
        <v>218.45</v>
      </c>
      <c r="O2085" s="116">
        <v>215</v>
      </c>
      <c r="P2085" s="116">
        <v>218</v>
      </c>
      <c r="Q2085" s="116">
        <v>216.9</v>
      </c>
      <c r="R2085">
        <v>11975300</v>
      </c>
    </row>
    <row r="2086" spans="1:18" x14ac:dyDescent="0.25">
      <c r="A2086" s="170">
        <v>45077</v>
      </c>
      <c r="B2086" s="116">
        <v>218.95</v>
      </c>
      <c r="C2086" s="116">
        <v>213.6</v>
      </c>
      <c r="D2086" s="116">
        <v>212.95</v>
      </c>
      <c r="E2086" s="116">
        <v>216.35</v>
      </c>
      <c r="F2086" s="116">
        <v>213.6</v>
      </c>
      <c r="G2086">
        <v>1224646</v>
      </c>
      <c r="H2086" s="116"/>
      <c r="I2086" s="116"/>
      <c r="L2086" s="170">
        <v>45077</v>
      </c>
      <c r="M2086" s="116">
        <v>213.55</v>
      </c>
      <c r="N2086" s="116">
        <v>219</v>
      </c>
      <c r="O2086" s="116">
        <v>212.9</v>
      </c>
      <c r="P2086" s="116">
        <v>216.9</v>
      </c>
      <c r="Q2086" s="116">
        <v>213.55</v>
      </c>
      <c r="R2086">
        <v>11299432</v>
      </c>
    </row>
    <row r="2087" spans="1:18" x14ac:dyDescent="0.25">
      <c r="A2087" s="170">
        <v>45078</v>
      </c>
      <c r="B2087" s="116">
        <v>217</v>
      </c>
      <c r="C2087" s="116">
        <v>215.25</v>
      </c>
      <c r="D2087" s="116">
        <v>213</v>
      </c>
      <c r="E2087" s="116">
        <v>213.05</v>
      </c>
      <c r="F2087" s="116">
        <v>215.25</v>
      </c>
      <c r="G2087">
        <v>810483</v>
      </c>
      <c r="H2087" s="116"/>
      <c r="I2087" s="116"/>
      <c r="L2087" s="170">
        <v>45078</v>
      </c>
      <c r="M2087" s="116">
        <v>215.3</v>
      </c>
      <c r="N2087" s="116">
        <v>217</v>
      </c>
      <c r="O2087" s="116">
        <v>213</v>
      </c>
      <c r="P2087" s="116">
        <v>213.95</v>
      </c>
      <c r="Q2087" s="116">
        <v>215.3</v>
      </c>
      <c r="R2087">
        <v>6324964</v>
      </c>
    </row>
    <row r="2088" spans="1:18" x14ac:dyDescent="0.25">
      <c r="A2088" s="170">
        <v>45079</v>
      </c>
      <c r="B2088" s="116">
        <v>216.9</v>
      </c>
      <c r="C2088" s="116">
        <v>215.6</v>
      </c>
      <c r="D2088" s="116">
        <v>215.1</v>
      </c>
      <c r="E2088" s="116">
        <v>216.1</v>
      </c>
      <c r="F2088" s="116">
        <v>215.6</v>
      </c>
      <c r="G2088">
        <v>371395</v>
      </c>
      <c r="H2088" s="116"/>
      <c r="I2088" s="116"/>
      <c r="L2088" s="170">
        <v>45079</v>
      </c>
      <c r="M2088" s="116">
        <v>215.65</v>
      </c>
      <c r="N2088" s="116">
        <v>216.9</v>
      </c>
      <c r="O2088" s="116">
        <v>215</v>
      </c>
      <c r="P2088" s="116">
        <v>216.4</v>
      </c>
      <c r="Q2088" s="116">
        <v>215.65</v>
      </c>
      <c r="R2088">
        <v>4908437</v>
      </c>
    </row>
    <row r="2089" spans="1:18" x14ac:dyDescent="0.25">
      <c r="A2089" s="170">
        <v>45082</v>
      </c>
      <c r="B2089" s="116">
        <v>219.4</v>
      </c>
      <c r="C2089" s="116">
        <v>218.95</v>
      </c>
      <c r="D2089" s="116">
        <v>216.25</v>
      </c>
      <c r="E2089" s="116">
        <v>216.35</v>
      </c>
      <c r="F2089" s="116">
        <v>218.95</v>
      </c>
      <c r="G2089">
        <v>547358</v>
      </c>
      <c r="H2089" s="116"/>
      <c r="I2089" s="116"/>
      <c r="L2089" s="170">
        <v>45082</v>
      </c>
      <c r="M2089" s="116">
        <v>219.05</v>
      </c>
      <c r="N2089" s="116">
        <v>219.4</v>
      </c>
      <c r="O2089" s="116">
        <v>216.15</v>
      </c>
      <c r="P2089" s="116">
        <v>217</v>
      </c>
      <c r="Q2089" s="116">
        <v>219.05</v>
      </c>
      <c r="R2089">
        <v>8688870</v>
      </c>
    </row>
    <row r="2090" spans="1:18" x14ac:dyDescent="0.25">
      <c r="A2090" s="170">
        <v>45083</v>
      </c>
      <c r="B2090" s="116">
        <v>219.8</v>
      </c>
      <c r="C2090" s="116">
        <v>216.7</v>
      </c>
      <c r="D2090" s="116">
        <v>215.55</v>
      </c>
      <c r="E2090" s="116">
        <v>219.4</v>
      </c>
      <c r="F2090" s="116">
        <v>216.7</v>
      </c>
      <c r="G2090">
        <v>440824</v>
      </c>
      <c r="H2090" s="116"/>
      <c r="I2090" s="116"/>
      <c r="L2090" s="170">
        <v>45083</v>
      </c>
      <c r="M2090" s="116">
        <v>216.75</v>
      </c>
      <c r="N2090" s="116">
        <v>219.8</v>
      </c>
      <c r="O2090" s="116">
        <v>215.55</v>
      </c>
      <c r="P2090" s="116">
        <v>219.8</v>
      </c>
      <c r="Q2090" s="116">
        <v>216.75</v>
      </c>
      <c r="R2090">
        <v>8301040</v>
      </c>
    </row>
    <row r="2091" spans="1:18" x14ac:dyDescent="0.25">
      <c r="A2091" s="170">
        <v>45084</v>
      </c>
      <c r="B2091" s="116">
        <v>219.65</v>
      </c>
      <c r="C2091" s="116">
        <v>218.4</v>
      </c>
      <c r="D2091" s="116">
        <v>214.25</v>
      </c>
      <c r="E2091" s="116">
        <v>216.8</v>
      </c>
      <c r="F2091" s="116">
        <v>218.4</v>
      </c>
      <c r="G2091">
        <v>612950</v>
      </c>
      <c r="H2091" s="116"/>
      <c r="I2091" s="116"/>
      <c r="L2091" s="170">
        <v>45084</v>
      </c>
      <c r="M2091" s="116">
        <v>218.45</v>
      </c>
      <c r="N2091" s="116">
        <v>219.65</v>
      </c>
      <c r="O2091" s="116">
        <v>214.1</v>
      </c>
      <c r="P2091" s="116">
        <v>216.6</v>
      </c>
      <c r="Q2091" s="116">
        <v>218.45</v>
      </c>
      <c r="R2091">
        <v>11387499</v>
      </c>
    </row>
    <row r="2092" spans="1:18" x14ac:dyDescent="0.25">
      <c r="A2092" s="170">
        <v>45085</v>
      </c>
      <c r="B2092" s="116">
        <v>226.15</v>
      </c>
      <c r="C2092" s="116">
        <v>220.6</v>
      </c>
      <c r="D2092" s="116">
        <v>218.4</v>
      </c>
      <c r="E2092" s="116">
        <v>218.85</v>
      </c>
      <c r="F2092" s="116">
        <v>220.6</v>
      </c>
      <c r="G2092">
        <v>1225065</v>
      </c>
      <c r="H2092" s="116"/>
      <c r="I2092" s="116"/>
      <c r="L2092" s="170">
        <v>45085</v>
      </c>
      <c r="M2092" s="116">
        <v>220.65</v>
      </c>
      <c r="N2092" s="116">
        <v>226.2</v>
      </c>
      <c r="O2092" s="116">
        <v>218.45</v>
      </c>
      <c r="P2092" s="116">
        <v>218.95</v>
      </c>
      <c r="Q2092" s="116">
        <v>220.65</v>
      </c>
      <c r="R2092">
        <v>31056302</v>
      </c>
    </row>
    <row r="2093" spans="1:18" x14ac:dyDescent="0.25">
      <c r="A2093" s="170">
        <v>45086</v>
      </c>
      <c r="B2093" s="116">
        <v>224.95</v>
      </c>
      <c r="C2093" s="116">
        <v>221.15</v>
      </c>
      <c r="D2093" s="116">
        <v>220.25</v>
      </c>
      <c r="E2093" s="116">
        <v>224.95</v>
      </c>
      <c r="F2093" s="116">
        <v>221.15</v>
      </c>
      <c r="G2093">
        <v>555193</v>
      </c>
      <c r="H2093" s="116"/>
      <c r="I2093" s="116"/>
      <c r="L2093" s="170">
        <v>45086</v>
      </c>
      <c r="M2093" s="116">
        <v>221.2</v>
      </c>
      <c r="N2093" s="116">
        <v>224.6</v>
      </c>
      <c r="O2093" s="116">
        <v>220.2</v>
      </c>
      <c r="P2093" s="116">
        <v>224.6</v>
      </c>
      <c r="Q2093" s="116">
        <v>221.2</v>
      </c>
      <c r="R2093">
        <v>11045069</v>
      </c>
    </row>
    <row r="2094" spans="1:18" x14ac:dyDescent="0.25">
      <c r="A2094" s="170">
        <v>45089</v>
      </c>
      <c r="B2094" s="116">
        <v>223.55</v>
      </c>
      <c r="C2094" s="116">
        <v>220.95</v>
      </c>
      <c r="D2094" s="116">
        <v>220.45</v>
      </c>
      <c r="E2094" s="116">
        <v>222</v>
      </c>
      <c r="F2094" s="116">
        <v>220.95</v>
      </c>
      <c r="G2094">
        <v>417481</v>
      </c>
      <c r="H2094" s="116"/>
      <c r="I2094" s="116"/>
      <c r="L2094" s="170">
        <v>45089</v>
      </c>
      <c r="M2094" s="116">
        <v>220.95</v>
      </c>
      <c r="N2094" s="116">
        <v>223.55</v>
      </c>
      <c r="O2094" s="116">
        <v>220.35</v>
      </c>
      <c r="P2094" s="116">
        <v>221.95</v>
      </c>
      <c r="Q2094" s="116">
        <v>220.95</v>
      </c>
      <c r="R2094">
        <v>6342344</v>
      </c>
    </row>
    <row r="2095" spans="1:18" x14ac:dyDescent="0.25">
      <c r="A2095" s="170">
        <v>45090</v>
      </c>
      <c r="B2095" s="116">
        <v>222.75</v>
      </c>
      <c r="C2095" s="116">
        <v>221.65</v>
      </c>
      <c r="D2095" s="116">
        <v>220.9</v>
      </c>
      <c r="E2095" s="116">
        <v>221.1</v>
      </c>
      <c r="F2095" s="116">
        <v>221.65</v>
      </c>
      <c r="G2095">
        <v>254520</v>
      </c>
      <c r="H2095" s="116"/>
      <c r="I2095" s="116"/>
      <c r="L2095" s="170">
        <v>45090</v>
      </c>
      <c r="M2095" s="116">
        <v>221.8</v>
      </c>
      <c r="N2095" s="116">
        <v>222.8</v>
      </c>
      <c r="O2095" s="116">
        <v>220.85</v>
      </c>
      <c r="P2095" s="116">
        <v>221.5</v>
      </c>
      <c r="Q2095" s="116">
        <v>221.8</v>
      </c>
      <c r="R2095">
        <v>6249947</v>
      </c>
    </row>
    <row r="2096" spans="1:18" x14ac:dyDescent="0.25">
      <c r="A2096" s="170">
        <v>45091</v>
      </c>
      <c r="B2096" s="116">
        <v>225.35</v>
      </c>
      <c r="C2096" s="116">
        <v>224.05</v>
      </c>
      <c r="D2096" s="116">
        <v>221.6</v>
      </c>
      <c r="E2096" s="116">
        <v>222.5</v>
      </c>
      <c r="F2096" s="116">
        <v>224.05</v>
      </c>
      <c r="G2096">
        <v>886370</v>
      </c>
      <c r="H2096" s="116"/>
      <c r="I2096" s="116"/>
      <c r="L2096" s="170">
        <v>45091</v>
      </c>
      <c r="M2096" s="116">
        <v>224.15</v>
      </c>
      <c r="N2096" s="116">
        <v>225.25</v>
      </c>
      <c r="O2096" s="116">
        <v>221.55</v>
      </c>
      <c r="P2096" s="116">
        <v>222.5</v>
      </c>
      <c r="Q2096" s="116">
        <v>224.15</v>
      </c>
      <c r="R2096">
        <v>10509540</v>
      </c>
    </row>
    <row r="2097" spans="1:18" x14ac:dyDescent="0.25">
      <c r="A2097" s="170">
        <v>45092</v>
      </c>
      <c r="B2097" s="116">
        <v>224.55</v>
      </c>
      <c r="C2097" s="116">
        <v>220.65</v>
      </c>
      <c r="D2097" s="116">
        <v>220.25</v>
      </c>
      <c r="E2097" s="116">
        <v>223.75</v>
      </c>
      <c r="F2097" s="116">
        <v>220.65</v>
      </c>
      <c r="G2097">
        <v>696795</v>
      </c>
      <c r="H2097" s="116"/>
      <c r="I2097" s="116"/>
      <c r="L2097" s="170">
        <v>45092</v>
      </c>
      <c r="M2097" s="116">
        <v>220.6</v>
      </c>
      <c r="N2097" s="116">
        <v>224.65</v>
      </c>
      <c r="O2097" s="116">
        <v>220.15</v>
      </c>
      <c r="P2097" s="116">
        <v>224.4</v>
      </c>
      <c r="Q2097" s="116">
        <v>220.6</v>
      </c>
      <c r="R2097">
        <v>7665159</v>
      </c>
    </row>
    <row r="2098" spans="1:18" x14ac:dyDescent="0.25">
      <c r="A2098" s="170">
        <v>45093</v>
      </c>
      <c r="B2098" s="116">
        <v>223.6</v>
      </c>
      <c r="C2098" s="116">
        <v>222.15</v>
      </c>
      <c r="D2098" s="116">
        <v>220.7</v>
      </c>
      <c r="E2098" s="116">
        <v>221.7</v>
      </c>
      <c r="F2098" s="116">
        <v>222.15</v>
      </c>
      <c r="G2098">
        <v>978005</v>
      </c>
      <c r="H2098" s="116"/>
      <c r="I2098" s="116"/>
      <c r="L2098" s="170">
        <v>45093</v>
      </c>
      <c r="M2098" s="116">
        <v>222.25</v>
      </c>
      <c r="N2098" s="116">
        <v>223.7</v>
      </c>
      <c r="O2098" s="116">
        <v>220.9</v>
      </c>
      <c r="P2098" s="116">
        <v>221.9</v>
      </c>
      <c r="Q2098" s="116">
        <v>222.25</v>
      </c>
      <c r="R2098">
        <v>7136739</v>
      </c>
    </row>
    <row r="2099" spans="1:18" x14ac:dyDescent="0.25">
      <c r="A2099" s="170">
        <v>45096</v>
      </c>
      <c r="B2099" s="116">
        <v>224.2</v>
      </c>
      <c r="C2099" s="116">
        <v>223.15</v>
      </c>
      <c r="D2099" s="116">
        <v>220.95</v>
      </c>
      <c r="E2099" s="116">
        <v>222.2</v>
      </c>
      <c r="F2099" s="116">
        <v>223.15</v>
      </c>
      <c r="G2099">
        <v>395528</v>
      </c>
      <c r="H2099" s="116"/>
      <c r="I2099" s="116"/>
      <c r="L2099" s="170">
        <v>45096</v>
      </c>
      <c r="M2099" s="116">
        <v>223.15</v>
      </c>
      <c r="N2099" s="116">
        <v>224.15</v>
      </c>
      <c r="O2099" s="116">
        <v>221</v>
      </c>
      <c r="P2099" s="116">
        <v>223</v>
      </c>
      <c r="Q2099" s="116">
        <v>223.15</v>
      </c>
      <c r="R2099">
        <v>7473608</v>
      </c>
    </row>
    <row r="2100" spans="1:18" x14ac:dyDescent="0.25">
      <c r="A2100" s="170">
        <v>45097</v>
      </c>
      <c r="B2100" s="116">
        <v>226.25</v>
      </c>
      <c r="C2100" s="116">
        <v>224.9</v>
      </c>
      <c r="D2100" s="116">
        <v>222.5</v>
      </c>
      <c r="E2100" s="116">
        <v>223.95</v>
      </c>
      <c r="F2100" s="116">
        <v>224.9</v>
      </c>
      <c r="G2100">
        <v>521062</v>
      </c>
      <c r="H2100" s="116"/>
      <c r="I2100" s="116"/>
      <c r="L2100" s="170">
        <v>45097</v>
      </c>
      <c r="M2100" s="116">
        <v>224.95</v>
      </c>
      <c r="N2100" s="116">
        <v>226.35</v>
      </c>
      <c r="O2100" s="116">
        <v>222.6</v>
      </c>
      <c r="P2100" s="116">
        <v>223.1</v>
      </c>
      <c r="Q2100" s="116">
        <v>224.95</v>
      </c>
      <c r="R2100">
        <v>11221842</v>
      </c>
    </row>
    <row r="2101" spans="1:18" x14ac:dyDescent="0.25">
      <c r="A2101" s="170">
        <v>45098</v>
      </c>
      <c r="B2101" s="116">
        <v>225.95</v>
      </c>
      <c r="C2101" s="116">
        <v>224.3</v>
      </c>
      <c r="D2101" s="116">
        <v>222.55</v>
      </c>
      <c r="E2101" s="116">
        <v>224.9</v>
      </c>
      <c r="F2101" s="116">
        <v>224.3</v>
      </c>
      <c r="G2101">
        <v>442193</v>
      </c>
      <c r="H2101" s="116"/>
      <c r="I2101" s="116"/>
      <c r="L2101" s="170">
        <v>45098</v>
      </c>
      <c r="M2101" s="116">
        <v>224.3</v>
      </c>
      <c r="N2101" s="116">
        <v>226</v>
      </c>
      <c r="O2101" s="116">
        <v>222.6</v>
      </c>
      <c r="P2101" s="116">
        <v>225.25</v>
      </c>
      <c r="Q2101" s="116">
        <v>224.3</v>
      </c>
      <c r="R2101">
        <v>6987933</v>
      </c>
    </row>
    <row r="2102" spans="1:18" x14ac:dyDescent="0.25">
      <c r="A2102" s="170">
        <v>45099</v>
      </c>
      <c r="B2102" s="116">
        <v>225.15</v>
      </c>
      <c r="C2102" s="116">
        <v>221.25</v>
      </c>
      <c r="D2102" s="116">
        <v>220.5</v>
      </c>
      <c r="E2102" s="116">
        <v>224.95</v>
      </c>
      <c r="F2102" s="116">
        <v>221.25</v>
      </c>
      <c r="G2102">
        <v>463325</v>
      </c>
      <c r="H2102" s="116"/>
      <c r="I2102" s="116"/>
      <c r="L2102" s="170">
        <v>45099</v>
      </c>
      <c r="M2102" s="116">
        <v>221.1</v>
      </c>
      <c r="N2102" s="116">
        <v>225.15</v>
      </c>
      <c r="O2102" s="116">
        <v>220.5</v>
      </c>
      <c r="P2102" s="116">
        <v>224.85</v>
      </c>
      <c r="Q2102" s="116">
        <v>221.1</v>
      </c>
      <c r="R2102">
        <v>6857007</v>
      </c>
    </row>
    <row r="2103" spans="1:18" x14ac:dyDescent="0.25">
      <c r="A2103" s="170">
        <v>45100</v>
      </c>
      <c r="B2103" s="116">
        <v>222.2</v>
      </c>
      <c r="C2103" s="116">
        <v>218.2</v>
      </c>
      <c r="D2103" s="116">
        <v>215.65</v>
      </c>
      <c r="E2103" s="116">
        <v>221.65</v>
      </c>
      <c r="F2103" s="116">
        <v>218.2</v>
      </c>
      <c r="G2103">
        <v>1259079</v>
      </c>
      <c r="H2103" s="116"/>
      <c r="I2103" s="116"/>
      <c r="L2103" s="170">
        <v>45100</v>
      </c>
      <c r="M2103" s="116">
        <v>218.3</v>
      </c>
      <c r="N2103" s="116">
        <v>222.1</v>
      </c>
      <c r="O2103" s="116">
        <v>215.7</v>
      </c>
      <c r="P2103" s="116">
        <v>222</v>
      </c>
      <c r="Q2103" s="116">
        <v>218.3</v>
      </c>
      <c r="R2103">
        <v>10890426</v>
      </c>
    </row>
    <row r="2104" spans="1:18" x14ac:dyDescent="0.25">
      <c r="A2104" s="170">
        <v>45103</v>
      </c>
      <c r="B2104" s="116">
        <v>219.35</v>
      </c>
      <c r="C2104" s="116">
        <v>218.6</v>
      </c>
      <c r="D2104" s="116">
        <v>216.35</v>
      </c>
      <c r="E2104" s="116">
        <v>218</v>
      </c>
      <c r="F2104" s="116">
        <v>218.6</v>
      </c>
      <c r="G2104">
        <v>247962</v>
      </c>
      <c r="H2104" s="116"/>
      <c r="I2104" s="116"/>
      <c r="L2104" s="170">
        <v>45103</v>
      </c>
      <c r="M2104" s="116">
        <v>218.6</v>
      </c>
      <c r="N2104" s="116">
        <v>219.35</v>
      </c>
      <c r="O2104" s="116">
        <v>216.3</v>
      </c>
      <c r="P2104" s="116">
        <v>218.3</v>
      </c>
      <c r="Q2104" s="116">
        <v>218.6</v>
      </c>
      <c r="R2104">
        <v>5136478</v>
      </c>
    </row>
    <row r="2105" spans="1:18" x14ac:dyDescent="0.25">
      <c r="A2105" s="170">
        <v>45104</v>
      </c>
      <c r="B2105" s="116">
        <v>220.45</v>
      </c>
      <c r="C2105" s="116">
        <v>219.2</v>
      </c>
      <c r="D2105" s="116">
        <v>218.6</v>
      </c>
      <c r="E2105" s="116">
        <v>218.6</v>
      </c>
      <c r="F2105" s="116">
        <v>219.2</v>
      </c>
      <c r="G2105">
        <v>247869</v>
      </c>
      <c r="H2105" s="116"/>
      <c r="I2105" s="116"/>
      <c r="L2105" s="170">
        <v>45104</v>
      </c>
      <c r="M2105" s="116">
        <v>219.25</v>
      </c>
      <c r="N2105" s="116">
        <v>220.5</v>
      </c>
      <c r="O2105" s="116">
        <v>218.6</v>
      </c>
      <c r="P2105" s="116">
        <v>218.9</v>
      </c>
      <c r="Q2105" s="116">
        <v>219.25</v>
      </c>
      <c r="R2105">
        <v>4694432</v>
      </c>
    </row>
    <row r="2106" spans="1:18" x14ac:dyDescent="0.25">
      <c r="A2106" s="170">
        <v>45105</v>
      </c>
      <c r="B2106" s="116">
        <v>220.95</v>
      </c>
      <c r="C2106" s="116">
        <v>218.1</v>
      </c>
      <c r="D2106" s="116">
        <v>217.65</v>
      </c>
      <c r="E2106" s="116">
        <v>219.4</v>
      </c>
      <c r="F2106" s="116">
        <v>218.1</v>
      </c>
      <c r="G2106">
        <v>481471</v>
      </c>
      <c r="H2106" s="116"/>
      <c r="I2106" s="116"/>
      <c r="L2106" s="170">
        <v>45105</v>
      </c>
      <c r="M2106" s="116">
        <v>218.05</v>
      </c>
      <c r="N2106" s="116">
        <v>220.95</v>
      </c>
      <c r="O2106" s="116">
        <v>217.55</v>
      </c>
      <c r="P2106" s="116">
        <v>219.95</v>
      </c>
      <c r="Q2106" s="116">
        <v>218.05</v>
      </c>
      <c r="R2106">
        <v>8345362</v>
      </c>
    </row>
    <row r="2107" spans="1:18" x14ac:dyDescent="0.25">
      <c r="A2107" s="170">
        <v>45107</v>
      </c>
      <c r="B2107" s="116">
        <v>222.45</v>
      </c>
      <c r="C2107" s="116">
        <v>221.8</v>
      </c>
      <c r="D2107" s="116">
        <v>218.9</v>
      </c>
      <c r="E2107" s="116">
        <v>219.05</v>
      </c>
      <c r="F2107" s="116">
        <v>221.8</v>
      </c>
      <c r="G2107">
        <v>1185433</v>
      </c>
      <c r="H2107" s="116"/>
      <c r="I2107" s="116"/>
      <c r="L2107" s="170">
        <v>45107</v>
      </c>
      <c r="M2107" s="116">
        <v>221.85</v>
      </c>
      <c r="N2107" s="116">
        <v>222.5</v>
      </c>
      <c r="O2107" s="116">
        <v>218.85</v>
      </c>
      <c r="P2107" s="116">
        <v>219.7</v>
      </c>
      <c r="Q2107" s="116">
        <v>221.85</v>
      </c>
      <c r="R2107">
        <v>9940002</v>
      </c>
    </row>
    <row r="2108" spans="1:18" x14ac:dyDescent="0.25">
      <c r="A2108" s="170">
        <v>45110</v>
      </c>
      <c r="B2108" s="116">
        <v>224.15</v>
      </c>
      <c r="C2108" s="116">
        <v>221.75</v>
      </c>
      <c r="D2108" s="116">
        <v>221.55</v>
      </c>
      <c r="E2108" s="116">
        <v>222.5</v>
      </c>
      <c r="F2108" s="116">
        <v>221.75</v>
      </c>
      <c r="G2108">
        <v>336608</v>
      </c>
      <c r="H2108" s="116"/>
      <c r="I2108" s="116"/>
      <c r="L2108" s="170">
        <v>45110</v>
      </c>
      <c r="M2108" s="116">
        <v>221.9</v>
      </c>
      <c r="N2108" s="116">
        <v>224.2</v>
      </c>
      <c r="O2108" s="116">
        <v>221.6</v>
      </c>
      <c r="P2108" s="116">
        <v>222.9</v>
      </c>
      <c r="Q2108" s="116">
        <v>221.9</v>
      </c>
      <c r="R2108">
        <v>5792956</v>
      </c>
    </row>
    <row r="2109" spans="1:18" x14ac:dyDescent="0.25">
      <c r="A2109" s="170">
        <v>45111</v>
      </c>
      <c r="B2109" s="116">
        <v>223.1</v>
      </c>
      <c r="C2109" s="116">
        <v>220.6</v>
      </c>
      <c r="D2109" s="116">
        <v>220.25</v>
      </c>
      <c r="E2109" s="116">
        <v>221.5</v>
      </c>
      <c r="F2109" s="116">
        <v>220.6</v>
      </c>
      <c r="G2109">
        <v>277633</v>
      </c>
      <c r="H2109" s="116"/>
      <c r="I2109" s="116"/>
      <c r="L2109" s="170">
        <v>45111</v>
      </c>
      <c r="M2109" s="116">
        <v>220.65</v>
      </c>
      <c r="N2109" s="116">
        <v>223.3</v>
      </c>
      <c r="O2109" s="116">
        <v>220.2</v>
      </c>
      <c r="P2109" s="116">
        <v>222.1</v>
      </c>
      <c r="Q2109" s="116">
        <v>220.65</v>
      </c>
      <c r="R2109">
        <v>4598056</v>
      </c>
    </row>
    <row r="2110" spans="1:18" x14ac:dyDescent="0.25">
      <c r="A2110" s="170">
        <v>45112</v>
      </c>
      <c r="B2110" s="116">
        <v>223.8</v>
      </c>
      <c r="C2110" s="116">
        <v>221.65</v>
      </c>
      <c r="D2110" s="116">
        <v>220.05</v>
      </c>
      <c r="E2110" s="116">
        <v>220.05</v>
      </c>
      <c r="F2110" s="116">
        <v>221.65</v>
      </c>
      <c r="G2110">
        <v>331902</v>
      </c>
      <c r="H2110" s="116"/>
      <c r="I2110" s="116"/>
      <c r="L2110" s="170">
        <v>45112</v>
      </c>
      <c r="M2110" s="116">
        <v>221.7</v>
      </c>
      <c r="N2110" s="116">
        <v>223.75</v>
      </c>
      <c r="O2110" s="116">
        <v>220.55</v>
      </c>
      <c r="P2110" s="116">
        <v>220.95</v>
      </c>
      <c r="Q2110" s="116">
        <v>221.7</v>
      </c>
      <c r="R2110">
        <v>5879342</v>
      </c>
    </row>
    <row r="2111" spans="1:18" x14ac:dyDescent="0.25">
      <c r="A2111" s="170">
        <v>45113</v>
      </c>
      <c r="B2111" s="116">
        <v>230.25</v>
      </c>
      <c r="C2111" s="116">
        <v>229.55</v>
      </c>
      <c r="D2111" s="116">
        <v>223.65</v>
      </c>
      <c r="E2111" s="116">
        <v>225</v>
      </c>
      <c r="F2111" s="116">
        <v>229.55</v>
      </c>
      <c r="G2111">
        <v>1534356</v>
      </c>
      <c r="H2111" s="116"/>
      <c r="I2111" s="116"/>
      <c r="L2111" s="170">
        <v>45113</v>
      </c>
      <c r="M2111" s="116">
        <v>229.6</v>
      </c>
      <c r="N2111" s="116">
        <v>230.3</v>
      </c>
      <c r="O2111" s="116">
        <v>223.55</v>
      </c>
      <c r="P2111" s="116">
        <v>225</v>
      </c>
      <c r="Q2111" s="116">
        <v>229.6</v>
      </c>
      <c r="R2111">
        <v>30885511</v>
      </c>
    </row>
    <row r="2112" spans="1:18" x14ac:dyDescent="0.25">
      <c r="A2112" s="170">
        <v>45114</v>
      </c>
      <c r="B2112" s="116">
        <v>232.35</v>
      </c>
      <c r="C2112" s="116">
        <v>227.85</v>
      </c>
      <c r="D2112" s="116">
        <v>226.05</v>
      </c>
      <c r="E2112" s="116">
        <v>229.6</v>
      </c>
      <c r="F2112" s="116">
        <v>227.85</v>
      </c>
      <c r="G2112">
        <v>951046</v>
      </c>
      <c r="H2112" s="116"/>
      <c r="I2112" s="116"/>
      <c r="L2112" s="170">
        <v>45114</v>
      </c>
      <c r="M2112" s="116">
        <v>228</v>
      </c>
      <c r="N2112" s="116">
        <v>232.35</v>
      </c>
      <c r="O2112" s="116">
        <v>226.1</v>
      </c>
      <c r="P2112" s="116">
        <v>229.8</v>
      </c>
      <c r="Q2112" s="116">
        <v>228</v>
      </c>
      <c r="R2112">
        <v>16592198</v>
      </c>
    </row>
    <row r="2113" spans="1:18" x14ac:dyDescent="0.25">
      <c r="A2113" s="170">
        <v>45117</v>
      </c>
      <c r="B2113" s="116">
        <v>228.95</v>
      </c>
      <c r="C2113" s="116">
        <v>225.1</v>
      </c>
      <c r="D2113" s="116">
        <v>224.75</v>
      </c>
      <c r="E2113" s="116">
        <v>228.7</v>
      </c>
      <c r="F2113" s="116">
        <v>225.1</v>
      </c>
      <c r="G2113">
        <v>403697</v>
      </c>
      <c r="H2113" s="116"/>
      <c r="I2113" s="116"/>
      <c r="L2113" s="170">
        <v>45117</v>
      </c>
      <c r="M2113" s="116">
        <v>225</v>
      </c>
      <c r="N2113" s="116">
        <v>229.25</v>
      </c>
      <c r="O2113" s="116">
        <v>224.65</v>
      </c>
      <c r="P2113" s="116">
        <v>229.25</v>
      </c>
      <c r="Q2113" s="116">
        <v>225</v>
      </c>
      <c r="R2113">
        <v>7143637</v>
      </c>
    </row>
    <row r="2114" spans="1:18" x14ac:dyDescent="0.25">
      <c r="A2114" s="170">
        <v>45118</v>
      </c>
      <c r="B2114" s="116">
        <v>226.95</v>
      </c>
      <c r="C2114" s="116">
        <v>225.4</v>
      </c>
      <c r="D2114" s="116">
        <v>224.75</v>
      </c>
      <c r="E2114" s="116">
        <v>225.75</v>
      </c>
      <c r="F2114" s="116">
        <v>225.4</v>
      </c>
      <c r="G2114">
        <v>774729</v>
      </c>
      <c r="H2114" s="116"/>
      <c r="I2114" s="116"/>
      <c r="L2114" s="170">
        <v>45118</v>
      </c>
      <c r="M2114" s="116">
        <v>225.5</v>
      </c>
      <c r="N2114" s="116">
        <v>226.85</v>
      </c>
      <c r="O2114" s="116">
        <v>224.7</v>
      </c>
      <c r="P2114" s="116">
        <v>226</v>
      </c>
      <c r="Q2114" s="116">
        <v>225.5</v>
      </c>
      <c r="R2114">
        <v>5156417</v>
      </c>
    </row>
    <row r="2115" spans="1:18" x14ac:dyDescent="0.25">
      <c r="A2115" s="170">
        <v>45119</v>
      </c>
      <c r="B2115" s="116">
        <v>227.25</v>
      </c>
      <c r="C2115" s="116">
        <v>226.2</v>
      </c>
      <c r="D2115" s="116">
        <v>225.25</v>
      </c>
      <c r="E2115" s="116">
        <v>226</v>
      </c>
      <c r="F2115" s="116">
        <v>226.2</v>
      </c>
      <c r="G2115">
        <v>389744</v>
      </c>
      <c r="H2115" s="116"/>
      <c r="I2115" s="116"/>
      <c r="L2115" s="170">
        <v>45119</v>
      </c>
      <c r="M2115" s="116">
        <v>226.3</v>
      </c>
      <c r="N2115" s="116">
        <v>227.25</v>
      </c>
      <c r="O2115" s="116">
        <v>225.2</v>
      </c>
      <c r="P2115" s="116">
        <v>226.25</v>
      </c>
      <c r="Q2115" s="116">
        <v>226.3</v>
      </c>
      <c r="R2115">
        <v>7366992</v>
      </c>
    </row>
    <row r="2116" spans="1:18" x14ac:dyDescent="0.25">
      <c r="A2116" s="170">
        <v>45120</v>
      </c>
      <c r="B2116" s="116">
        <v>227.25</v>
      </c>
      <c r="C2116" s="116">
        <v>221.85</v>
      </c>
      <c r="D2116" s="116">
        <v>221</v>
      </c>
      <c r="E2116" s="116">
        <v>226.7</v>
      </c>
      <c r="F2116" s="116">
        <v>221.85</v>
      </c>
      <c r="G2116">
        <v>425330</v>
      </c>
      <c r="H2116" s="116"/>
      <c r="I2116" s="116"/>
      <c r="L2116" s="170">
        <v>45120</v>
      </c>
      <c r="M2116" s="116">
        <v>221.85</v>
      </c>
      <c r="N2116" s="116">
        <v>227.2</v>
      </c>
      <c r="O2116" s="116">
        <v>220.9</v>
      </c>
      <c r="P2116" s="116">
        <v>227</v>
      </c>
      <c r="Q2116" s="116">
        <v>221.85</v>
      </c>
      <c r="R2116">
        <v>9389403</v>
      </c>
    </row>
    <row r="2117" spans="1:18" x14ac:dyDescent="0.25">
      <c r="A2117" s="170">
        <v>45121</v>
      </c>
      <c r="B2117" s="116">
        <v>222.8</v>
      </c>
      <c r="C2117" s="116">
        <v>221.1</v>
      </c>
      <c r="D2117" s="116">
        <v>218.7</v>
      </c>
      <c r="E2117" s="116">
        <v>222.3</v>
      </c>
      <c r="F2117" s="116">
        <v>221.1</v>
      </c>
      <c r="G2117">
        <v>524115</v>
      </c>
      <c r="H2117" s="116"/>
      <c r="I2117" s="116"/>
      <c r="L2117" s="170">
        <v>45121</v>
      </c>
      <c r="M2117" s="116">
        <v>221.05</v>
      </c>
      <c r="N2117" s="116">
        <v>222.75</v>
      </c>
      <c r="O2117" s="116">
        <v>218.55</v>
      </c>
      <c r="P2117" s="116">
        <v>222.75</v>
      </c>
      <c r="Q2117" s="116">
        <v>221.05</v>
      </c>
      <c r="R2117">
        <v>10191602</v>
      </c>
    </row>
    <row r="2118" spans="1:18" x14ac:dyDescent="0.25">
      <c r="A2118" s="170">
        <v>45124</v>
      </c>
      <c r="B2118" s="116">
        <v>224.7</v>
      </c>
      <c r="C2118" s="116">
        <v>223.45</v>
      </c>
      <c r="D2118" s="116">
        <v>221.35</v>
      </c>
      <c r="E2118" s="116">
        <v>221.5</v>
      </c>
      <c r="F2118" s="116">
        <v>223.45</v>
      </c>
      <c r="G2118">
        <v>993619</v>
      </c>
      <c r="H2118" s="116"/>
      <c r="I2118" s="116"/>
      <c r="L2118" s="170">
        <v>45124</v>
      </c>
      <c r="M2118" s="116">
        <v>223.5</v>
      </c>
      <c r="N2118" s="116">
        <v>224.7</v>
      </c>
      <c r="O2118" s="116">
        <v>221.25</v>
      </c>
      <c r="P2118" s="116">
        <v>221.95</v>
      </c>
      <c r="Q2118" s="116">
        <v>223.5</v>
      </c>
      <c r="R2118">
        <v>7071156</v>
      </c>
    </row>
    <row r="2119" spans="1:18" x14ac:dyDescent="0.25">
      <c r="A2119" s="170">
        <v>45125</v>
      </c>
      <c r="B2119" s="116">
        <v>224.3</v>
      </c>
      <c r="C2119" s="116">
        <v>221.5</v>
      </c>
      <c r="D2119" s="116">
        <v>220.75</v>
      </c>
      <c r="E2119" s="116">
        <v>223.85</v>
      </c>
      <c r="F2119" s="116">
        <v>221.5</v>
      </c>
      <c r="G2119">
        <v>280145</v>
      </c>
      <c r="H2119" s="116"/>
      <c r="I2119" s="116"/>
      <c r="L2119" s="170">
        <v>45125</v>
      </c>
      <c r="M2119" s="116">
        <v>221.5</v>
      </c>
      <c r="N2119" s="116">
        <v>224.3</v>
      </c>
      <c r="O2119" s="116">
        <v>220.75</v>
      </c>
      <c r="P2119" s="116">
        <v>224.2</v>
      </c>
      <c r="Q2119" s="116">
        <v>221.5</v>
      </c>
      <c r="R2119">
        <v>6695221</v>
      </c>
    </row>
    <row r="2120" spans="1:18" x14ac:dyDescent="0.25">
      <c r="A2120" s="170">
        <v>45126</v>
      </c>
      <c r="B2120" s="116">
        <v>221.5</v>
      </c>
      <c r="C2120" s="116">
        <v>219.5</v>
      </c>
      <c r="D2120" s="116">
        <v>217.55</v>
      </c>
      <c r="E2120" s="116">
        <v>221.5</v>
      </c>
      <c r="F2120" s="116">
        <v>219.5</v>
      </c>
      <c r="G2120">
        <v>636229</v>
      </c>
      <c r="H2120" s="116"/>
      <c r="I2120" s="116"/>
      <c r="L2120" s="170">
        <v>45126</v>
      </c>
      <c r="M2120" s="116">
        <v>219.5</v>
      </c>
      <c r="N2120" s="116">
        <v>221.4</v>
      </c>
      <c r="O2120" s="116">
        <v>217.5</v>
      </c>
      <c r="P2120" s="116">
        <v>221.4</v>
      </c>
      <c r="Q2120" s="116">
        <v>219.5</v>
      </c>
      <c r="R2120">
        <v>14481130</v>
      </c>
    </row>
    <row r="2121" spans="1:18" x14ac:dyDescent="0.25">
      <c r="A2121" s="170">
        <v>45127</v>
      </c>
      <c r="B2121" s="116">
        <v>220.6</v>
      </c>
      <c r="C2121" s="116">
        <v>218.15</v>
      </c>
      <c r="D2121" s="116">
        <v>217.7</v>
      </c>
      <c r="E2121" s="116">
        <v>219.3</v>
      </c>
      <c r="F2121" s="116">
        <v>218.15</v>
      </c>
      <c r="G2121">
        <v>806406</v>
      </c>
      <c r="H2121" s="116"/>
      <c r="I2121" s="116"/>
      <c r="L2121" s="170">
        <v>45127</v>
      </c>
      <c r="M2121" s="116">
        <v>218.15</v>
      </c>
      <c r="N2121" s="116">
        <v>220.65</v>
      </c>
      <c r="O2121" s="116">
        <v>217.75</v>
      </c>
      <c r="P2121" s="116">
        <v>219.8</v>
      </c>
      <c r="Q2121" s="116">
        <v>218.15</v>
      </c>
      <c r="R2121">
        <v>6910107</v>
      </c>
    </row>
    <row r="2122" spans="1:18" x14ac:dyDescent="0.25">
      <c r="A2122" s="170">
        <v>45128</v>
      </c>
      <c r="B2122" s="116">
        <v>219.15</v>
      </c>
      <c r="C2122" s="116">
        <v>217.45</v>
      </c>
      <c r="D2122" s="116">
        <v>216.95</v>
      </c>
      <c r="E2122" s="116">
        <v>218.15</v>
      </c>
      <c r="F2122" s="116">
        <v>217.45</v>
      </c>
      <c r="G2122">
        <v>799309</v>
      </c>
      <c r="H2122" s="116"/>
      <c r="I2122" s="116"/>
      <c r="L2122" s="170">
        <v>45128</v>
      </c>
      <c r="M2122" s="116">
        <v>217.4</v>
      </c>
      <c r="N2122" s="116">
        <v>219.2</v>
      </c>
      <c r="O2122" s="116">
        <v>216.75</v>
      </c>
      <c r="P2122" s="116">
        <v>218.15</v>
      </c>
      <c r="Q2122" s="116">
        <v>217.4</v>
      </c>
      <c r="R2122">
        <v>5715378</v>
      </c>
    </row>
    <row r="2123" spans="1:18" x14ac:dyDescent="0.25">
      <c r="A2123" s="170">
        <v>45131</v>
      </c>
      <c r="B2123" s="116">
        <v>218.75</v>
      </c>
      <c r="C2123" s="116">
        <v>217.35</v>
      </c>
      <c r="D2123" s="116">
        <v>217</v>
      </c>
      <c r="E2123" s="116">
        <v>217.7</v>
      </c>
      <c r="F2123" s="116">
        <v>217.35</v>
      </c>
      <c r="G2123">
        <v>745995</v>
      </c>
      <c r="H2123" s="116"/>
      <c r="I2123" s="116"/>
      <c r="L2123" s="170">
        <v>45131</v>
      </c>
      <c r="M2123" s="116">
        <v>217.35</v>
      </c>
      <c r="N2123" s="116">
        <v>218.75</v>
      </c>
      <c r="O2123" s="116">
        <v>216.8</v>
      </c>
      <c r="P2123" s="116">
        <v>218.25</v>
      </c>
      <c r="Q2123" s="116">
        <v>217.35</v>
      </c>
      <c r="R2123">
        <v>4387406</v>
      </c>
    </row>
    <row r="2124" spans="1:18" x14ac:dyDescent="0.25">
      <c r="A2124" s="170">
        <v>45132</v>
      </c>
      <c r="B2124" s="116">
        <v>220.4</v>
      </c>
      <c r="C2124" s="116">
        <v>219.45</v>
      </c>
      <c r="D2124" s="116">
        <v>217.15</v>
      </c>
      <c r="E2124" s="116">
        <v>217.15</v>
      </c>
      <c r="F2124" s="116">
        <v>219.45</v>
      </c>
      <c r="G2124">
        <v>869828</v>
      </c>
      <c r="H2124" s="116"/>
      <c r="I2124" s="116"/>
      <c r="L2124" s="170">
        <v>45132</v>
      </c>
      <c r="M2124" s="116">
        <v>219.45</v>
      </c>
      <c r="N2124" s="116">
        <v>220.5</v>
      </c>
      <c r="O2124" s="116">
        <v>217.5</v>
      </c>
      <c r="P2124" s="116">
        <v>217.5</v>
      </c>
      <c r="Q2124" s="116">
        <v>219.45</v>
      </c>
      <c r="R2124">
        <v>7602866</v>
      </c>
    </row>
    <row r="2125" spans="1:18" x14ac:dyDescent="0.25">
      <c r="A2125" s="170">
        <v>45133</v>
      </c>
      <c r="B2125" s="116">
        <v>222.45</v>
      </c>
      <c r="C2125" s="116">
        <v>221.5</v>
      </c>
      <c r="D2125" s="116">
        <v>219.7</v>
      </c>
      <c r="E2125" s="116">
        <v>219.7</v>
      </c>
      <c r="F2125" s="116">
        <v>221.5</v>
      </c>
      <c r="G2125">
        <v>629507</v>
      </c>
      <c r="H2125" s="116"/>
      <c r="I2125" s="116"/>
      <c r="L2125" s="170">
        <v>45133</v>
      </c>
      <c r="M2125" s="116">
        <v>221.5</v>
      </c>
      <c r="N2125" s="116">
        <v>222.4</v>
      </c>
      <c r="O2125" s="116">
        <v>219.8</v>
      </c>
      <c r="P2125" s="116">
        <v>220.4</v>
      </c>
      <c r="Q2125" s="116">
        <v>221.5</v>
      </c>
      <c r="R2125">
        <v>8511027</v>
      </c>
    </row>
    <row r="2126" spans="1:18" x14ac:dyDescent="0.25">
      <c r="A2126" s="170">
        <v>45134</v>
      </c>
      <c r="B2126" s="116">
        <v>222.5</v>
      </c>
      <c r="C2126" s="116">
        <v>220.8</v>
      </c>
      <c r="D2126" s="116">
        <v>220.45</v>
      </c>
      <c r="E2126" s="116">
        <v>221.85</v>
      </c>
      <c r="F2126" s="116">
        <v>220.8</v>
      </c>
      <c r="G2126">
        <v>1175223</v>
      </c>
      <c r="H2126" s="116"/>
      <c r="I2126" s="116"/>
      <c r="L2126" s="170">
        <v>45134</v>
      </c>
      <c r="M2126" s="116">
        <v>220.9</v>
      </c>
      <c r="N2126" s="116">
        <v>222.55</v>
      </c>
      <c r="O2126" s="116">
        <v>220.5</v>
      </c>
      <c r="P2126" s="116">
        <v>222.25</v>
      </c>
      <c r="Q2126" s="116">
        <v>220.9</v>
      </c>
      <c r="R2126">
        <v>7845672</v>
      </c>
    </row>
    <row r="2127" spans="1:18" x14ac:dyDescent="0.25">
      <c r="A2127" s="170">
        <v>45135</v>
      </c>
      <c r="B2127" s="116">
        <v>237.25</v>
      </c>
      <c r="C2127" s="116">
        <v>234.55</v>
      </c>
      <c r="D2127" s="116">
        <v>220</v>
      </c>
      <c r="E2127" s="116">
        <v>220.8</v>
      </c>
      <c r="F2127" s="116">
        <v>234.55</v>
      </c>
      <c r="G2127">
        <v>2193429</v>
      </c>
      <c r="H2127" s="116"/>
      <c r="I2127" s="116"/>
      <c r="L2127" s="170">
        <v>45135</v>
      </c>
      <c r="M2127" s="116">
        <v>234.65</v>
      </c>
      <c r="N2127" s="116">
        <v>237.2</v>
      </c>
      <c r="O2127" s="116">
        <v>220</v>
      </c>
      <c r="P2127" s="116">
        <v>220.9</v>
      </c>
      <c r="Q2127" s="116">
        <v>234.65</v>
      </c>
      <c r="R2127">
        <v>57651036</v>
      </c>
    </row>
    <row r="2128" spans="1:18" x14ac:dyDescent="0.25">
      <c r="A2128" s="170">
        <v>45138</v>
      </c>
      <c r="B2128" s="116">
        <v>238.95</v>
      </c>
      <c r="C2128" s="116">
        <v>236.7</v>
      </c>
      <c r="D2128" s="116">
        <v>235</v>
      </c>
      <c r="E2128" s="116">
        <v>235.5</v>
      </c>
      <c r="F2128" s="116">
        <v>236.7</v>
      </c>
      <c r="G2128">
        <v>1005185</v>
      </c>
      <c r="H2128" s="116"/>
      <c r="I2128" s="116"/>
      <c r="L2128" s="170">
        <v>45138</v>
      </c>
      <c r="M2128" s="116">
        <v>236.7</v>
      </c>
      <c r="N2128" s="116">
        <v>238.9</v>
      </c>
      <c r="O2128" s="116">
        <v>235.2</v>
      </c>
      <c r="P2128" s="116">
        <v>236.55</v>
      </c>
      <c r="Q2128" s="116">
        <v>236.7</v>
      </c>
      <c r="R2128">
        <v>18682254</v>
      </c>
    </row>
    <row r="2129" spans="1:18" x14ac:dyDescent="0.25">
      <c r="A2129" s="170">
        <v>45139</v>
      </c>
      <c r="B2129" s="116">
        <v>245.4</v>
      </c>
      <c r="C2129" s="116">
        <v>244.4</v>
      </c>
      <c r="D2129" s="116">
        <v>236.15</v>
      </c>
      <c r="E2129" s="116">
        <v>237.05</v>
      </c>
      <c r="F2129" s="116">
        <v>244.4</v>
      </c>
      <c r="G2129">
        <v>3046415</v>
      </c>
      <c r="H2129" s="116"/>
      <c r="I2129" s="116"/>
      <c r="L2129" s="170">
        <v>45139</v>
      </c>
      <c r="M2129" s="116">
        <v>244.4</v>
      </c>
      <c r="N2129" s="116">
        <v>245.4</v>
      </c>
      <c r="O2129" s="116">
        <v>236.25</v>
      </c>
      <c r="P2129" s="116">
        <v>237.4</v>
      </c>
      <c r="Q2129" s="116">
        <v>244.4</v>
      </c>
      <c r="R2129">
        <v>27535144</v>
      </c>
    </row>
    <row r="2130" spans="1:18" x14ac:dyDescent="0.25">
      <c r="A2130" s="170">
        <v>45140</v>
      </c>
      <c r="B2130" s="116">
        <v>244.9</v>
      </c>
      <c r="C2130" s="116">
        <v>235.3</v>
      </c>
      <c r="D2130" s="116">
        <v>233</v>
      </c>
      <c r="E2130" s="116">
        <v>244.9</v>
      </c>
      <c r="F2130" s="116">
        <v>235.3</v>
      </c>
      <c r="G2130">
        <v>1480014</v>
      </c>
      <c r="H2130" s="116"/>
      <c r="I2130" s="116"/>
      <c r="L2130" s="170">
        <v>45140</v>
      </c>
      <c r="M2130" s="116">
        <v>235.75</v>
      </c>
      <c r="N2130" s="116">
        <v>244.7</v>
      </c>
      <c r="O2130" s="116">
        <v>233.3</v>
      </c>
      <c r="P2130" s="116">
        <v>244.7</v>
      </c>
      <c r="Q2130" s="116">
        <v>235.75</v>
      </c>
      <c r="R2130">
        <v>22636262</v>
      </c>
    </row>
    <row r="2131" spans="1:18" x14ac:dyDescent="0.25">
      <c r="A2131" s="170">
        <v>45141</v>
      </c>
      <c r="B2131" s="116">
        <v>237.55</v>
      </c>
      <c r="C2131" s="116">
        <v>235.3</v>
      </c>
      <c r="D2131" s="116">
        <v>232.65</v>
      </c>
      <c r="E2131" s="116">
        <v>234.75</v>
      </c>
      <c r="F2131" s="116">
        <v>235.3</v>
      </c>
      <c r="G2131">
        <v>671433</v>
      </c>
      <c r="H2131" s="116"/>
      <c r="I2131" s="116"/>
      <c r="L2131" s="170">
        <v>45141</v>
      </c>
      <c r="M2131" s="116">
        <v>235.45</v>
      </c>
      <c r="N2131" s="116">
        <v>237.6</v>
      </c>
      <c r="O2131" s="116">
        <v>232.55</v>
      </c>
      <c r="P2131" s="116">
        <v>235.25</v>
      </c>
      <c r="Q2131" s="116">
        <v>235.45</v>
      </c>
      <c r="R2131">
        <v>10784942</v>
      </c>
    </row>
    <row r="2132" spans="1:18" x14ac:dyDescent="0.25">
      <c r="A2132" s="170">
        <v>45142</v>
      </c>
      <c r="B2132" s="116">
        <v>237.35</v>
      </c>
      <c r="C2132" s="116">
        <v>235.65</v>
      </c>
      <c r="D2132" s="116">
        <v>234.45</v>
      </c>
      <c r="E2132" s="116">
        <v>236.15</v>
      </c>
      <c r="F2132" s="116">
        <v>235.65</v>
      </c>
      <c r="G2132">
        <v>444765</v>
      </c>
      <c r="H2132" s="116"/>
      <c r="I2132" s="116"/>
      <c r="L2132" s="170">
        <v>45142</v>
      </c>
      <c r="M2132" s="116">
        <v>235.65</v>
      </c>
      <c r="N2132" s="116">
        <v>237.35</v>
      </c>
      <c r="O2132" s="116">
        <v>234.5</v>
      </c>
      <c r="P2132" s="116">
        <v>237</v>
      </c>
      <c r="Q2132" s="116">
        <v>235.65</v>
      </c>
      <c r="R2132">
        <v>7710303</v>
      </c>
    </row>
    <row r="2133" spans="1:18" x14ac:dyDescent="0.25">
      <c r="A2133" s="170">
        <v>45145</v>
      </c>
      <c r="B2133" s="116">
        <v>237.85</v>
      </c>
      <c r="C2133" s="116">
        <v>232.65</v>
      </c>
      <c r="D2133" s="116">
        <v>232.3</v>
      </c>
      <c r="E2133" s="116">
        <v>237.85</v>
      </c>
      <c r="F2133" s="116">
        <v>232.65</v>
      </c>
      <c r="G2133">
        <v>531773</v>
      </c>
      <c r="H2133" s="116"/>
      <c r="I2133" s="116"/>
      <c r="L2133" s="170">
        <v>45145</v>
      </c>
      <c r="M2133" s="116">
        <v>232.8</v>
      </c>
      <c r="N2133" s="116">
        <v>237</v>
      </c>
      <c r="O2133" s="116">
        <v>232.2</v>
      </c>
      <c r="P2133" s="116">
        <v>236.9</v>
      </c>
      <c r="Q2133" s="116">
        <v>232.8</v>
      </c>
      <c r="R2133">
        <v>7286281</v>
      </c>
    </row>
    <row r="2134" spans="1:18" x14ac:dyDescent="0.25">
      <c r="A2134" s="170">
        <v>45146</v>
      </c>
      <c r="B2134" s="116">
        <v>236.5</v>
      </c>
      <c r="C2134" s="116">
        <v>233.85</v>
      </c>
      <c r="D2134" s="116">
        <v>230.55</v>
      </c>
      <c r="E2134" s="116">
        <v>234.7</v>
      </c>
      <c r="F2134" s="116">
        <v>233.85</v>
      </c>
      <c r="G2134">
        <v>533905</v>
      </c>
      <c r="H2134" s="116"/>
      <c r="I2134" s="116"/>
      <c r="L2134" s="170">
        <v>45146</v>
      </c>
      <c r="M2134" s="116">
        <v>233.9</v>
      </c>
      <c r="N2134" s="116">
        <v>236.65</v>
      </c>
      <c r="O2134" s="116">
        <v>230.5</v>
      </c>
      <c r="P2134" s="116">
        <v>234.5</v>
      </c>
      <c r="Q2134" s="116">
        <v>233.9</v>
      </c>
      <c r="R2134">
        <v>9464101</v>
      </c>
    </row>
    <row r="2135" spans="1:18" x14ac:dyDescent="0.25">
      <c r="A2135" s="170">
        <v>45147</v>
      </c>
      <c r="B2135" s="116">
        <v>237.4</v>
      </c>
      <c r="C2135" s="116">
        <v>234.9</v>
      </c>
      <c r="D2135" s="116">
        <v>232</v>
      </c>
      <c r="E2135" s="116">
        <v>237.4</v>
      </c>
      <c r="F2135" s="116">
        <v>234.9</v>
      </c>
      <c r="G2135">
        <v>529819</v>
      </c>
      <c r="H2135" s="116"/>
      <c r="I2135" s="116"/>
      <c r="L2135" s="170">
        <v>45147</v>
      </c>
      <c r="M2135" s="116">
        <v>234.9</v>
      </c>
      <c r="N2135" s="116">
        <v>237</v>
      </c>
      <c r="O2135" s="116">
        <v>232</v>
      </c>
      <c r="P2135" s="116">
        <v>237</v>
      </c>
      <c r="Q2135" s="116">
        <v>234.9</v>
      </c>
      <c r="R2135">
        <v>10515447</v>
      </c>
    </row>
    <row r="2136" spans="1:18" x14ac:dyDescent="0.25">
      <c r="A2136" s="170">
        <v>45148</v>
      </c>
      <c r="B2136" s="116">
        <v>241.65</v>
      </c>
      <c r="C2136" s="116">
        <v>237.15</v>
      </c>
      <c r="D2136" s="116">
        <v>234.5</v>
      </c>
      <c r="E2136" s="116">
        <v>236</v>
      </c>
      <c r="F2136" s="116">
        <v>237.15</v>
      </c>
      <c r="G2136">
        <v>2763521</v>
      </c>
      <c r="H2136" s="116"/>
      <c r="I2136" s="116"/>
      <c r="L2136" s="170">
        <v>45148</v>
      </c>
      <c r="M2136" s="116">
        <v>237.15</v>
      </c>
      <c r="N2136" s="116">
        <v>241.7</v>
      </c>
      <c r="O2136" s="116">
        <v>233.5</v>
      </c>
      <c r="P2136" s="116">
        <v>236</v>
      </c>
      <c r="Q2136" s="116">
        <v>237.15</v>
      </c>
      <c r="R2136">
        <v>25155361</v>
      </c>
    </row>
    <row r="2137" spans="1:18" x14ac:dyDescent="0.25">
      <c r="A2137" s="170">
        <v>45149</v>
      </c>
      <c r="B2137" s="116">
        <v>238.35</v>
      </c>
      <c r="C2137" s="116">
        <v>236.15</v>
      </c>
      <c r="D2137" s="116">
        <v>235.3</v>
      </c>
      <c r="E2137" s="116">
        <v>237.6</v>
      </c>
      <c r="F2137" s="116">
        <v>236.15</v>
      </c>
      <c r="G2137">
        <v>1032504</v>
      </c>
      <c r="H2137" s="116"/>
      <c r="I2137" s="116"/>
      <c r="L2137" s="170">
        <v>45149</v>
      </c>
      <c r="M2137" s="116">
        <v>236.2</v>
      </c>
      <c r="N2137" s="116">
        <v>238.35</v>
      </c>
      <c r="O2137" s="116">
        <v>235.15</v>
      </c>
      <c r="P2137" s="116">
        <v>238.05</v>
      </c>
      <c r="Q2137" s="116">
        <v>236.2</v>
      </c>
      <c r="R2137">
        <v>6875382</v>
      </c>
    </row>
    <row r="2138" spans="1:18" x14ac:dyDescent="0.25">
      <c r="A2138" s="170">
        <v>45152</v>
      </c>
      <c r="B2138" s="116">
        <v>236</v>
      </c>
      <c r="C2138" s="116">
        <v>231.2</v>
      </c>
      <c r="D2138" s="116">
        <v>229.15</v>
      </c>
      <c r="E2138" s="116">
        <v>235.6</v>
      </c>
      <c r="F2138" s="116">
        <v>231.2</v>
      </c>
      <c r="G2138">
        <v>576453</v>
      </c>
      <c r="H2138" s="116"/>
      <c r="I2138" s="116"/>
      <c r="L2138" s="170">
        <v>45152</v>
      </c>
      <c r="M2138" s="116">
        <v>231.15</v>
      </c>
      <c r="N2138" s="116">
        <v>236.15</v>
      </c>
      <c r="O2138" s="116">
        <v>229.1</v>
      </c>
      <c r="P2138" s="116">
        <v>236</v>
      </c>
      <c r="Q2138" s="116">
        <v>231.15</v>
      </c>
      <c r="R2138">
        <v>10730311</v>
      </c>
    </row>
    <row r="2139" spans="1:18" x14ac:dyDescent="0.25">
      <c r="A2139" s="170">
        <v>45154</v>
      </c>
      <c r="B2139" s="116">
        <v>235.5</v>
      </c>
      <c r="C2139" s="116">
        <v>234.9</v>
      </c>
      <c r="D2139" s="116">
        <v>228.1</v>
      </c>
      <c r="E2139" s="116">
        <v>230</v>
      </c>
      <c r="F2139" s="116">
        <v>234.9</v>
      </c>
      <c r="G2139">
        <v>942688</v>
      </c>
      <c r="H2139" s="116"/>
      <c r="I2139" s="116"/>
      <c r="L2139" s="170">
        <v>45154</v>
      </c>
      <c r="M2139" s="116">
        <v>234.95</v>
      </c>
      <c r="N2139" s="116">
        <v>235.5</v>
      </c>
      <c r="O2139" s="116">
        <v>228.05</v>
      </c>
      <c r="P2139" s="116">
        <v>230</v>
      </c>
      <c r="Q2139" s="116">
        <v>234.95</v>
      </c>
      <c r="R2139">
        <v>6716135</v>
      </c>
    </row>
    <row r="2140" spans="1:18" x14ac:dyDescent="0.25">
      <c r="A2140" s="170">
        <v>45155</v>
      </c>
      <c r="B2140" s="116">
        <v>235.9</v>
      </c>
      <c r="C2140" s="116">
        <v>232.5</v>
      </c>
      <c r="D2140" s="116">
        <v>231.9</v>
      </c>
      <c r="E2140" s="116">
        <v>234.55</v>
      </c>
      <c r="F2140" s="116">
        <v>232.5</v>
      </c>
      <c r="G2140">
        <v>309217</v>
      </c>
      <c r="H2140" s="116"/>
      <c r="I2140" s="116"/>
      <c r="L2140" s="170">
        <v>45155</v>
      </c>
      <c r="M2140" s="116">
        <v>232.5</v>
      </c>
      <c r="N2140" s="116">
        <v>235.85</v>
      </c>
      <c r="O2140" s="116">
        <v>231.9</v>
      </c>
      <c r="P2140" s="116">
        <v>234.95</v>
      </c>
      <c r="Q2140" s="116">
        <v>232.5</v>
      </c>
      <c r="R2140">
        <v>6535775</v>
      </c>
    </row>
    <row r="2141" spans="1:18" x14ac:dyDescent="0.25">
      <c r="A2141" s="170">
        <v>45156</v>
      </c>
      <c r="B2141" s="116">
        <v>233.5</v>
      </c>
      <c r="C2141" s="116">
        <v>230</v>
      </c>
      <c r="D2141" s="116">
        <v>229.75</v>
      </c>
      <c r="E2141" s="116">
        <v>232.15</v>
      </c>
      <c r="F2141" s="116">
        <v>230</v>
      </c>
      <c r="G2141">
        <v>806750</v>
      </c>
      <c r="H2141" s="116"/>
      <c r="I2141" s="116"/>
      <c r="L2141" s="170">
        <v>45156</v>
      </c>
      <c r="M2141" s="116">
        <v>230.1</v>
      </c>
      <c r="N2141" s="116">
        <v>233.5</v>
      </c>
      <c r="O2141" s="116">
        <v>229.6</v>
      </c>
      <c r="P2141" s="116">
        <v>232.5</v>
      </c>
      <c r="Q2141" s="116">
        <v>230.1</v>
      </c>
      <c r="R2141">
        <v>6814759</v>
      </c>
    </row>
    <row r="2142" spans="1:18" x14ac:dyDescent="0.25">
      <c r="A2142" s="170">
        <v>45159</v>
      </c>
      <c r="B2142" s="116">
        <v>240.3</v>
      </c>
      <c r="C2142" s="116">
        <v>239.35</v>
      </c>
      <c r="D2142" s="116">
        <v>230.05</v>
      </c>
      <c r="E2142" s="116">
        <v>230.05</v>
      </c>
      <c r="F2142" s="116">
        <v>239.35</v>
      </c>
      <c r="G2142">
        <v>627971</v>
      </c>
      <c r="H2142" s="116"/>
      <c r="I2142" s="116"/>
      <c r="L2142" s="170">
        <v>45159</v>
      </c>
      <c r="M2142" s="116">
        <v>239.35</v>
      </c>
      <c r="N2142" s="116">
        <v>240.4</v>
      </c>
      <c r="O2142" s="116">
        <v>230.1</v>
      </c>
      <c r="P2142" s="116">
        <v>230.65</v>
      </c>
      <c r="Q2142" s="116">
        <v>239.35</v>
      </c>
      <c r="R2142">
        <v>14519170</v>
      </c>
    </row>
    <row r="2143" spans="1:18" x14ac:dyDescent="0.25">
      <c r="A2143" s="170">
        <v>45160</v>
      </c>
      <c r="B2143" s="116">
        <v>244</v>
      </c>
      <c r="C2143" s="116">
        <v>243.45</v>
      </c>
      <c r="D2143" s="116">
        <v>239.6</v>
      </c>
      <c r="E2143" s="116">
        <v>241.4</v>
      </c>
      <c r="F2143" s="116">
        <v>243.45</v>
      </c>
      <c r="G2143">
        <v>2523789</v>
      </c>
      <c r="H2143" s="116"/>
      <c r="I2143" s="116"/>
      <c r="L2143" s="170">
        <v>45160</v>
      </c>
      <c r="M2143" s="116">
        <v>243.5</v>
      </c>
      <c r="N2143" s="116">
        <v>244.1</v>
      </c>
      <c r="O2143" s="116">
        <v>239.6</v>
      </c>
      <c r="P2143" s="116">
        <v>242</v>
      </c>
      <c r="Q2143" s="116">
        <v>243.5</v>
      </c>
      <c r="R2143">
        <v>22416067</v>
      </c>
    </row>
    <row r="2144" spans="1:18" x14ac:dyDescent="0.25">
      <c r="A2144" s="170">
        <v>45161</v>
      </c>
      <c r="B2144" s="116">
        <v>248.5</v>
      </c>
      <c r="C2144" s="116">
        <v>245.4</v>
      </c>
      <c r="D2144" s="116">
        <v>243.55</v>
      </c>
      <c r="E2144" s="116">
        <v>244.4</v>
      </c>
      <c r="F2144" s="116">
        <v>245.4</v>
      </c>
      <c r="G2144">
        <v>1203221</v>
      </c>
      <c r="H2144" s="116"/>
      <c r="I2144" s="116"/>
      <c r="L2144" s="170">
        <v>45161</v>
      </c>
      <c r="M2144" s="116">
        <v>245.6</v>
      </c>
      <c r="N2144" s="116">
        <v>248.5</v>
      </c>
      <c r="O2144" s="116">
        <v>243.5</v>
      </c>
      <c r="P2144" s="116">
        <v>244.65</v>
      </c>
      <c r="Q2144" s="116">
        <v>245.6</v>
      </c>
      <c r="R2144">
        <v>23010389</v>
      </c>
    </row>
    <row r="2145" spans="1:18" x14ac:dyDescent="0.25">
      <c r="A2145" s="170">
        <v>45162</v>
      </c>
      <c r="B2145" s="116">
        <v>252.75</v>
      </c>
      <c r="C2145" s="116">
        <v>249.55</v>
      </c>
      <c r="D2145" s="116">
        <v>246.05</v>
      </c>
      <c r="E2145" s="116">
        <v>246.05</v>
      </c>
      <c r="F2145" s="116">
        <v>249.55</v>
      </c>
      <c r="G2145">
        <v>1509092</v>
      </c>
      <c r="H2145" s="116"/>
      <c r="I2145" s="116"/>
      <c r="L2145" s="170">
        <v>45162</v>
      </c>
      <c r="M2145" s="116">
        <v>249.75</v>
      </c>
      <c r="N2145" s="116">
        <v>252.8</v>
      </c>
      <c r="O2145" s="116">
        <v>246.5</v>
      </c>
      <c r="P2145" s="116">
        <v>247</v>
      </c>
      <c r="Q2145" s="116">
        <v>249.75</v>
      </c>
      <c r="R2145">
        <v>28698029</v>
      </c>
    </row>
    <row r="2146" spans="1:18" x14ac:dyDescent="0.25">
      <c r="A2146" s="170">
        <v>45163</v>
      </c>
      <c r="B2146" s="116">
        <v>251.65</v>
      </c>
      <c r="C2146" s="116">
        <v>245.3</v>
      </c>
      <c r="D2146" s="116">
        <v>243.65</v>
      </c>
      <c r="E2146" s="116">
        <v>249.6</v>
      </c>
      <c r="F2146" s="116">
        <v>245.3</v>
      </c>
      <c r="G2146">
        <v>743841</v>
      </c>
      <c r="H2146" s="116"/>
      <c r="I2146" s="116"/>
      <c r="L2146" s="170">
        <v>45163</v>
      </c>
      <c r="M2146" s="116">
        <v>245.6</v>
      </c>
      <c r="N2146" s="116">
        <v>251.7</v>
      </c>
      <c r="O2146" s="116">
        <v>243.4</v>
      </c>
      <c r="P2146" s="116">
        <v>249.65</v>
      </c>
      <c r="Q2146" s="116">
        <v>245.6</v>
      </c>
      <c r="R2146">
        <v>15076489</v>
      </c>
    </row>
    <row r="2147" spans="1:18" x14ac:dyDescent="0.25">
      <c r="A2147" s="170">
        <v>45166</v>
      </c>
      <c r="B2147" s="116">
        <v>246.85</v>
      </c>
      <c r="C2147" s="116">
        <v>245</v>
      </c>
      <c r="D2147" s="116">
        <v>243.8</v>
      </c>
      <c r="E2147" s="116">
        <v>245.35</v>
      </c>
      <c r="F2147" s="116">
        <v>245</v>
      </c>
      <c r="G2147">
        <v>428884</v>
      </c>
      <c r="H2147" s="116"/>
      <c r="I2147" s="116"/>
      <c r="L2147" s="170">
        <v>45166</v>
      </c>
      <c r="M2147" s="116">
        <v>244.95</v>
      </c>
      <c r="N2147" s="116">
        <v>246.9</v>
      </c>
      <c r="O2147" s="116">
        <v>243.7</v>
      </c>
      <c r="P2147" s="116">
        <v>246.15</v>
      </c>
      <c r="Q2147" s="116">
        <v>244.95</v>
      </c>
      <c r="R2147">
        <v>7395680</v>
      </c>
    </row>
    <row r="2148" spans="1:18" x14ac:dyDescent="0.25">
      <c r="A2148" s="170">
        <v>45167</v>
      </c>
      <c r="B2148" s="116">
        <v>248.4</v>
      </c>
      <c r="C2148" s="116">
        <v>246.8</v>
      </c>
      <c r="D2148" s="116">
        <v>245</v>
      </c>
      <c r="E2148" s="116">
        <v>245</v>
      </c>
      <c r="F2148" s="116">
        <v>246.8</v>
      </c>
      <c r="G2148">
        <v>875384</v>
      </c>
      <c r="H2148" s="116"/>
      <c r="I2148" s="116"/>
      <c r="L2148" s="170">
        <v>45167</v>
      </c>
      <c r="M2148" s="116">
        <v>246.9</v>
      </c>
      <c r="N2148" s="116">
        <v>248.5</v>
      </c>
      <c r="O2148" s="116">
        <v>244.95</v>
      </c>
      <c r="P2148" s="116">
        <v>245</v>
      </c>
      <c r="Q2148" s="116">
        <v>246.9</v>
      </c>
      <c r="R2148">
        <v>7267365</v>
      </c>
    </row>
    <row r="2149" spans="1:18" x14ac:dyDescent="0.25">
      <c r="A2149" s="170">
        <v>45168</v>
      </c>
      <c r="B2149" s="116">
        <v>250.55</v>
      </c>
      <c r="C2149" s="116">
        <v>247.4</v>
      </c>
      <c r="D2149" s="116">
        <v>247</v>
      </c>
      <c r="E2149" s="116">
        <v>248</v>
      </c>
      <c r="F2149" s="116">
        <v>247.4</v>
      </c>
      <c r="G2149">
        <v>356842</v>
      </c>
      <c r="H2149" s="116"/>
      <c r="I2149" s="116"/>
      <c r="L2149" s="170">
        <v>45168</v>
      </c>
      <c r="M2149" s="116">
        <v>247.35</v>
      </c>
      <c r="N2149" s="116">
        <v>250.5</v>
      </c>
      <c r="O2149" s="116">
        <v>246.9</v>
      </c>
      <c r="P2149" s="116">
        <v>248</v>
      </c>
      <c r="Q2149" s="116">
        <v>247.35</v>
      </c>
      <c r="R2149">
        <v>8228142</v>
      </c>
    </row>
    <row r="2150" spans="1:18" x14ac:dyDescent="0.25">
      <c r="A2150" s="170">
        <v>45169</v>
      </c>
      <c r="B2150" s="116">
        <v>249.6</v>
      </c>
      <c r="C2150" s="116">
        <v>245.05</v>
      </c>
      <c r="D2150" s="116">
        <v>244.3</v>
      </c>
      <c r="E2150" s="116">
        <v>248.9</v>
      </c>
      <c r="F2150" s="116">
        <v>245.05</v>
      </c>
      <c r="G2150">
        <v>1092410</v>
      </c>
      <c r="H2150" s="116"/>
      <c r="I2150" s="116"/>
      <c r="L2150" s="170">
        <v>45169</v>
      </c>
      <c r="M2150" s="116">
        <v>245.1</v>
      </c>
      <c r="N2150" s="116">
        <v>249.75</v>
      </c>
      <c r="O2150" s="116">
        <v>244.25</v>
      </c>
      <c r="P2150" s="116">
        <v>248.65</v>
      </c>
      <c r="Q2150" s="116">
        <v>245.1</v>
      </c>
      <c r="R2150">
        <v>11641155</v>
      </c>
    </row>
    <row r="2151" spans="1:18" x14ac:dyDescent="0.25">
      <c r="A2151" s="170">
        <v>45170</v>
      </c>
      <c r="B2151" s="116">
        <v>255.9</v>
      </c>
      <c r="C2151" s="116">
        <v>255.2</v>
      </c>
      <c r="D2151" s="116">
        <v>246</v>
      </c>
      <c r="E2151" s="116">
        <v>246.95</v>
      </c>
      <c r="F2151" s="116">
        <v>255.2</v>
      </c>
      <c r="G2151">
        <v>1746831</v>
      </c>
      <c r="H2151" s="116"/>
      <c r="I2151" s="116"/>
      <c r="L2151" s="170">
        <v>45170</v>
      </c>
      <c r="M2151" s="116">
        <v>255.35</v>
      </c>
      <c r="N2151" s="116">
        <v>255.95</v>
      </c>
      <c r="O2151" s="116">
        <v>246.1</v>
      </c>
      <c r="P2151" s="116">
        <v>246.75</v>
      </c>
      <c r="Q2151" s="116">
        <v>255.35</v>
      </c>
      <c r="R2151">
        <v>28052910</v>
      </c>
    </row>
    <row r="2152" spans="1:18" x14ac:dyDescent="0.25">
      <c r="A2152" s="170">
        <v>45173</v>
      </c>
      <c r="B2152" s="116">
        <v>262.3</v>
      </c>
      <c r="C2152" s="116">
        <v>259.14999999999998</v>
      </c>
      <c r="D2152" s="116">
        <v>255.25</v>
      </c>
      <c r="E2152" s="116">
        <v>256.55</v>
      </c>
      <c r="F2152" s="116">
        <v>259.14999999999998</v>
      </c>
      <c r="G2152">
        <v>1307053</v>
      </c>
      <c r="H2152" s="116"/>
      <c r="I2152" s="116"/>
      <c r="L2152" s="170">
        <v>45173</v>
      </c>
      <c r="M2152" s="116">
        <v>259.14999999999998</v>
      </c>
      <c r="N2152" s="116">
        <v>262.3</v>
      </c>
      <c r="O2152" s="116">
        <v>255.1</v>
      </c>
      <c r="P2152" s="116">
        <v>257.95</v>
      </c>
      <c r="Q2152" s="116">
        <v>259.14999999999998</v>
      </c>
      <c r="R2152">
        <v>18767431</v>
      </c>
    </row>
    <row r="2153" spans="1:18" x14ac:dyDescent="0.25">
      <c r="A2153" s="170">
        <v>45174</v>
      </c>
      <c r="B2153" s="116">
        <v>262.5</v>
      </c>
      <c r="C2153" s="116">
        <v>258.39999999999998</v>
      </c>
      <c r="D2153" s="116">
        <v>255.7</v>
      </c>
      <c r="E2153" s="116">
        <v>260.2</v>
      </c>
      <c r="F2153" s="116">
        <v>258.39999999999998</v>
      </c>
      <c r="G2153">
        <v>1561545</v>
      </c>
      <c r="H2153" s="116"/>
      <c r="I2153" s="116"/>
      <c r="L2153" s="170">
        <v>45174</v>
      </c>
      <c r="M2153" s="116">
        <v>258.45</v>
      </c>
      <c r="N2153" s="116">
        <v>262.5</v>
      </c>
      <c r="O2153" s="116">
        <v>255.65</v>
      </c>
      <c r="P2153" s="116">
        <v>260.8</v>
      </c>
      <c r="Q2153" s="116">
        <v>258.45</v>
      </c>
      <c r="R2153">
        <v>14987193</v>
      </c>
    </row>
    <row r="2154" spans="1:18" x14ac:dyDescent="0.25">
      <c r="A2154" s="170">
        <v>45175</v>
      </c>
      <c r="B2154" s="116">
        <v>261</v>
      </c>
      <c r="C2154" s="116">
        <v>257.55</v>
      </c>
      <c r="D2154" s="116">
        <v>254.7</v>
      </c>
      <c r="E2154" s="116">
        <v>260.35000000000002</v>
      </c>
      <c r="F2154" s="116">
        <v>257.55</v>
      </c>
      <c r="G2154">
        <v>492116</v>
      </c>
      <c r="H2154" s="116"/>
      <c r="I2154" s="116"/>
      <c r="L2154" s="170">
        <v>45175</v>
      </c>
      <c r="M2154" s="116">
        <v>257.5</v>
      </c>
      <c r="N2154" s="116">
        <v>261.8</v>
      </c>
      <c r="O2154" s="116">
        <v>254.65</v>
      </c>
      <c r="P2154" s="116">
        <v>261</v>
      </c>
      <c r="Q2154" s="116">
        <v>257.5</v>
      </c>
      <c r="R2154">
        <v>9250338</v>
      </c>
    </row>
    <row r="2155" spans="1:18" x14ac:dyDescent="0.25">
      <c r="A2155" s="170">
        <v>45176</v>
      </c>
      <c r="B2155" s="116">
        <v>266.3</v>
      </c>
      <c r="C2155" s="116">
        <v>263.60000000000002</v>
      </c>
      <c r="D2155" s="116">
        <v>256.35000000000002</v>
      </c>
      <c r="E2155" s="116">
        <v>257.7</v>
      </c>
      <c r="F2155" s="116">
        <v>263.60000000000002</v>
      </c>
      <c r="G2155">
        <v>2058292</v>
      </c>
      <c r="H2155" s="116"/>
      <c r="I2155" s="116"/>
      <c r="L2155" s="170">
        <v>45176</v>
      </c>
      <c r="M2155" s="116">
        <v>263.7</v>
      </c>
      <c r="N2155" s="116">
        <v>266.35000000000002</v>
      </c>
      <c r="O2155" s="116">
        <v>256.3</v>
      </c>
      <c r="P2155" s="116">
        <v>258</v>
      </c>
      <c r="Q2155" s="116">
        <v>263.7</v>
      </c>
      <c r="R2155">
        <v>17703150</v>
      </c>
    </row>
    <row r="2156" spans="1:18" x14ac:dyDescent="0.25">
      <c r="A2156" s="170">
        <v>45177</v>
      </c>
      <c r="B2156" s="116">
        <v>276.5</v>
      </c>
      <c r="C2156" s="116">
        <v>268.89999999999998</v>
      </c>
      <c r="D2156" s="116">
        <v>263.85000000000002</v>
      </c>
      <c r="E2156" s="116">
        <v>265</v>
      </c>
      <c r="F2156" s="116">
        <v>268.89999999999998</v>
      </c>
      <c r="G2156">
        <v>6026602</v>
      </c>
      <c r="H2156" s="116"/>
      <c r="I2156" s="116"/>
      <c r="L2156" s="170">
        <v>45177</v>
      </c>
      <c r="M2156" s="116">
        <v>268.85000000000002</v>
      </c>
      <c r="N2156" s="116">
        <v>276.5</v>
      </c>
      <c r="O2156" s="116">
        <v>263.7</v>
      </c>
      <c r="P2156" s="116">
        <v>264.85000000000002</v>
      </c>
      <c r="Q2156" s="116">
        <v>268.85000000000002</v>
      </c>
      <c r="R2156">
        <v>53019645</v>
      </c>
    </row>
    <row r="2157" spans="1:18" x14ac:dyDescent="0.25">
      <c r="A2157" s="170">
        <v>45180</v>
      </c>
      <c r="B2157" s="116">
        <v>274</v>
      </c>
      <c r="C2157" s="116">
        <v>271.8</v>
      </c>
      <c r="D2157" s="116">
        <v>269.14999999999998</v>
      </c>
      <c r="E2157" s="116">
        <v>273.2</v>
      </c>
      <c r="F2157" s="116">
        <v>271.8</v>
      </c>
      <c r="G2157">
        <v>2139921</v>
      </c>
      <c r="H2157" s="116"/>
      <c r="I2157" s="116"/>
      <c r="L2157" s="170">
        <v>45180</v>
      </c>
      <c r="M2157" s="116">
        <v>271.89999999999998</v>
      </c>
      <c r="N2157" s="116">
        <v>274</v>
      </c>
      <c r="O2157" s="116">
        <v>269.14999999999998</v>
      </c>
      <c r="P2157" s="116">
        <v>274</v>
      </c>
      <c r="Q2157" s="116">
        <v>271.89999999999998</v>
      </c>
      <c r="R2157">
        <v>16450404</v>
      </c>
    </row>
    <row r="2158" spans="1:18" x14ac:dyDescent="0.25">
      <c r="A2158" s="170">
        <v>45181</v>
      </c>
      <c r="B2158" s="116">
        <v>275.5</v>
      </c>
      <c r="C2158" s="116">
        <v>262.75</v>
      </c>
      <c r="D2158" s="116">
        <v>260.10000000000002</v>
      </c>
      <c r="E2158" s="116">
        <v>274.25</v>
      </c>
      <c r="F2158" s="116">
        <v>262.75</v>
      </c>
      <c r="G2158">
        <v>1431336</v>
      </c>
      <c r="H2158" s="116"/>
      <c r="I2158" s="116"/>
      <c r="L2158" s="170">
        <v>45181</v>
      </c>
      <c r="M2158" s="116">
        <v>262.7</v>
      </c>
      <c r="N2158" s="116">
        <v>276</v>
      </c>
      <c r="O2158" s="116">
        <v>260</v>
      </c>
      <c r="P2158" s="116">
        <v>276</v>
      </c>
      <c r="Q2158" s="116">
        <v>262.7</v>
      </c>
      <c r="R2158">
        <v>23738913</v>
      </c>
    </row>
    <row r="2159" spans="1:18" x14ac:dyDescent="0.25">
      <c r="A2159" s="170">
        <v>45182</v>
      </c>
      <c r="B2159" s="116">
        <v>267.5</v>
      </c>
      <c r="C2159" s="116">
        <v>264.8</v>
      </c>
      <c r="D2159" s="116">
        <v>261</v>
      </c>
      <c r="E2159" s="116">
        <v>263.2</v>
      </c>
      <c r="F2159" s="116">
        <v>264.8</v>
      </c>
      <c r="G2159">
        <v>1380955</v>
      </c>
      <c r="H2159" s="116"/>
      <c r="I2159" s="116"/>
      <c r="L2159" s="170">
        <v>45182</v>
      </c>
      <c r="M2159" s="116">
        <v>265</v>
      </c>
      <c r="N2159" s="116">
        <v>267.60000000000002</v>
      </c>
      <c r="O2159" s="116">
        <v>261</v>
      </c>
      <c r="P2159" s="116">
        <v>263.5</v>
      </c>
      <c r="Q2159" s="116">
        <v>265</v>
      </c>
      <c r="R2159">
        <v>11803636</v>
      </c>
    </row>
    <row r="2160" spans="1:18" x14ac:dyDescent="0.25">
      <c r="A2160" s="170">
        <v>45183</v>
      </c>
      <c r="B2160" s="116">
        <v>267.95</v>
      </c>
      <c r="C2160" s="116">
        <v>265.05</v>
      </c>
      <c r="D2160" s="116">
        <v>263.60000000000002</v>
      </c>
      <c r="E2160" s="116">
        <v>266.64999999999998</v>
      </c>
      <c r="F2160" s="116">
        <v>265.05</v>
      </c>
      <c r="G2160">
        <v>418427</v>
      </c>
      <c r="H2160" s="116"/>
      <c r="I2160" s="116"/>
      <c r="L2160" s="170">
        <v>45183</v>
      </c>
      <c r="M2160" s="116">
        <v>265.10000000000002</v>
      </c>
      <c r="N2160" s="116">
        <v>268</v>
      </c>
      <c r="O2160" s="116">
        <v>263.45</v>
      </c>
      <c r="P2160" s="116">
        <v>266.85000000000002</v>
      </c>
      <c r="Q2160" s="116">
        <v>265.10000000000002</v>
      </c>
      <c r="R2160">
        <v>7915449</v>
      </c>
    </row>
    <row r="2161" spans="1:18" x14ac:dyDescent="0.25">
      <c r="A2161" s="170">
        <v>45184</v>
      </c>
      <c r="B2161" s="116">
        <v>268</v>
      </c>
      <c r="C2161" s="116">
        <v>263.8</v>
      </c>
      <c r="D2161" s="116">
        <v>263.2</v>
      </c>
      <c r="E2161" s="116">
        <v>267</v>
      </c>
      <c r="F2161" s="116">
        <v>263.8</v>
      </c>
      <c r="G2161">
        <v>459268</v>
      </c>
      <c r="H2161" s="116"/>
      <c r="I2161" s="116"/>
      <c r="L2161" s="170">
        <v>45184</v>
      </c>
      <c r="M2161" s="116">
        <v>263.95</v>
      </c>
      <c r="N2161" s="116">
        <v>267.95</v>
      </c>
      <c r="O2161" s="116">
        <v>263.10000000000002</v>
      </c>
      <c r="P2161" s="116">
        <v>267.10000000000002</v>
      </c>
      <c r="Q2161" s="116">
        <v>263.95</v>
      </c>
      <c r="R2161">
        <v>7612098</v>
      </c>
    </row>
    <row r="2162" spans="1:18" x14ac:dyDescent="0.25">
      <c r="A2162" s="170">
        <v>45187</v>
      </c>
      <c r="B2162" s="116">
        <v>266.7</v>
      </c>
      <c r="C2162" s="116">
        <v>265.45</v>
      </c>
      <c r="D2162" s="116">
        <v>262.39999999999998</v>
      </c>
      <c r="E2162" s="116">
        <v>265.8</v>
      </c>
      <c r="F2162" s="116">
        <v>265.45</v>
      </c>
      <c r="G2162">
        <v>356724</v>
      </c>
      <c r="H2162" s="116"/>
      <c r="I2162" s="116"/>
      <c r="L2162" s="170">
        <v>45187</v>
      </c>
      <c r="M2162" s="116">
        <v>265.55</v>
      </c>
      <c r="N2162" s="116">
        <v>266.75</v>
      </c>
      <c r="O2162" s="116">
        <v>262.3</v>
      </c>
      <c r="P2162" s="116">
        <v>265.39999999999998</v>
      </c>
      <c r="Q2162" s="116">
        <v>265.55</v>
      </c>
      <c r="R2162">
        <v>8425365</v>
      </c>
    </row>
    <row r="2163" spans="1:18" x14ac:dyDescent="0.25">
      <c r="A2163" s="170">
        <v>45189</v>
      </c>
      <c r="B2163" s="116">
        <v>267</v>
      </c>
      <c r="C2163" s="116">
        <v>262.05</v>
      </c>
      <c r="D2163" s="116">
        <v>261</v>
      </c>
      <c r="E2163" s="116">
        <v>265.05</v>
      </c>
      <c r="F2163" s="116">
        <v>262.05</v>
      </c>
      <c r="G2163">
        <v>357590</v>
      </c>
      <c r="H2163" s="116"/>
      <c r="I2163" s="116"/>
      <c r="L2163" s="170">
        <v>45189</v>
      </c>
      <c r="M2163" s="116">
        <v>262</v>
      </c>
      <c r="N2163" s="116">
        <v>267</v>
      </c>
      <c r="O2163" s="116">
        <v>261</v>
      </c>
      <c r="P2163" s="116">
        <v>265.35000000000002</v>
      </c>
      <c r="Q2163" s="116">
        <v>262</v>
      </c>
      <c r="R2163">
        <v>9016803</v>
      </c>
    </row>
    <row r="2164" spans="1:18" x14ac:dyDescent="0.25">
      <c r="A2164" s="170">
        <v>45190</v>
      </c>
      <c r="B2164" s="116">
        <v>261.7</v>
      </c>
      <c r="C2164" s="116">
        <v>256.55</v>
      </c>
      <c r="D2164" s="116">
        <v>256</v>
      </c>
      <c r="E2164" s="116">
        <v>261.7</v>
      </c>
      <c r="F2164" s="116">
        <v>256.55</v>
      </c>
      <c r="G2164">
        <v>1133567</v>
      </c>
      <c r="H2164" s="116"/>
      <c r="I2164" s="116"/>
      <c r="L2164" s="170">
        <v>45190</v>
      </c>
      <c r="M2164" s="116">
        <v>256.64999999999998</v>
      </c>
      <c r="N2164" s="116">
        <v>262</v>
      </c>
      <c r="O2164" s="116">
        <v>256.05</v>
      </c>
      <c r="P2164" s="116">
        <v>261.95</v>
      </c>
      <c r="Q2164" s="116">
        <v>256.64999999999998</v>
      </c>
      <c r="R2164">
        <v>7948656</v>
      </c>
    </row>
    <row r="2165" spans="1:18" x14ac:dyDescent="0.25">
      <c r="A2165" s="170">
        <v>45191</v>
      </c>
      <c r="B2165" s="116">
        <v>259</v>
      </c>
      <c r="C2165" s="116">
        <v>257.05</v>
      </c>
      <c r="D2165" s="116">
        <v>254.35</v>
      </c>
      <c r="E2165" s="116">
        <v>256.60000000000002</v>
      </c>
      <c r="F2165" s="116">
        <v>257.05</v>
      </c>
      <c r="G2165">
        <v>374806</v>
      </c>
      <c r="H2165" s="116"/>
      <c r="I2165" s="116"/>
      <c r="L2165" s="170">
        <v>45191</v>
      </c>
      <c r="M2165" s="116">
        <v>257.10000000000002</v>
      </c>
      <c r="N2165" s="116">
        <v>259</v>
      </c>
      <c r="O2165" s="116">
        <v>254.25</v>
      </c>
      <c r="P2165" s="116">
        <v>257.14999999999998</v>
      </c>
      <c r="Q2165" s="116">
        <v>257.10000000000002</v>
      </c>
      <c r="R2165">
        <v>6831744</v>
      </c>
    </row>
    <row r="2166" spans="1:18" x14ac:dyDescent="0.25">
      <c r="A2166" s="170">
        <v>45194</v>
      </c>
      <c r="B2166" s="116">
        <v>258.45</v>
      </c>
      <c r="C2166" s="116">
        <v>256.95</v>
      </c>
      <c r="D2166" s="116">
        <v>255.05</v>
      </c>
      <c r="E2166" s="116">
        <v>257.64999999999998</v>
      </c>
      <c r="F2166" s="116">
        <v>256.95</v>
      </c>
      <c r="G2166">
        <v>251254</v>
      </c>
      <c r="H2166" s="116"/>
      <c r="I2166" s="116"/>
      <c r="L2166" s="170">
        <v>45194</v>
      </c>
      <c r="M2166" s="116">
        <v>256.89999999999998</v>
      </c>
      <c r="N2166" s="116">
        <v>258.3</v>
      </c>
      <c r="O2166" s="116">
        <v>255</v>
      </c>
      <c r="P2166" s="116">
        <v>258.2</v>
      </c>
      <c r="Q2166" s="116">
        <v>256.89999999999998</v>
      </c>
      <c r="R2166">
        <v>5384845</v>
      </c>
    </row>
    <row r="2167" spans="1:18" x14ac:dyDescent="0.25">
      <c r="A2167" s="170">
        <v>45195</v>
      </c>
      <c r="B2167" s="116">
        <v>263.7</v>
      </c>
      <c r="C2167" s="116">
        <v>259.85000000000002</v>
      </c>
      <c r="D2167" s="116">
        <v>257</v>
      </c>
      <c r="E2167" s="116">
        <v>257</v>
      </c>
      <c r="F2167" s="116">
        <v>259.85000000000002</v>
      </c>
      <c r="G2167">
        <v>967866</v>
      </c>
      <c r="H2167" s="116"/>
      <c r="I2167" s="116"/>
      <c r="L2167" s="170">
        <v>45195</v>
      </c>
      <c r="M2167" s="116">
        <v>259.85000000000002</v>
      </c>
      <c r="N2167" s="116">
        <v>263.75</v>
      </c>
      <c r="O2167" s="116">
        <v>257</v>
      </c>
      <c r="P2167" s="116">
        <v>257.10000000000002</v>
      </c>
      <c r="Q2167" s="116">
        <v>259.85000000000002</v>
      </c>
      <c r="R2167">
        <v>9193002</v>
      </c>
    </row>
    <row r="2168" spans="1:18" x14ac:dyDescent="0.25">
      <c r="A2168" s="170">
        <v>45196</v>
      </c>
      <c r="B2168" s="116">
        <v>260.55</v>
      </c>
      <c r="C2168" s="116">
        <v>259.64999999999998</v>
      </c>
      <c r="D2168" s="116">
        <v>256.55</v>
      </c>
      <c r="E2168" s="116">
        <v>259.55</v>
      </c>
      <c r="F2168" s="116">
        <v>259.64999999999998</v>
      </c>
      <c r="G2168">
        <v>612746</v>
      </c>
      <c r="H2168" s="116"/>
      <c r="I2168" s="116"/>
      <c r="L2168" s="170">
        <v>45196</v>
      </c>
      <c r="M2168" s="116">
        <v>259.75</v>
      </c>
      <c r="N2168" s="116">
        <v>260.60000000000002</v>
      </c>
      <c r="O2168" s="116">
        <v>256.55</v>
      </c>
      <c r="P2168" s="116">
        <v>259.85000000000002</v>
      </c>
      <c r="Q2168" s="116">
        <v>259.75</v>
      </c>
      <c r="R2168">
        <v>5650167</v>
      </c>
    </row>
    <row r="2169" spans="1:18" x14ac:dyDescent="0.25">
      <c r="A2169" s="170">
        <v>45197</v>
      </c>
      <c r="B2169" s="116">
        <v>264.14999999999998</v>
      </c>
      <c r="C2169" s="116">
        <v>258.14999999999998</v>
      </c>
      <c r="D2169" s="116">
        <v>257.39999999999998</v>
      </c>
      <c r="E2169" s="116">
        <v>262.39999999999998</v>
      </c>
      <c r="F2169" s="116">
        <v>258.14999999999998</v>
      </c>
      <c r="G2169">
        <v>426618</v>
      </c>
      <c r="H2169" s="116"/>
      <c r="I2169" s="116"/>
      <c r="L2169" s="170">
        <v>45197</v>
      </c>
      <c r="M2169" s="116">
        <v>258.05</v>
      </c>
      <c r="N2169" s="116">
        <v>264.25</v>
      </c>
      <c r="O2169" s="116">
        <v>257.3</v>
      </c>
      <c r="P2169" s="116">
        <v>262</v>
      </c>
      <c r="Q2169" s="116">
        <v>258.05</v>
      </c>
      <c r="R2169">
        <v>11266992</v>
      </c>
    </row>
    <row r="2170" spans="1:18" x14ac:dyDescent="0.25">
      <c r="A2170" s="170">
        <v>45198</v>
      </c>
      <c r="B2170" s="116">
        <v>264.64999999999998</v>
      </c>
      <c r="C2170" s="116">
        <v>262.2</v>
      </c>
      <c r="D2170" s="116">
        <v>258.64999999999998</v>
      </c>
      <c r="E2170" s="116">
        <v>258.64999999999998</v>
      </c>
      <c r="F2170" s="116">
        <v>262.2</v>
      </c>
      <c r="G2170">
        <v>1083863</v>
      </c>
      <c r="H2170" s="116"/>
      <c r="I2170" s="116"/>
      <c r="L2170" s="170">
        <v>45198</v>
      </c>
      <c r="M2170" s="116">
        <v>262.3</v>
      </c>
      <c r="N2170" s="116">
        <v>264.75</v>
      </c>
      <c r="O2170" s="116">
        <v>259.45</v>
      </c>
      <c r="P2170" s="116">
        <v>259.45</v>
      </c>
      <c r="Q2170" s="116">
        <v>262.3</v>
      </c>
      <c r="R2170">
        <v>10214222</v>
      </c>
    </row>
    <row r="2171" spans="1:18" x14ac:dyDescent="0.25">
      <c r="A2171" s="170">
        <v>45202</v>
      </c>
      <c r="B2171" s="116">
        <v>266.5</v>
      </c>
      <c r="C2171" s="116">
        <v>263.95</v>
      </c>
      <c r="D2171" s="116">
        <v>260.8</v>
      </c>
      <c r="E2171" s="116">
        <v>262.8</v>
      </c>
      <c r="F2171" s="116">
        <v>263.95</v>
      </c>
      <c r="G2171">
        <v>399346</v>
      </c>
      <c r="H2171" s="116"/>
      <c r="I2171" s="116"/>
      <c r="L2171" s="170">
        <v>45202</v>
      </c>
      <c r="M2171" s="116">
        <v>263.95</v>
      </c>
      <c r="N2171" s="116">
        <v>266.5</v>
      </c>
      <c r="O2171" s="116">
        <v>260.8</v>
      </c>
      <c r="P2171" s="116">
        <v>262.55</v>
      </c>
      <c r="Q2171" s="116">
        <v>263.95</v>
      </c>
      <c r="R2171">
        <v>7137959</v>
      </c>
    </row>
    <row r="2172" spans="1:18" x14ac:dyDescent="0.25">
      <c r="A2172" s="170">
        <v>45203</v>
      </c>
      <c r="B2172" s="116">
        <v>263.25</v>
      </c>
      <c r="C2172" s="116">
        <v>256.64999999999998</v>
      </c>
      <c r="D2172" s="116">
        <v>253.6</v>
      </c>
      <c r="E2172" s="116">
        <v>263.25</v>
      </c>
      <c r="F2172" s="116">
        <v>256.64999999999998</v>
      </c>
      <c r="G2172">
        <v>625910</v>
      </c>
      <c r="H2172" s="116"/>
      <c r="I2172" s="116"/>
      <c r="L2172" s="170">
        <v>45203</v>
      </c>
      <c r="M2172" s="116">
        <v>256.64999999999998</v>
      </c>
      <c r="N2172" s="116">
        <v>262.95</v>
      </c>
      <c r="O2172" s="116">
        <v>253.5</v>
      </c>
      <c r="P2172" s="116">
        <v>262.95</v>
      </c>
      <c r="Q2172" s="116">
        <v>256.64999999999998</v>
      </c>
      <c r="R2172">
        <v>12531396</v>
      </c>
    </row>
    <row r="2173" spans="1:18" x14ac:dyDescent="0.25">
      <c r="A2173" s="170">
        <v>45204</v>
      </c>
      <c r="B2173" s="116">
        <v>260.25</v>
      </c>
      <c r="C2173" s="116">
        <v>257.75</v>
      </c>
      <c r="D2173" s="116">
        <v>256.14999999999998</v>
      </c>
      <c r="E2173" s="116">
        <v>258.7</v>
      </c>
      <c r="F2173" s="116">
        <v>257.75</v>
      </c>
      <c r="G2173">
        <v>610423</v>
      </c>
      <c r="H2173" s="116"/>
      <c r="I2173" s="116"/>
      <c r="L2173" s="170">
        <v>45204</v>
      </c>
      <c r="M2173" s="116">
        <v>257.8</v>
      </c>
      <c r="N2173" s="116">
        <v>260.2</v>
      </c>
      <c r="O2173" s="116">
        <v>256</v>
      </c>
      <c r="P2173" s="116">
        <v>258.60000000000002</v>
      </c>
      <c r="Q2173" s="116">
        <v>257.8</v>
      </c>
      <c r="R2173">
        <v>6675848</v>
      </c>
    </row>
    <row r="2174" spans="1:18" x14ac:dyDescent="0.25">
      <c r="A2174" s="170">
        <v>45205</v>
      </c>
      <c r="B2174" s="116">
        <v>260.14999999999998</v>
      </c>
      <c r="C2174" s="116">
        <v>258.75</v>
      </c>
      <c r="D2174" s="116">
        <v>258.10000000000002</v>
      </c>
      <c r="E2174" s="116">
        <v>259.75</v>
      </c>
      <c r="F2174" s="116">
        <v>258.75</v>
      </c>
      <c r="G2174">
        <v>244742</v>
      </c>
      <c r="H2174" s="116"/>
      <c r="I2174" s="116"/>
      <c r="L2174" s="170">
        <v>45205</v>
      </c>
      <c r="M2174" s="116">
        <v>258.75</v>
      </c>
      <c r="N2174" s="116">
        <v>259.95</v>
      </c>
      <c r="O2174" s="116">
        <v>258.05</v>
      </c>
      <c r="P2174" s="116">
        <v>259.5</v>
      </c>
      <c r="Q2174" s="116">
        <v>258.75</v>
      </c>
      <c r="R2174">
        <v>3828731</v>
      </c>
    </row>
    <row r="2175" spans="1:18" x14ac:dyDescent="0.25">
      <c r="A2175" s="170">
        <v>45208</v>
      </c>
      <c r="B2175" s="116">
        <v>255.25</v>
      </c>
      <c r="C2175" s="116">
        <v>249.95</v>
      </c>
      <c r="D2175" s="116">
        <v>249</v>
      </c>
      <c r="E2175" s="116">
        <v>250.8</v>
      </c>
      <c r="F2175" s="116">
        <v>249.95</v>
      </c>
      <c r="G2175">
        <v>1804039</v>
      </c>
      <c r="H2175" s="116"/>
      <c r="I2175" s="116"/>
      <c r="L2175" s="170">
        <v>45208</v>
      </c>
      <c r="M2175" s="116">
        <v>250</v>
      </c>
      <c r="N2175" s="116">
        <v>255.95</v>
      </c>
      <c r="O2175" s="116">
        <v>249.1</v>
      </c>
      <c r="P2175" s="116">
        <v>255.1</v>
      </c>
      <c r="Q2175" s="116">
        <v>250</v>
      </c>
      <c r="R2175">
        <v>11210941</v>
      </c>
    </row>
    <row r="2176" spans="1:18" x14ac:dyDescent="0.25">
      <c r="A2176" s="170">
        <v>45209</v>
      </c>
      <c r="B2176" s="116">
        <v>255.05</v>
      </c>
      <c r="C2176" s="116">
        <v>254.05</v>
      </c>
      <c r="D2176" s="116">
        <v>250.2</v>
      </c>
      <c r="E2176" s="116">
        <v>250.2</v>
      </c>
      <c r="F2176" s="116">
        <v>254.05</v>
      </c>
      <c r="G2176">
        <v>290637</v>
      </c>
      <c r="H2176" s="116"/>
      <c r="I2176" s="116"/>
      <c r="L2176" s="170">
        <v>45209</v>
      </c>
      <c r="M2176" s="116">
        <v>253.9</v>
      </c>
      <c r="N2176" s="116">
        <v>255</v>
      </c>
      <c r="O2176" s="116">
        <v>250.5</v>
      </c>
      <c r="P2176" s="116">
        <v>250.5</v>
      </c>
      <c r="Q2176" s="116">
        <v>253.9</v>
      </c>
      <c r="R2176">
        <v>5951928</v>
      </c>
    </row>
    <row r="2177" spans="1:18" x14ac:dyDescent="0.25">
      <c r="A2177" s="170">
        <v>45210</v>
      </c>
      <c r="B2177" s="116">
        <v>256.45</v>
      </c>
      <c r="C2177" s="116">
        <v>253.8</v>
      </c>
      <c r="D2177" s="116">
        <v>253.05</v>
      </c>
      <c r="E2177" s="116">
        <v>255</v>
      </c>
      <c r="F2177" s="116">
        <v>253.8</v>
      </c>
      <c r="G2177">
        <v>627864</v>
      </c>
      <c r="H2177" s="116"/>
      <c r="I2177" s="116"/>
      <c r="L2177" s="170">
        <v>45210</v>
      </c>
      <c r="M2177" s="116">
        <v>253.95</v>
      </c>
      <c r="N2177" s="116">
        <v>256.39999999999998</v>
      </c>
      <c r="O2177" s="116">
        <v>253.1</v>
      </c>
      <c r="P2177" s="116">
        <v>255.2</v>
      </c>
      <c r="Q2177" s="116">
        <v>253.95</v>
      </c>
      <c r="R2177">
        <v>6245802</v>
      </c>
    </row>
    <row r="2178" spans="1:18" x14ac:dyDescent="0.25">
      <c r="A2178" s="170">
        <v>45211</v>
      </c>
      <c r="B2178" s="116">
        <v>257.35000000000002</v>
      </c>
      <c r="C2178" s="116">
        <v>255.2</v>
      </c>
      <c r="D2178" s="116">
        <v>254.8</v>
      </c>
      <c r="E2178" s="116">
        <v>255.4</v>
      </c>
      <c r="F2178" s="116">
        <v>255.2</v>
      </c>
      <c r="G2178">
        <v>307366</v>
      </c>
      <c r="H2178" s="116"/>
      <c r="I2178" s="116"/>
      <c r="L2178" s="170">
        <v>45211</v>
      </c>
      <c r="M2178" s="116">
        <v>255.15</v>
      </c>
      <c r="N2178" s="116">
        <v>257.39999999999998</v>
      </c>
      <c r="O2178" s="116">
        <v>254.7</v>
      </c>
      <c r="P2178" s="116">
        <v>255.4</v>
      </c>
      <c r="Q2178" s="116">
        <v>255.15</v>
      </c>
      <c r="R2178">
        <v>5375168</v>
      </c>
    </row>
    <row r="2179" spans="1:18" x14ac:dyDescent="0.25">
      <c r="A2179" s="170">
        <v>45212</v>
      </c>
      <c r="B2179" s="116">
        <v>255.85</v>
      </c>
      <c r="C2179" s="116">
        <v>254.05</v>
      </c>
      <c r="D2179" s="116">
        <v>253.05</v>
      </c>
      <c r="E2179" s="116">
        <v>254.25</v>
      </c>
      <c r="F2179" s="116">
        <v>254.05</v>
      </c>
      <c r="G2179">
        <v>572154</v>
      </c>
      <c r="H2179" s="116"/>
      <c r="I2179" s="116"/>
      <c r="L2179" s="170">
        <v>45212</v>
      </c>
      <c r="M2179" s="116">
        <v>254.1</v>
      </c>
      <c r="N2179" s="116">
        <v>255.9</v>
      </c>
      <c r="O2179" s="116">
        <v>253.2</v>
      </c>
      <c r="P2179" s="116">
        <v>254.45</v>
      </c>
      <c r="Q2179" s="116">
        <v>254.1</v>
      </c>
      <c r="R2179">
        <v>4300916</v>
      </c>
    </row>
    <row r="2180" spans="1:18" x14ac:dyDescent="0.25">
      <c r="A2180" s="170">
        <v>45215</v>
      </c>
      <c r="B2180" s="116">
        <v>256.75</v>
      </c>
      <c r="C2180" s="116">
        <v>254.85</v>
      </c>
      <c r="D2180" s="116">
        <v>253.6</v>
      </c>
      <c r="E2180" s="116">
        <v>254.8</v>
      </c>
      <c r="F2180" s="116">
        <v>254.85</v>
      </c>
      <c r="G2180">
        <v>276689</v>
      </c>
      <c r="H2180" s="116"/>
      <c r="I2180" s="116"/>
      <c r="L2180" s="170">
        <v>45215</v>
      </c>
      <c r="M2180" s="116">
        <v>254.8</v>
      </c>
      <c r="N2180" s="116">
        <v>256.85000000000002</v>
      </c>
      <c r="O2180" s="116">
        <v>253.55</v>
      </c>
      <c r="P2180" s="116">
        <v>254.1</v>
      </c>
      <c r="Q2180" s="116">
        <v>254.8</v>
      </c>
      <c r="R2180">
        <v>6720120</v>
      </c>
    </row>
    <row r="2181" spans="1:18" x14ac:dyDescent="0.25">
      <c r="A2181" s="170">
        <v>45216</v>
      </c>
      <c r="B2181" s="116">
        <v>259.35000000000002</v>
      </c>
      <c r="C2181" s="116">
        <v>256.85000000000002</v>
      </c>
      <c r="D2181" s="116">
        <v>256.10000000000002</v>
      </c>
      <c r="E2181" s="116">
        <v>257</v>
      </c>
      <c r="F2181" s="116">
        <v>256.85000000000002</v>
      </c>
      <c r="G2181">
        <v>1105701</v>
      </c>
      <c r="H2181" s="116"/>
      <c r="I2181" s="116"/>
      <c r="L2181" s="170">
        <v>45216</v>
      </c>
      <c r="M2181" s="116">
        <v>256.89999999999998</v>
      </c>
      <c r="N2181" s="116">
        <v>259.3</v>
      </c>
      <c r="O2181" s="116">
        <v>256</v>
      </c>
      <c r="P2181" s="116">
        <v>256.85000000000002</v>
      </c>
      <c r="Q2181" s="116">
        <v>256.89999999999998</v>
      </c>
      <c r="R2181">
        <v>6338761</v>
      </c>
    </row>
    <row r="2182" spans="1:18" x14ac:dyDescent="0.25">
      <c r="A2182" s="170">
        <v>45217</v>
      </c>
      <c r="B2182" s="116">
        <v>257.75</v>
      </c>
      <c r="C2182" s="116">
        <v>253.2</v>
      </c>
      <c r="D2182" s="116">
        <v>251.5</v>
      </c>
      <c r="E2182" s="116">
        <v>257.2</v>
      </c>
      <c r="F2182" s="116">
        <v>253.2</v>
      </c>
      <c r="G2182">
        <v>458769</v>
      </c>
      <c r="H2182" s="116"/>
      <c r="I2182" s="116"/>
      <c r="L2182" s="170">
        <v>45217</v>
      </c>
      <c r="M2182" s="116">
        <v>253.05</v>
      </c>
      <c r="N2182" s="116">
        <v>257.7</v>
      </c>
      <c r="O2182" s="116">
        <v>251.5</v>
      </c>
      <c r="P2182" s="116">
        <v>257</v>
      </c>
      <c r="Q2182" s="116">
        <v>253.05</v>
      </c>
      <c r="R2182">
        <v>6003534</v>
      </c>
    </row>
    <row r="2183" spans="1:18" x14ac:dyDescent="0.25">
      <c r="A2183" s="170">
        <v>45218</v>
      </c>
      <c r="B2183" s="116">
        <v>252.95</v>
      </c>
      <c r="C2183" s="116">
        <v>251.9</v>
      </c>
      <c r="D2183" s="116">
        <v>249.4</v>
      </c>
      <c r="E2183" s="116">
        <v>252.95</v>
      </c>
      <c r="F2183" s="116">
        <v>251.9</v>
      </c>
      <c r="G2183">
        <v>658111</v>
      </c>
      <c r="H2183" s="116"/>
      <c r="I2183" s="116"/>
      <c r="L2183" s="170">
        <v>45218</v>
      </c>
      <c r="M2183" s="116">
        <v>252</v>
      </c>
      <c r="N2183" s="116">
        <v>252.9</v>
      </c>
      <c r="O2183" s="116">
        <v>249.5</v>
      </c>
      <c r="P2183" s="116">
        <v>252.55</v>
      </c>
      <c r="Q2183" s="116">
        <v>252</v>
      </c>
      <c r="R2183">
        <v>4782988</v>
      </c>
    </row>
    <row r="2184" spans="1:18" x14ac:dyDescent="0.25">
      <c r="A2184" s="170">
        <v>45219</v>
      </c>
      <c r="B2184" s="116">
        <v>252.45</v>
      </c>
      <c r="C2184" s="116">
        <v>247.25</v>
      </c>
      <c r="D2184" s="116">
        <v>246.6</v>
      </c>
      <c r="E2184" s="116">
        <v>251.8</v>
      </c>
      <c r="F2184" s="116">
        <v>247.25</v>
      </c>
      <c r="G2184">
        <v>310989</v>
      </c>
      <c r="H2184" s="116"/>
      <c r="I2184" s="116"/>
      <c r="L2184" s="170">
        <v>45219</v>
      </c>
      <c r="M2184" s="116">
        <v>247.4</v>
      </c>
      <c r="N2184" s="116">
        <v>252.4</v>
      </c>
      <c r="O2184" s="116">
        <v>246.6</v>
      </c>
      <c r="P2184" s="116">
        <v>251.5</v>
      </c>
      <c r="Q2184" s="116">
        <v>247.4</v>
      </c>
      <c r="R2184">
        <v>7678941</v>
      </c>
    </row>
    <row r="2185" spans="1:18" x14ac:dyDescent="0.25">
      <c r="A2185" s="170">
        <v>45222</v>
      </c>
      <c r="B2185" s="116">
        <v>248.7</v>
      </c>
      <c r="C2185" s="116">
        <v>238.3</v>
      </c>
      <c r="D2185" s="116">
        <v>236.5</v>
      </c>
      <c r="E2185" s="116">
        <v>248.05</v>
      </c>
      <c r="F2185" s="116">
        <v>238.3</v>
      </c>
      <c r="G2185">
        <v>450479</v>
      </c>
      <c r="H2185" s="116"/>
      <c r="I2185" s="116"/>
      <c r="L2185" s="170">
        <v>45222</v>
      </c>
      <c r="M2185" s="116">
        <v>238.25</v>
      </c>
      <c r="N2185" s="116">
        <v>248.75</v>
      </c>
      <c r="O2185" s="116">
        <v>236.3</v>
      </c>
      <c r="P2185" s="116">
        <v>248.35</v>
      </c>
      <c r="Q2185" s="116">
        <v>238.25</v>
      </c>
      <c r="R2185">
        <v>9550108</v>
      </c>
    </row>
    <row r="2186" spans="1:18" x14ac:dyDescent="0.25">
      <c r="A2186" s="170">
        <v>45224</v>
      </c>
      <c r="B2186" s="116">
        <v>241.75</v>
      </c>
      <c r="C2186" s="116">
        <v>236.6</v>
      </c>
      <c r="D2186" s="116">
        <v>233.05</v>
      </c>
      <c r="E2186" s="116">
        <v>239.1</v>
      </c>
      <c r="F2186" s="116">
        <v>236.6</v>
      </c>
      <c r="G2186">
        <v>1289258</v>
      </c>
      <c r="H2186" s="116"/>
      <c r="I2186" s="116"/>
      <c r="L2186" s="170">
        <v>45224</v>
      </c>
      <c r="M2186" s="116">
        <v>236.7</v>
      </c>
      <c r="N2186" s="116">
        <v>241.65</v>
      </c>
      <c r="O2186" s="116">
        <v>233.15</v>
      </c>
      <c r="P2186" s="116">
        <v>239.85</v>
      </c>
      <c r="Q2186" s="116">
        <v>236.7</v>
      </c>
      <c r="R2186">
        <v>9555885</v>
      </c>
    </row>
    <row r="2187" spans="1:18" x14ac:dyDescent="0.25">
      <c r="A2187" s="170">
        <v>45225</v>
      </c>
      <c r="B2187" s="116">
        <v>235.4</v>
      </c>
      <c r="C2187" s="116">
        <v>234.4</v>
      </c>
      <c r="D2187" s="116">
        <v>230.75</v>
      </c>
      <c r="E2187" s="116">
        <v>234.7</v>
      </c>
      <c r="F2187" s="116">
        <v>234.4</v>
      </c>
      <c r="G2187">
        <v>500422</v>
      </c>
      <c r="H2187" s="116"/>
      <c r="I2187" s="116"/>
      <c r="L2187" s="170">
        <v>45225</v>
      </c>
      <c r="M2187" s="116">
        <v>234.4</v>
      </c>
      <c r="N2187" s="116">
        <v>235.35</v>
      </c>
      <c r="O2187" s="116">
        <v>230.8</v>
      </c>
      <c r="P2187" s="116">
        <v>235</v>
      </c>
      <c r="Q2187" s="116">
        <v>234.4</v>
      </c>
      <c r="R2187">
        <v>9272278</v>
      </c>
    </row>
    <row r="2188" spans="1:18" x14ac:dyDescent="0.25">
      <c r="A2188" s="170">
        <v>45226</v>
      </c>
      <c r="B2188" s="116">
        <v>239</v>
      </c>
      <c r="C2188" s="116">
        <v>238.1</v>
      </c>
      <c r="D2188" s="116">
        <v>235.5</v>
      </c>
      <c r="E2188" s="116">
        <v>236.65</v>
      </c>
      <c r="F2188" s="116">
        <v>238.1</v>
      </c>
      <c r="G2188">
        <v>753948</v>
      </c>
      <c r="H2188" s="116"/>
      <c r="I2188" s="116"/>
      <c r="L2188" s="170">
        <v>45226</v>
      </c>
      <c r="M2188" s="116">
        <v>238.15</v>
      </c>
      <c r="N2188" s="116">
        <v>239</v>
      </c>
      <c r="O2188" s="116">
        <v>235.5</v>
      </c>
      <c r="P2188" s="116">
        <v>236.15</v>
      </c>
      <c r="Q2188" s="116">
        <v>238.15</v>
      </c>
      <c r="R2188">
        <v>7031353</v>
      </c>
    </row>
    <row r="2189" spans="1:18" x14ac:dyDescent="0.25">
      <c r="A2189" s="170">
        <v>45229</v>
      </c>
      <c r="B2189" s="116">
        <v>239.9</v>
      </c>
      <c r="C2189" s="116">
        <v>238.95</v>
      </c>
      <c r="D2189" s="116">
        <v>234.95</v>
      </c>
      <c r="E2189" s="116">
        <v>239.45</v>
      </c>
      <c r="F2189" s="116">
        <v>238.95</v>
      </c>
      <c r="G2189">
        <v>257042</v>
      </c>
      <c r="H2189" s="116"/>
      <c r="I2189" s="116"/>
      <c r="L2189" s="170">
        <v>45229</v>
      </c>
      <c r="M2189" s="116">
        <v>239.1</v>
      </c>
      <c r="N2189" s="116">
        <v>239.9</v>
      </c>
      <c r="O2189" s="116">
        <v>235</v>
      </c>
      <c r="P2189" s="116">
        <v>238.5</v>
      </c>
      <c r="Q2189" s="116">
        <v>239.1</v>
      </c>
      <c r="R2189">
        <v>5661460</v>
      </c>
    </row>
    <row r="2190" spans="1:18" x14ac:dyDescent="0.25">
      <c r="A2190" s="170">
        <v>45230</v>
      </c>
      <c r="B2190" s="116">
        <v>241.75</v>
      </c>
      <c r="C2190" s="116">
        <v>239.3</v>
      </c>
      <c r="D2190" s="116">
        <v>238.3</v>
      </c>
      <c r="E2190" s="116">
        <v>240.95</v>
      </c>
      <c r="F2190" s="116">
        <v>239.3</v>
      </c>
      <c r="G2190">
        <v>255916</v>
      </c>
      <c r="H2190" s="116"/>
      <c r="I2190" s="116"/>
      <c r="L2190" s="170">
        <v>45230</v>
      </c>
      <c r="M2190" s="116">
        <v>239.35</v>
      </c>
      <c r="N2190" s="116">
        <v>241.85</v>
      </c>
      <c r="O2190" s="116">
        <v>238.25</v>
      </c>
      <c r="P2190" s="116">
        <v>240.5</v>
      </c>
      <c r="Q2190" s="116">
        <v>239.35</v>
      </c>
      <c r="R2190">
        <v>6266858</v>
      </c>
    </row>
    <row r="2191" spans="1:18" x14ac:dyDescent="0.25">
      <c r="A2191" s="170">
        <v>45231</v>
      </c>
      <c r="B2191" s="116">
        <v>240.3</v>
      </c>
      <c r="C2191" s="116">
        <v>236.9</v>
      </c>
      <c r="D2191" s="116">
        <v>236.4</v>
      </c>
      <c r="E2191" s="116">
        <v>239.65</v>
      </c>
      <c r="F2191" s="116">
        <v>236.9</v>
      </c>
      <c r="G2191">
        <v>192848</v>
      </c>
      <c r="H2191" s="116"/>
      <c r="I2191" s="116"/>
      <c r="L2191" s="170">
        <v>45231</v>
      </c>
      <c r="M2191" s="116">
        <v>236.9</v>
      </c>
      <c r="N2191" s="116">
        <v>240.25</v>
      </c>
      <c r="O2191" s="116">
        <v>236.3</v>
      </c>
      <c r="P2191" s="116">
        <v>239.95</v>
      </c>
      <c r="Q2191" s="116">
        <v>236.9</v>
      </c>
      <c r="R2191">
        <v>4027707</v>
      </c>
    </row>
    <row r="2192" spans="1:18" x14ac:dyDescent="0.25">
      <c r="A2192" s="170">
        <v>45232</v>
      </c>
      <c r="B2192" s="116">
        <v>245.1</v>
      </c>
      <c r="C2192" s="116">
        <v>244.8</v>
      </c>
      <c r="D2192" s="116">
        <v>237.65</v>
      </c>
      <c r="E2192" s="116">
        <v>237.65</v>
      </c>
      <c r="F2192" s="116">
        <v>244.8</v>
      </c>
      <c r="G2192">
        <v>416467</v>
      </c>
      <c r="H2192" s="116"/>
      <c r="I2192" s="116"/>
      <c r="L2192" s="170">
        <v>45232</v>
      </c>
      <c r="M2192" s="116">
        <v>244.8</v>
      </c>
      <c r="N2192" s="116">
        <v>245.05</v>
      </c>
      <c r="O2192" s="116">
        <v>238</v>
      </c>
      <c r="P2192" s="116">
        <v>238</v>
      </c>
      <c r="Q2192" s="116">
        <v>244.8</v>
      </c>
      <c r="R2192">
        <v>9816661</v>
      </c>
    </row>
    <row r="2193" spans="1:18" x14ac:dyDescent="0.25">
      <c r="A2193" s="170">
        <v>45233</v>
      </c>
      <c r="B2193" s="116">
        <v>246.45</v>
      </c>
      <c r="C2193" s="116">
        <v>244.5</v>
      </c>
      <c r="D2193" s="116">
        <v>244</v>
      </c>
      <c r="E2193" s="116">
        <v>246.45</v>
      </c>
      <c r="F2193" s="116">
        <v>244.5</v>
      </c>
      <c r="G2193">
        <v>595852</v>
      </c>
      <c r="H2193" s="116"/>
      <c r="I2193" s="116"/>
      <c r="L2193" s="170">
        <v>45233</v>
      </c>
      <c r="M2193" s="116">
        <v>244.6</v>
      </c>
      <c r="N2193" s="116">
        <v>246.15</v>
      </c>
      <c r="O2193" s="116">
        <v>243.9</v>
      </c>
      <c r="P2193" s="116">
        <v>245.85</v>
      </c>
      <c r="Q2193" s="116">
        <v>244.6</v>
      </c>
      <c r="R2193">
        <v>5030180</v>
      </c>
    </row>
    <row r="2194" spans="1:18" x14ac:dyDescent="0.25">
      <c r="A2194" s="170">
        <v>45236</v>
      </c>
      <c r="B2194" s="116">
        <v>251.2</v>
      </c>
      <c r="C2194" s="116">
        <v>249.5</v>
      </c>
      <c r="D2194" s="116">
        <v>245.65</v>
      </c>
      <c r="E2194" s="116">
        <v>247.85</v>
      </c>
      <c r="F2194" s="116">
        <v>249.5</v>
      </c>
      <c r="G2194">
        <v>429711</v>
      </c>
      <c r="H2194" s="116"/>
      <c r="I2194" s="116"/>
      <c r="L2194" s="170">
        <v>45236</v>
      </c>
      <c r="M2194" s="116">
        <v>249.55</v>
      </c>
      <c r="N2194" s="116">
        <v>251.2</v>
      </c>
      <c r="O2194" s="116">
        <v>245.6</v>
      </c>
      <c r="P2194" s="116">
        <v>247</v>
      </c>
      <c r="Q2194" s="116">
        <v>249.55</v>
      </c>
      <c r="R2194">
        <v>9389448</v>
      </c>
    </row>
    <row r="2195" spans="1:18" x14ac:dyDescent="0.25">
      <c r="A2195" s="170">
        <v>45237</v>
      </c>
      <c r="B2195" s="116">
        <v>252.1</v>
      </c>
      <c r="C2195" s="116">
        <v>249.75</v>
      </c>
      <c r="D2195" s="116">
        <v>248.85</v>
      </c>
      <c r="E2195" s="116">
        <v>250.25</v>
      </c>
      <c r="F2195" s="116">
        <v>249.75</v>
      </c>
      <c r="G2195">
        <v>736085</v>
      </c>
      <c r="H2195" s="116"/>
      <c r="I2195" s="116"/>
      <c r="L2195" s="170">
        <v>45237</v>
      </c>
      <c r="M2195" s="116">
        <v>249.8</v>
      </c>
      <c r="N2195" s="116">
        <v>252</v>
      </c>
      <c r="O2195" s="116">
        <v>248.9</v>
      </c>
      <c r="P2195" s="116">
        <v>249.95</v>
      </c>
      <c r="Q2195" s="116">
        <v>249.8</v>
      </c>
      <c r="R2195">
        <v>7066697</v>
      </c>
    </row>
    <row r="2196" spans="1:18" x14ac:dyDescent="0.25">
      <c r="A2196" s="170">
        <v>45238</v>
      </c>
      <c r="B2196" s="116">
        <v>256.3</v>
      </c>
      <c r="C2196" s="116">
        <v>254.9</v>
      </c>
      <c r="D2196" s="116">
        <v>251.45</v>
      </c>
      <c r="E2196" s="116">
        <v>252.8</v>
      </c>
      <c r="F2196" s="116">
        <v>254.9</v>
      </c>
      <c r="G2196">
        <v>612469</v>
      </c>
      <c r="H2196" s="116"/>
      <c r="I2196" s="116"/>
      <c r="L2196" s="170">
        <v>45238</v>
      </c>
      <c r="M2196" s="116">
        <v>254.95</v>
      </c>
      <c r="N2196" s="116">
        <v>256.35000000000002</v>
      </c>
      <c r="O2196" s="116">
        <v>251.5</v>
      </c>
      <c r="P2196" s="116">
        <v>252.9</v>
      </c>
      <c r="Q2196" s="116">
        <v>254.95</v>
      </c>
      <c r="R2196">
        <v>13131393</v>
      </c>
    </row>
    <row r="2197" spans="1:18" x14ac:dyDescent="0.25">
      <c r="A2197" s="170">
        <v>45239</v>
      </c>
      <c r="B2197" s="116">
        <v>254.65</v>
      </c>
      <c r="C2197" s="116">
        <v>247.95</v>
      </c>
      <c r="D2197" s="116">
        <v>247.35</v>
      </c>
      <c r="E2197" s="116">
        <v>254.65</v>
      </c>
      <c r="F2197" s="116">
        <v>247.95</v>
      </c>
      <c r="G2197">
        <v>741778</v>
      </c>
      <c r="H2197" s="116"/>
      <c r="I2197" s="116"/>
      <c r="L2197" s="170">
        <v>45239</v>
      </c>
      <c r="M2197" s="116">
        <v>248</v>
      </c>
      <c r="N2197" s="116">
        <v>254</v>
      </c>
      <c r="O2197" s="116">
        <v>247.2</v>
      </c>
      <c r="P2197" s="116">
        <v>254</v>
      </c>
      <c r="Q2197" s="116">
        <v>248</v>
      </c>
      <c r="R2197">
        <v>15388769</v>
      </c>
    </row>
    <row r="2198" spans="1:18" x14ac:dyDescent="0.25">
      <c r="A2198" s="170">
        <v>45240</v>
      </c>
      <c r="B2198" s="116">
        <v>251.85</v>
      </c>
      <c r="C2198" s="116">
        <v>251.4</v>
      </c>
      <c r="D2198" s="116">
        <v>246.95</v>
      </c>
      <c r="E2198" s="116">
        <v>248.4</v>
      </c>
      <c r="F2198" s="116">
        <v>251.4</v>
      </c>
      <c r="G2198">
        <v>299099</v>
      </c>
      <c r="H2198" s="116"/>
      <c r="I2198" s="116"/>
      <c r="L2198" s="170">
        <v>45240</v>
      </c>
      <c r="M2198" s="116">
        <v>251.4</v>
      </c>
      <c r="N2198" s="116">
        <v>251.85</v>
      </c>
      <c r="O2198" s="116">
        <v>246.85</v>
      </c>
      <c r="P2198" s="116">
        <v>248</v>
      </c>
      <c r="Q2198" s="116">
        <v>251.4</v>
      </c>
      <c r="R2198">
        <v>6974541</v>
      </c>
    </row>
    <row r="2199" spans="1:18" x14ac:dyDescent="0.25">
      <c r="A2199" s="170">
        <v>45242</v>
      </c>
      <c r="B2199" s="116">
        <v>253.95</v>
      </c>
      <c r="C2199" s="116">
        <v>253.15</v>
      </c>
      <c r="D2199" s="116">
        <v>252.8</v>
      </c>
      <c r="E2199" s="116">
        <v>253.95</v>
      </c>
      <c r="F2199" s="116">
        <v>253.15</v>
      </c>
      <c r="G2199">
        <v>411550</v>
      </c>
      <c r="H2199" s="116"/>
      <c r="I2199" s="116"/>
      <c r="L2199" s="170">
        <v>45242</v>
      </c>
      <c r="M2199" s="116">
        <v>253.15</v>
      </c>
      <c r="N2199" s="116">
        <v>253.9</v>
      </c>
      <c r="O2199" s="116">
        <v>252.4</v>
      </c>
      <c r="P2199" s="116">
        <v>253</v>
      </c>
      <c r="Q2199" s="116">
        <v>253.15</v>
      </c>
      <c r="R2199">
        <v>2568352</v>
      </c>
    </row>
    <row r="2200" spans="1:18" x14ac:dyDescent="0.25">
      <c r="A2200" s="170">
        <v>45243</v>
      </c>
      <c r="B2200" s="116">
        <v>258.39999999999998</v>
      </c>
      <c r="C2200" s="116">
        <v>257.05</v>
      </c>
      <c r="D2200" s="116">
        <v>251.4</v>
      </c>
      <c r="E2200" s="116">
        <v>253.05</v>
      </c>
      <c r="F2200" s="116">
        <v>257.05</v>
      </c>
      <c r="G2200">
        <v>424612</v>
      </c>
      <c r="H2200" s="116"/>
      <c r="I2200" s="116"/>
      <c r="L2200" s="170">
        <v>45243</v>
      </c>
      <c r="M2200" s="116">
        <v>257.05</v>
      </c>
      <c r="N2200" s="116">
        <v>258.5</v>
      </c>
      <c r="O2200" s="116">
        <v>251.25</v>
      </c>
      <c r="P2200" s="116">
        <v>252.75</v>
      </c>
      <c r="Q2200" s="116">
        <v>257.05</v>
      </c>
      <c r="R2200">
        <v>10251490</v>
      </c>
    </row>
    <row r="2201" spans="1:18" x14ac:dyDescent="0.25">
      <c r="A2201" s="170">
        <v>45245</v>
      </c>
      <c r="B2201" s="116">
        <v>262.25</v>
      </c>
      <c r="C2201" s="116">
        <v>259.14999999999998</v>
      </c>
      <c r="D2201" s="116">
        <v>258.25</v>
      </c>
      <c r="E2201" s="116">
        <v>258.85000000000002</v>
      </c>
      <c r="F2201" s="116">
        <v>259.14999999999998</v>
      </c>
      <c r="G2201">
        <v>1173781</v>
      </c>
      <c r="H2201" s="116"/>
      <c r="I2201" s="116"/>
      <c r="L2201" s="170">
        <v>45245</v>
      </c>
      <c r="M2201" s="116">
        <v>259.2</v>
      </c>
      <c r="N2201" s="116">
        <v>262.25</v>
      </c>
      <c r="O2201" s="116">
        <v>258.10000000000002</v>
      </c>
      <c r="P2201" s="116">
        <v>259.2</v>
      </c>
      <c r="Q2201" s="116">
        <v>259.2</v>
      </c>
      <c r="R2201">
        <v>8436750</v>
      </c>
    </row>
    <row r="2202" spans="1:18" x14ac:dyDescent="0.25">
      <c r="A2202" s="170">
        <v>45246</v>
      </c>
      <c r="B2202" s="116">
        <v>265.5</v>
      </c>
      <c r="C2202" s="116">
        <v>262.39999999999998</v>
      </c>
      <c r="D2202" s="116">
        <v>259.14999999999998</v>
      </c>
      <c r="E2202" s="116">
        <v>259.14999999999998</v>
      </c>
      <c r="F2202" s="116">
        <v>262.39999999999998</v>
      </c>
      <c r="G2202">
        <v>567089</v>
      </c>
      <c r="H2202" s="116"/>
      <c r="I2202" s="116"/>
      <c r="L2202" s="170">
        <v>45246</v>
      </c>
      <c r="M2202" s="116">
        <v>262.45</v>
      </c>
      <c r="N2202" s="116">
        <v>265.5</v>
      </c>
      <c r="O2202" s="116">
        <v>259.35000000000002</v>
      </c>
      <c r="P2202" s="116">
        <v>259.39999999999998</v>
      </c>
      <c r="Q2202" s="116">
        <v>262.45</v>
      </c>
      <c r="R2202">
        <v>13551131</v>
      </c>
    </row>
    <row r="2203" spans="1:18" x14ac:dyDescent="0.25">
      <c r="A2203" s="170">
        <v>45247</v>
      </c>
      <c r="B2203" s="116">
        <v>264.8</v>
      </c>
      <c r="C2203" s="116">
        <v>262.55</v>
      </c>
      <c r="D2203" s="116">
        <v>261.39999999999998</v>
      </c>
      <c r="E2203" s="116">
        <v>264.75</v>
      </c>
      <c r="F2203" s="116">
        <v>262.55</v>
      </c>
      <c r="G2203">
        <v>328971</v>
      </c>
      <c r="H2203" s="116"/>
      <c r="I2203" s="116"/>
      <c r="L2203" s="170">
        <v>45247</v>
      </c>
      <c r="M2203" s="116">
        <v>262.64999999999998</v>
      </c>
      <c r="N2203" s="116">
        <v>264.95</v>
      </c>
      <c r="O2203" s="116">
        <v>261.39999999999998</v>
      </c>
      <c r="P2203" s="116">
        <v>262.89999999999998</v>
      </c>
      <c r="Q2203" s="116">
        <v>262.64999999999998</v>
      </c>
      <c r="R2203">
        <v>6452353</v>
      </c>
    </row>
    <row r="2204" spans="1:18" x14ac:dyDescent="0.25">
      <c r="A2204" s="170">
        <v>45250</v>
      </c>
      <c r="B2204" s="116">
        <v>264.5</v>
      </c>
      <c r="C2204" s="116">
        <v>260.75</v>
      </c>
      <c r="D2204" s="116">
        <v>260.14999999999998</v>
      </c>
      <c r="E2204" s="116">
        <v>264.25</v>
      </c>
      <c r="F2204" s="116">
        <v>260.75</v>
      </c>
      <c r="G2204">
        <v>294322</v>
      </c>
      <c r="H2204" s="116"/>
      <c r="I2204" s="116"/>
      <c r="L2204" s="170">
        <v>45250</v>
      </c>
      <c r="M2204" s="116">
        <v>260.85000000000002</v>
      </c>
      <c r="N2204" s="116">
        <v>264.39999999999998</v>
      </c>
      <c r="O2204" s="116">
        <v>260.10000000000002</v>
      </c>
      <c r="P2204" s="116">
        <v>263.85000000000002</v>
      </c>
      <c r="Q2204" s="116">
        <v>260.85000000000002</v>
      </c>
      <c r="R2204">
        <v>4859705</v>
      </c>
    </row>
    <row r="2205" spans="1:18" x14ac:dyDescent="0.25">
      <c r="A2205" s="170">
        <v>45251</v>
      </c>
      <c r="B2205" s="116">
        <v>265.39999999999998</v>
      </c>
      <c r="C2205" s="116">
        <v>262.55</v>
      </c>
      <c r="D2205" s="116">
        <v>260.85000000000002</v>
      </c>
      <c r="E2205" s="116">
        <v>263.95</v>
      </c>
      <c r="F2205" s="116">
        <v>262.55</v>
      </c>
      <c r="G2205">
        <v>330310</v>
      </c>
      <c r="H2205" s="116"/>
      <c r="I2205" s="116"/>
      <c r="L2205" s="170">
        <v>45251</v>
      </c>
      <c r="M2205" s="116">
        <v>262.64999999999998</v>
      </c>
      <c r="N2205" s="116">
        <v>265.39999999999998</v>
      </c>
      <c r="O2205" s="116">
        <v>260.75</v>
      </c>
      <c r="P2205" s="116">
        <v>263.75</v>
      </c>
      <c r="Q2205" s="116">
        <v>262.64999999999998</v>
      </c>
      <c r="R2205">
        <v>6931541</v>
      </c>
    </row>
    <row r="2206" spans="1:18" x14ac:dyDescent="0.25">
      <c r="A2206" s="170">
        <v>45252</v>
      </c>
      <c r="B2206" s="116">
        <v>263.89999999999998</v>
      </c>
      <c r="C2206" s="116">
        <v>262</v>
      </c>
      <c r="D2206" s="116">
        <v>259.3</v>
      </c>
      <c r="E2206" s="116">
        <v>263.89999999999998</v>
      </c>
      <c r="F2206" s="116">
        <v>262</v>
      </c>
      <c r="G2206">
        <v>253371</v>
      </c>
      <c r="H2206" s="116"/>
      <c r="I2206" s="116"/>
      <c r="L2206" s="170">
        <v>45252</v>
      </c>
      <c r="M2206" s="116">
        <v>262.10000000000002</v>
      </c>
      <c r="N2206" s="116">
        <v>263.60000000000002</v>
      </c>
      <c r="O2206" s="116">
        <v>259.25</v>
      </c>
      <c r="P2206" s="116">
        <v>263.39999999999998</v>
      </c>
      <c r="Q2206" s="116">
        <v>262.10000000000002</v>
      </c>
      <c r="R2206">
        <v>4537969</v>
      </c>
    </row>
    <row r="2207" spans="1:18" x14ac:dyDescent="0.25">
      <c r="A2207" s="170">
        <v>45253</v>
      </c>
      <c r="B2207" s="116">
        <v>263.75</v>
      </c>
      <c r="C2207" s="116">
        <v>260.7</v>
      </c>
      <c r="D2207" s="116">
        <v>259.89999999999998</v>
      </c>
      <c r="E2207" s="116">
        <v>262</v>
      </c>
      <c r="F2207" s="116">
        <v>260.7</v>
      </c>
      <c r="G2207">
        <v>498496</v>
      </c>
      <c r="H2207" s="116"/>
      <c r="I2207" s="116"/>
      <c r="L2207" s="170">
        <v>45253</v>
      </c>
      <c r="M2207" s="116">
        <v>260.75</v>
      </c>
      <c r="N2207" s="116">
        <v>263.75</v>
      </c>
      <c r="O2207" s="116">
        <v>259.8</v>
      </c>
      <c r="P2207" s="116">
        <v>262.10000000000002</v>
      </c>
      <c r="Q2207" s="116">
        <v>260.75</v>
      </c>
      <c r="R2207">
        <v>5466513</v>
      </c>
    </row>
    <row r="2208" spans="1:18" x14ac:dyDescent="0.25">
      <c r="A2208" s="170">
        <v>45254</v>
      </c>
      <c r="B2208" s="116">
        <v>261.64999999999998</v>
      </c>
      <c r="C2208" s="116">
        <v>258.14999999999998</v>
      </c>
      <c r="D2208" s="116">
        <v>256.95</v>
      </c>
      <c r="E2208" s="116">
        <v>261.64999999999998</v>
      </c>
      <c r="F2208" s="116">
        <v>258.14999999999998</v>
      </c>
      <c r="G2208">
        <v>665773</v>
      </c>
      <c r="H2208" s="116"/>
      <c r="I2208" s="116"/>
      <c r="L2208" s="170">
        <v>45254</v>
      </c>
      <c r="M2208" s="116">
        <v>258.14999999999998</v>
      </c>
      <c r="N2208" s="116">
        <v>261.89999999999998</v>
      </c>
      <c r="O2208" s="116">
        <v>257.05</v>
      </c>
      <c r="P2208" s="116">
        <v>261.39999999999998</v>
      </c>
      <c r="Q2208" s="116">
        <v>258.14999999999998</v>
      </c>
      <c r="R2208">
        <v>7153583</v>
      </c>
    </row>
    <row r="2209" spans="1:18" x14ac:dyDescent="0.25">
      <c r="A2209" s="170">
        <v>45258</v>
      </c>
      <c r="B2209" s="116">
        <v>271.25</v>
      </c>
      <c r="C2209" s="116">
        <v>270.75</v>
      </c>
      <c r="D2209" s="116">
        <v>258.45</v>
      </c>
      <c r="E2209" s="116">
        <v>258.45</v>
      </c>
      <c r="F2209" s="116">
        <v>270.75</v>
      </c>
      <c r="G2209">
        <v>3614445</v>
      </c>
      <c r="H2209" s="116"/>
      <c r="I2209" s="116"/>
      <c r="L2209" s="170">
        <v>45258</v>
      </c>
      <c r="M2209" s="116">
        <v>270.8</v>
      </c>
      <c r="N2209" s="116">
        <v>271.39999999999998</v>
      </c>
      <c r="O2209" s="116">
        <v>258.5</v>
      </c>
      <c r="P2209" s="116">
        <v>259.39999999999998</v>
      </c>
      <c r="Q2209" s="116">
        <v>270.8</v>
      </c>
      <c r="R2209">
        <v>24745437</v>
      </c>
    </row>
    <row r="2210" spans="1:18" x14ac:dyDescent="0.25">
      <c r="A2210" s="170">
        <v>45259</v>
      </c>
      <c r="B2210" s="116">
        <v>275.7</v>
      </c>
      <c r="C2210" s="116">
        <v>273.3</v>
      </c>
      <c r="D2210" s="116">
        <v>271.5</v>
      </c>
      <c r="E2210" s="116">
        <v>274.39999999999998</v>
      </c>
      <c r="F2210" s="116">
        <v>273.3</v>
      </c>
      <c r="G2210">
        <v>1250369</v>
      </c>
      <c r="H2210" s="116"/>
      <c r="I2210" s="116"/>
      <c r="L2210" s="170">
        <v>45259</v>
      </c>
      <c r="M2210" s="116">
        <v>273.39999999999998</v>
      </c>
      <c r="N2210" s="116">
        <v>275.7</v>
      </c>
      <c r="O2210" s="116">
        <v>271.5</v>
      </c>
      <c r="P2210" s="116">
        <v>275</v>
      </c>
      <c r="Q2210" s="116">
        <v>273.39999999999998</v>
      </c>
      <c r="R2210">
        <v>26392589</v>
      </c>
    </row>
    <row r="2211" spans="1:18" x14ac:dyDescent="0.25">
      <c r="A2211" s="170">
        <v>45260</v>
      </c>
      <c r="B2211" s="116">
        <v>273.3</v>
      </c>
      <c r="C2211" s="116">
        <v>267.95</v>
      </c>
      <c r="D2211" s="116">
        <v>265.10000000000002</v>
      </c>
      <c r="E2211" s="116">
        <v>273.3</v>
      </c>
      <c r="F2211" s="116">
        <v>267.95</v>
      </c>
      <c r="G2211">
        <v>1197068</v>
      </c>
      <c r="H2211" s="116"/>
      <c r="I2211" s="116"/>
      <c r="L2211" s="170">
        <v>45260</v>
      </c>
      <c r="M2211" s="116">
        <v>267.89999999999998</v>
      </c>
      <c r="N2211" s="116">
        <v>273</v>
      </c>
      <c r="O2211" s="116">
        <v>265.10000000000002</v>
      </c>
      <c r="P2211" s="116">
        <v>273</v>
      </c>
      <c r="Q2211" s="116">
        <v>267.89999999999998</v>
      </c>
      <c r="R2211">
        <v>20403510</v>
      </c>
    </row>
    <row r="2212" spans="1:18" x14ac:dyDescent="0.25">
      <c r="A2212" s="170">
        <v>45261</v>
      </c>
      <c r="B2212" s="116">
        <v>278.5</v>
      </c>
      <c r="C2212" s="116">
        <v>275.75</v>
      </c>
      <c r="D2212" s="116">
        <v>268.5</v>
      </c>
      <c r="E2212" s="116">
        <v>270.3</v>
      </c>
      <c r="F2212" s="116">
        <v>275.75</v>
      </c>
      <c r="G2212">
        <v>3845247</v>
      </c>
      <c r="H2212" s="116"/>
      <c r="I2212" s="116"/>
      <c r="L2212" s="170">
        <v>45261</v>
      </c>
      <c r="M2212" s="116">
        <v>276</v>
      </c>
      <c r="N2212" s="116">
        <v>278.5</v>
      </c>
      <c r="O2212" s="116">
        <v>268.55</v>
      </c>
      <c r="P2212" s="116">
        <v>270</v>
      </c>
      <c r="Q2212" s="116">
        <v>276</v>
      </c>
      <c r="R2212">
        <v>32159928</v>
      </c>
    </row>
    <row r="2213" spans="1:18" x14ac:dyDescent="0.25">
      <c r="A2213" s="170">
        <v>45264</v>
      </c>
      <c r="B2213" s="116">
        <v>286</v>
      </c>
      <c r="C2213" s="116">
        <v>281.5</v>
      </c>
      <c r="D2213" s="116">
        <v>278.89999999999998</v>
      </c>
      <c r="E2213" s="116">
        <v>286</v>
      </c>
      <c r="F2213" s="116">
        <v>281.5</v>
      </c>
      <c r="G2213">
        <v>1721021</v>
      </c>
      <c r="H2213" s="116"/>
      <c r="I2213" s="116"/>
      <c r="L2213" s="170">
        <v>45264</v>
      </c>
      <c r="M2213" s="116">
        <v>281.55</v>
      </c>
      <c r="N2213" s="116">
        <v>286</v>
      </c>
      <c r="O2213" s="116">
        <v>278.89999999999998</v>
      </c>
      <c r="P2213" s="116">
        <v>285</v>
      </c>
      <c r="Q2213" s="116">
        <v>281.55</v>
      </c>
      <c r="R2213">
        <v>28890541</v>
      </c>
    </row>
    <row r="2214" spans="1:18" x14ac:dyDescent="0.25">
      <c r="A2214" s="170">
        <v>45265</v>
      </c>
      <c r="B2214" s="116">
        <v>283.85000000000002</v>
      </c>
      <c r="C2214" s="116">
        <v>281.5</v>
      </c>
      <c r="D2214" s="116">
        <v>276.5</v>
      </c>
      <c r="E2214" s="116">
        <v>283.85000000000002</v>
      </c>
      <c r="F2214" s="116">
        <v>281.5</v>
      </c>
      <c r="G2214">
        <v>1239437</v>
      </c>
      <c r="H2214" s="116"/>
      <c r="I2214" s="116"/>
      <c r="L2214" s="170">
        <v>45265</v>
      </c>
      <c r="M2214" s="116">
        <v>281.5</v>
      </c>
      <c r="N2214" s="116">
        <v>283.2</v>
      </c>
      <c r="O2214" s="116">
        <v>276.5</v>
      </c>
      <c r="P2214" s="116">
        <v>283</v>
      </c>
      <c r="Q2214" s="116">
        <v>281.5</v>
      </c>
      <c r="R2214">
        <v>21565252</v>
      </c>
    </row>
    <row r="2215" spans="1:18" x14ac:dyDescent="0.25">
      <c r="A2215" s="170">
        <v>45266</v>
      </c>
      <c r="B2215" s="116">
        <v>298.60000000000002</v>
      </c>
      <c r="C2215" s="116">
        <v>294.10000000000002</v>
      </c>
      <c r="D2215" s="116">
        <v>280.14999999999998</v>
      </c>
      <c r="E2215" s="116">
        <v>281.8</v>
      </c>
      <c r="F2215" s="116">
        <v>294.10000000000002</v>
      </c>
      <c r="G2215">
        <v>4718680</v>
      </c>
      <c r="H2215" s="116"/>
      <c r="I2215" s="116"/>
      <c r="L2215" s="170">
        <v>45266</v>
      </c>
      <c r="M2215" s="116">
        <v>294.14999999999998</v>
      </c>
      <c r="N2215" s="116">
        <v>298.60000000000002</v>
      </c>
      <c r="O2215" s="116">
        <v>280.2</v>
      </c>
      <c r="P2215" s="116">
        <v>281.55</v>
      </c>
      <c r="Q2215" s="116">
        <v>294.14999999999998</v>
      </c>
      <c r="R2215">
        <v>45934967</v>
      </c>
    </row>
    <row r="2216" spans="1:18" x14ac:dyDescent="0.25">
      <c r="A2216" s="170">
        <v>45267</v>
      </c>
      <c r="B2216" s="116">
        <v>332</v>
      </c>
      <c r="C2216" s="116">
        <v>325.75</v>
      </c>
      <c r="D2216" s="116">
        <v>292.25</v>
      </c>
      <c r="E2216" s="116">
        <v>295.89999999999998</v>
      </c>
      <c r="F2216" s="116">
        <v>325.75</v>
      </c>
      <c r="G2216">
        <v>8243926</v>
      </c>
      <c r="H2216" s="116"/>
      <c r="I2216" s="116"/>
      <c r="L2216" s="170">
        <v>45267</v>
      </c>
      <c r="M2216" s="116">
        <v>325.8</v>
      </c>
      <c r="N2216" s="116">
        <v>332.15</v>
      </c>
      <c r="O2216" s="116">
        <v>292.14999999999998</v>
      </c>
      <c r="P2216" s="116">
        <v>295</v>
      </c>
      <c r="Q2216" s="116">
        <v>325.8</v>
      </c>
      <c r="R2216">
        <v>152381610</v>
      </c>
    </row>
    <row r="2217" spans="1:18" x14ac:dyDescent="0.25">
      <c r="A2217" s="170">
        <v>45268</v>
      </c>
      <c r="B2217" s="116">
        <v>335.8</v>
      </c>
      <c r="C2217" s="116">
        <v>323.45</v>
      </c>
      <c r="D2217" s="116">
        <v>317.95</v>
      </c>
      <c r="E2217" s="116">
        <v>333</v>
      </c>
      <c r="F2217" s="116">
        <v>323.45</v>
      </c>
      <c r="G2217">
        <v>4411611</v>
      </c>
      <c r="H2217" s="116"/>
      <c r="I2217" s="116"/>
      <c r="L2217" s="170">
        <v>45268</v>
      </c>
      <c r="M2217" s="116">
        <v>323.55</v>
      </c>
      <c r="N2217" s="116">
        <v>335.95</v>
      </c>
      <c r="O2217" s="116">
        <v>318.10000000000002</v>
      </c>
      <c r="P2217" s="116">
        <v>331.95</v>
      </c>
      <c r="Q2217" s="116">
        <v>323.55</v>
      </c>
      <c r="R2217">
        <v>74992149</v>
      </c>
    </row>
    <row r="2218" spans="1:18" x14ac:dyDescent="0.25">
      <c r="A2218" s="170">
        <v>45271</v>
      </c>
      <c r="B2218" s="116">
        <v>335.25</v>
      </c>
      <c r="C2218" s="116">
        <v>333.5</v>
      </c>
      <c r="D2218" s="116">
        <v>322.35000000000002</v>
      </c>
      <c r="E2218" s="116">
        <v>325.8</v>
      </c>
      <c r="F2218" s="116">
        <v>333.5</v>
      </c>
      <c r="G2218">
        <v>1926298</v>
      </c>
      <c r="H2218" s="116"/>
      <c r="I2218" s="116"/>
      <c r="L2218" s="170">
        <v>45271</v>
      </c>
      <c r="M2218" s="116">
        <v>333.65</v>
      </c>
      <c r="N2218" s="116">
        <v>335.3</v>
      </c>
      <c r="O2218" s="116">
        <v>322.35000000000002</v>
      </c>
      <c r="P2218" s="116">
        <v>325.39999999999998</v>
      </c>
      <c r="Q2218" s="116">
        <v>333.65</v>
      </c>
      <c r="R2218">
        <v>40351523</v>
      </c>
    </row>
    <row r="2219" spans="1:18" x14ac:dyDescent="0.25">
      <c r="A2219" s="170">
        <v>45272</v>
      </c>
      <c r="B2219" s="116">
        <v>336.95</v>
      </c>
      <c r="C2219" s="116">
        <v>330.8</v>
      </c>
      <c r="D2219" s="116">
        <v>327.55</v>
      </c>
      <c r="E2219" s="116">
        <v>336.95</v>
      </c>
      <c r="F2219" s="116">
        <v>330.8</v>
      </c>
      <c r="G2219">
        <v>1203759</v>
      </c>
      <c r="H2219" s="116"/>
      <c r="I2219" s="116"/>
      <c r="L2219" s="170">
        <v>45272</v>
      </c>
      <c r="M2219" s="116">
        <v>330.8</v>
      </c>
      <c r="N2219" s="116">
        <v>335</v>
      </c>
      <c r="O2219" s="116">
        <v>327.60000000000002</v>
      </c>
      <c r="P2219" s="116">
        <v>335</v>
      </c>
      <c r="Q2219" s="116">
        <v>330.8</v>
      </c>
      <c r="R2219">
        <v>22627713</v>
      </c>
    </row>
    <row r="2220" spans="1:18" x14ac:dyDescent="0.25">
      <c r="A2220" s="170">
        <v>45273</v>
      </c>
      <c r="B2220" s="116">
        <v>340.45</v>
      </c>
      <c r="C2220" s="116">
        <v>338.05</v>
      </c>
      <c r="D2220" s="116">
        <v>329.65</v>
      </c>
      <c r="E2220" s="116">
        <v>332.45</v>
      </c>
      <c r="F2220" s="116">
        <v>338.05</v>
      </c>
      <c r="G2220">
        <v>3958798</v>
      </c>
      <c r="H2220" s="116"/>
      <c r="I2220" s="116"/>
      <c r="L2220" s="170">
        <v>45273</v>
      </c>
      <c r="M2220" s="116">
        <v>338.15</v>
      </c>
      <c r="N2220" s="116">
        <v>340.5</v>
      </c>
      <c r="O2220" s="116">
        <v>329.75</v>
      </c>
      <c r="P2220" s="116">
        <v>332.1</v>
      </c>
      <c r="Q2220" s="116">
        <v>338.15</v>
      </c>
      <c r="R2220">
        <v>33632037</v>
      </c>
    </row>
    <row r="2221" spans="1:18" x14ac:dyDescent="0.25">
      <c r="A2221" s="170">
        <v>45274</v>
      </c>
      <c r="B2221" s="116">
        <v>341.3</v>
      </c>
      <c r="C2221" s="116">
        <v>335.3</v>
      </c>
      <c r="D2221" s="116">
        <v>335</v>
      </c>
      <c r="E2221" s="116">
        <v>341</v>
      </c>
      <c r="F2221" s="116">
        <v>335.3</v>
      </c>
      <c r="G2221">
        <v>1147403</v>
      </c>
      <c r="H2221" s="116"/>
      <c r="I2221" s="116"/>
      <c r="L2221" s="170">
        <v>45274</v>
      </c>
      <c r="M2221" s="116">
        <v>335.4</v>
      </c>
      <c r="N2221" s="116">
        <v>341.9</v>
      </c>
      <c r="O2221" s="116">
        <v>335</v>
      </c>
      <c r="P2221" s="116">
        <v>340.9</v>
      </c>
      <c r="Q2221" s="116">
        <v>335.4</v>
      </c>
      <c r="R2221">
        <v>16560229</v>
      </c>
    </row>
    <row r="2222" spans="1:18" x14ac:dyDescent="0.25">
      <c r="A2222" s="170">
        <v>45275</v>
      </c>
      <c r="B2222" s="116">
        <v>338.35</v>
      </c>
      <c r="C2222" s="116">
        <v>333.2</v>
      </c>
      <c r="D2222" s="116">
        <v>331.85</v>
      </c>
      <c r="E2222" s="116">
        <v>337.95</v>
      </c>
      <c r="F2222" s="116">
        <v>333.2</v>
      </c>
      <c r="G2222">
        <v>1020632</v>
      </c>
      <c r="H2222" s="116"/>
      <c r="I2222" s="116"/>
      <c r="L2222" s="170">
        <v>45275</v>
      </c>
      <c r="M2222" s="116">
        <v>333.2</v>
      </c>
      <c r="N2222" s="116">
        <v>338.5</v>
      </c>
      <c r="O2222" s="116">
        <v>331.8</v>
      </c>
      <c r="P2222" s="116">
        <v>337.4</v>
      </c>
      <c r="Q2222" s="116">
        <v>333.2</v>
      </c>
      <c r="R2222">
        <v>17080409</v>
      </c>
    </row>
    <row r="2223" spans="1:18" x14ac:dyDescent="0.25">
      <c r="A2223" s="170">
        <v>45278</v>
      </c>
      <c r="B2223" s="116">
        <v>340.2</v>
      </c>
      <c r="C2223" s="116">
        <v>337</v>
      </c>
      <c r="D2223" s="116">
        <v>334.45</v>
      </c>
      <c r="E2223" s="116">
        <v>339.2</v>
      </c>
      <c r="F2223" s="116">
        <v>337</v>
      </c>
      <c r="G2223">
        <v>2447088</v>
      </c>
      <c r="H2223" s="116"/>
      <c r="I2223" s="116"/>
      <c r="L2223" s="170">
        <v>45278</v>
      </c>
      <c r="M2223" s="116">
        <v>337.05</v>
      </c>
      <c r="N2223" s="116">
        <v>340.3</v>
      </c>
      <c r="O2223" s="116">
        <v>334.4</v>
      </c>
      <c r="P2223" s="116">
        <v>339</v>
      </c>
      <c r="Q2223" s="116">
        <v>337.05</v>
      </c>
      <c r="R2223">
        <v>15561817</v>
      </c>
    </row>
    <row r="2224" spans="1:18" x14ac:dyDescent="0.25">
      <c r="A2224" s="170">
        <v>45279</v>
      </c>
      <c r="B2224" s="116">
        <v>338.85</v>
      </c>
      <c r="C2224" s="116">
        <v>336</v>
      </c>
      <c r="D2224" s="116">
        <v>330.55</v>
      </c>
      <c r="E2224" s="116">
        <v>338.85</v>
      </c>
      <c r="F2224" s="116">
        <v>336</v>
      </c>
      <c r="G2224">
        <v>624526</v>
      </c>
      <c r="H2224" s="116"/>
      <c r="I2224" s="116"/>
      <c r="L2224" s="170">
        <v>45279</v>
      </c>
      <c r="M2224" s="116">
        <v>335.9</v>
      </c>
      <c r="N2224" s="116">
        <v>338.5</v>
      </c>
      <c r="O2224" s="116">
        <v>330.45</v>
      </c>
      <c r="P2224" s="116">
        <v>338.5</v>
      </c>
      <c r="Q2224" s="116">
        <v>335.9</v>
      </c>
      <c r="R2224">
        <v>11713755</v>
      </c>
    </row>
    <row r="2225" spans="1:18" x14ac:dyDescent="0.25">
      <c r="A2225" s="170">
        <v>45280</v>
      </c>
      <c r="B2225" s="116">
        <v>346.9</v>
      </c>
      <c r="C2225" s="116">
        <v>320.2</v>
      </c>
      <c r="D2225" s="116">
        <v>318.10000000000002</v>
      </c>
      <c r="E2225" s="116">
        <v>336.8</v>
      </c>
      <c r="F2225" s="116">
        <v>320.2</v>
      </c>
      <c r="G2225">
        <v>5693459</v>
      </c>
      <c r="H2225" s="116"/>
      <c r="I2225" s="116"/>
      <c r="L2225" s="170">
        <v>45280</v>
      </c>
      <c r="M2225" s="116">
        <v>320.14999999999998</v>
      </c>
      <c r="N2225" s="116">
        <v>346.9</v>
      </c>
      <c r="O2225" s="116">
        <v>318</v>
      </c>
      <c r="P2225" s="116">
        <v>336.7</v>
      </c>
      <c r="Q2225" s="116">
        <v>320.14999999999998</v>
      </c>
      <c r="R2225">
        <v>40678163</v>
      </c>
    </row>
    <row r="2226" spans="1:18" x14ac:dyDescent="0.25">
      <c r="A2226" s="170">
        <v>45281</v>
      </c>
      <c r="B2226" s="116">
        <v>330.65</v>
      </c>
      <c r="C2226" s="116">
        <v>328.5</v>
      </c>
      <c r="D2226" s="116">
        <v>312.60000000000002</v>
      </c>
      <c r="E2226" s="116">
        <v>317.8</v>
      </c>
      <c r="F2226" s="116">
        <v>328.5</v>
      </c>
      <c r="G2226">
        <v>4454817</v>
      </c>
      <c r="H2226" s="116"/>
      <c r="I2226" s="116"/>
      <c r="L2226" s="170">
        <v>45281</v>
      </c>
      <c r="M2226" s="116">
        <v>328.55</v>
      </c>
      <c r="N2226" s="116">
        <v>330.7</v>
      </c>
      <c r="O2226" s="116">
        <v>312.7</v>
      </c>
      <c r="P2226" s="116">
        <v>318</v>
      </c>
      <c r="Q2226" s="116">
        <v>328.55</v>
      </c>
      <c r="R2226">
        <v>26393082</v>
      </c>
    </row>
    <row r="2227" spans="1:18" x14ac:dyDescent="0.25">
      <c r="A2227" s="170">
        <v>45282</v>
      </c>
      <c r="B2227" s="116">
        <v>332</v>
      </c>
      <c r="C2227" s="116">
        <v>326.60000000000002</v>
      </c>
      <c r="D2227" s="116">
        <v>323.60000000000002</v>
      </c>
      <c r="E2227" s="116">
        <v>331.15</v>
      </c>
      <c r="F2227" s="116">
        <v>326.60000000000002</v>
      </c>
      <c r="G2227">
        <v>706059</v>
      </c>
      <c r="H2227" s="116"/>
      <c r="I2227" s="116"/>
      <c r="L2227" s="170">
        <v>45282</v>
      </c>
      <c r="M2227" s="116">
        <v>326.64999999999998</v>
      </c>
      <c r="N2227" s="116">
        <v>332</v>
      </c>
      <c r="O2227" s="116">
        <v>323.55</v>
      </c>
      <c r="P2227" s="116">
        <v>331</v>
      </c>
      <c r="Q2227" s="116">
        <v>326.64999999999998</v>
      </c>
      <c r="R2227">
        <v>15179674</v>
      </c>
    </row>
    <row r="2228" spans="1:18" x14ac:dyDescent="0.25">
      <c r="A2228" s="170">
        <v>45286</v>
      </c>
      <c r="B2228" s="116">
        <v>331.35</v>
      </c>
      <c r="C2228" s="116">
        <v>325.14999999999998</v>
      </c>
      <c r="D2228" s="116">
        <v>324.8</v>
      </c>
      <c r="E2228" s="116">
        <v>328.9</v>
      </c>
      <c r="F2228" s="116">
        <v>325.14999999999998</v>
      </c>
      <c r="G2228">
        <v>1476806</v>
      </c>
      <c r="H2228" s="116"/>
      <c r="I2228" s="116"/>
      <c r="L2228" s="170">
        <v>45286</v>
      </c>
      <c r="M2228" s="116">
        <v>325.39999999999998</v>
      </c>
      <c r="N2228" s="116">
        <v>331.4</v>
      </c>
      <c r="O2228" s="116">
        <v>325</v>
      </c>
      <c r="P2228" s="116">
        <v>328.55</v>
      </c>
      <c r="Q2228" s="116">
        <v>325.39999999999998</v>
      </c>
      <c r="R2228">
        <v>11314266</v>
      </c>
    </row>
    <row r="2229" spans="1:18" x14ac:dyDescent="0.25">
      <c r="A2229" s="170">
        <v>45287</v>
      </c>
      <c r="B2229" s="116">
        <v>330</v>
      </c>
      <c r="C2229" s="116">
        <v>324.95</v>
      </c>
      <c r="D2229" s="116">
        <v>321.75</v>
      </c>
      <c r="E2229" s="116">
        <v>327.35000000000002</v>
      </c>
      <c r="F2229" s="116">
        <v>324.95</v>
      </c>
      <c r="G2229">
        <v>646687</v>
      </c>
      <c r="H2229" s="116"/>
      <c r="I2229" s="116"/>
      <c r="L2229" s="170">
        <v>45287</v>
      </c>
      <c r="M2229" s="116">
        <v>324.85000000000002</v>
      </c>
      <c r="N2229" s="116">
        <v>329.9</v>
      </c>
      <c r="O2229" s="116">
        <v>321.64999999999998</v>
      </c>
      <c r="P2229" s="116">
        <v>327.05</v>
      </c>
      <c r="Q2229" s="116">
        <v>324.85000000000002</v>
      </c>
      <c r="R2229">
        <v>10349372</v>
      </c>
    </row>
    <row r="2230" spans="1:18" x14ac:dyDescent="0.25">
      <c r="A2230" s="170">
        <v>45288</v>
      </c>
      <c r="B2230" s="116">
        <v>331</v>
      </c>
      <c r="C2230" s="116">
        <v>329.6</v>
      </c>
      <c r="D2230" s="116">
        <v>323.95</v>
      </c>
      <c r="E2230" s="116">
        <v>326.05</v>
      </c>
      <c r="F2230" s="116">
        <v>329.6</v>
      </c>
      <c r="G2230">
        <v>1815094</v>
      </c>
      <c r="H2230" s="116"/>
      <c r="I2230" s="116"/>
      <c r="L2230" s="170">
        <v>45288</v>
      </c>
      <c r="M2230" s="116">
        <v>329.8</v>
      </c>
      <c r="N2230" s="116">
        <v>331</v>
      </c>
      <c r="O2230" s="116">
        <v>324</v>
      </c>
      <c r="P2230" s="116">
        <v>326.60000000000002</v>
      </c>
      <c r="Q2230" s="116">
        <v>329.8</v>
      </c>
      <c r="R2230">
        <v>16182026</v>
      </c>
    </row>
    <row r="2231" spans="1:18" x14ac:dyDescent="0.25">
      <c r="A2231" s="170">
        <v>45289</v>
      </c>
      <c r="B2231" s="116">
        <v>335.85</v>
      </c>
      <c r="C2231" s="116">
        <v>332.05</v>
      </c>
      <c r="D2231" s="116">
        <v>326.10000000000002</v>
      </c>
      <c r="E2231" s="116">
        <v>330.4</v>
      </c>
      <c r="F2231" s="116">
        <v>332.05</v>
      </c>
      <c r="G2231">
        <v>1445263</v>
      </c>
      <c r="H2231" s="116"/>
      <c r="I2231" s="116"/>
      <c r="L2231" s="170">
        <v>45289</v>
      </c>
      <c r="M2231" s="116">
        <v>332.15</v>
      </c>
      <c r="N2231" s="116">
        <v>336</v>
      </c>
      <c r="O2231" s="116">
        <v>326.05</v>
      </c>
      <c r="P2231" s="116">
        <v>330.1</v>
      </c>
      <c r="Q2231" s="116">
        <v>332.15</v>
      </c>
      <c r="R2231">
        <v>19909151</v>
      </c>
    </row>
    <row r="2232" spans="1:18" x14ac:dyDescent="0.25">
      <c r="A2232" s="170">
        <v>45292</v>
      </c>
      <c r="B2232" s="116">
        <v>335.8</v>
      </c>
      <c r="C2232" s="116">
        <v>329.95</v>
      </c>
      <c r="D2232" s="116">
        <v>328.3</v>
      </c>
      <c r="E2232" s="116">
        <v>334.65</v>
      </c>
      <c r="F2232" s="116">
        <v>329.95</v>
      </c>
      <c r="G2232">
        <v>666124</v>
      </c>
      <c r="H2232" s="116"/>
      <c r="I2232" s="116"/>
      <c r="L2232" s="170">
        <v>45292</v>
      </c>
      <c r="M2232" s="116">
        <v>330.3</v>
      </c>
      <c r="N2232" s="116">
        <v>335.85</v>
      </c>
      <c r="O2232" s="116">
        <v>328.15</v>
      </c>
      <c r="P2232" s="116">
        <v>333.9</v>
      </c>
      <c r="Q2232" s="116">
        <v>330.3</v>
      </c>
      <c r="R2232">
        <v>10096386</v>
      </c>
    </row>
    <row r="2233" spans="1:18" x14ac:dyDescent="0.25">
      <c r="A2233" s="170">
        <v>45293</v>
      </c>
      <c r="B2233" s="116">
        <v>332.45</v>
      </c>
      <c r="C2233" s="116">
        <v>329.65</v>
      </c>
      <c r="D2233" s="116">
        <v>319.8</v>
      </c>
      <c r="E2233" s="116">
        <v>331.95</v>
      </c>
      <c r="F2233" s="116">
        <v>329.65</v>
      </c>
      <c r="G2233">
        <v>946985</v>
      </c>
      <c r="H2233" s="116"/>
      <c r="I2233" s="116"/>
      <c r="L2233" s="170">
        <v>45293</v>
      </c>
      <c r="M2233" s="116">
        <v>329.85</v>
      </c>
      <c r="N2233" s="116">
        <v>332.7</v>
      </c>
      <c r="O2233" s="116">
        <v>319.60000000000002</v>
      </c>
      <c r="P2233" s="116">
        <v>331.7</v>
      </c>
      <c r="Q2233" s="116">
        <v>329.85</v>
      </c>
      <c r="R2233">
        <v>15689859</v>
      </c>
    </row>
    <row r="2234" spans="1:18" x14ac:dyDescent="0.25">
      <c r="A2234" s="170">
        <v>45294</v>
      </c>
      <c r="B2234" s="116">
        <v>329.65</v>
      </c>
      <c r="C2234" s="116">
        <v>326.39999999999998</v>
      </c>
      <c r="D2234" s="116">
        <v>324.89999999999998</v>
      </c>
      <c r="E2234" s="116">
        <v>329.65</v>
      </c>
      <c r="F2234" s="116">
        <v>326.39999999999998</v>
      </c>
      <c r="G2234">
        <v>723413</v>
      </c>
      <c r="H2234" s="116"/>
      <c r="I2234" s="116"/>
      <c r="L2234" s="170">
        <v>45294</v>
      </c>
      <c r="M2234" s="116">
        <v>326.7</v>
      </c>
      <c r="N2234" s="116">
        <v>329.6</v>
      </c>
      <c r="O2234" s="116">
        <v>324.85000000000002</v>
      </c>
      <c r="P2234" s="116">
        <v>329.6</v>
      </c>
      <c r="Q2234" s="116">
        <v>326.7</v>
      </c>
      <c r="R2234">
        <v>9954264</v>
      </c>
    </row>
    <row r="2235" spans="1:18" x14ac:dyDescent="0.25">
      <c r="A2235" s="170">
        <v>45295</v>
      </c>
      <c r="B2235" s="116">
        <v>340.7</v>
      </c>
      <c r="C2235" s="116">
        <v>337.7</v>
      </c>
      <c r="D2235" s="116">
        <v>327</v>
      </c>
      <c r="E2235" s="116">
        <v>327</v>
      </c>
      <c r="F2235" s="116">
        <v>337.7</v>
      </c>
      <c r="G2235">
        <v>1417597</v>
      </c>
      <c r="H2235" s="116"/>
      <c r="I2235" s="116"/>
      <c r="L2235" s="170">
        <v>45295</v>
      </c>
      <c r="M2235" s="116">
        <v>337.85</v>
      </c>
      <c r="N2235" s="116">
        <v>340.8</v>
      </c>
      <c r="O2235" s="116">
        <v>326.8</v>
      </c>
      <c r="P2235" s="116">
        <v>326.8</v>
      </c>
      <c r="Q2235" s="116">
        <v>337.85</v>
      </c>
      <c r="R2235">
        <v>26968463</v>
      </c>
    </row>
    <row r="2236" spans="1:18" x14ac:dyDescent="0.25">
      <c r="A2236" s="170">
        <v>45296</v>
      </c>
      <c r="B2236" s="116">
        <v>349.65</v>
      </c>
      <c r="C2236" s="116">
        <v>340.7</v>
      </c>
      <c r="D2236" s="116">
        <v>336.35</v>
      </c>
      <c r="E2236" s="116">
        <v>339.75</v>
      </c>
      <c r="F2236" s="116">
        <v>340.7</v>
      </c>
      <c r="G2236">
        <v>1786046</v>
      </c>
      <c r="H2236" s="116"/>
      <c r="I2236" s="116"/>
      <c r="L2236" s="170">
        <v>45296</v>
      </c>
      <c r="M2236" s="116">
        <v>340.75</v>
      </c>
      <c r="N2236" s="116">
        <v>349.7</v>
      </c>
      <c r="O2236" s="116">
        <v>336.15</v>
      </c>
      <c r="P2236" s="116">
        <v>339.35</v>
      </c>
      <c r="Q2236" s="116">
        <v>340.75</v>
      </c>
      <c r="R2236">
        <v>37557423</v>
      </c>
    </row>
    <row r="2237" spans="1:18" x14ac:dyDescent="0.25">
      <c r="A2237" s="170">
        <v>45299</v>
      </c>
      <c r="B2237" s="116">
        <v>345.15</v>
      </c>
      <c r="C2237" s="116">
        <v>338.8</v>
      </c>
      <c r="D2237" s="116">
        <v>337.5</v>
      </c>
      <c r="E2237" s="116">
        <v>345.15</v>
      </c>
      <c r="F2237" s="116">
        <v>338.8</v>
      </c>
      <c r="G2237">
        <v>1024619</v>
      </c>
      <c r="H2237" s="116"/>
      <c r="I2237" s="116"/>
      <c r="L2237" s="170">
        <v>45299</v>
      </c>
      <c r="M2237" s="116">
        <v>338.95</v>
      </c>
      <c r="N2237" s="116">
        <v>344</v>
      </c>
      <c r="O2237" s="116">
        <v>337.35</v>
      </c>
      <c r="P2237" s="116">
        <v>344</v>
      </c>
      <c r="Q2237" s="116">
        <v>338.95</v>
      </c>
      <c r="R2237">
        <v>14548833</v>
      </c>
    </row>
    <row r="2238" spans="1:18" x14ac:dyDescent="0.25">
      <c r="A2238" s="170">
        <v>45300</v>
      </c>
      <c r="B2238" s="116">
        <v>344.85</v>
      </c>
      <c r="C2238" s="116">
        <v>340.1</v>
      </c>
      <c r="D2238" s="116">
        <v>338.2</v>
      </c>
      <c r="E2238" s="116">
        <v>342</v>
      </c>
      <c r="F2238" s="116">
        <v>340.1</v>
      </c>
      <c r="G2238">
        <v>710062</v>
      </c>
      <c r="H2238" s="116"/>
      <c r="I2238" s="116"/>
      <c r="L2238" s="170">
        <v>45300</v>
      </c>
      <c r="M2238" s="116">
        <v>340.2</v>
      </c>
      <c r="N2238" s="116">
        <v>344.85</v>
      </c>
      <c r="O2238" s="116">
        <v>338.05</v>
      </c>
      <c r="P2238" s="116">
        <v>341.65</v>
      </c>
      <c r="Q2238" s="116">
        <v>340.2</v>
      </c>
      <c r="R2238">
        <v>14504090</v>
      </c>
    </row>
    <row r="2239" spans="1:18" x14ac:dyDescent="0.25">
      <c r="A2239" s="170">
        <v>45301</v>
      </c>
      <c r="B2239" s="116">
        <v>348.7</v>
      </c>
      <c r="C2239" s="116">
        <v>346.5</v>
      </c>
      <c r="D2239" s="116">
        <v>340.85</v>
      </c>
      <c r="E2239" s="116">
        <v>342.55</v>
      </c>
      <c r="F2239" s="116">
        <v>346.5</v>
      </c>
      <c r="G2239">
        <v>865776</v>
      </c>
      <c r="H2239" s="116"/>
      <c r="I2239" s="116"/>
      <c r="L2239" s="170">
        <v>45301</v>
      </c>
      <c r="M2239" s="116">
        <v>346.45</v>
      </c>
      <c r="N2239" s="116">
        <v>348.75</v>
      </c>
      <c r="O2239" s="116">
        <v>340.75</v>
      </c>
      <c r="P2239" s="116">
        <v>342.2</v>
      </c>
      <c r="Q2239" s="116">
        <v>346.45</v>
      </c>
      <c r="R2239">
        <v>23432704</v>
      </c>
    </row>
    <row r="2240" spans="1:18" x14ac:dyDescent="0.25">
      <c r="A2240" s="170">
        <v>45302</v>
      </c>
      <c r="B2240" s="116">
        <v>359.9</v>
      </c>
      <c r="C2240" s="116">
        <v>357.25</v>
      </c>
      <c r="D2240" s="116">
        <v>347.65</v>
      </c>
      <c r="E2240" s="116">
        <v>349.8</v>
      </c>
      <c r="F2240" s="116">
        <v>357.25</v>
      </c>
      <c r="G2240">
        <v>3205564</v>
      </c>
      <c r="H2240" s="116"/>
      <c r="I2240" s="116"/>
      <c r="L2240" s="170">
        <v>45302</v>
      </c>
      <c r="M2240" s="116">
        <v>357.3</v>
      </c>
      <c r="N2240" s="116">
        <v>360</v>
      </c>
      <c r="O2240" s="116">
        <v>347.85</v>
      </c>
      <c r="P2240" s="116">
        <v>349.45</v>
      </c>
      <c r="Q2240" s="116">
        <v>357.3</v>
      </c>
      <c r="R2240">
        <v>33499272</v>
      </c>
    </row>
    <row r="2241" spans="1:18" x14ac:dyDescent="0.25">
      <c r="A2241" s="170">
        <v>45303</v>
      </c>
      <c r="B2241" s="116">
        <v>361.95</v>
      </c>
      <c r="C2241" s="116">
        <v>357.65</v>
      </c>
      <c r="D2241" s="116">
        <v>356.6</v>
      </c>
      <c r="E2241" s="116">
        <v>361.95</v>
      </c>
      <c r="F2241" s="116">
        <v>357.65</v>
      </c>
      <c r="G2241">
        <v>1253885</v>
      </c>
      <c r="H2241" s="116"/>
      <c r="I2241" s="116"/>
      <c r="L2241" s="170">
        <v>45303</v>
      </c>
      <c r="M2241" s="116">
        <v>357.75</v>
      </c>
      <c r="N2241" s="116">
        <v>361.85</v>
      </c>
      <c r="O2241" s="116">
        <v>356.55</v>
      </c>
      <c r="P2241" s="116">
        <v>361.65</v>
      </c>
      <c r="Q2241" s="116">
        <v>357.75</v>
      </c>
      <c r="R2241">
        <v>20933438</v>
      </c>
    </row>
    <row r="2242" spans="1:18" x14ac:dyDescent="0.25">
      <c r="A2242" s="170">
        <v>45306</v>
      </c>
      <c r="B2242" s="116">
        <v>360.1</v>
      </c>
      <c r="C2242" s="116">
        <v>358.7</v>
      </c>
      <c r="D2242" s="116">
        <v>353.35</v>
      </c>
      <c r="E2242" s="116">
        <v>360.1</v>
      </c>
      <c r="F2242" s="116">
        <v>358.7</v>
      </c>
      <c r="G2242">
        <v>907887</v>
      </c>
      <c r="H2242" s="116"/>
      <c r="I2242" s="116"/>
      <c r="L2242" s="170">
        <v>45306</v>
      </c>
      <c r="M2242" s="116">
        <v>358.9</v>
      </c>
      <c r="N2242" s="116">
        <v>360.2</v>
      </c>
      <c r="O2242" s="116">
        <v>353</v>
      </c>
      <c r="P2242" s="116">
        <v>359.65</v>
      </c>
      <c r="Q2242" s="116">
        <v>358.9</v>
      </c>
      <c r="R2242">
        <v>12869181</v>
      </c>
    </row>
    <row r="2243" spans="1:18" x14ac:dyDescent="0.25">
      <c r="A2243" s="170">
        <v>45307</v>
      </c>
      <c r="B2243" s="116">
        <v>360.65</v>
      </c>
      <c r="C2243" s="116">
        <v>353.6</v>
      </c>
      <c r="D2243" s="116">
        <v>349.1</v>
      </c>
      <c r="E2243" s="116">
        <v>359.35</v>
      </c>
      <c r="F2243" s="116">
        <v>353.6</v>
      </c>
      <c r="G2243">
        <v>604168</v>
      </c>
      <c r="H2243" s="116"/>
      <c r="I2243" s="116"/>
      <c r="L2243" s="170">
        <v>45307</v>
      </c>
      <c r="M2243" s="116">
        <v>353.45</v>
      </c>
      <c r="N2243" s="116">
        <v>360.7</v>
      </c>
      <c r="O2243" s="116">
        <v>349</v>
      </c>
      <c r="P2243" s="116">
        <v>358.95</v>
      </c>
      <c r="Q2243" s="116">
        <v>353.45</v>
      </c>
      <c r="R2243">
        <v>14129539</v>
      </c>
    </row>
    <row r="2244" spans="1:18" x14ac:dyDescent="0.25">
      <c r="A2244" s="170">
        <v>45308</v>
      </c>
      <c r="B2244" s="116">
        <v>355.15</v>
      </c>
      <c r="C2244" s="116">
        <v>348.8</v>
      </c>
      <c r="D2244" s="116">
        <v>346.6</v>
      </c>
      <c r="E2244" s="116">
        <v>353</v>
      </c>
      <c r="F2244" s="116">
        <v>348.8</v>
      </c>
      <c r="G2244">
        <v>1512144</v>
      </c>
      <c r="H2244" s="116"/>
      <c r="I2244" s="116"/>
      <c r="L2244" s="170">
        <v>45308</v>
      </c>
      <c r="M2244" s="116">
        <v>348.8</v>
      </c>
      <c r="N2244" s="116">
        <v>355.35</v>
      </c>
      <c r="O2244" s="116">
        <v>346.5</v>
      </c>
      <c r="P2244" s="116">
        <v>352.4</v>
      </c>
      <c r="Q2244" s="116">
        <v>348.8</v>
      </c>
      <c r="R2244">
        <v>12084011</v>
      </c>
    </row>
    <row r="2245" spans="1:18" x14ac:dyDescent="0.25">
      <c r="A2245" s="170">
        <v>45309</v>
      </c>
      <c r="B2245" s="116">
        <v>350</v>
      </c>
      <c r="C2245" s="116">
        <v>345.5</v>
      </c>
      <c r="D2245" s="116">
        <v>335.3</v>
      </c>
      <c r="E2245" s="116">
        <v>348.2</v>
      </c>
      <c r="F2245" s="116">
        <v>345.5</v>
      </c>
      <c r="G2245">
        <v>1787644</v>
      </c>
      <c r="H2245" s="116"/>
      <c r="I2245" s="116"/>
      <c r="L2245" s="170">
        <v>45309</v>
      </c>
      <c r="M2245" s="116">
        <v>345.55</v>
      </c>
      <c r="N2245" s="116">
        <v>350</v>
      </c>
      <c r="O2245" s="116">
        <v>335.3</v>
      </c>
      <c r="P2245" s="116">
        <v>347.8</v>
      </c>
      <c r="Q2245" s="116">
        <v>345.55</v>
      </c>
      <c r="R2245">
        <v>16863929</v>
      </c>
    </row>
    <row r="2246" spans="1:18" x14ac:dyDescent="0.25">
      <c r="A2246" s="170">
        <v>45310</v>
      </c>
      <c r="B2246" s="116">
        <v>351.35</v>
      </c>
      <c r="C2246" s="116">
        <v>348.65</v>
      </c>
      <c r="D2246" s="116">
        <v>345.25</v>
      </c>
      <c r="E2246" s="116">
        <v>348.35</v>
      </c>
      <c r="F2246" s="116">
        <v>348.65</v>
      </c>
      <c r="G2246">
        <v>897732</v>
      </c>
      <c r="H2246" s="116"/>
      <c r="I2246" s="116"/>
      <c r="L2246" s="170">
        <v>45310</v>
      </c>
      <c r="M2246" s="116">
        <v>348.65</v>
      </c>
      <c r="N2246" s="116">
        <v>351.3</v>
      </c>
      <c r="O2246" s="116">
        <v>345.1</v>
      </c>
      <c r="P2246" s="116">
        <v>348</v>
      </c>
      <c r="Q2246" s="116">
        <v>348.65</v>
      </c>
      <c r="R2246">
        <v>13483525</v>
      </c>
    </row>
    <row r="2247" spans="1:18" x14ac:dyDescent="0.25">
      <c r="A2247" s="170">
        <v>45311</v>
      </c>
      <c r="B2247" s="116">
        <v>351.8</v>
      </c>
      <c r="C2247" s="116">
        <v>345.9</v>
      </c>
      <c r="D2247" s="116">
        <v>345</v>
      </c>
      <c r="E2247" s="116">
        <v>350.6</v>
      </c>
      <c r="F2247" s="116">
        <v>345.9</v>
      </c>
      <c r="G2247">
        <v>686420</v>
      </c>
      <c r="H2247" s="116"/>
      <c r="I2247" s="116"/>
      <c r="L2247" s="170">
        <v>45311</v>
      </c>
      <c r="M2247" s="116">
        <v>345.85</v>
      </c>
      <c r="N2247" s="116">
        <v>351.8</v>
      </c>
      <c r="O2247" s="116">
        <v>345</v>
      </c>
      <c r="P2247" s="116">
        <v>350</v>
      </c>
      <c r="Q2247" s="116">
        <v>345.85</v>
      </c>
      <c r="R2247">
        <v>5631401</v>
      </c>
    </row>
    <row r="2248" spans="1:18" x14ac:dyDescent="0.25">
      <c r="A2248" s="170">
        <v>45314</v>
      </c>
      <c r="B2248" s="116">
        <v>366.4</v>
      </c>
      <c r="C2248" s="116">
        <v>346.3</v>
      </c>
      <c r="D2248" s="116">
        <v>341.3</v>
      </c>
      <c r="E2248" s="116">
        <v>366.4</v>
      </c>
      <c r="F2248" s="116">
        <v>346.3</v>
      </c>
      <c r="G2248">
        <v>2785532</v>
      </c>
      <c r="H2248" s="116"/>
      <c r="I2248" s="116"/>
      <c r="L2248" s="170">
        <v>45314</v>
      </c>
      <c r="M2248" s="116">
        <v>346.2</v>
      </c>
      <c r="N2248" s="116">
        <v>365.75</v>
      </c>
      <c r="O2248" s="116">
        <v>341.2</v>
      </c>
      <c r="P2248" s="116">
        <v>365.5</v>
      </c>
      <c r="Q2248" s="116">
        <v>346.2</v>
      </c>
      <c r="R2248">
        <v>25989141</v>
      </c>
    </row>
    <row r="2249" spans="1:18" x14ac:dyDescent="0.25">
      <c r="A2249" s="170">
        <v>45315</v>
      </c>
      <c r="B2249" s="116">
        <v>357.8</v>
      </c>
      <c r="C2249" s="116">
        <v>356.95</v>
      </c>
      <c r="D2249" s="116">
        <v>343.75</v>
      </c>
      <c r="E2249" s="116">
        <v>348.9</v>
      </c>
      <c r="F2249" s="116">
        <v>356.95</v>
      </c>
      <c r="G2249">
        <v>2088891</v>
      </c>
      <c r="H2249" s="116"/>
      <c r="I2249" s="116"/>
      <c r="L2249" s="170">
        <v>45315</v>
      </c>
      <c r="M2249" s="116">
        <v>356.95</v>
      </c>
      <c r="N2249" s="116">
        <v>357.9</v>
      </c>
      <c r="O2249" s="116">
        <v>343.75</v>
      </c>
      <c r="P2249" s="116">
        <v>348.5</v>
      </c>
      <c r="Q2249" s="116">
        <v>356.95</v>
      </c>
      <c r="R2249">
        <v>19810051</v>
      </c>
    </row>
    <row r="2250" spans="1:18" x14ac:dyDescent="0.25">
      <c r="A2250" s="170">
        <v>45316</v>
      </c>
      <c r="B2250" s="116">
        <v>366.55</v>
      </c>
      <c r="C2250" s="116">
        <v>365.05</v>
      </c>
      <c r="D2250" s="116">
        <v>357.7</v>
      </c>
      <c r="E2250" s="116">
        <v>359.45</v>
      </c>
      <c r="F2250" s="116">
        <v>365.05</v>
      </c>
      <c r="G2250">
        <v>2200877</v>
      </c>
      <c r="H2250" s="116"/>
      <c r="I2250" s="116"/>
      <c r="L2250" s="170">
        <v>45316</v>
      </c>
      <c r="M2250" s="116">
        <v>365.1</v>
      </c>
      <c r="N2250" s="116">
        <v>366.7</v>
      </c>
      <c r="O2250" s="116">
        <v>358</v>
      </c>
      <c r="P2250" s="116">
        <v>358.95</v>
      </c>
      <c r="Q2250" s="116">
        <v>365.1</v>
      </c>
      <c r="R2250">
        <v>19949672</v>
      </c>
    </row>
    <row r="2251" spans="1:18" x14ac:dyDescent="0.25">
      <c r="A2251" s="170">
        <v>45320</v>
      </c>
      <c r="B2251" s="116">
        <v>387.15</v>
      </c>
      <c r="C2251" s="116">
        <v>381.9</v>
      </c>
      <c r="D2251" s="116">
        <v>366.8</v>
      </c>
      <c r="E2251" s="116">
        <v>370.45</v>
      </c>
      <c r="F2251" s="116">
        <v>381.9</v>
      </c>
      <c r="G2251">
        <v>2159065</v>
      </c>
      <c r="H2251" s="116"/>
      <c r="I2251" s="116"/>
      <c r="L2251" s="170">
        <v>45320</v>
      </c>
      <c r="M2251" s="116">
        <v>381.9</v>
      </c>
      <c r="N2251" s="116">
        <v>387.25</v>
      </c>
      <c r="O2251" s="116">
        <v>366.85</v>
      </c>
      <c r="P2251" s="116">
        <v>369.45</v>
      </c>
      <c r="Q2251" s="116">
        <v>381.9</v>
      </c>
      <c r="R2251">
        <v>34448280</v>
      </c>
    </row>
    <row r="2252" spans="1:18" x14ac:dyDescent="0.25">
      <c r="A2252" s="170">
        <v>45321</v>
      </c>
      <c r="B2252" s="116">
        <v>392.7</v>
      </c>
      <c r="C2252" s="116">
        <v>383.25</v>
      </c>
      <c r="D2252" s="116">
        <v>382</v>
      </c>
      <c r="E2252" s="116">
        <v>386.8</v>
      </c>
      <c r="F2252" s="116">
        <v>383.25</v>
      </c>
      <c r="G2252">
        <v>2480401</v>
      </c>
      <c r="H2252" s="116"/>
      <c r="I2252" s="116"/>
      <c r="L2252" s="170">
        <v>45321</v>
      </c>
      <c r="M2252" s="116">
        <v>383.25</v>
      </c>
      <c r="N2252" s="116">
        <v>392.8</v>
      </c>
      <c r="O2252" s="116">
        <v>382</v>
      </c>
      <c r="P2252" s="116">
        <v>386.1</v>
      </c>
      <c r="Q2252" s="116">
        <v>383.25</v>
      </c>
      <c r="R2252">
        <v>23860682</v>
      </c>
    </row>
    <row r="2253" spans="1:18" x14ac:dyDescent="0.25">
      <c r="A2253" s="170">
        <v>45322</v>
      </c>
      <c r="B2253" s="116">
        <v>391.25</v>
      </c>
      <c r="C2253" s="116">
        <v>389.65</v>
      </c>
      <c r="D2253" s="116">
        <v>384</v>
      </c>
      <c r="E2253" s="116">
        <v>385.55</v>
      </c>
      <c r="F2253" s="116">
        <v>389.65</v>
      </c>
      <c r="G2253">
        <v>1828671</v>
      </c>
      <c r="H2253" s="116"/>
      <c r="I2253" s="116"/>
      <c r="L2253" s="170">
        <v>45322</v>
      </c>
      <c r="M2253" s="116">
        <v>389.75</v>
      </c>
      <c r="N2253" s="116">
        <v>391.2</v>
      </c>
      <c r="O2253" s="116">
        <v>383.7</v>
      </c>
      <c r="P2253" s="116">
        <v>385</v>
      </c>
      <c r="Q2253" s="116">
        <v>389.75</v>
      </c>
      <c r="R2253">
        <v>15543971</v>
      </c>
    </row>
    <row r="2254" spans="1:18" x14ac:dyDescent="0.25">
      <c r="A2254" s="170">
        <v>45323</v>
      </c>
      <c r="B2254" s="116">
        <v>396.7</v>
      </c>
      <c r="C2254" s="116">
        <v>388.85</v>
      </c>
      <c r="D2254" s="116">
        <v>385.7</v>
      </c>
      <c r="E2254" s="116">
        <v>393.85</v>
      </c>
      <c r="F2254" s="116">
        <v>388.85</v>
      </c>
      <c r="G2254">
        <v>1431538</v>
      </c>
      <c r="H2254" s="116"/>
      <c r="I2254" s="116"/>
      <c r="L2254" s="170">
        <v>45323</v>
      </c>
      <c r="M2254" s="116">
        <v>388.85</v>
      </c>
      <c r="N2254" s="116">
        <v>396.7</v>
      </c>
      <c r="O2254" s="116">
        <v>385.45</v>
      </c>
      <c r="P2254" s="116">
        <v>392.1</v>
      </c>
      <c r="Q2254" s="116">
        <v>388.85</v>
      </c>
      <c r="R2254">
        <v>25396799</v>
      </c>
    </row>
    <row r="2255" spans="1:18" x14ac:dyDescent="0.25">
      <c r="A2255" s="170">
        <v>45324</v>
      </c>
      <c r="B2255" s="116">
        <v>394.8</v>
      </c>
      <c r="C2255" s="116">
        <v>389.75</v>
      </c>
      <c r="D2255" s="116">
        <v>387.85</v>
      </c>
      <c r="E2255" s="116">
        <v>392.35</v>
      </c>
      <c r="F2255" s="116">
        <v>389.75</v>
      </c>
      <c r="G2255">
        <v>734286</v>
      </c>
      <c r="H2255" s="116"/>
      <c r="I2255" s="116"/>
      <c r="L2255" s="170">
        <v>45324</v>
      </c>
      <c r="M2255" s="116">
        <v>389.8</v>
      </c>
      <c r="N2255" s="116">
        <v>394.8</v>
      </c>
      <c r="O2255" s="116">
        <v>387.55</v>
      </c>
      <c r="P2255" s="116">
        <v>391.55</v>
      </c>
      <c r="Q2255" s="116">
        <v>389.8</v>
      </c>
      <c r="R2255">
        <v>13340756</v>
      </c>
    </row>
    <row r="2256" spans="1:18" x14ac:dyDescent="0.25">
      <c r="A2256" s="170">
        <v>45327</v>
      </c>
      <c r="B2256" s="116">
        <v>402.5</v>
      </c>
      <c r="C2256" s="116">
        <v>393.9</v>
      </c>
      <c r="D2256" s="116">
        <v>390.3</v>
      </c>
      <c r="E2256" s="116">
        <v>395.95</v>
      </c>
      <c r="F2256" s="116">
        <v>393.9</v>
      </c>
      <c r="G2256">
        <v>1347186</v>
      </c>
      <c r="H2256" s="116"/>
      <c r="I2256" s="116"/>
      <c r="L2256" s="170">
        <v>45327</v>
      </c>
      <c r="M2256" s="116">
        <v>394</v>
      </c>
      <c r="N2256" s="116">
        <v>402.5</v>
      </c>
      <c r="O2256" s="116">
        <v>390.2</v>
      </c>
      <c r="P2256" s="116">
        <v>395.5</v>
      </c>
      <c r="Q2256" s="116">
        <v>394</v>
      </c>
      <c r="R2256">
        <v>22188678</v>
      </c>
    </row>
    <row r="2257" spans="1:18" x14ac:dyDescent="0.25">
      <c r="A2257" s="170">
        <v>45328</v>
      </c>
      <c r="B2257" s="116">
        <v>397</v>
      </c>
      <c r="C2257" s="116">
        <v>392.95</v>
      </c>
      <c r="D2257" s="116">
        <v>387</v>
      </c>
      <c r="E2257" s="116">
        <v>397</v>
      </c>
      <c r="F2257" s="116">
        <v>392.95</v>
      </c>
      <c r="G2257">
        <v>537672</v>
      </c>
      <c r="H2257" s="116"/>
      <c r="I2257" s="116"/>
      <c r="L2257" s="170">
        <v>45328</v>
      </c>
      <c r="M2257" s="116">
        <v>392.95</v>
      </c>
      <c r="N2257" s="116">
        <v>396.65</v>
      </c>
      <c r="O2257" s="116">
        <v>386.75</v>
      </c>
      <c r="P2257" s="116">
        <v>396.65</v>
      </c>
      <c r="Q2257" s="116">
        <v>392.95</v>
      </c>
      <c r="R2257">
        <v>12288416</v>
      </c>
    </row>
    <row r="2258" spans="1:18" x14ac:dyDescent="0.25">
      <c r="A2258" s="170">
        <v>45329</v>
      </c>
      <c r="B2258" s="116">
        <v>401.7</v>
      </c>
      <c r="C2258" s="116">
        <v>395.1</v>
      </c>
      <c r="D2258" s="116">
        <v>392</v>
      </c>
      <c r="E2258" s="116">
        <v>396.65</v>
      </c>
      <c r="F2258" s="116">
        <v>395.1</v>
      </c>
      <c r="G2258">
        <v>1436053</v>
      </c>
      <c r="H2258" s="116"/>
      <c r="I2258" s="116"/>
      <c r="L2258" s="170">
        <v>45329</v>
      </c>
      <c r="M2258" s="116">
        <v>395.15</v>
      </c>
      <c r="N2258" s="116">
        <v>401.75</v>
      </c>
      <c r="O2258" s="116">
        <v>392</v>
      </c>
      <c r="P2258" s="116">
        <v>395.7</v>
      </c>
      <c r="Q2258" s="116">
        <v>395.15</v>
      </c>
      <c r="R2258">
        <v>13281036</v>
      </c>
    </row>
    <row r="2259" spans="1:18" x14ac:dyDescent="0.25">
      <c r="A2259" s="170">
        <v>45330</v>
      </c>
      <c r="B2259" s="116">
        <v>411</v>
      </c>
      <c r="C2259" s="116">
        <v>407.55</v>
      </c>
      <c r="D2259" s="116">
        <v>393.2</v>
      </c>
      <c r="E2259" s="116">
        <v>396.9</v>
      </c>
      <c r="F2259" s="116">
        <v>407.55</v>
      </c>
      <c r="G2259">
        <v>1024197</v>
      </c>
      <c r="H2259" s="116"/>
      <c r="I2259" s="116"/>
      <c r="L2259" s="170">
        <v>45330</v>
      </c>
      <c r="M2259" s="116">
        <v>407.4</v>
      </c>
      <c r="N2259" s="116">
        <v>410.9</v>
      </c>
      <c r="O2259" s="116">
        <v>393.1</v>
      </c>
      <c r="P2259" s="116">
        <v>396.5</v>
      </c>
      <c r="Q2259" s="116">
        <v>407.4</v>
      </c>
      <c r="R2259">
        <v>21626429</v>
      </c>
    </row>
    <row r="2260" spans="1:18" x14ac:dyDescent="0.25">
      <c r="A2260" s="170">
        <v>45331</v>
      </c>
      <c r="B2260" s="116">
        <v>412.75</v>
      </c>
      <c r="C2260" s="116">
        <v>392.1</v>
      </c>
      <c r="D2260" s="116">
        <v>384.05</v>
      </c>
      <c r="E2260" s="116">
        <v>412.75</v>
      </c>
      <c r="F2260" s="116">
        <v>392.1</v>
      </c>
      <c r="G2260">
        <v>4092964</v>
      </c>
      <c r="H2260" s="116"/>
      <c r="I2260" s="116"/>
      <c r="L2260" s="170">
        <v>45331</v>
      </c>
      <c r="M2260" s="116">
        <v>392.1</v>
      </c>
      <c r="N2260" s="116">
        <v>412.9</v>
      </c>
      <c r="O2260" s="116">
        <v>384.05</v>
      </c>
      <c r="P2260" s="116">
        <v>412.9</v>
      </c>
      <c r="Q2260" s="116">
        <v>392.1</v>
      </c>
      <c r="R2260">
        <v>38295877</v>
      </c>
    </row>
    <row r="2261" spans="1:18" x14ac:dyDescent="0.25">
      <c r="A2261" s="170">
        <v>45334</v>
      </c>
      <c r="B2261" s="116">
        <v>386.2</v>
      </c>
      <c r="C2261" s="116">
        <v>361.75</v>
      </c>
      <c r="D2261" s="116">
        <v>359.1</v>
      </c>
      <c r="E2261" s="116">
        <v>380.9</v>
      </c>
      <c r="F2261" s="116">
        <v>361.75</v>
      </c>
      <c r="G2261">
        <v>5445258</v>
      </c>
      <c r="H2261" s="116"/>
      <c r="I2261" s="116"/>
      <c r="L2261" s="170">
        <v>45334</v>
      </c>
      <c r="M2261" s="116">
        <v>361.7</v>
      </c>
      <c r="N2261" s="116">
        <v>386.15</v>
      </c>
      <c r="O2261" s="116">
        <v>359.2</v>
      </c>
      <c r="P2261" s="116">
        <v>379.9</v>
      </c>
      <c r="Q2261" s="116">
        <v>361.7</v>
      </c>
      <c r="R2261">
        <v>44078652</v>
      </c>
    </row>
    <row r="2262" spans="1:18" x14ac:dyDescent="0.25">
      <c r="A2262" s="170">
        <v>45335</v>
      </c>
      <c r="B2262" s="116">
        <v>366.55</v>
      </c>
      <c r="C2262" s="116">
        <v>365</v>
      </c>
      <c r="D2262" s="116">
        <v>354.65</v>
      </c>
      <c r="E2262" s="116">
        <v>360.05</v>
      </c>
      <c r="F2262" s="116">
        <v>365</v>
      </c>
      <c r="G2262">
        <v>2949370</v>
      </c>
      <c r="H2262" s="116"/>
      <c r="I2262" s="116"/>
      <c r="L2262" s="170">
        <v>45335</v>
      </c>
      <c r="M2262" s="116">
        <v>365.05</v>
      </c>
      <c r="N2262" s="116">
        <v>366.5</v>
      </c>
      <c r="O2262" s="116">
        <v>354.6</v>
      </c>
      <c r="P2262" s="116">
        <v>361.7</v>
      </c>
      <c r="Q2262" s="116">
        <v>365.05</v>
      </c>
      <c r="R2262">
        <v>21221871</v>
      </c>
    </row>
    <row r="2263" spans="1:18" x14ac:dyDescent="0.25">
      <c r="A2263" s="170">
        <v>45336</v>
      </c>
      <c r="B2263" s="116">
        <v>374.65</v>
      </c>
      <c r="C2263" s="116">
        <v>373.5</v>
      </c>
      <c r="D2263" s="116">
        <v>357.85</v>
      </c>
      <c r="E2263" s="116">
        <v>365.3</v>
      </c>
      <c r="F2263" s="116">
        <v>373.5</v>
      </c>
      <c r="G2263">
        <v>819786</v>
      </c>
      <c r="H2263" s="116"/>
      <c r="I2263" s="116"/>
      <c r="L2263" s="170">
        <v>45336</v>
      </c>
      <c r="M2263" s="116">
        <v>373.7</v>
      </c>
      <c r="N2263" s="116">
        <v>374.6</v>
      </c>
      <c r="O2263" s="116">
        <v>358.2</v>
      </c>
      <c r="P2263" s="116">
        <v>364.3</v>
      </c>
      <c r="Q2263" s="116">
        <v>373.7</v>
      </c>
      <c r="R2263">
        <v>15216135</v>
      </c>
    </row>
    <row r="2264" spans="1:18" x14ac:dyDescent="0.25">
      <c r="A2264" s="170">
        <v>45337</v>
      </c>
      <c r="B2264" s="116">
        <v>382.25</v>
      </c>
      <c r="C2264" s="116">
        <v>378.8</v>
      </c>
      <c r="D2264" s="116">
        <v>374.85</v>
      </c>
      <c r="E2264" s="116">
        <v>376.75</v>
      </c>
      <c r="F2264" s="116">
        <v>378.8</v>
      </c>
      <c r="G2264">
        <v>775983</v>
      </c>
      <c r="H2264" s="116"/>
      <c r="I2264" s="116"/>
      <c r="L2264" s="170">
        <v>45337</v>
      </c>
      <c r="M2264" s="116">
        <v>378.85</v>
      </c>
      <c r="N2264" s="116">
        <v>382.35</v>
      </c>
      <c r="O2264" s="116">
        <v>374.75</v>
      </c>
      <c r="P2264" s="116">
        <v>376.65</v>
      </c>
      <c r="Q2264" s="116">
        <v>378.85</v>
      </c>
      <c r="R2264">
        <v>16001298</v>
      </c>
    </row>
    <row r="2265" spans="1:18" x14ac:dyDescent="0.25">
      <c r="A2265" s="170">
        <v>45338</v>
      </c>
      <c r="B2265" s="116">
        <v>383.55</v>
      </c>
      <c r="C2265" s="116">
        <v>376.15</v>
      </c>
      <c r="D2265" s="116">
        <v>375.15</v>
      </c>
      <c r="E2265" s="116">
        <v>383.55</v>
      </c>
      <c r="F2265" s="116">
        <v>376.15</v>
      </c>
      <c r="G2265">
        <v>417070</v>
      </c>
      <c r="H2265" s="116"/>
      <c r="I2265" s="116"/>
      <c r="L2265" s="170">
        <v>45338</v>
      </c>
      <c r="M2265" s="116">
        <v>376.3</v>
      </c>
      <c r="N2265" s="116">
        <v>383</v>
      </c>
      <c r="O2265" s="116">
        <v>375.25</v>
      </c>
      <c r="P2265" s="116">
        <v>383</v>
      </c>
      <c r="Q2265" s="116">
        <v>376.3</v>
      </c>
      <c r="R2265">
        <v>9592754</v>
      </c>
    </row>
    <row r="2266" spans="1:18" x14ac:dyDescent="0.25">
      <c r="A2266" s="170">
        <v>45341</v>
      </c>
      <c r="B2266" s="116">
        <v>385.75</v>
      </c>
      <c r="C2266" s="116">
        <v>380.5</v>
      </c>
      <c r="D2266" s="116">
        <v>379.15</v>
      </c>
      <c r="E2266" s="116">
        <v>385</v>
      </c>
      <c r="F2266" s="116">
        <v>380.5</v>
      </c>
      <c r="G2266">
        <v>635123</v>
      </c>
      <c r="H2266" s="116"/>
      <c r="I2266" s="116"/>
      <c r="L2266" s="170">
        <v>45341</v>
      </c>
      <c r="M2266" s="116">
        <v>380.5</v>
      </c>
      <c r="N2266" s="116">
        <v>385.8</v>
      </c>
      <c r="O2266" s="116">
        <v>379.1</v>
      </c>
      <c r="P2266" s="116">
        <v>383.1</v>
      </c>
      <c r="Q2266" s="116">
        <v>380.5</v>
      </c>
      <c r="R2266">
        <v>12557987</v>
      </c>
    </row>
    <row r="2267" spans="1:18" x14ac:dyDescent="0.25">
      <c r="A2267" s="170">
        <v>45342</v>
      </c>
      <c r="B2267" s="116">
        <v>382.55</v>
      </c>
      <c r="C2267" s="116">
        <v>378.95</v>
      </c>
      <c r="D2267" s="116">
        <v>376.15</v>
      </c>
      <c r="E2267" s="116">
        <v>381.35</v>
      </c>
      <c r="F2267" s="116">
        <v>378.95</v>
      </c>
      <c r="G2267">
        <v>845782</v>
      </c>
      <c r="H2267" s="116"/>
      <c r="I2267" s="116"/>
      <c r="L2267" s="170">
        <v>45342</v>
      </c>
      <c r="M2267" s="116">
        <v>378.95</v>
      </c>
      <c r="N2267" s="116">
        <v>382.5</v>
      </c>
      <c r="O2267" s="116">
        <v>376.05</v>
      </c>
      <c r="P2267" s="116">
        <v>381</v>
      </c>
      <c r="Q2267" s="116">
        <v>378.95</v>
      </c>
      <c r="R2267">
        <v>7298102</v>
      </c>
    </row>
    <row r="2268" spans="1:18" x14ac:dyDescent="0.25">
      <c r="A2268" s="170">
        <v>45343</v>
      </c>
      <c r="B2268" s="116">
        <v>383.9</v>
      </c>
      <c r="C2268" s="116">
        <v>375.4</v>
      </c>
      <c r="D2268" s="116">
        <v>373.5</v>
      </c>
      <c r="E2268" s="116">
        <v>381.15</v>
      </c>
      <c r="F2268" s="116">
        <v>375.4</v>
      </c>
      <c r="G2268">
        <v>1106630</v>
      </c>
      <c r="H2268" s="116"/>
      <c r="I2268" s="116"/>
      <c r="L2268" s="170">
        <v>45343</v>
      </c>
      <c r="M2268" s="116">
        <v>375.45</v>
      </c>
      <c r="N2268" s="116">
        <v>383.85</v>
      </c>
      <c r="O2268" s="116">
        <v>373.5</v>
      </c>
      <c r="P2268" s="116">
        <v>380.7</v>
      </c>
      <c r="Q2268" s="116">
        <v>375.45</v>
      </c>
      <c r="R2268">
        <v>10283746</v>
      </c>
    </row>
    <row r="2269" spans="1:18" x14ac:dyDescent="0.25">
      <c r="A2269" s="170">
        <v>45344</v>
      </c>
      <c r="B2269" s="116">
        <v>379.85</v>
      </c>
      <c r="C2269" s="116">
        <v>378</v>
      </c>
      <c r="D2269" s="116">
        <v>369.4</v>
      </c>
      <c r="E2269" s="116">
        <v>377.95</v>
      </c>
      <c r="F2269" s="116">
        <v>378</v>
      </c>
      <c r="G2269">
        <v>426957</v>
      </c>
      <c r="H2269" s="116"/>
      <c r="I2269" s="116"/>
      <c r="L2269" s="170">
        <v>45344</v>
      </c>
      <c r="M2269" s="116">
        <v>377.9</v>
      </c>
      <c r="N2269" s="116">
        <v>379.7</v>
      </c>
      <c r="O2269" s="116">
        <v>369.25</v>
      </c>
      <c r="P2269" s="116">
        <v>377.05</v>
      </c>
      <c r="Q2269" s="116">
        <v>377.9</v>
      </c>
      <c r="R2269">
        <v>8449170</v>
      </c>
    </row>
    <row r="2270" spans="1:18" x14ac:dyDescent="0.25">
      <c r="A2270" s="170">
        <v>45345</v>
      </c>
      <c r="B2270" s="116">
        <v>381.65</v>
      </c>
      <c r="C2270" s="116">
        <v>378.3</v>
      </c>
      <c r="D2270" s="116">
        <v>377.5</v>
      </c>
      <c r="E2270" s="116">
        <v>378.85</v>
      </c>
      <c r="F2270" s="116">
        <v>378.3</v>
      </c>
      <c r="G2270">
        <v>939181</v>
      </c>
      <c r="H2270" s="116"/>
      <c r="I2270" s="116"/>
      <c r="L2270" s="170">
        <v>45345</v>
      </c>
      <c r="M2270" s="116">
        <v>378.4</v>
      </c>
      <c r="N2270" s="116">
        <v>381.75</v>
      </c>
      <c r="O2270" s="116">
        <v>377.5</v>
      </c>
      <c r="P2270" s="116">
        <v>379.35</v>
      </c>
      <c r="Q2270" s="116">
        <v>378.4</v>
      </c>
      <c r="R2270">
        <v>5691333</v>
      </c>
    </row>
    <row r="2271" spans="1:18" x14ac:dyDescent="0.25">
      <c r="A2271" s="170">
        <v>45348</v>
      </c>
      <c r="B2271" s="116">
        <v>381.45</v>
      </c>
      <c r="C2271" s="116">
        <v>378.3</v>
      </c>
      <c r="D2271" s="116">
        <v>377.75</v>
      </c>
      <c r="E2271" s="116">
        <v>379</v>
      </c>
      <c r="F2271" s="116">
        <v>378.3</v>
      </c>
      <c r="G2271">
        <v>384031</v>
      </c>
      <c r="H2271" s="116"/>
      <c r="I2271" s="116"/>
      <c r="L2271" s="170">
        <v>45348</v>
      </c>
      <c r="M2271" s="116">
        <v>378.4</v>
      </c>
      <c r="N2271" s="116">
        <v>381.4</v>
      </c>
      <c r="O2271" s="116">
        <v>377.7</v>
      </c>
      <c r="P2271" s="116">
        <v>379</v>
      </c>
      <c r="Q2271" s="116">
        <v>378.4</v>
      </c>
      <c r="R2271">
        <v>6228934</v>
      </c>
    </row>
    <row r="2272" spans="1:18" x14ac:dyDescent="0.25">
      <c r="A2272" s="170">
        <v>45349</v>
      </c>
      <c r="B2272" s="116">
        <v>379.75</v>
      </c>
      <c r="C2272" s="116">
        <v>375.55</v>
      </c>
      <c r="D2272" s="116">
        <v>374.1</v>
      </c>
      <c r="E2272" s="116">
        <v>379.45</v>
      </c>
      <c r="F2272" s="116">
        <v>375.55</v>
      </c>
      <c r="G2272">
        <v>345670</v>
      </c>
      <c r="H2272" s="116"/>
      <c r="I2272" s="116"/>
      <c r="L2272" s="170">
        <v>45349</v>
      </c>
      <c r="M2272" s="116">
        <v>375.55</v>
      </c>
      <c r="N2272" s="116">
        <v>379.5</v>
      </c>
      <c r="O2272" s="116">
        <v>373.95</v>
      </c>
      <c r="P2272" s="116">
        <v>379</v>
      </c>
      <c r="Q2272" s="116">
        <v>375.55</v>
      </c>
      <c r="R2272">
        <v>6322898</v>
      </c>
    </row>
    <row r="2273" spans="1:18" x14ac:dyDescent="0.25">
      <c r="A2273" s="170">
        <v>45350</v>
      </c>
      <c r="B2273" s="116">
        <v>378.2</v>
      </c>
      <c r="C2273" s="116">
        <v>366.05</v>
      </c>
      <c r="D2273" s="116">
        <v>364.6</v>
      </c>
      <c r="E2273" s="116">
        <v>375.5</v>
      </c>
      <c r="F2273" s="116">
        <v>366.05</v>
      </c>
      <c r="G2273">
        <v>1213919</v>
      </c>
      <c r="H2273" s="116"/>
      <c r="I2273" s="116"/>
      <c r="L2273" s="170">
        <v>45350</v>
      </c>
      <c r="M2273" s="116">
        <v>365.75</v>
      </c>
      <c r="N2273" s="116">
        <v>378.25</v>
      </c>
      <c r="O2273" s="116">
        <v>364.6</v>
      </c>
      <c r="P2273" s="116">
        <v>375.5</v>
      </c>
      <c r="Q2273" s="116">
        <v>365.75</v>
      </c>
      <c r="R2273">
        <v>8577264</v>
      </c>
    </row>
    <row r="2274" spans="1:18" x14ac:dyDescent="0.25">
      <c r="A2274" s="170">
        <v>45351</v>
      </c>
      <c r="B2274" s="116">
        <v>374</v>
      </c>
      <c r="C2274" s="116">
        <v>371.7</v>
      </c>
      <c r="D2274" s="116">
        <v>363.05</v>
      </c>
      <c r="E2274" s="116">
        <v>366.6</v>
      </c>
      <c r="F2274" s="116">
        <v>371.7</v>
      </c>
      <c r="G2274">
        <v>945061</v>
      </c>
      <c r="H2274" s="116"/>
      <c r="I2274" s="116"/>
      <c r="L2274" s="170">
        <v>45351</v>
      </c>
      <c r="M2274" s="116">
        <v>371.75</v>
      </c>
      <c r="N2274" s="116">
        <v>374</v>
      </c>
      <c r="O2274" s="116">
        <v>363.05</v>
      </c>
      <c r="P2274" s="116">
        <v>367</v>
      </c>
      <c r="Q2274" s="116">
        <v>371.75</v>
      </c>
      <c r="R2274">
        <v>8088079</v>
      </c>
    </row>
    <row r="2275" spans="1:18" x14ac:dyDescent="0.25">
      <c r="A2275" s="170">
        <v>45352</v>
      </c>
      <c r="B2275" s="116">
        <v>379.9</v>
      </c>
      <c r="C2275" s="116">
        <v>377.4</v>
      </c>
      <c r="D2275" s="116">
        <v>374.6</v>
      </c>
      <c r="E2275" s="116">
        <v>377.65</v>
      </c>
      <c r="F2275" s="116">
        <v>377.4</v>
      </c>
      <c r="G2275">
        <v>453095</v>
      </c>
      <c r="H2275" s="116"/>
      <c r="I2275" s="116"/>
      <c r="L2275" s="170">
        <v>45352</v>
      </c>
      <c r="M2275" s="116">
        <v>377.4</v>
      </c>
      <c r="N2275" s="116">
        <v>379.75</v>
      </c>
      <c r="O2275" s="116">
        <v>374.55</v>
      </c>
      <c r="P2275" s="116">
        <v>375.55</v>
      </c>
      <c r="Q2275" s="116">
        <v>377.4</v>
      </c>
      <c r="R2275">
        <v>7853708</v>
      </c>
    </row>
    <row r="2276" spans="1:18" x14ac:dyDescent="0.25">
      <c r="A2276" s="170">
        <v>45353</v>
      </c>
      <c r="B2276" s="116">
        <v>383.25</v>
      </c>
      <c r="C2276" s="116">
        <v>379.05</v>
      </c>
      <c r="D2276" s="116">
        <v>377.15</v>
      </c>
      <c r="E2276" s="116">
        <v>378.35</v>
      </c>
      <c r="F2276" s="116">
        <v>379.05</v>
      </c>
      <c r="G2276">
        <v>75401</v>
      </c>
      <c r="H2276" s="116"/>
      <c r="I2276" s="116"/>
      <c r="L2276" s="170">
        <v>45353</v>
      </c>
      <c r="M2276" s="116">
        <v>379.15</v>
      </c>
      <c r="N2276" s="116">
        <v>380.6</v>
      </c>
      <c r="O2276" s="116">
        <v>377.65</v>
      </c>
      <c r="P2276" s="116">
        <v>378.95</v>
      </c>
      <c r="Q2276" s="116">
        <v>379.15</v>
      </c>
      <c r="R2276">
        <v>1088134</v>
      </c>
    </row>
    <row r="2277" spans="1:18" x14ac:dyDescent="0.25">
      <c r="A2277" s="170">
        <v>45355</v>
      </c>
      <c r="B2277" s="116">
        <v>394</v>
      </c>
      <c r="C2277" s="116">
        <v>391.7</v>
      </c>
      <c r="D2277" s="116">
        <v>381</v>
      </c>
      <c r="E2277" s="116">
        <v>381.4</v>
      </c>
      <c r="F2277" s="116">
        <v>391.7</v>
      </c>
      <c r="G2277">
        <v>1066646</v>
      </c>
      <c r="H2277" s="116"/>
      <c r="I2277" s="116"/>
      <c r="L2277" s="170">
        <v>45355</v>
      </c>
      <c r="M2277" s="116">
        <v>391.75</v>
      </c>
      <c r="N2277" s="116">
        <v>394</v>
      </c>
      <c r="O2277" s="116">
        <v>380.2</v>
      </c>
      <c r="P2277" s="116">
        <v>381.05</v>
      </c>
      <c r="Q2277" s="116">
        <v>391.75</v>
      </c>
      <c r="R2277">
        <v>25814019</v>
      </c>
    </row>
    <row r="2278" spans="1:18" x14ac:dyDescent="0.25">
      <c r="A2278" s="170">
        <v>45356</v>
      </c>
      <c r="B2278" s="116">
        <v>400</v>
      </c>
      <c r="C2278" s="116">
        <v>396.05</v>
      </c>
      <c r="D2278" s="116">
        <v>390.2</v>
      </c>
      <c r="E2278" s="116">
        <v>393</v>
      </c>
      <c r="F2278" s="116">
        <v>396.05</v>
      </c>
      <c r="G2278">
        <v>979582</v>
      </c>
      <c r="H2278" s="116"/>
      <c r="I2278" s="116"/>
      <c r="L2278" s="170">
        <v>45356</v>
      </c>
      <c r="M2278" s="116">
        <v>396.15</v>
      </c>
      <c r="N2278" s="116">
        <v>399.95</v>
      </c>
      <c r="O2278" s="116">
        <v>390.5</v>
      </c>
      <c r="P2278" s="116">
        <v>392</v>
      </c>
      <c r="Q2278" s="116">
        <v>396.15</v>
      </c>
      <c r="R2278">
        <v>18795182</v>
      </c>
    </row>
    <row r="2279" spans="1:18" x14ac:dyDescent="0.25">
      <c r="A2279" s="170">
        <v>45357</v>
      </c>
      <c r="B2279" s="116">
        <v>397.55</v>
      </c>
      <c r="C2279" s="116">
        <v>394.8</v>
      </c>
      <c r="D2279" s="116">
        <v>384.75</v>
      </c>
      <c r="E2279" s="116">
        <v>396.45</v>
      </c>
      <c r="F2279" s="116">
        <v>394.8</v>
      </c>
      <c r="G2279">
        <v>638024</v>
      </c>
      <c r="H2279" s="116"/>
      <c r="I2279" s="116"/>
      <c r="L2279" s="170">
        <v>45357</v>
      </c>
      <c r="M2279" s="116">
        <v>394.95</v>
      </c>
      <c r="N2279" s="116">
        <v>397.6</v>
      </c>
      <c r="O2279" s="116">
        <v>384.7</v>
      </c>
      <c r="P2279" s="116">
        <v>396.15</v>
      </c>
      <c r="Q2279" s="116">
        <v>394.95</v>
      </c>
      <c r="R2279">
        <v>15795532</v>
      </c>
    </row>
    <row r="2280" spans="1:18" x14ac:dyDescent="0.25">
      <c r="A2280" s="170">
        <v>45358</v>
      </c>
      <c r="B2280" s="116">
        <v>433.2</v>
      </c>
      <c r="C2280" s="116">
        <v>424.95</v>
      </c>
      <c r="D2280" s="116">
        <v>396</v>
      </c>
      <c r="E2280" s="116">
        <v>396.4</v>
      </c>
      <c r="F2280" s="116">
        <v>424.95</v>
      </c>
      <c r="G2280">
        <v>4039911</v>
      </c>
      <c r="H2280" s="116"/>
      <c r="I2280" s="116"/>
      <c r="L2280" s="170">
        <v>45358</v>
      </c>
      <c r="M2280" s="116">
        <v>425.25</v>
      </c>
      <c r="N2280" s="116">
        <v>433.3</v>
      </c>
      <c r="O2280" s="116">
        <v>396</v>
      </c>
      <c r="P2280" s="116">
        <v>396</v>
      </c>
      <c r="Q2280" s="116">
        <v>425.25</v>
      </c>
      <c r="R2280">
        <v>98883541</v>
      </c>
    </row>
    <row r="2281" spans="1:18" x14ac:dyDescent="0.25">
      <c r="A2281" s="170">
        <v>45362</v>
      </c>
      <c r="B2281" s="116">
        <v>421.35</v>
      </c>
      <c r="C2281" s="116">
        <v>413.05</v>
      </c>
      <c r="D2281" s="116">
        <v>405</v>
      </c>
      <c r="E2281" s="116">
        <v>415</v>
      </c>
      <c r="F2281" s="116">
        <v>413.05</v>
      </c>
      <c r="G2281">
        <v>2109465</v>
      </c>
      <c r="H2281" s="116"/>
      <c r="I2281" s="116"/>
      <c r="L2281" s="170">
        <v>45362</v>
      </c>
      <c r="M2281" s="116">
        <v>413.15</v>
      </c>
      <c r="N2281" s="116">
        <v>421.5</v>
      </c>
      <c r="O2281" s="116">
        <v>404.65</v>
      </c>
      <c r="P2281" s="116">
        <v>414</v>
      </c>
      <c r="Q2281" s="116">
        <v>413.15</v>
      </c>
      <c r="R2281">
        <v>39122073</v>
      </c>
    </row>
    <row r="2282" spans="1:18" x14ac:dyDescent="0.25">
      <c r="A2282" s="170">
        <v>45363</v>
      </c>
      <c r="B2282" s="116">
        <v>415</v>
      </c>
      <c r="C2282" s="116">
        <v>396</v>
      </c>
      <c r="D2282" s="116">
        <v>395</v>
      </c>
      <c r="E2282" s="116">
        <v>415</v>
      </c>
      <c r="F2282" s="116">
        <v>396</v>
      </c>
      <c r="G2282">
        <v>1141595</v>
      </c>
      <c r="H2282" s="116"/>
      <c r="I2282" s="116"/>
      <c r="L2282" s="170">
        <v>45363</v>
      </c>
      <c r="M2282" s="116">
        <v>396.1</v>
      </c>
      <c r="N2282" s="116">
        <v>414.7</v>
      </c>
      <c r="O2282" s="116">
        <v>395</v>
      </c>
      <c r="P2282" s="116">
        <v>414.4</v>
      </c>
      <c r="Q2282" s="116">
        <v>396.1</v>
      </c>
      <c r="R2282">
        <v>26812422</v>
      </c>
    </row>
    <row r="2283" spans="1:18" x14ac:dyDescent="0.25">
      <c r="A2283" s="170">
        <v>45364</v>
      </c>
      <c r="B2283" s="116">
        <v>399.75</v>
      </c>
      <c r="C2283" s="116">
        <v>371.75</v>
      </c>
      <c r="D2283" s="116">
        <v>367.85</v>
      </c>
      <c r="E2283" s="116">
        <v>398.5</v>
      </c>
      <c r="F2283" s="116">
        <v>371.75</v>
      </c>
      <c r="G2283">
        <v>1648827</v>
      </c>
      <c r="H2283" s="116"/>
      <c r="I2283" s="116"/>
      <c r="L2283" s="170">
        <v>45364</v>
      </c>
      <c r="M2283" s="116">
        <v>371.95</v>
      </c>
      <c r="N2283" s="116">
        <v>399.8</v>
      </c>
      <c r="O2283" s="116">
        <v>367.75</v>
      </c>
      <c r="P2283" s="116">
        <v>399.25</v>
      </c>
      <c r="Q2283" s="116">
        <v>371.95</v>
      </c>
      <c r="R2283">
        <v>36185918</v>
      </c>
    </row>
    <row r="2284" spans="1:18" x14ac:dyDescent="0.25">
      <c r="A2284" s="170">
        <v>45365</v>
      </c>
      <c r="B2284" s="116">
        <v>386.25</v>
      </c>
      <c r="C2284" s="116">
        <v>384.45</v>
      </c>
      <c r="D2284" s="116">
        <v>365.6</v>
      </c>
      <c r="E2284" s="116">
        <v>371.75</v>
      </c>
      <c r="F2284" s="116">
        <v>384.45</v>
      </c>
      <c r="G2284">
        <v>1219508</v>
      </c>
      <c r="H2284" s="116"/>
      <c r="I2284" s="116"/>
      <c r="L2284" s="170">
        <v>45365</v>
      </c>
      <c r="M2284" s="116">
        <v>384.45</v>
      </c>
      <c r="N2284" s="116">
        <v>386.3</v>
      </c>
      <c r="O2284" s="116">
        <v>365.55</v>
      </c>
      <c r="P2284" s="116">
        <v>371.95</v>
      </c>
      <c r="Q2284" s="116">
        <v>384.45</v>
      </c>
      <c r="R2284">
        <v>27089563</v>
      </c>
    </row>
    <row r="2285" spans="1:18" x14ac:dyDescent="0.25">
      <c r="A2285" s="170">
        <v>45366</v>
      </c>
      <c r="B2285" s="116">
        <v>387.9</v>
      </c>
      <c r="C2285" s="116">
        <v>380.65</v>
      </c>
      <c r="D2285" s="116">
        <v>372.1</v>
      </c>
      <c r="E2285" s="116">
        <v>384.45</v>
      </c>
      <c r="F2285" s="116">
        <v>380.65</v>
      </c>
      <c r="G2285">
        <v>1656774</v>
      </c>
      <c r="H2285" s="116"/>
      <c r="I2285" s="116"/>
      <c r="L2285" s="170">
        <v>45366</v>
      </c>
      <c r="M2285" s="116">
        <v>380.75</v>
      </c>
      <c r="N2285" s="116">
        <v>388</v>
      </c>
      <c r="O2285" s="116">
        <v>372</v>
      </c>
      <c r="P2285" s="116">
        <v>384.45</v>
      </c>
      <c r="Q2285" s="116">
        <v>380.75</v>
      </c>
      <c r="R2285">
        <v>20859247</v>
      </c>
    </row>
    <row r="2286" spans="1:18" x14ac:dyDescent="0.25">
      <c r="A2286" s="170">
        <v>45369</v>
      </c>
      <c r="B2286" s="116">
        <v>394.5</v>
      </c>
      <c r="C2286" s="116">
        <v>392.85</v>
      </c>
      <c r="D2286" s="116">
        <v>378.65</v>
      </c>
      <c r="E2286" s="116">
        <v>382.4</v>
      </c>
      <c r="F2286" s="116">
        <v>392.85</v>
      </c>
      <c r="G2286">
        <v>986728</v>
      </c>
      <c r="H2286" s="116"/>
      <c r="I2286" s="116"/>
      <c r="L2286" s="170">
        <v>45369</v>
      </c>
      <c r="M2286" s="116">
        <v>392.75</v>
      </c>
      <c r="N2286" s="116">
        <v>394.45</v>
      </c>
      <c r="O2286" s="116">
        <v>378.55</v>
      </c>
      <c r="P2286" s="116">
        <v>382.85</v>
      </c>
      <c r="Q2286" s="116">
        <v>392.75</v>
      </c>
      <c r="R2286">
        <v>34069247</v>
      </c>
    </row>
    <row r="2287" spans="1:18" x14ac:dyDescent="0.25">
      <c r="A2287" s="170">
        <v>45370</v>
      </c>
      <c r="B2287" s="116">
        <v>392.85</v>
      </c>
      <c r="C2287" s="116">
        <v>383.1</v>
      </c>
      <c r="D2287" s="116">
        <v>381.1</v>
      </c>
      <c r="E2287" s="116">
        <v>392.85</v>
      </c>
      <c r="F2287" s="116">
        <v>383.1</v>
      </c>
      <c r="G2287">
        <v>1330718</v>
      </c>
      <c r="H2287" s="116"/>
      <c r="I2287" s="116"/>
      <c r="L2287" s="170">
        <v>45370</v>
      </c>
      <c r="M2287" s="116">
        <v>383.25</v>
      </c>
      <c r="N2287" s="116">
        <v>392.9</v>
      </c>
      <c r="O2287" s="116">
        <v>381.1</v>
      </c>
      <c r="P2287" s="116">
        <v>392.15</v>
      </c>
      <c r="Q2287" s="116">
        <v>383.25</v>
      </c>
      <c r="R2287">
        <v>14809242</v>
      </c>
    </row>
    <row r="2288" spans="1:18" x14ac:dyDescent="0.25">
      <c r="A2288" s="170">
        <v>45371</v>
      </c>
      <c r="B2288" s="116">
        <v>388.25</v>
      </c>
      <c r="C2288" s="116">
        <v>379.85</v>
      </c>
      <c r="D2288" s="116">
        <v>371.25</v>
      </c>
      <c r="E2288" s="116">
        <v>385.45</v>
      </c>
      <c r="F2288" s="116">
        <v>379.85</v>
      </c>
      <c r="G2288">
        <v>676998</v>
      </c>
      <c r="H2288" s="116"/>
      <c r="I2288" s="116"/>
      <c r="L2288" s="170">
        <v>45371</v>
      </c>
      <c r="M2288" s="116">
        <v>379.9</v>
      </c>
      <c r="N2288" s="116">
        <v>388.35</v>
      </c>
      <c r="O2288" s="116">
        <v>371.1</v>
      </c>
      <c r="P2288" s="116">
        <v>386</v>
      </c>
      <c r="Q2288" s="116">
        <v>379.9</v>
      </c>
      <c r="R2288">
        <v>18068658</v>
      </c>
    </row>
    <row r="2289" spans="1:18" x14ac:dyDescent="0.25">
      <c r="A2289" s="170">
        <v>45372</v>
      </c>
      <c r="B2289" s="116">
        <v>394.25</v>
      </c>
      <c r="C2289" s="116">
        <v>392.1</v>
      </c>
      <c r="D2289" s="116">
        <v>384.4</v>
      </c>
      <c r="E2289" s="116">
        <v>385.4</v>
      </c>
      <c r="F2289" s="116">
        <v>392.1</v>
      </c>
      <c r="G2289">
        <v>653884</v>
      </c>
      <c r="H2289" s="116"/>
      <c r="I2289" s="116"/>
      <c r="L2289" s="170">
        <v>45372</v>
      </c>
      <c r="M2289" s="116">
        <v>392.15</v>
      </c>
      <c r="N2289" s="116">
        <v>394.35</v>
      </c>
      <c r="O2289" s="116">
        <v>384</v>
      </c>
      <c r="P2289" s="116">
        <v>385.1</v>
      </c>
      <c r="Q2289" s="116">
        <v>392.15</v>
      </c>
      <c r="R2289">
        <v>16908086</v>
      </c>
    </row>
    <row r="2290" spans="1:18" x14ac:dyDescent="0.25">
      <c r="A2290" s="170">
        <v>45373</v>
      </c>
      <c r="B2290" s="116">
        <v>395.5</v>
      </c>
      <c r="C2290" s="116">
        <v>390.7</v>
      </c>
      <c r="D2290" s="116">
        <v>386.65</v>
      </c>
      <c r="E2290" s="116">
        <v>389.9</v>
      </c>
      <c r="F2290" s="116">
        <v>390.7</v>
      </c>
      <c r="G2290">
        <v>530031</v>
      </c>
      <c r="H2290" s="116"/>
      <c r="I2290" s="116"/>
      <c r="L2290" s="170">
        <v>45373</v>
      </c>
      <c r="M2290" s="116">
        <v>390.7</v>
      </c>
      <c r="N2290" s="116">
        <v>395.5</v>
      </c>
      <c r="O2290" s="116">
        <v>386.5</v>
      </c>
      <c r="P2290" s="116">
        <v>389.9</v>
      </c>
      <c r="Q2290" s="116">
        <v>390.7</v>
      </c>
      <c r="R2290">
        <v>11759985</v>
      </c>
    </row>
    <row r="2291" spans="1:18" x14ac:dyDescent="0.25">
      <c r="A2291" s="170">
        <v>45377</v>
      </c>
      <c r="B2291" s="116">
        <v>394</v>
      </c>
      <c r="C2291" s="116">
        <v>390.1</v>
      </c>
      <c r="D2291" s="116">
        <v>387.75</v>
      </c>
      <c r="E2291" s="116">
        <v>390.7</v>
      </c>
      <c r="F2291" s="116">
        <v>390.1</v>
      </c>
      <c r="G2291">
        <v>888981</v>
      </c>
      <c r="H2291" s="116"/>
      <c r="I2291" s="116"/>
      <c r="L2291" s="170">
        <v>45377</v>
      </c>
      <c r="M2291" s="116">
        <v>390.1</v>
      </c>
      <c r="N2291" s="116">
        <v>394</v>
      </c>
      <c r="O2291" s="116">
        <v>387.75</v>
      </c>
      <c r="P2291" s="116">
        <v>390.5</v>
      </c>
      <c r="Q2291" s="116">
        <v>390.1</v>
      </c>
      <c r="R2291">
        <v>9140496</v>
      </c>
    </row>
    <row r="2292" spans="1:18" x14ac:dyDescent="0.25">
      <c r="A2292" s="170">
        <v>45378</v>
      </c>
      <c r="B2292" s="116">
        <v>393.95</v>
      </c>
      <c r="C2292" s="116">
        <v>388.35</v>
      </c>
      <c r="D2292" s="116">
        <v>387.65</v>
      </c>
      <c r="E2292" s="116">
        <v>391.95</v>
      </c>
      <c r="F2292" s="116">
        <v>388.35</v>
      </c>
      <c r="G2292">
        <v>880003</v>
      </c>
      <c r="H2292" s="116"/>
      <c r="I2292" s="116"/>
      <c r="L2292" s="170">
        <v>45378</v>
      </c>
      <c r="M2292" s="116">
        <v>388.4</v>
      </c>
      <c r="N2292" s="116">
        <v>393.85</v>
      </c>
      <c r="O2292" s="116">
        <v>387.5</v>
      </c>
      <c r="P2292" s="116">
        <v>391.55</v>
      </c>
      <c r="Q2292" s="116">
        <v>388.4</v>
      </c>
      <c r="R2292">
        <v>9084482</v>
      </c>
    </row>
    <row r="2293" spans="1:18" x14ac:dyDescent="0.25">
      <c r="A2293" s="170">
        <v>45379</v>
      </c>
      <c r="B2293" s="116">
        <v>399</v>
      </c>
      <c r="C2293" s="116">
        <v>394.15</v>
      </c>
      <c r="D2293" s="116">
        <v>390.85</v>
      </c>
      <c r="E2293" s="116">
        <v>391.85</v>
      </c>
      <c r="F2293" s="116">
        <v>394.15</v>
      </c>
      <c r="G2293">
        <v>797032</v>
      </c>
      <c r="H2293" s="116"/>
      <c r="I2293" s="116"/>
      <c r="L2293" s="170">
        <v>45379</v>
      </c>
      <c r="M2293" s="116">
        <v>394.2</v>
      </c>
      <c r="N2293" s="116">
        <v>398.9</v>
      </c>
      <c r="O2293" s="116">
        <v>391</v>
      </c>
      <c r="P2293" s="116">
        <v>391</v>
      </c>
      <c r="Q2293" s="116">
        <v>394.2</v>
      </c>
      <c r="R2293">
        <v>16040575</v>
      </c>
    </row>
    <row r="2294" spans="1:18" x14ac:dyDescent="0.25">
      <c r="A2294" s="170">
        <v>45383</v>
      </c>
      <c r="B2294" s="116">
        <v>408.9</v>
      </c>
      <c r="C2294" s="116">
        <v>406.9</v>
      </c>
      <c r="D2294" s="116">
        <v>398</v>
      </c>
      <c r="E2294" s="116">
        <v>399.65</v>
      </c>
      <c r="F2294" s="116">
        <v>406.9</v>
      </c>
      <c r="G2294">
        <v>813006</v>
      </c>
      <c r="H2294" s="116"/>
      <c r="I2294" s="116"/>
      <c r="L2294" s="170">
        <v>45383</v>
      </c>
      <c r="M2294" s="116">
        <v>406.95</v>
      </c>
      <c r="N2294" s="116">
        <v>408.85</v>
      </c>
      <c r="O2294" s="116">
        <v>397.55</v>
      </c>
      <c r="P2294" s="116">
        <v>398.95</v>
      </c>
      <c r="Q2294" s="116">
        <v>406.95</v>
      </c>
      <c r="R2294">
        <v>17765438</v>
      </c>
    </row>
    <row r="2295" spans="1:18" x14ac:dyDescent="0.25">
      <c r="A2295" s="170">
        <v>45384</v>
      </c>
      <c r="B2295" s="116">
        <v>412.25</v>
      </c>
      <c r="C2295" s="116">
        <v>408.9</v>
      </c>
      <c r="D2295" s="116">
        <v>406.85</v>
      </c>
      <c r="E2295" s="116">
        <v>407.35</v>
      </c>
      <c r="F2295" s="116">
        <v>408.9</v>
      </c>
      <c r="G2295">
        <v>598533</v>
      </c>
      <c r="H2295" s="116"/>
      <c r="I2295" s="116"/>
      <c r="L2295" s="170">
        <v>45384</v>
      </c>
      <c r="M2295" s="116">
        <v>408.8</v>
      </c>
      <c r="N2295" s="116">
        <v>412.15</v>
      </c>
      <c r="O2295" s="116">
        <v>406.6</v>
      </c>
      <c r="P2295" s="116">
        <v>407</v>
      </c>
      <c r="Q2295" s="116">
        <v>408.8</v>
      </c>
      <c r="R2295">
        <v>10630906</v>
      </c>
    </row>
    <row r="2296" spans="1:18" x14ac:dyDescent="0.25">
      <c r="A2296" s="170">
        <v>45385</v>
      </c>
      <c r="B2296" s="116">
        <v>415.3</v>
      </c>
      <c r="C2296" s="116">
        <v>412.15</v>
      </c>
      <c r="D2296" s="116">
        <v>407.25</v>
      </c>
      <c r="E2296" s="116">
        <v>409.55</v>
      </c>
      <c r="F2296" s="116">
        <v>412.15</v>
      </c>
      <c r="G2296">
        <v>1276399</v>
      </c>
      <c r="H2296" s="116"/>
      <c r="I2296" s="116"/>
      <c r="L2296" s="170">
        <v>45385</v>
      </c>
      <c r="M2296" s="116">
        <v>412.25</v>
      </c>
      <c r="N2296" s="116">
        <v>415.25</v>
      </c>
      <c r="O2296" s="116">
        <v>407.35</v>
      </c>
      <c r="P2296" s="116">
        <v>409</v>
      </c>
      <c r="Q2296" s="116">
        <v>412.25</v>
      </c>
      <c r="R2296">
        <v>12195598</v>
      </c>
    </row>
    <row r="2297" spans="1:18" x14ac:dyDescent="0.25">
      <c r="A2297" s="170">
        <v>45386</v>
      </c>
      <c r="B2297" s="116">
        <v>419.9</v>
      </c>
      <c r="C2297" s="116">
        <v>414.15</v>
      </c>
      <c r="D2297" s="116">
        <v>411</v>
      </c>
      <c r="E2297" s="116">
        <v>416</v>
      </c>
      <c r="F2297" s="116">
        <v>414.15</v>
      </c>
      <c r="G2297">
        <v>714188</v>
      </c>
      <c r="H2297" s="116"/>
      <c r="I2297" s="116"/>
      <c r="L2297" s="170">
        <v>45386</v>
      </c>
      <c r="M2297" s="116">
        <v>414.1</v>
      </c>
      <c r="N2297" s="116">
        <v>419.85</v>
      </c>
      <c r="O2297" s="116">
        <v>410.7</v>
      </c>
      <c r="P2297" s="116">
        <v>415.7</v>
      </c>
      <c r="Q2297" s="116">
        <v>414.1</v>
      </c>
      <c r="R2297">
        <v>16383105</v>
      </c>
    </row>
    <row r="2298" spans="1:18" x14ac:dyDescent="0.25">
      <c r="A2298" s="170">
        <v>45387</v>
      </c>
      <c r="B2298" s="116">
        <v>415.35</v>
      </c>
      <c r="C2298" s="116">
        <v>414.5</v>
      </c>
      <c r="D2298" s="116">
        <v>408.1</v>
      </c>
      <c r="E2298" s="116">
        <v>414.15</v>
      </c>
      <c r="F2298" s="116">
        <v>414.5</v>
      </c>
      <c r="G2298">
        <v>1024314</v>
      </c>
      <c r="H2298" s="116"/>
      <c r="I2298" s="116"/>
      <c r="L2298" s="170">
        <v>45387</v>
      </c>
      <c r="M2298" s="116">
        <v>414.6</v>
      </c>
      <c r="N2298" s="116">
        <v>415.45</v>
      </c>
      <c r="O2298" s="116">
        <v>408.05</v>
      </c>
      <c r="P2298" s="116">
        <v>414.1</v>
      </c>
      <c r="Q2298" s="116">
        <v>414.6</v>
      </c>
      <c r="R2298">
        <v>8530184</v>
      </c>
    </row>
    <row r="2299" spans="1:18" x14ac:dyDescent="0.25">
      <c r="A2299" s="170">
        <v>45390</v>
      </c>
      <c r="B2299" s="116">
        <v>418.85</v>
      </c>
      <c r="C2299" s="116">
        <v>416.3</v>
      </c>
      <c r="D2299" s="116">
        <v>414.95</v>
      </c>
      <c r="E2299" s="116">
        <v>417.8</v>
      </c>
      <c r="F2299" s="116">
        <v>416.3</v>
      </c>
      <c r="G2299">
        <v>433473</v>
      </c>
      <c r="H2299" s="116"/>
      <c r="I2299" s="116"/>
      <c r="L2299" s="170">
        <v>45390</v>
      </c>
      <c r="M2299" s="116">
        <v>416.35</v>
      </c>
      <c r="N2299" s="116">
        <v>418.7</v>
      </c>
      <c r="O2299" s="116">
        <v>414.75</v>
      </c>
      <c r="P2299" s="116">
        <v>417.5</v>
      </c>
      <c r="Q2299" s="116">
        <v>416.35</v>
      </c>
      <c r="R2299">
        <v>7588327</v>
      </c>
    </row>
    <row r="2300" spans="1:18" x14ac:dyDescent="0.25">
      <c r="A2300" s="170">
        <v>45391</v>
      </c>
      <c r="B2300" s="116">
        <v>436.25</v>
      </c>
      <c r="C2300" s="116">
        <v>429.75</v>
      </c>
      <c r="D2300" s="116">
        <v>416.6</v>
      </c>
      <c r="E2300" s="116">
        <v>417.75</v>
      </c>
      <c r="F2300" s="116">
        <v>429.75</v>
      </c>
      <c r="G2300">
        <v>2624913</v>
      </c>
      <c r="H2300" s="116"/>
      <c r="I2300" s="116"/>
      <c r="L2300" s="170">
        <v>45391</v>
      </c>
      <c r="M2300" s="116">
        <v>429.9</v>
      </c>
      <c r="N2300" s="116">
        <v>436.15</v>
      </c>
      <c r="O2300" s="116">
        <v>416.35</v>
      </c>
      <c r="P2300" s="116">
        <v>417</v>
      </c>
      <c r="Q2300" s="116">
        <v>429.9</v>
      </c>
      <c r="R2300">
        <v>37377906</v>
      </c>
    </row>
    <row r="2301" spans="1:18" x14ac:dyDescent="0.25">
      <c r="A2301" s="170">
        <v>45392</v>
      </c>
      <c r="B2301" s="116">
        <v>439.4</v>
      </c>
      <c r="C2301" s="116">
        <v>431.85</v>
      </c>
      <c r="D2301" s="116">
        <v>430.85</v>
      </c>
      <c r="E2301" s="116">
        <v>432</v>
      </c>
      <c r="F2301" s="116">
        <v>431.85</v>
      </c>
      <c r="G2301">
        <v>1471514</v>
      </c>
      <c r="H2301" s="116"/>
      <c r="I2301" s="116"/>
      <c r="L2301" s="170">
        <v>45392</v>
      </c>
      <c r="M2301" s="116">
        <v>431.95</v>
      </c>
      <c r="N2301" s="116">
        <v>439.4</v>
      </c>
      <c r="O2301" s="116">
        <v>431</v>
      </c>
      <c r="P2301" s="116">
        <v>432</v>
      </c>
      <c r="Q2301" s="116">
        <v>431.95</v>
      </c>
      <c r="R2301">
        <v>18390566</v>
      </c>
    </row>
    <row r="2302" spans="1:18" x14ac:dyDescent="0.25">
      <c r="A2302" s="170">
        <v>45394</v>
      </c>
      <c r="B2302" s="116">
        <v>444.1</v>
      </c>
      <c r="C2302" s="116">
        <v>437.05</v>
      </c>
      <c r="D2302" s="116">
        <v>429.2</v>
      </c>
      <c r="E2302" s="116">
        <v>431.85</v>
      </c>
      <c r="F2302" s="116">
        <v>437.05</v>
      </c>
      <c r="G2302">
        <v>1786915</v>
      </c>
      <c r="H2302" s="116"/>
      <c r="I2302" s="116"/>
      <c r="L2302" s="170">
        <v>45394</v>
      </c>
      <c r="M2302" s="116">
        <v>436.95</v>
      </c>
      <c r="N2302" s="116">
        <v>444.2</v>
      </c>
      <c r="O2302" s="116">
        <v>429.1</v>
      </c>
      <c r="P2302" s="116">
        <v>431.5</v>
      </c>
      <c r="Q2302" s="116">
        <v>436.95</v>
      </c>
      <c r="R2302">
        <v>25430924</v>
      </c>
    </row>
    <row r="2303" spans="1:18" x14ac:dyDescent="0.25">
      <c r="A2303" s="170">
        <v>45397</v>
      </c>
      <c r="B2303" s="116">
        <v>441.4</v>
      </c>
      <c r="C2303" s="116">
        <v>431.5</v>
      </c>
      <c r="D2303" s="116">
        <v>400.15</v>
      </c>
      <c r="E2303" s="116">
        <v>400.15</v>
      </c>
      <c r="F2303" s="116">
        <v>431.5</v>
      </c>
      <c r="G2303">
        <v>5077759</v>
      </c>
      <c r="H2303" s="116"/>
      <c r="I2303" s="116"/>
      <c r="L2303" s="170">
        <v>45397</v>
      </c>
      <c r="M2303" s="116">
        <v>431.6</v>
      </c>
      <c r="N2303" s="116">
        <v>441.45</v>
      </c>
      <c r="O2303" s="116">
        <v>417.2</v>
      </c>
      <c r="P2303" s="116">
        <v>424</v>
      </c>
      <c r="Q2303" s="116">
        <v>431.6</v>
      </c>
      <c r="R2303">
        <v>32551966</v>
      </c>
    </row>
    <row r="2304" spans="1:18" x14ac:dyDescent="0.25">
      <c r="A2304" s="170">
        <v>45398</v>
      </c>
      <c r="B2304" s="116">
        <v>435.8</v>
      </c>
      <c r="C2304" s="116">
        <v>430.35</v>
      </c>
      <c r="D2304" s="116">
        <v>426.45</v>
      </c>
      <c r="E2304" s="116">
        <v>430.2</v>
      </c>
      <c r="F2304" s="116">
        <v>430.35</v>
      </c>
      <c r="G2304">
        <v>1059546</v>
      </c>
      <c r="H2304" s="116"/>
      <c r="I2304" s="116"/>
      <c r="L2304" s="170">
        <v>45398</v>
      </c>
      <c r="M2304" s="116">
        <v>430.4</v>
      </c>
      <c r="N2304" s="116">
        <v>435.7</v>
      </c>
      <c r="O2304" s="116">
        <v>426.55</v>
      </c>
      <c r="P2304" s="116">
        <v>431.4</v>
      </c>
      <c r="Q2304" s="116">
        <v>430.4</v>
      </c>
      <c r="R2304">
        <v>14662756</v>
      </c>
    </row>
    <row r="2305" spans="1:18" x14ac:dyDescent="0.25">
      <c r="A2305" s="170">
        <v>45400</v>
      </c>
      <c r="B2305" s="116">
        <v>442.95</v>
      </c>
      <c r="C2305" s="116">
        <v>429.9</v>
      </c>
      <c r="D2305" s="116">
        <v>427.05</v>
      </c>
      <c r="E2305" s="116">
        <v>434.95</v>
      </c>
      <c r="F2305" s="116">
        <v>429.9</v>
      </c>
      <c r="G2305">
        <v>1452076</v>
      </c>
      <c r="H2305" s="116"/>
      <c r="I2305" s="116"/>
      <c r="L2305" s="170">
        <v>45400</v>
      </c>
      <c r="M2305" s="116">
        <v>429.75</v>
      </c>
      <c r="N2305" s="116">
        <v>442.8</v>
      </c>
      <c r="O2305" s="116">
        <v>427.05</v>
      </c>
      <c r="P2305" s="116">
        <v>434.9</v>
      </c>
      <c r="Q2305" s="116">
        <v>429.75</v>
      </c>
      <c r="R2305">
        <v>20997007</v>
      </c>
    </row>
    <row r="2306" spans="1:18" x14ac:dyDescent="0.25">
      <c r="A2306" s="170">
        <v>45401</v>
      </c>
      <c r="B2306" s="116">
        <v>431.7</v>
      </c>
      <c r="C2306" s="116">
        <v>428</v>
      </c>
      <c r="D2306" s="116">
        <v>419.05</v>
      </c>
      <c r="E2306" s="116">
        <v>425.75</v>
      </c>
      <c r="F2306" s="116">
        <v>428</v>
      </c>
      <c r="G2306">
        <v>2260727</v>
      </c>
      <c r="H2306" s="116"/>
      <c r="I2306" s="116"/>
      <c r="L2306" s="170">
        <v>45401</v>
      </c>
      <c r="M2306" s="116">
        <v>428.1</v>
      </c>
      <c r="N2306" s="116">
        <v>431.7</v>
      </c>
      <c r="O2306" s="116">
        <v>419.3</v>
      </c>
      <c r="P2306" s="116">
        <v>426.25</v>
      </c>
      <c r="Q2306" s="116">
        <v>428.1</v>
      </c>
      <c r="R2306">
        <v>17985425</v>
      </c>
    </row>
    <row r="2307" spans="1:18" x14ac:dyDescent="0.25">
      <c r="A2307" s="170">
        <v>45404</v>
      </c>
      <c r="B2307" s="116">
        <v>435.1</v>
      </c>
      <c r="C2307" s="116">
        <v>427.9</v>
      </c>
      <c r="D2307" s="116">
        <v>426.9</v>
      </c>
      <c r="E2307" s="116">
        <v>433.9</v>
      </c>
      <c r="F2307" s="116">
        <v>427.9</v>
      </c>
      <c r="G2307">
        <v>859264</v>
      </c>
      <c r="H2307" s="116"/>
      <c r="I2307" s="116"/>
      <c r="L2307" s="170">
        <v>45404</v>
      </c>
      <c r="M2307" s="116">
        <v>427.95</v>
      </c>
      <c r="N2307" s="116">
        <v>435</v>
      </c>
      <c r="O2307" s="116">
        <v>426.75</v>
      </c>
      <c r="P2307" s="116">
        <v>434</v>
      </c>
      <c r="Q2307" s="116">
        <v>427.95</v>
      </c>
      <c r="R2307">
        <v>12126655</v>
      </c>
    </row>
    <row r="2308" spans="1:18" x14ac:dyDescent="0.25">
      <c r="A2308" s="170">
        <v>45405</v>
      </c>
      <c r="B2308" s="116">
        <v>432.25</v>
      </c>
      <c r="C2308" s="116">
        <v>429.4</v>
      </c>
      <c r="D2308" s="116">
        <v>427.9</v>
      </c>
      <c r="E2308" s="116">
        <v>431.7</v>
      </c>
      <c r="F2308" s="116">
        <v>429.4</v>
      </c>
      <c r="G2308">
        <v>626880</v>
      </c>
      <c r="H2308" s="116"/>
      <c r="I2308" s="116"/>
      <c r="L2308" s="170">
        <v>45405</v>
      </c>
      <c r="M2308" s="116">
        <v>429.65</v>
      </c>
      <c r="N2308" s="116">
        <v>432.4</v>
      </c>
      <c r="O2308" s="116">
        <v>427.65</v>
      </c>
      <c r="P2308" s="116">
        <v>430.05</v>
      </c>
      <c r="Q2308" s="116">
        <v>429.65</v>
      </c>
      <c r="R2308">
        <v>9349694</v>
      </c>
    </row>
    <row r="2309" spans="1:18" x14ac:dyDescent="0.25">
      <c r="A2309" s="170">
        <v>45406</v>
      </c>
      <c r="B2309" s="116">
        <v>432.7</v>
      </c>
      <c r="C2309" s="116">
        <v>428.35</v>
      </c>
      <c r="D2309" s="116">
        <v>427.05</v>
      </c>
      <c r="E2309" s="116">
        <v>431.55</v>
      </c>
      <c r="F2309" s="116">
        <v>428.35</v>
      </c>
      <c r="G2309">
        <v>331700</v>
      </c>
      <c r="H2309" s="116"/>
      <c r="I2309" s="116"/>
      <c r="L2309" s="170">
        <v>45406</v>
      </c>
      <c r="M2309" s="116">
        <v>428.3</v>
      </c>
      <c r="N2309" s="116">
        <v>432.45</v>
      </c>
      <c r="O2309" s="116">
        <v>427</v>
      </c>
      <c r="P2309" s="116">
        <v>430.05</v>
      </c>
      <c r="Q2309" s="116">
        <v>428.3</v>
      </c>
      <c r="R2309">
        <v>6456018</v>
      </c>
    </row>
    <row r="2310" spans="1:18" x14ac:dyDescent="0.25">
      <c r="A2310" s="170">
        <v>45407</v>
      </c>
      <c r="B2310" s="116">
        <v>432.9</v>
      </c>
      <c r="C2310" s="116">
        <v>431.5</v>
      </c>
      <c r="D2310" s="116">
        <v>427</v>
      </c>
      <c r="E2310" s="116">
        <v>428.7</v>
      </c>
      <c r="F2310" s="116">
        <v>431.5</v>
      </c>
      <c r="G2310">
        <v>952398</v>
      </c>
      <c r="H2310" s="116"/>
      <c r="I2310" s="116"/>
      <c r="L2310" s="170">
        <v>45407</v>
      </c>
      <c r="M2310" s="116">
        <v>431.45</v>
      </c>
      <c r="N2310" s="116">
        <v>433.1</v>
      </c>
      <c r="O2310" s="116">
        <v>427</v>
      </c>
      <c r="P2310" s="116">
        <v>428.3</v>
      </c>
      <c r="Q2310" s="116">
        <v>431.45</v>
      </c>
      <c r="R2310">
        <v>7794324</v>
      </c>
    </row>
    <row r="2311" spans="1:18" x14ac:dyDescent="0.25">
      <c r="A2311" s="170">
        <v>45408</v>
      </c>
      <c r="B2311" s="116">
        <v>440.4</v>
      </c>
      <c r="C2311" s="116">
        <v>436.75</v>
      </c>
      <c r="D2311" s="116">
        <v>431.55</v>
      </c>
      <c r="E2311" s="116">
        <v>431.55</v>
      </c>
      <c r="F2311" s="116">
        <v>436.75</v>
      </c>
      <c r="G2311">
        <v>1609246</v>
      </c>
      <c r="H2311" s="116"/>
      <c r="I2311" s="116"/>
      <c r="L2311" s="170">
        <v>45408</v>
      </c>
      <c r="M2311" s="116">
        <v>436.9</v>
      </c>
      <c r="N2311" s="116">
        <v>440.5</v>
      </c>
      <c r="O2311" s="116">
        <v>432.5</v>
      </c>
      <c r="P2311" s="116">
        <v>432.55</v>
      </c>
      <c r="Q2311" s="116">
        <v>436.9</v>
      </c>
      <c r="R2311">
        <v>14337708</v>
      </c>
    </row>
    <row r="2312" spans="1:18" x14ac:dyDescent="0.25">
      <c r="A2312" s="170">
        <v>45411</v>
      </c>
      <c r="B2312" s="116">
        <v>451.5</v>
      </c>
      <c r="C2312" s="116">
        <v>448.1</v>
      </c>
      <c r="D2312" s="116">
        <v>437.3</v>
      </c>
      <c r="E2312" s="116">
        <v>440</v>
      </c>
      <c r="F2312" s="116">
        <v>448.1</v>
      </c>
      <c r="G2312">
        <v>1246693</v>
      </c>
      <c r="H2312" s="116"/>
      <c r="I2312" s="116"/>
      <c r="L2312" s="170">
        <v>45411</v>
      </c>
      <c r="M2312" s="116">
        <v>448</v>
      </c>
      <c r="N2312" s="116">
        <v>451.35</v>
      </c>
      <c r="O2312" s="116">
        <v>437.25</v>
      </c>
      <c r="P2312" s="116">
        <v>439.85</v>
      </c>
      <c r="Q2312" s="116">
        <v>448</v>
      </c>
      <c r="R2312">
        <v>23566023</v>
      </c>
    </row>
    <row r="2313" spans="1:18" x14ac:dyDescent="0.25">
      <c r="A2313" s="170">
        <v>45412</v>
      </c>
      <c r="B2313" s="116">
        <v>455.2</v>
      </c>
      <c r="C2313" s="116">
        <v>449.1</v>
      </c>
      <c r="D2313" s="116">
        <v>448.35</v>
      </c>
      <c r="E2313" s="116">
        <v>451.95</v>
      </c>
      <c r="F2313" s="116">
        <v>449.1</v>
      </c>
      <c r="G2313">
        <v>1994794</v>
      </c>
      <c r="H2313" s="116"/>
      <c r="I2313" s="116"/>
      <c r="L2313" s="170">
        <v>45412</v>
      </c>
      <c r="M2313" s="116">
        <v>449.25</v>
      </c>
      <c r="N2313" s="116">
        <v>455.3</v>
      </c>
      <c r="O2313" s="116">
        <v>448.05</v>
      </c>
      <c r="P2313" s="116">
        <v>451.65</v>
      </c>
      <c r="Q2313" s="116">
        <v>449.25</v>
      </c>
      <c r="R2313">
        <v>22517400</v>
      </c>
    </row>
    <row r="2314" spans="1:18" x14ac:dyDescent="0.25">
      <c r="A2314" s="170">
        <v>45414</v>
      </c>
      <c r="B2314" s="116">
        <v>459.95</v>
      </c>
      <c r="C2314" s="116">
        <v>457.7</v>
      </c>
      <c r="D2314" s="116">
        <v>449.3</v>
      </c>
      <c r="E2314" s="116">
        <v>450.4</v>
      </c>
      <c r="F2314" s="116">
        <v>457.7</v>
      </c>
      <c r="G2314">
        <v>1059959</v>
      </c>
      <c r="H2314" s="116"/>
      <c r="I2314" s="116"/>
      <c r="L2314" s="170">
        <v>45414</v>
      </c>
      <c r="M2314" s="116">
        <v>457.85</v>
      </c>
      <c r="N2314" s="116">
        <v>459.95</v>
      </c>
      <c r="O2314" s="116">
        <v>449.25</v>
      </c>
      <c r="P2314" s="116">
        <v>450.05</v>
      </c>
      <c r="Q2314" s="116">
        <v>457.85</v>
      </c>
      <c r="R2314">
        <v>15880502</v>
      </c>
    </row>
    <row r="2315" spans="1:18" x14ac:dyDescent="0.25">
      <c r="A2315" s="170">
        <v>45415</v>
      </c>
      <c r="B2315" s="116">
        <v>464.3</v>
      </c>
      <c r="C2315" s="116">
        <v>454.6</v>
      </c>
      <c r="D2315" s="116">
        <v>448.65</v>
      </c>
      <c r="E2315" s="116">
        <v>462.65</v>
      </c>
      <c r="F2315" s="116">
        <v>454.6</v>
      </c>
      <c r="G2315">
        <v>927323</v>
      </c>
      <c r="H2315" s="116"/>
      <c r="I2315" s="116"/>
      <c r="L2315" s="170">
        <v>45415</v>
      </c>
      <c r="M2315" s="116">
        <v>454.75</v>
      </c>
      <c r="N2315" s="116">
        <v>464.2</v>
      </c>
      <c r="O2315" s="116">
        <v>448.5</v>
      </c>
      <c r="P2315" s="116">
        <v>461.6</v>
      </c>
      <c r="Q2315" s="116">
        <v>454.75</v>
      </c>
      <c r="R2315">
        <v>16825776</v>
      </c>
    </row>
    <row r="2316" spans="1:18" x14ac:dyDescent="0.25">
      <c r="A2316" s="170">
        <v>45418</v>
      </c>
      <c r="B2316" s="116">
        <v>459.55</v>
      </c>
      <c r="C2316" s="116">
        <v>446.15</v>
      </c>
      <c r="D2316" s="116">
        <v>442.5</v>
      </c>
      <c r="E2316" s="116">
        <v>459.55</v>
      </c>
      <c r="F2316" s="116">
        <v>446.15</v>
      </c>
      <c r="G2316">
        <v>884059</v>
      </c>
      <c r="H2316" s="116"/>
      <c r="I2316" s="116"/>
      <c r="L2316" s="170">
        <v>45418</v>
      </c>
      <c r="M2316" s="116">
        <v>446.3</v>
      </c>
      <c r="N2316" s="116">
        <v>458.6</v>
      </c>
      <c r="O2316" s="116">
        <v>442.35</v>
      </c>
      <c r="P2316" s="116">
        <v>458.6</v>
      </c>
      <c r="Q2316" s="116">
        <v>446.3</v>
      </c>
      <c r="R2316">
        <v>16739666</v>
      </c>
    </row>
    <row r="2317" spans="1:18" x14ac:dyDescent="0.25">
      <c r="A2317" s="170">
        <v>45419</v>
      </c>
      <c r="B2317" s="116">
        <v>449</v>
      </c>
      <c r="C2317" s="116">
        <v>436.3</v>
      </c>
      <c r="D2317" s="116">
        <v>432.35</v>
      </c>
      <c r="E2317" s="116">
        <v>449</v>
      </c>
      <c r="F2317" s="116">
        <v>436.3</v>
      </c>
      <c r="G2317">
        <v>793036</v>
      </c>
      <c r="H2317" s="116"/>
      <c r="I2317" s="116"/>
      <c r="L2317" s="170">
        <v>45419</v>
      </c>
      <c r="M2317" s="116">
        <v>436.4</v>
      </c>
      <c r="N2317" s="116">
        <v>449.25</v>
      </c>
      <c r="O2317" s="116">
        <v>432.4</v>
      </c>
      <c r="P2317" s="116">
        <v>448.55</v>
      </c>
      <c r="Q2317" s="116">
        <v>436.4</v>
      </c>
      <c r="R2317">
        <v>14131347</v>
      </c>
    </row>
    <row r="2318" spans="1:18" x14ac:dyDescent="0.25">
      <c r="A2318" s="170">
        <v>45420</v>
      </c>
      <c r="B2318" s="116">
        <v>441.25</v>
      </c>
      <c r="C2318" s="116">
        <v>435.45</v>
      </c>
      <c r="D2318" s="116">
        <v>430.05</v>
      </c>
      <c r="E2318" s="116">
        <v>435.15</v>
      </c>
      <c r="F2318" s="116">
        <v>435.45</v>
      </c>
      <c r="G2318">
        <v>1035771</v>
      </c>
      <c r="H2318" s="116"/>
      <c r="I2318" s="116"/>
      <c r="L2318" s="170">
        <v>45420</v>
      </c>
      <c r="M2318" s="116">
        <v>435.05</v>
      </c>
      <c r="N2318" s="116">
        <v>441.2</v>
      </c>
      <c r="O2318" s="116">
        <v>430.1</v>
      </c>
      <c r="P2318" s="116">
        <v>434.75</v>
      </c>
      <c r="Q2318" s="116">
        <v>435.05</v>
      </c>
      <c r="R2318">
        <v>13914786</v>
      </c>
    </row>
    <row r="2319" spans="1:18" x14ac:dyDescent="0.25">
      <c r="A2319" s="170">
        <v>45421</v>
      </c>
      <c r="B2319" s="116">
        <v>431</v>
      </c>
      <c r="C2319" s="116">
        <v>413.65</v>
      </c>
      <c r="D2319" s="116">
        <v>412.1</v>
      </c>
      <c r="E2319" s="116">
        <v>428</v>
      </c>
      <c r="F2319" s="116">
        <v>413.65</v>
      </c>
      <c r="G2319">
        <v>4060424</v>
      </c>
      <c r="H2319" s="116"/>
      <c r="I2319" s="116"/>
      <c r="L2319" s="170">
        <v>45421</v>
      </c>
      <c r="M2319" s="116">
        <v>413.5</v>
      </c>
      <c r="N2319" s="116">
        <v>431.25</v>
      </c>
      <c r="O2319" s="116">
        <v>412.1</v>
      </c>
      <c r="P2319" s="116">
        <v>427.85</v>
      </c>
      <c r="Q2319" s="116">
        <v>413.5</v>
      </c>
      <c r="R2319">
        <v>28007098</v>
      </c>
    </row>
    <row r="2320" spans="1:18" x14ac:dyDescent="0.25">
      <c r="A2320" s="170">
        <v>45422</v>
      </c>
      <c r="B2320" s="116">
        <v>418.25</v>
      </c>
      <c r="C2320" s="116">
        <v>414.75</v>
      </c>
      <c r="D2320" s="116">
        <v>404.05</v>
      </c>
      <c r="E2320" s="116">
        <v>415</v>
      </c>
      <c r="F2320" s="116">
        <v>414.75</v>
      </c>
      <c r="G2320">
        <v>2575651</v>
      </c>
      <c r="H2320" s="116"/>
      <c r="I2320" s="116"/>
      <c r="L2320" s="170">
        <v>45422</v>
      </c>
      <c r="M2320" s="116">
        <v>414.85</v>
      </c>
      <c r="N2320" s="116">
        <v>418.25</v>
      </c>
      <c r="O2320" s="116">
        <v>404.15</v>
      </c>
      <c r="P2320" s="116">
        <v>415</v>
      </c>
      <c r="Q2320" s="116">
        <v>414.85</v>
      </c>
      <c r="R2320">
        <v>19951523</v>
      </c>
    </row>
    <row r="2321" spans="1:18" x14ac:dyDescent="0.25">
      <c r="A2321" s="170">
        <v>45425</v>
      </c>
      <c r="B2321" s="116">
        <v>415</v>
      </c>
      <c r="C2321" s="116">
        <v>411.8</v>
      </c>
      <c r="D2321" s="116">
        <v>396.5</v>
      </c>
      <c r="E2321" s="116">
        <v>412.55</v>
      </c>
      <c r="F2321" s="116">
        <v>411.8</v>
      </c>
      <c r="G2321">
        <v>1161566</v>
      </c>
      <c r="H2321" s="116"/>
      <c r="I2321" s="116"/>
      <c r="L2321" s="170">
        <v>45425</v>
      </c>
      <c r="M2321" s="116">
        <v>411.75</v>
      </c>
      <c r="N2321" s="116">
        <v>415.35</v>
      </c>
      <c r="O2321" s="116">
        <v>396.55</v>
      </c>
      <c r="P2321" s="116">
        <v>414.85</v>
      </c>
      <c r="Q2321" s="116">
        <v>411.75</v>
      </c>
      <c r="R2321">
        <v>25148219</v>
      </c>
    </row>
    <row r="2322" spans="1:18" x14ac:dyDescent="0.25">
      <c r="A2322" s="170">
        <v>45426</v>
      </c>
      <c r="B2322" s="116">
        <v>431.95</v>
      </c>
      <c r="C2322" s="116">
        <v>430.3</v>
      </c>
      <c r="D2322" s="116">
        <v>412.5</v>
      </c>
      <c r="E2322" s="116">
        <v>413</v>
      </c>
      <c r="F2322" s="116">
        <v>430.3</v>
      </c>
      <c r="G2322">
        <v>1846575</v>
      </c>
      <c r="H2322" s="116"/>
      <c r="I2322" s="116"/>
      <c r="L2322" s="170">
        <v>45426</v>
      </c>
      <c r="M2322" s="116">
        <v>430.35</v>
      </c>
      <c r="N2322" s="116">
        <v>432</v>
      </c>
      <c r="O2322" s="116">
        <v>412.65</v>
      </c>
      <c r="P2322" s="116">
        <v>413.1</v>
      </c>
      <c r="Q2322" s="116">
        <v>430.35</v>
      </c>
      <c r="R2322">
        <v>18401250</v>
      </c>
    </row>
    <row r="2323" spans="1:18" x14ac:dyDescent="0.25">
      <c r="A2323" s="170">
        <v>45427</v>
      </c>
      <c r="B2323" s="116">
        <v>439.95</v>
      </c>
      <c r="C2323" s="116">
        <v>431.45</v>
      </c>
      <c r="D2323" s="116">
        <v>430.35</v>
      </c>
      <c r="E2323" s="116">
        <v>434.35</v>
      </c>
      <c r="F2323" s="116">
        <v>431.45</v>
      </c>
      <c r="G2323">
        <v>972506</v>
      </c>
      <c r="H2323" s="116"/>
      <c r="I2323" s="116"/>
      <c r="L2323" s="170">
        <v>45427</v>
      </c>
      <c r="M2323" s="116">
        <v>431.3</v>
      </c>
      <c r="N2323" s="116">
        <v>439.95</v>
      </c>
      <c r="O2323" s="116">
        <v>430.35</v>
      </c>
      <c r="P2323" s="116">
        <v>433.8</v>
      </c>
      <c r="Q2323" s="116">
        <v>431.3</v>
      </c>
      <c r="R2323">
        <v>13804148</v>
      </c>
    </row>
    <row r="2324" spans="1:18" x14ac:dyDescent="0.25">
      <c r="A2324" s="170">
        <v>45428</v>
      </c>
      <c r="B2324" s="116">
        <v>436.15</v>
      </c>
      <c r="C2324" s="116">
        <v>433.9</v>
      </c>
      <c r="D2324" s="116">
        <v>426.75</v>
      </c>
      <c r="E2324" s="116">
        <v>434.6</v>
      </c>
      <c r="F2324" s="116">
        <v>433.9</v>
      </c>
      <c r="G2324">
        <v>1120977</v>
      </c>
      <c r="H2324" s="116"/>
      <c r="I2324" s="116"/>
      <c r="L2324" s="170">
        <v>45428</v>
      </c>
      <c r="M2324" s="116">
        <v>433.95</v>
      </c>
      <c r="N2324" s="116">
        <v>435.35</v>
      </c>
      <c r="O2324" s="116">
        <v>426.85</v>
      </c>
      <c r="P2324" s="116">
        <v>435</v>
      </c>
      <c r="Q2324" s="116">
        <v>433.95</v>
      </c>
      <c r="R2324">
        <v>8324498</v>
      </c>
    </row>
    <row r="2325" spans="1:18" x14ac:dyDescent="0.25">
      <c r="A2325" s="170">
        <v>45429</v>
      </c>
      <c r="B2325" s="116">
        <v>438.2</v>
      </c>
      <c r="C2325" s="116">
        <v>436.3</v>
      </c>
      <c r="D2325" s="116">
        <v>432.6</v>
      </c>
      <c r="E2325" s="116">
        <v>434.3</v>
      </c>
      <c r="F2325" s="116">
        <v>436.3</v>
      </c>
      <c r="G2325">
        <v>377305</v>
      </c>
      <c r="H2325" s="116"/>
      <c r="I2325" s="116"/>
      <c r="L2325" s="170">
        <v>45429</v>
      </c>
      <c r="M2325" s="116">
        <v>436.3</v>
      </c>
      <c r="N2325" s="116">
        <v>438.3</v>
      </c>
      <c r="O2325" s="116">
        <v>432.35</v>
      </c>
      <c r="P2325" s="116">
        <v>433.95</v>
      </c>
      <c r="Q2325" s="116">
        <v>436.3</v>
      </c>
      <c r="R2325">
        <v>7388213</v>
      </c>
    </row>
    <row r="2326" spans="1:18" x14ac:dyDescent="0.25">
      <c r="A2326" s="170">
        <v>45430</v>
      </c>
      <c r="B2326" s="116">
        <v>443.4</v>
      </c>
      <c r="C2326" s="116">
        <v>441.25</v>
      </c>
      <c r="D2326" s="116">
        <v>436.4</v>
      </c>
      <c r="E2326" s="116">
        <v>437.4</v>
      </c>
      <c r="F2326" s="116">
        <v>441.25</v>
      </c>
      <c r="G2326">
        <v>343215</v>
      </c>
      <c r="H2326" s="116"/>
      <c r="I2326" s="116"/>
      <c r="L2326" s="170">
        <v>45430</v>
      </c>
      <c r="M2326" s="116">
        <v>441.45</v>
      </c>
      <c r="N2326" s="116">
        <v>443.75</v>
      </c>
      <c r="O2326" s="116">
        <v>436.5</v>
      </c>
      <c r="P2326" s="116">
        <v>437.8</v>
      </c>
      <c r="Q2326" s="116">
        <v>441.45</v>
      </c>
      <c r="R2326">
        <v>2618860</v>
      </c>
    </row>
    <row r="2327" spans="1:18" x14ac:dyDescent="0.25">
      <c r="A2327" s="170">
        <v>45433</v>
      </c>
      <c r="B2327" s="116">
        <v>446.35</v>
      </c>
      <c r="C2327" s="116">
        <v>441.7</v>
      </c>
      <c r="D2327" s="116">
        <v>440.2</v>
      </c>
      <c r="E2327" s="116">
        <v>443</v>
      </c>
      <c r="F2327" s="116">
        <v>441.7</v>
      </c>
      <c r="G2327">
        <v>582923</v>
      </c>
      <c r="H2327" s="116"/>
      <c r="I2327" s="116"/>
      <c r="L2327" s="170">
        <v>45433</v>
      </c>
      <c r="M2327" s="116">
        <v>441.7</v>
      </c>
      <c r="N2327" s="116">
        <v>446.35</v>
      </c>
      <c r="O2327" s="116">
        <v>440.05</v>
      </c>
      <c r="P2327" s="116">
        <v>443.4</v>
      </c>
      <c r="Q2327" s="116">
        <v>441.7</v>
      </c>
      <c r="R2327">
        <v>11541624</v>
      </c>
    </row>
    <row r="2328" spans="1:18" x14ac:dyDescent="0.25">
      <c r="A2328" s="170">
        <v>45434</v>
      </c>
      <c r="B2328" s="116">
        <v>449.75</v>
      </c>
      <c r="C2328" s="116">
        <v>447.6</v>
      </c>
      <c r="D2328" s="116">
        <v>436.45</v>
      </c>
      <c r="E2328" s="116">
        <v>442</v>
      </c>
      <c r="F2328" s="116">
        <v>447.6</v>
      </c>
      <c r="G2328">
        <v>1478863</v>
      </c>
      <c r="H2328" s="116"/>
      <c r="I2328" s="116"/>
      <c r="L2328" s="170">
        <v>45434</v>
      </c>
      <c r="M2328" s="116">
        <v>447.7</v>
      </c>
      <c r="N2328" s="116">
        <v>450.05</v>
      </c>
      <c r="O2328" s="116">
        <v>436.5</v>
      </c>
      <c r="P2328" s="116">
        <v>442</v>
      </c>
      <c r="Q2328" s="116">
        <v>447.7</v>
      </c>
      <c r="R2328">
        <v>16085201</v>
      </c>
    </row>
    <row r="2329" spans="1:18" x14ac:dyDescent="0.25">
      <c r="A2329" s="170">
        <v>45435</v>
      </c>
      <c r="B2329" s="116">
        <v>452.25</v>
      </c>
      <c r="C2329" s="116">
        <v>449</v>
      </c>
      <c r="D2329" s="116">
        <v>445.6</v>
      </c>
      <c r="E2329" s="116">
        <v>450.5</v>
      </c>
      <c r="F2329" s="116">
        <v>449</v>
      </c>
      <c r="G2329">
        <v>511504</v>
      </c>
      <c r="H2329" s="116"/>
      <c r="I2329" s="116"/>
      <c r="L2329" s="170">
        <v>45435</v>
      </c>
      <c r="M2329" s="116">
        <v>449.15</v>
      </c>
      <c r="N2329" s="116">
        <v>452.1</v>
      </c>
      <c r="O2329" s="116">
        <v>445.5</v>
      </c>
      <c r="P2329" s="116">
        <v>450.4</v>
      </c>
      <c r="Q2329" s="116">
        <v>449.15</v>
      </c>
      <c r="R2329">
        <v>8872759</v>
      </c>
    </row>
    <row r="2330" spans="1:18" x14ac:dyDescent="0.25">
      <c r="A2330" s="170">
        <v>45436</v>
      </c>
      <c r="B2330" s="116">
        <v>452.9</v>
      </c>
      <c r="C2330" s="116">
        <v>447.35</v>
      </c>
      <c r="D2330" s="116">
        <v>446.15</v>
      </c>
      <c r="E2330" s="116">
        <v>449.5</v>
      </c>
      <c r="F2330" s="116">
        <v>447.35</v>
      </c>
      <c r="G2330">
        <v>608904</v>
      </c>
      <c r="H2330" s="116"/>
      <c r="I2330" s="116"/>
      <c r="L2330" s="170">
        <v>45436</v>
      </c>
      <c r="M2330" s="116">
        <v>447.2</v>
      </c>
      <c r="N2330" s="116">
        <v>452.95</v>
      </c>
      <c r="O2330" s="116">
        <v>446.1</v>
      </c>
      <c r="P2330" s="116">
        <v>449.15</v>
      </c>
      <c r="Q2330" s="116">
        <v>447.2</v>
      </c>
      <c r="R2330">
        <v>9759025</v>
      </c>
    </row>
    <row r="2331" spans="1:18" x14ac:dyDescent="0.25">
      <c r="A2331" s="170">
        <v>45439</v>
      </c>
      <c r="B2331" s="116">
        <v>452.45</v>
      </c>
      <c r="C2331" s="116">
        <v>445.7</v>
      </c>
      <c r="D2331" s="116">
        <v>444.75</v>
      </c>
      <c r="E2331" s="116">
        <v>449</v>
      </c>
      <c r="F2331" s="116">
        <v>445.7</v>
      </c>
      <c r="G2331">
        <v>1142980</v>
      </c>
      <c r="H2331" s="116"/>
      <c r="I2331" s="116"/>
      <c r="L2331" s="170">
        <v>45439</v>
      </c>
      <c r="M2331" s="116">
        <v>446.05</v>
      </c>
      <c r="N2331" s="116">
        <v>452.55</v>
      </c>
      <c r="O2331" s="116">
        <v>445</v>
      </c>
      <c r="P2331" s="116">
        <v>448.9</v>
      </c>
      <c r="Q2331" s="116">
        <v>446.05</v>
      </c>
      <c r="R2331">
        <v>10073185</v>
      </c>
    </row>
    <row r="2332" spans="1:18" x14ac:dyDescent="0.25">
      <c r="A2332" s="170">
        <v>45440</v>
      </c>
      <c r="B2332" s="116">
        <v>449.55</v>
      </c>
      <c r="C2332" s="116">
        <v>436.9</v>
      </c>
      <c r="D2332" s="116">
        <v>434.15</v>
      </c>
      <c r="E2332" s="116">
        <v>447.85</v>
      </c>
      <c r="F2332" s="116">
        <v>436.9</v>
      </c>
      <c r="G2332">
        <v>739933</v>
      </c>
      <c r="H2332" s="116"/>
      <c r="I2332" s="116"/>
      <c r="L2332" s="170">
        <v>45440</v>
      </c>
      <c r="M2332" s="116">
        <v>436.9</v>
      </c>
      <c r="N2332" s="116">
        <v>449.4</v>
      </c>
      <c r="O2332" s="116">
        <v>434.15</v>
      </c>
      <c r="P2332" s="116">
        <v>447</v>
      </c>
      <c r="Q2332" s="116">
        <v>436.9</v>
      </c>
      <c r="R2332">
        <v>9560161</v>
      </c>
    </row>
    <row r="2333" spans="1:18" x14ac:dyDescent="0.25">
      <c r="A2333" s="170">
        <v>45441</v>
      </c>
      <c r="B2333" s="116">
        <v>439.5</v>
      </c>
      <c r="C2333" s="116">
        <v>432.8</v>
      </c>
      <c r="D2333" s="116">
        <v>432.1</v>
      </c>
      <c r="E2333" s="116">
        <v>435</v>
      </c>
      <c r="F2333" s="116">
        <v>432.8</v>
      </c>
      <c r="G2333">
        <v>1178833</v>
      </c>
      <c r="H2333" s="116"/>
      <c r="I2333" s="116"/>
      <c r="L2333" s="170">
        <v>45441</v>
      </c>
      <c r="M2333" s="116">
        <v>432.85</v>
      </c>
      <c r="N2333" s="116">
        <v>439.45</v>
      </c>
      <c r="O2333" s="116">
        <v>432.1</v>
      </c>
      <c r="P2333" s="116">
        <v>435</v>
      </c>
      <c r="Q2333" s="116">
        <v>432.85</v>
      </c>
      <c r="R2333">
        <v>7241846</v>
      </c>
    </row>
    <row r="2334" spans="1:18" x14ac:dyDescent="0.25">
      <c r="A2334" s="170">
        <v>45442</v>
      </c>
      <c r="B2334" s="116">
        <v>433.4</v>
      </c>
      <c r="C2334" s="116">
        <v>425.15</v>
      </c>
      <c r="D2334" s="116">
        <v>422.8</v>
      </c>
      <c r="E2334" s="116">
        <v>433.4</v>
      </c>
      <c r="F2334" s="116">
        <v>425.15</v>
      </c>
      <c r="G2334">
        <v>731193</v>
      </c>
      <c r="H2334" s="116"/>
      <c r="I2334" s="116"/>
      <c r="L2334" s="170">
        <v>45442</v>
      </c>
      <c r="M2334" s="116">
        <v>425.35</v>
      </c>
      <c r="N2334" s="116">
        <v>433.5</v>
      </c>
      <c r="O2334" s="116">
        <v>422.55</v>
      </c>
      <c r="P2334" s="116">
        <v>432.85</v>
      </c>
      <c r="Q2334" s="116">
        <v>425.35</v>
      </c>
      <c r="R2334">
        <v>9059666</v>
      </c>
    </row>
    <row r="2335" spans="1:18" x14ac:dyDescent="0.25">
      <c r="A2335" s="170">
        <v>45443</v>
      </c>
      <c r="B2335" s="116">
        <v>438.25</v>
      </c>
      <c r="C2335" s="116">
        <v>436.8</v>
      </c>
      <c r="D2335" s="116">
        <v>425.65</v>
      </c>
      <c r="E2335" s="116">
        <v>425.95</v>
      </c>
      <c r="F2335" s="116">
        <v>436.8</v>
      </c>
      <c r="G2335">
        <v>938077</v>
      </c>
      <c r="H2335" s="116"/>
      <c r="I2335" s="116"/>
      <c r="L2335" s="170">
        <v>45443</v>
      </c>
      <c r="M2335" s="116">
        <v>436.75</v>
      </c>
      <c r="N2335" s="116">
        <v>438.7</v>
      </c>
      <c r="O2335" s="116">
        <v>425.4</v>
      </c>
      <c r="P2335" s="116">
        <v>425.4</v>
      </c>
      <c r="Q2335" s="116">
        <v>436.75</v>
      </c>
      <c r="R2335">
        <v>15285970</v>
      </c>
    </row>
    <row r="2336" spans="1:18" x14ac:dyDescent="0.25">
      <c r="A2336" s="170">
        <v>45446</v>
      </c>
      <c r="B2336" s="116">
        <v>459.95</v>
      </c>
      <c r="C2336" s="116">
        <v>456.5</v>
      </c>
      <c r="D2336" s="116">
        <v>447.35</v>
      </c>
      <c r="E2336" s="116">
        <v>456.55</v>
      </c>
      <c r="F2336" s="116">
        <v>456.5</v>
      </c>
      <c r="G2336">
        <v>4031892</v>
      </c>
      <c r="H2336" s="116"/>
      <c r="I2336" s="116"/>
      <c r="L2336" s="170">
        <v>45446</v>
      </c>
      <c r="M2336" s="116">
        <v>456.55</v>
      </c>
      <c r="N2336" s="116">
        <v>460</v>
      </c>
      <c r="O2336" s="116">
        <v>447.35</v>
      </c>
      <c r="P2336" s="116">
        <v>460</v>
      </c>
      <c r="Q2336" s="116">
        <v>456.55</v>
      </c>
      <c r="R2336">
        <v>25033120</v>
      </c>
    </row>
    <row r="2337" spans="1:18" x14ac:dyDescent="0.25">
      <c r="A2337" s="170">
        <v>45447</v>
      </c>
      <c r="B2337" s="116">
        <v>460</v>
      </c>
      <c r="C2337" s="116">
        <v>399.6</v>
      </c>
      <c r="D2337" s="116">
        <v>377.2</v>
      </c>
      <c r="E2337" s="116">
        <v>460</v>
      </c>
      <c r="F2337" s="116">
        <v>399.6</v>
      </c>
      <c r="G2337">
        <v>3864724</v>
      </c>
      <c r="H2337" s="116"/>
      <c r="I2337" s="116"/>
      <c r="L2337" s="170">
        <v>45447</v>
      </c>
      <c r="M2337" s="116">
        <v>399.6</v>
      </c>
      <c r="N2337" s="116">
        <v>458.9</v>
      </c>
      <c r="O2337" s="116">
        <v>371.65</v>
      </c>
      <c r="P2337" s="116">
        <v>458.9</v>
      </c>
      <c r="Q2337" s="116">
        <v>399.6</v>
      </c>
      <c r="R2337">
        <v>58989328</v>
      </c>
    </row>
    <row r="2338" spans="1:18" x14ac:dyDescent="0.25">
      <c r="A2338" s="170">
        <v>45448</v>
      </c>
      <c r="B2338" s="116">
        <v>424.4</v>
      </c>
      <c r="C2338" s="116">
        <v>422.65</v>
      </c>
      <c r="D2338" s="116">
        <v>390</v>
      </c>
      <c r="E2338" s="116">
        <v>417.5</v>
      </c>
      <c r="F2338" s="116">
        <v>422.65</v>
      </c>
      <c r="G2338">
        <v>3550012</v>
      </c>
      <c r="H2338" s="116"/>
      <c r="I2338" s="116"/>
      <c r="L2338" s="170">
        <v>45448</v>
      </c>
      <c r="M2338" s="116">
        <v>422.8</v>
      </c>
      <c r="N2338" s="116">
        <v>424.45</v>
      </c>
      <c r="O2338" s="116">
        <v>390</v>
      </c>
      <c r="P2338" s="116">
        <v>417</v>
      </c>
      <c r="Q2338" s="116">
        <v>422.8</v>
      </c>
      <c r="R2338">
        <v>25587086</v>
      </c>
    </row>
    <row r="2339" spans="1:18" x14ac:dyDescent="0.25">
      <c r="A2339" s="170">
        <v>45449</v>
      </c>
      <c r="B2339" s="116">
        <v>438.5</v>
      </c>
      <c r="C2339" s="116">
        <v>431.5</v>
      </c>
      <c r="D2339" s="116">
        <v>426.05</v>
      </c>
      <c r="E2339" s="116">
        <v>430.65</v>
      </c>
      <c r="F2339" s="116">
        <v>431.5</v>
      </c>
      <c r="G2339">
        <v>837549</v>
      </c>
      <c r="H2339" s="116"/>
      <c r="I2339" s="116"/>
      <c r="L2339" s="170">
        <v>45449</v>
      </c>
      <c r="M2339" s="116">
        <v>431.55</v>
      </c>
      <c r="N2339" s="116">
        <v>438.4</v>
      </c>
      <c r="O2339" s="116">
        <v>425.75</v>
      </c>
      <c r="P2339" s="116">
        <v>430</v>
      </c>
      <c r="Q2339" s="116">
        <v>431.55</v>
      </c>
      <c r="R2339">
        <v>13644903</v>
      </c>
    </row>
    <row r="2340" spans="1:18" x14ac:dyDescent="0.25">
      <c r="A2340" s="170">
        <v>45450</v>
      </c>
      <c r="B2340" s="116">
        <v>445.6</v>
      </c>
      <c r="C2340" s="116">
        <v>443.45</v>
      </c>
      <c r="D2340" s="116">
        <v>427.1</v>
      </c>
      <c r="E2340" s="116">
        <v>430.4</v>
      </c>
      <c r="F2340" s="116">
        <v>443.45</v>
      </c>
      <c r="G2340">
        <v>990537</v>
      </c>
      <c r="H2340" s="116"/>
      <c r="I2340" s="116"/>
      <c r="L2340" s="170">
        <v>45450</v>
      </c>
      <c r="M2340" s="116">
        <v>443.55</v>
      </c>
      <c r="N2340" s="116">
        <v>445.7</v>
      </c>
      <c r="O2340" s="116">
        <v>427</v>
      </c>
      <c r="P2340" s="116">
        <v>430</v>
      </c>
      <c r="Q2340" s="116">
        <v>443.55</v>
      </c>
      <c r="R2340">
        <v>15039562</v>
      </c>
    </row>
    <row r="2341" spans="1:18" x14ac:dyDescent="0.25">
      <c r="A2341" s="170">
        <v>45453</v>
      </c>
      <c r="B2341" s="116">
        <v>458.45</v>
      </c>
      <c r="C2341" s="116">
        <v>447.9</v>
      </c>
      <c r="D2341" s="116">
        <v>445.15</v>
      </c>
      <c r="E2341" s="116">
        <v>449.5</v>
      </c>
      <c r="F2341" s="116">
        <v>447.9</v>
      </c>
      <c r="G2341">
        <v>1139622</v>
      </c>
      <c r="H2341" s="116"/>
      <c r="I2341" s="116"/>
      <c r="L2341" s="170">
        <v>45453</v>
      </c>
      <c r="M2341" s="116">
        <v>448</v>
      </c>
      <c r="N2341" s="116">
        <v>458.75</v>
      </c>
      <c r="O2341" s="116">
        <v>445.15</v>
      </c>
      <c r="P2341" s="116">
        <v>446.6</v>
      </c>
      <c r="Q2341" s="116">
        <v>448</v>
      </c>
      <c r="R2341">
        <v>20554460</v>
      </c>
    </row>
    <row r="2342" spans="1:18" x14ac:dyDescent="0.25">
      <c r="A2342" s="170">
        <v>45454</v>
      </c>
      <c r="B2342" s="116">
        <v>453.65</v>
      </c>
      <c r="C2342" s="116">
        <v>448.45</v>
      </c>
      <c r="D2342" s="116">
        <v>447</v>
      </c>
      <c r="E2342" s="116">
        <v>448.8</v>
      </c>
      <c r="F2342" s="116">
        <v>448.45</v>
      </c>
      <c r="G2342">
        <v>1027214</v>
      </c>
      <c r="H2342" s="116"/>
      <c r="I2342" s="116"/>
      <c r="L2342" s="170">
        <v>45454</v>
      </c>
      <c r="M2342" s="116">
        <v>448.4</v>
      </c>
      <c r="N2342" s="116">
        <v>453.75</v>
      </c>
      <c r="O2342" s="116">
        <v>446.75</v>
      </c>
      <c r="P2342" s="116">
        <v>448</v>
      </c>
      <c r="Q2342" s="116">
        <v>448.4</v>
      </c>
      <c r="R2342">
        <v>9802063</v>
      </c>
    </row>
    <row r="2343" spans="1:18" x14ac:dyDescent="0.25">
      <c r="A2343" s="170">
        <v>45455</v>
      </c>
      <c r="B2343" s="116">
        <v>453.7</v>
      </c>
      <c r="C2343" s="116">
        <v>449.55</v>
      </c>
      <c r="D2343" s="116">
        <v>448.5</v>
      </c>
      <c r="E2343" s="116">
        <v>451.4</v>
      </c>
      <c r="F2343" s="116">
        <v>449.55</v>
      </c>
      <c r="G2343">
        <v>1427389</v>
      </c>
      <c r="H2343" s="116"/>
      <c r="I2343" s="116"/>
      <c r="L2343" s="170">
        <v>45455</v>
      </c>
      <c r="M2343" s="116">
        <v>449.65</v>
      </c>
      <c r="N2343" s="116">
        <v>453.85</v>
      </c>
      <c r="O2343" s="116">
        <v>448.55</v>
      </c>
      <c r="P2343" s="116">
        <v>451</v>
      </c>
      <c r="Q2343" s="116">
        <v>449.65</v>
      </c>
      <c r="R2343">
        <v>7066407</v>
      </c>
    </row>
    <row r="2344" spans="1:18" x14ac:dyDescent="0.25">
      <c r="A2344" s="170">
        <v>45456</v>
      </c>
      <c r="B2344" s="116">
        <v>457.95</v>
      </c>
      <c r="C2344" s="116">
        <v>452.2</v>
      </c>
      <c r="D2344" s="116">
        <v>449.55</v>
      </c>
      <c r="E2344" s="116">
        <v>456.55</v>
      </c>
      <c r="F2344" s="116">
        <v>452.2</v>
      </c>
      <c r="G2344">
        <v>835268</v>
      </c>
      <c r="H2344" s="116"/>
      <c r="I2344" s="116"/>
      <c r="L2344" s="170">
        <v>45456</v>
      </c>
      <c r="M2344" s="116">
        <v>451.9</v>
      </c>
      <c r="N2344" s="116">
        <v>458</v>
      </c>
      <c r="O2344" s="116">
        <v>449.65</v>
      </c>
      <c r="P2344" s="116">
        <v>457</v>
      </c>
      <c r="Q2344" s="116">
        <v>451.9</v>
      </c>
      <c r="R2344">
        <v>12208021</v>
      </c>
    </row>
    <row r="2345" spans="1:18" x14ac:dyDescent="0.25">
      <c r="A2345" s="170">
        <v>45457</v>
      </c>
      <c r="B2345" s="116">
        <v>453.45</v>
      </c>
      <c r="C2345" s="116">
        <v>448.6</v>
      </c>
      <c r="D2345" s="116">
        <v>447.55</v>
      </c>
      <c r="E2345" s="116">
        <v>452.2</v>
      </c>
      <c r="F2345" s="116">
        <v>448.6</v>
      </c>
      <c r="G2345">
        <v>1385772</v>
      </c>
      <c r="H2345" s="116"/>
      <c r="I2345" s="116"/>
      <c r="L2345" s="170">
        <v>45457</v>
      </c>
      <c r="M2345" s="116">
        <v>448.65</v>
      </c>
      <c r="N2345" s="116">
        <v>453.6</v>
      </c>
      <c r="O2345" s="116">
        <v>447.5</v>
      </c>
      <c r="P2345" s="116">
        <v>452.4</v>
      </c>
      <c r="Q2345" s="116">
        <v>448.65</v>
      </c>
      <c r="R2345">
        <v>7858446</v>
      </c>
    </row>
    <row r="2346" spans="1:18" x14ac:dyDescent="0.25">
      <c r="A2346" s="170">
        <v>45461</v>
      </c>
      <c r="B2346" s="116">
        <v>453.65</v>
      </c>
      <c r="C2346" s="116">
        <v>451.55</v>
      </c>
      <c r="D2346" s="116">
        <v>448.2</v>
      </c>
      <c r="E2346" s="116">
        <v>450.45</v>
      </c>
      <c r="F2346" s="116">
        <v>451.55</v>
      </c>
      <c r="G2346">
        <v>350988</v>
      </c>
      <c r="H2346" s="116"/>
      <c r="I2346" s="116"/>
      <c r="L2346" s="170">
        <v>45461</v>
      </c>
      <c r="M2346" s="116">
        <v>451.7</v>
      </c>
      <c r="N2346" s="116">
        <v>454.25</v>
      </c>
      <c r="O2346" s="116">
        <v>448.15</v>
      </c>
      <c r="P2346" s="116">
        <v>449.75</v>
      </c>
      <c r="Q2346" s="116">
        <v>451.7</v>
      </c>
      <c r="R2346">
        <v>6522944</v>
      </c>
    </row>
    <row r="2347" spans="1:18" x14ac:dyDescent="0.25">
      <c r="A2347" s="170">
        <v>45462</v>
      </c>
      <c r="B2347" s="116">
        <v>452.55</v>
      </c>
      <c r="C2347" s="116">
        <v>442.3</v>
      </c>
      <c r="D2347" s="116">
        <v>441.5</v>
      </c>
      <c r="E2347" s="116">
        <v>451.55</v>
      </c>
      <c r="F2347" s="116">
        <v>442.3</v>
      </c>
      <c r="G2347">
        <v>700561</v>
      </c>
      <c r="H2347" s="116"/>
      <c r="I2347" s="116"/>
      <c r="L2347" s="170">
        <v>45462</v>
      </c>
      <c r="M2347" s="116">
        <v>442.35</v>
      </c>
      <c r="N2347" s="116">
        <v>452.65</v>
      </c>
      <c r="O2347" s="116">
        <v>441.65</v>
      </c>
      <c r="P2347" s="116">
        <v>452</v>
      </c>
      <c r="Q2347" s="116">
        <v>442.35</v>
      </c>
      <c r="R2347">
        <v>8981273</v>
      </c>
    </row>
    <row r="2348" spans="1:18" x14ac:dyDescent="0.25">
      <c r="A2348" s="170">
        <v>45463</v>
      </c>
      <c r="B2348" s="116">
        <v>446.5</v>
      </c>
      <c r="C2348" s="116">
        <v>443.55</v>
      </c>
      <c r="D2348" s="116">
        <v>436.6</v>
      </c>
      <c r="E2348" s="116">
        <v>443</v>
      </c>
      <c r="F2348" s="116">
        <v>443.55</v>
      </c>
      <c r="G2348">
        <v>814936</v>
      </c>
      <c r="H2348" s="116"/>
      <c r="I2348" s="116"/>
      <c r="L2348" s="170">
        <v>45463</v>
      </c>
      <c r="M2348" s="116">
        <v>443.65</v>
      </c>
      <c r="N2348" s="116">
        <v>446.5</v>
      </c>
      <c r="O2348" s="116">
        <v>436.55</v>
      </c>
      <c r="P2348" s="116">
        <v>443</v>
      </c>
      <c r="Q2348" s="116">
        <v>443.65</v>
      </c>
      <c r="R2348">
        <v>8058795</v>
      </c>
    </row>
    <row r="2349" spans="1:18" x14ac:dyDescent="0.25">
      <c r="A2349" s="170">
        <v>45464</v>
      </c>
      <c r="B2349" s="116">
        <v>445.05</v>
      </c>
      <c r="C2349" s="116">
        <v>438.7</v>
      </c>
      <c r="D2349" s="116">
        <v>437.7</v>
      </c>
      <c r="E2349" s="116">
        <v>444</v>
      </c>
      <c r="F2349" s="116">
        <v>438.7</v>
      </c>
      <c r="G2349">
        <v>300158</v>
      </c>
      <c r="H2349" s="116"/>
      <c r="I2349" s="116"/>
      <c r="L2349" s="170">
        <v>45464</v>
      </c>
      <c r="M2349" s="116">
        <v>438.7</v>
      </c>
      <c r="N2349" s="116">
        <v>445.2</v>
      </c>
      <c r="O2349" s="116">
        <v>437.65</v>
      </c>
      <c r="P2349" s="116">
        <v>443.65</v>
      </c>
      <c r="Q2349" s="116">
        <v>438.7</v>
      </c>
      <c r="R2349">
        <v>16109190</v>
      </c>
    </row>
    <row r="2350" spans="1:18" x14ac:dyDescent="0.25">
      <c r="A2350" s="170">
        <v>45467</v>
      </c>
      <c r="B2350" s="116">
        <v>439.5</v>
      </c>
      <c r="C2350" s="116">
        <v>435.7</v>
      </c>
      <c r="D2350" s="116">
        <v>432.15</v>
      </c>
      <c r="E2350" s="116">
        <v>435.35</v>
      </c>
      <c r="F2350" s="116">
        <v>435.7</v>
      </c>
      <c r="G2350">
        <v>901235</v>
      </c>
      <c r="H2350" s="116"/>
      <c r="I2350" s="116"/>
      <c r="L2350" s="170">
        <v>45467</v>
      </c>
      <c r="M2350" s="116">
        <v>435.6</v>
      </c>
      <c r="N2350" s="116">
        <v>439.5</v>
      </c>
      <c r="O2350" s="116">
        <v>432.05</v>
      </c>
      <c r="P2350" s="116">
        <v>436</v>
      </c>
      <c r="Q2350" s="116">
        <v>435.6</v>
      </c>
      <c r="R2350">
        <v>7878288</v>
      </c>
    </row>
    <row r="2351" spans="1:18" x14ac:dyDescent="0.25">
      <c r="A2351" s="170">
        <v>45468</v>
      </c>
      <c r="B2351" s="116">
        <v>437.9</v>
      </c>
      <c r="C2351" s="116">
        <v>430.7</v>
      </c>
      <c r="D2351" s="116">
        <v>429.9</v>
      </c>
      <c r="E2351" s="116">
        <v>435.7</v>
      </c>
      <c r="F2351" s="116">
        <v>430.7</v>
      </c>
      <c r="G2351">
        <v>831480</v>
      </c>
      <c r="H2351" s="116"/>
      <c r="I2351" s="116"/>
      <c r="L2351" s="170">
        <v>45468</v>
      </c>
      <c r="M2351" s="116">
        <v>430.75</v>
      </c>
      <c r="N2351" s="116">
        <v>437.95</v>
      </c>
      <c r="O2351" s="116">
        <v>429.4</v>
      </c>
      <c r="P2351" s="116">
        <v>436</v>
      </c>
      <c r="Q2351" s="116">
        <v>430.75</v>
      </c>
      <c r="R2351">
        <v>7140628</v>
      </c>
    </row>
    <row r="2352" spans="1:18" x14ac:dyDescent="0.25">
      <c r="A2352" s="170">
        <v>45469</v>
      </c>
      <c r="B2352" s="116">
        <v>435.75</v>
      </c>
      <c r="C2352" s="116">
        <v>431.7</v>
      </c>
      <c r="D2352" s="116">
        <v>429</v>
      </c>
      <c r="E2352" s="116">
        <v>430.65</v>
      </c>
      <c r="F2352" s="116">
        <v>431.7</v>
      </c>
      <c r="G2352">
        <v>1166553</v>
      </c>
      <c r="H2352" s="116"/>
      <c r="I2352" s="116"/>
      <c r="L2352" s="170">
        <v>45469</v>
      </c>
      <c r="M2352" s="116">
        <v>432.2</v>
      </c>
      <c r="N2352" s="116">
        <v>435.8</v>
      </c>
      <c r="O2352" s="116">
        <v>429.05</v>
      </c>
      <c r="P2352" s="116">
        <v>430.35</v>
      </c>
      <c r="Q2352" s="116">
        <v>432.2</v>
      </c>
      <c r="R2352">
        <v>9323979</v>
      </c>
    </row>
    <row r="2353" spans="1:18" x14ac:dyDescent="0.25">
      <c r="A2353" s="170">
        <v>45470</v>
      </c>
      <c r="B2353" s="116">
        <v>443</v>
      </c>
      <c r="C2353" s="116">
        <v>437.75</v>
      </c>
      <c r="D2353" s="116">
        <v>426.5</v>
      </c>
      <c r="E2353" s="116">
        <v>432</v>
      </c>
      <c r="F2353" s="116">
        <v>437.75</v>
      </c>
      <c r="G2353">
        <v>940994</v>
      </c>
      <c r="H2353" s="116"/>
      <c r="I2353" s="116"/>
      <c r="L2353" s="170">
        <v>45470</v>
      </c>
      <c r="M2353" s="116">
        <v>439.45</v>
      </c>
      <c r="N2353" s="116">
        <v>443</v>
      </c>
      <c r="O2353" s="116">
        <v>426.5</v>
      </c>
      <c r="P2353" s="116">
        <v>432.2</v>
      </c>
      <c r="Q2353" s="116">
        <v>439.45</v>
      </c>
      <c r="R2353">
        <v>18716207</v>
      </c>
    </row>
    <row r="2354" spans="1:18" x14ac:dyDescent="0.25">
      <c r="A2354" s="170">
        <v>45471</v>
      </c>
      <c r="B2354" s="116">
        <v>444.6</v>
      </c>
      <c r="C2354" s="116">
        <v>440.5</v>
      </c>
      <c r="D2354" s="116">
        <v>438.3</v>
      </c>
      <c r="E2354" s="116">
        <v>440.55</v>
      </c>
      <c r="F2354" s="116">
        <v>440.5</v>
      </c>
      <c r="G2354">
        <v>486434</v>
      </c>
      <c r="H2354" s="116"/>
      <c r="I2354" s="116"/>
      <c r="L2354" s="170">
        <v>45471</v>
      </c>
      <c r="M2354" s="116">
        <v>440.6</v>
      </c>
      <c r="N2354" s="116">
        <v>444.45</v>
      </c>
      <c r="O2354" s="116">
        <v>438.3</v>
      </c>
      <c r="P2354" s="116">
        <v>439.45</v>
      </c>
      <c r="Q2354" s="116">
        <v>440.6</v>
      </c>
      <c r="R2354">
        <v>11339346</v>
      </c>
    </row>
    <row r="2355" spans="1:18" x14ac:dyDescent="0.25">
      <c r="A2355" s="170">
        <v>45474</v>
      </c>
      <c r="B2355" s="116">
        <v>441.65</v>
      </c>
      <c r="C2355" s="116">
        <v>435.15</v>
      </c>
      <c r="D2355" s="116">
        <v>434.45</v>
      </c>
      <c r="E2355" s="116">
        <v>440.6</v>
      </c>
      <c r="F2355" s="116">
        <v>435.15</v>
      </c>
      <c r="G2355">
        <v>1016171</v>
      </c>
      <c r="H2355" s="116"/>
      <c r="I2355" s="116"/>
      <c r="L2355" s="170">
        <v>45474</v>
      </c>
      <c r="M2355" s="116">
        <v>435.4</v>
      </c>
      <c r="N2355" s="116">
        <v>441.65</v>
      </c>
      <c r="O2355" s="116">
        <v>434.35</v>
      </c>
      <c r="P2355" s="116">
        <v>441</v>
      </c>
      <c r="Q2355" s="116">
        <v>435.4</v>
      </c>
      <c r="R2355">
        <v>8020642</v>
      </c>
    </row>
    <row r="2356" spans="1:18" x14ac:dyDescent="0.25">
      <c r="A2356" s="170">
        <v>45475</v>
      </c>
      <c r="B2356" s="116">
        <v>436.95</v>
      </c>
      <c r="C2356" s="116">
        <v>432.65</v>
      </c>
      <c r="D2356" s="116">
        <v>428.15</v>
      </c>
      <c r="E2356" s="116">
        <v>436</v>
      </c>
      <c r="F2356" s="116">
        <v>432.65</v>
      </c>
      <c r="G2356">
        <v>634366</v>
      </c>
      <c r="H2356" s="116"/>
      <c r="I2356" s="116"/>
      <c r="L2356" s="170">
        <v>45475</v>
      </c>
      <c r="M2356" s="116">
        <v>432.75</v>
      </c>
      <c r="N2356" s="116">
        <v>437</v>
      </c>
      <c r="O2356" s="116">
        <v>428</v>
      </c>
      <c r="P2356" s="116">
        <v>436</v>
      </c>
      <c r="Q2356" s="116">
        <v>432.75</v>
      </c>
      <c r="R2356">
        <v>7511940</v>
      </c>
    </row>
    <row r="2357" spans="1:18" x14ac:dyDescent="0.25">
      <c r="A2357" s="170">
        <v>45476</v>
      </c>
      <c r="B2357" s="116">
        <v>435.45</v>
      </c>
      <c r="C2357" s="116">
        <v>433.8</v>
      </c>
      <c r="D2357" s="116">
        <v>430.85</v>
      </c>
      <c r="E2357" s="116">
        <v>433</v>
      </c>
      <c r="F2357" s="116">
        <v>433.8</v>
      </c>
      <c r="G2357">
        <v>1254399</v>
      </c>
      <c r="H2357" s="116"/>
      <c r="I2357" s="116"/>
      <c r="L2357" s="170">
        <v>45476</v>
      </c>
      <c r="M2357" s="116">
        <v>433.85</v>
      </c>
      <c r="N2357" s="116">
        <v>435.45</v>
      </c>
      <c r="O2357" s="116">
        <v>430.8</v>
      </c>
      <c r="P2357" s="116">
        <v>433.45</v>
      </c>
      <c r="Q2357" s="116">
        <v>433.85</v>
      </c>
      <c r="R2357">
        <v>9201151</v>
      </c>
    </row>
    <row r="2358" spans="1:18" x14ac:dyDescent="0.25">
      <c r="A2358" s="170">
        <v>45477</v>
      </c>
      <c r="B2358" s="116">
        <v>442.25</v>
      </c>
      <c r="C2358" s="116">
        <v>436.5</v>
      </c>
      <c r="D2358" s="116">
        <v>433.2</v>
      </c>
      <c r="E2358" s="116">
        <v>434.15</v>
      </c>
      <c r="F2358" s="116">
        <v>436.5</v>
      </c>
      <c r="G2358">
        <v>727274</v>
      </c>
      <c r="H2358" s="116"/>
      <c r="I2358" s="116"/>
      <c r="L2358" s="170">
        <v>45477</v>
      </c>
      <c r="M2358" s="116">
        <v>436.25</v>
      </c>
      <c r="N2358" s="116">
        <v>442.25</v>
      </c>
      <c r="O2358" s="116">
        <v>433.25</v>
      </c>
      <c r="P2358" s="116">
        <v>433.95</v>
      </c>
      <c r="Q2358" s="116">
        <v>436.25</v>
      </c>
      <c r="R2358">
        <v>10686705</v>
      </c>
    </row>
    <row r="2359" spans="1:18" x14ac:dyDescent="0.25">
      <c r="A2359" s="170">
        <v>45478</v>
      </c>
      <c r="B2359" s="116">
        <v>440.2</v>
      </c>
      <c r="C2359" s="116">
        <v>439.8</v>
      </c>
      <c r="D2359" s="116">
        <v>433.95</v>
      </c>
      <c r="E2359" s="116">
        <v>436.5</v>
      </c>
      <c r="F2359" s="116">
        <v>439.8</v>
      </c>
      <c r="G2359">
        <v>1475806</v>
      </c>
      <c r="H2359" s="116"/>
      <c r="I2359" s="116"/>
      <c r="L2359" s="170">
        <v>45478</v>
      </c>
      <c r="M2359" s="116">
        <v>439.95</v>
      </c>
      <c r="N2359" s="116">
        <v>440.3</v>
      </c>
      <c r="O2359" s="116">
        <v>434</v>
      </c>
      <c r="P2359" s="116">
        <v>436.45</v>
      </c>
      <c r="Q2359" s="116">
        <v>439.95</v>
      </c>
      <c r="R2359">
        <v>8708995</v>
      </c>
    </row>
    <row r="2360" spans="1:18" x14ac:dyDescent="0.25">
      <c r="A2360" s="170">
        <v>45481</v>
      </c>
      <c r="B2360" s="116">
        <v>443.9</v>
      </c>
      <c r="C2360" s="116">
        <v>433.5</v>
      </c>
      <c r="D2360" s="116">
        <v>432</v>
      </c>
      <c r="E2360" s="116">
        <v>440.5</v>
      </c>
      <c r="F2360" s="116">
        <v>433.5</v>
      </c>
      <c r="G2360">
        <v>553520</v>
      </c>
      <c r="H2360" s="116"/>
      <c r="I2360" s="116"/>
      <c r="L2360" s="170">
        <v>45481</v>
      </c>
      <c r="M2360" s="116">
        <v>433.45</v>
      </c>
      <c r="N2360" s="116">
        <v>443.45</v>
      </c>
      <c r="O2360" s="116">
        <v>431.9</v>
      </c>
      <c r="P2360" s="116">
        <v>440.7</v>
      </c>
      <c r="Q2360" s="116">
        <v>433.45</v>
      </c>
      <c r="R2360">
        <v>9154756</v>
      </c>
    </row>
    <row r="2361" spans="1:18" x14ac:dyDescent="0.25">
      <c r="A2361" s="170">
        <v>45482</v>
      </c>
      <c r="B2361" s="116">
        <v>441.75</v>
      </c>
      <c r="C2361" s="116">
        <v>438.8</v>
      </c>
      <c r="D2361" s="116">
        <v>434.55</v>
      </c>
      <c r="E2361" s="116">
        <v>437.2</v>
      </c>
      <c r="F2361" s="116">
        <v>438.8</v>
      </c>
      <c r="G2361">
        <v>917775</v>
      </c>
      <c r="H2361" s="116"/>
      <c r="I2361" s="116"/>
      <c r="L2361" s="170">
        <v>45482</v>
      </c>
      <c r="M2361" s="116">
        <v>438.95</v>
      </c>
      <c r="N2361" s="116">
        <v>441.8</v>
      </c>
      <c r="O2361" s="116">
        <v>434.7</v>
      </c>
      <c r="P2361" s="116">
        <v>437.5</v>
      </c>
      <c r="Q2361" s="116">
        <v>438.95</v>
      </c>
      <c r="R2361">
        <v>6076549</v>
      </c>
    </row>
    <row r="2362" spans="1:18" x14ac:dyDescent="0.25">
      <c r="A2362" s="170">
        <v>45483</v>
      </c>
      <c r="B2362" s="116">
        <v>442.2</v>
      </c>
      <c r="C2362" s="116">
        <v>437.25</v>
      </c>
      <c r="D2362" s="116">
        <v>426.9</v>
      </c>
      <c r="E2362" s="116">
        <v>439.5</v>
      </c>
      <c r="F2362" s="116">
        <v>437.25</v>
      </c>
      <c r="G2362">
        <v>419611</v>
      </c>
      <c r="H2362" s="116"/>
      <c r="I2362" s="116"/>
      <c r="L2362" s="170">
        <v>45483</v>
      </c>
      <c r="M2362" s="116">
        <v>437.35</v>
      </c>
      <c r="N2362" s="116">
        <v>442</v>
      </c>
      <c r="O2362" s="116">
        <v>426.85</v>
      </c>
      <c r="P2362" s="116">
        <v>439.95</v>
      </c>
      <c r="Q2362" s="116">
        <v>437.35</v>
      </c>
      <c r="R2362">
        <v>8745713</v>
      </c>
    </row>
    <row r="2363" spans="1:18" x14ac:dyDescent="0.25">
      <c r="A2363" s="170">
        <v>45484</v>
      </c>
      <c r="B2363" s="116">
        <v>444.5</v>
      </c>
      <c r="C2363" s="116">
        <v>440.35</v>
      </c>
      <c r="D2363" s="116">
        <v>436.3</v>
      </c>
      <c r="E2363" s="116">
        <v>438.55</v>
      </c>
      <c r="F2363" s="116">
        <v>440.35</v>
      </c>
      <c r="G2363">
        <v>389762</v>
      </c>
      <c r="H2363" s="116"/>
      <c r="I2363" s="116"/>
      <c r="L2363" s="170">
        <v>45484</v>
      </c>
      <c r="M2363" s="116">
        <v>440.4</v>
      </c>
      <c r="N2363" s="116">
        <v>444.5</v>
      </c>
      <c r="O2363" s="116">
        <v>436.1</v>
      </c>
      <c r="P2363" s="116">
        <v>438.95</v>
      </c>
      <c r="Q2363" s="116">
        <v>440.4</v>
      </c>
      <c r="R2363">
        <v>8553094</v>
      </c>
    </row>
    <row r="2364" spans="1:18" x14ac:dyDescent="0.25">
      <c r="A2364" s="170">
        <v>45485</v>
      </c>
      <c r="B2364" s="116">
        <v>442.1</v>
      </c>
      <c r="C2364" s="116">
        <v>434.05</v>
      </c>
      <c r="D2364" s="116">
        <v>432.45</v>
      </c>
      <c r="E2364" s="116">
        <v>441.35</v>
      </c>
      <c r="F2364" s="116">
        <v>434.05</v>
      </c>
      <c r="G2364">
        <v>331584</v>
      </c>
      <c r="H2364" s="116"/>
      <c r="I2364" s="116"/>
      <c r="L2364" s="170">
        <v>45485</v>
      </c>
      <c r="M2364" s="116">
        <v>434.05</v>
      </c>
      <c r="N2364" s="116">
        <v>442.15</v>
      </c>
      <c r="O2364" s="116">
        <v>432.35</v>
      </c>
      <c r="P2364" s="116">
        <v>441.8</v>
      </c>
      <c r="Q2364" s="116">
        <v>434.05</v>
      </c>
      <c r="R2364">
        <v>6826289</v>
      </c>
    </row>
    <row r="2365" spans="1:18" x14ac:dyDescent="0.25">
      <c r="A2365" s="170">
        <v>45488</v>
      </c>
      <c r="B2365" s="116">
        <v>442.4</v>
      </c>
      <c r="C2365" s="116">
        <v>439.2</v>
      </c>
      <c r="D2365" s="116">
        <v>431</v>
      </c>
      <c r="E2365" s="116">
        <v>435.9</v>
      </c>
      <c r="F2365" s="116">
        <v>439.2</v>
      </c>
      <c r="G2365">
        <v>990560</v>
      </c>
      <c r="H2365" s="116"/>
      <c r="I2365" s="116"/>
      <c r="L2365" s="170">
        <v>45488</v>
      </c>
      <c r="M2365" s="116">
        <v>439.35</v>
      </c>
      <c r="N2365" s="116">
        <v>442.6</v>
      </c>
      <c r="O2365" s="116">
        <v>431</v>
      </c>
      <c r="P2365" s="116">
        <v>436.4</v>
      </c>
      <c r="Q2365" s="116">
        <v>439.35</v>
      </c>
      <c r="R2365">
        <v>6598992</v>
      </c>
    </row>
    <row r="2366" spans="1:18" x14ac:dyDescent="0.25">
      <c r="A2366" s="170">
        <v>45489</v>
      </c>
      <c r="B2366" s="116">
        <v>445.25</v>
      </c>
      <c r="C2366" s="116">
        <v>436.9</v>
      </c>
      <c r="D2366" s="116">
        <v>436.15</v>
      </c>
      <c r="E2366" s="116">
        <v>441</v>
      </c>
      <c r="F2366" s="116">
        <v>436.9</v>
      </c>
      <c r="G2366">
        <v>428217</v>
      </c>
      <c r="H2366" s="116"/>
      <c r="I2366" s="116"/>
      <c r="L2366" s="170">
        <v>45489</v>
      </c>
      <c r="M2366" s="116">
        <v>436.9</v>
      </c>
      <c r="N2366" s="116">
        <v>445.25</v>
      </c>
      <c r="O2366" s="116">
        <v>436.1</v>
      </c>
      <c r="P2366" s="116">
        <v>440.4</v>
      </c>
      <c r="Q2366" s="116">
        <v>436.9</v>
      </c>
      <c r="R2366">
        <v>10724685</v>
      </c>
    </row>
    <row r="2367" spans="1:18" x14ac:dyDescent="0.25">
      <c r="A2367" s="170">
        <v>45491</v>
      </c>
      <c r="B2367" s="116">
        <v>441</v>
      </c>
      <c r="C2367" s="116">
        <v>430</v>
      </c>
      <c r="D2367" s="116">
        <v>429.05</v>
      </c>
      <c r="E2367" s="116">
        <v>441</v>
      </c>
      <c r="F2367" s="116">
        <v>430</v>
      </c>
      <c r="G2367">
        <v>1230087</v>
      </c>
      <c r="H2367" s="116"/>
      <c r="I2367" s="116"/>
      <c r="L2367" s="170">
        <v>45491</v>
      </c>
      <c r="M2367" s="116">
        <v>429.95</v>
      </c>
      <c r="N2367" s="116">
        <v>441</v>
      </c>
      <c r="O2367" s="116">
        <v>429</v>
      </c>
      <c r="P2367" s="116">
        <v>440.9</v>
      </c>
      <c r="Q2367" s="116">
        <v>429.95</v>
      </c>
      <c r="R2367">
        <v>12053566</v>
      </c>
    </row>
    <row r="2368" spans="1:18" x14ac:dyDescent="0.25">
      <c r="A2368" s="170">
        <v>45492</v>
      </c>
      <c r="B2368" s="116">
        <v>430</v>
      </c>
      <c r="C2368" s="116">
        <v>414.15</v>
      </c>
      <c r="D2368" s="116">
        <v>412.8</v>
      </c>
      <c r="E2368" s="116">
        <v>430</v>
      </c>
      <c r="F2368" s="116">
        <v>414.15</v>
      </c>
      <c r="G2368">
        <v>2027366</v>
      </c>
      <c r="H2368" s="116"/>
      <c r="I2368" s="116"/>
      <c r="L2368" s="170">
        <v>45492</v>
      </c>
      <c r="M2368" s="116">
        <v>414.15</v>
      </c>
      <c r="N2368" s="116">
        <v>429.95</v>
      </c>
      <c r="O2368" s="116">
        <v>412.85</v>
      </c>
      <c r="P2368" s="116">
        <v>429.95</v>
      </c>
      <c r="Q2368" s="116">
        <v>414.15</v>
      </c>
      <c r="R2368">
        <v>16560718</v>
      </c>
    </row>
    <row r="2369" spans="1:18" x14ac:dyDescent="0.25">
      <c r="A2369" s="170">
        <v>45495</v>
      </c>
      <c r="B2369" s="116">
        <v>425.2</v>
      </c>
      <c r="C2369" s="116">
        <v>424.25</v>
      </c>
      <c r="D2369" s="116">
        <v>409.7</v>
      </c>
      <c r="E2369" s="116">
        <v>414.35</v>
      </c>
      <c r="F2369" s="116">
        <v>424.25</v>
      </c>
      <c r="G2369">
        <v>543281</v>
      </c>
      <c r="H2369" s="116"/>
      <c r="I2369" s="116"/>
      <c r="L2369" s="170">
        <v>45495</v>
      </c>
      <c r="M2369" s="116">
        <v>424.05</v>
      </c>
      <c r="N2369" s="116">
        <v>425</v>
      </c>
      <c r="O2369" s="116">
        <v>409.6</v>
      </c>
      <c r="P2369" s="116">
        <v>415</v>
      </c>
      <c r="Q2369" s="116">
        <v>424.05</v>
      </c>
      <c r="R2369">
        <v>9437893</v>
      </c>
    </row>
    <row r="2370" spans="1:18" x14ac:dyDescent="0.25">
      <c r="A2370" s="170">
        <v>45496</v>
      </c>
      <c r="B2370" s="116">
        <v>429.55</v>
      </c>
      <c r="C2370" s="116">
        <v>416.35</v>
      </c>
      <c r="D2370" s="116">
        <v>400</v>
      </c>
      <c r="E2370" s="116">
        <v>429.55</v>
      </c>
      <c r="F2370" s="116">
        <v>416.35</v>
      </c>
      <c r="G2370">
        <v>2246834</v>
      </c>
      <c r="H2370" s="116"/>
      <c r="I2370" s="116"/>
      <c r="L2370" s="170">
        <v>45496</v>
      </c>
      <c r="M2370" s="116">
        <v>416.45</v>
      </c>
      <c r="N2370" s="116">
        <v>428.65</v>
      </c>
      <c r="O2370" s="116">
        <v>400</v>
      </c>
      <c r="P2370" s="116">
        <v>428.65</v>
      </c>
      <c r="Q2370" s="116">
        <v>416.45</v>
      </c>
      <c r="R2370">
        <v>17985870</v>
      </c>
    </row>
    <row r="2371" spans="1:18" x14ac:dyDescent="0.25">
      <c r="A2371" s="170">
        <v>45497</v>
      </c>
      <c r="B2371" s="116">
        <v>424.95</v>
      </c>
      <c r="C2371" s="116">
        <v>419.75</v>
      </c>
      <c r="D2371" s="116">
        <v>415.55</v>
      </c>
      <c r="E2371" s="116">
        <v>416.9</v>
      </c>
      <c r="F2371" s="116">
        <v>419.75</v>
      </c>
      <c r="G2371">
        <v>799074</v>
      </c>
      <c r="H2371" s="116"/>
      <c r="I2371" s="116"/>
      <c r="L2371" s="170">
        <v>45497</v>
      </c>
      <c r="M2371" s="116">
        <v>419.95</v>
      </c>
      <c r="N2371" s="116">
        <v>425</v>
      </c>
      <c r="O2371" s="116">
        <v>415.25</v>
      </c>
      <c r="P2371" s="116">
        <v>416.45</v>
      </c>
      <c r="Q2371" s="116">
        <v>419.95</v>
      </c>
      <c r="R2371">
        <v>9455765</v>
      </c>
    </row>
    <row r="2372" spans="1:18" x14ac:dyDescent="0.25">
      <c r="A2372" s="170">
        <v>45498</v>
      </c>
      <c r="B2372" s="116">
        <v>425.55</v>
      </c>
      <c r="C2372" s="116">
        <v>422.4</v>
      </c>
      <c r="D2372" s="116">
        <v>413</v>
      </c>
      <c r="E2372" s="116">
        <v>415.4</v>
      </c>
      <c r="F2372" s="116">
        <v>422.4</v>
      </c>
      <c r="G2372">
        <v>559216</v>
      </c>
      <c r="H2372" s="116"/>
      <c r="I2372" s="116"/>
      <c r="L2372" s="170">
        <v>45498</v>
      </c>
      <c r="M2372" s="116">
        <v>423.35</v>
      </c>
      <c r="N2372" s="116">
        <v>425.75</v>
      </c>
      <c r="O2372" s="116">
        <v>412.65</v>
      </c>
      <c r="P2372" s="116">
        <v>416.35</v>
      </c>
      <c r="Q2372" s="116">
        <v>423.35</v>
      </c>
      <c r="R2372">
        <v>12474704</v>
      </c>
    </row>
    <row r="2373" spans="1:18" x14ac:dyDescent="0.25">
      <c r="A2373" s="170">
        <v>45499</v>
      </c>
      <c r="B2373" s="116">
        <v>446.2</v>
      </c>
      <c r="C2373" s="116">
        <v>444.65</v>
      </c>
      <c r="D2373" s="116">
        <v>430</v>
      </c>
      <c r="E2373" s="116">
        <v>431.25</v>
      </c>
      <c r="F2373" s="116">
        <v>444.65</v>
      </c>
      <c r="G2373">
        <v>1761492</v>
      </c>
      <c r="H2373" s="116"/>
      <c r="I2373" s="116"/>
      <c r="L2373" s="170">
        <v>45499</v>
      </c>
      <c r="M2373" s="116">
        <v>444.7</v>
      </c>
      <c r="N2373" s="116">
        <v>446.2</v>
      </c>
      <c r="O2373" s="116">
        <v>430.15</v>
      </c>
      <c r="P2373" s="116">
        <v>432</v>
      </c>
      <c r="Q2373" s="116">
        <v>444.7</v>
      </c>
      <c r="R2373">
        <v>33285673</v>
      </c>
    </row>
    <row r="2374" spans="1:18" x14ac:dyDescent="0.25">
      <c r="A2374" s="170">
        <v>45502</v>
      </c>
      <c r="B2374" s="116">
        <v>450.2</v>
      </c>
      <c r="C2374" s="116">
        <v>442.25</v>
      </c>
      <c r="D2374" s="116">
        <v>440.95</v>
      </c>
      <c r="E2374" s="116">
        <v>447.95</v>
      </c>
      <c r="F2374" s="116">
        <v>442.25</v>
      </c>
      <c r="G2374">
        <v>877225</v>
      </c>
      <c r="H2374" s="116"/>
      <c r="I2374" s="116"/>
      <c r="L2374" s="170">
        <v>45502</v>
      </c>
      <c r="M2374" s="116">
        <v>442.25</v>
      </c>
      <c r="N2374" s="116">
        <v>450</v>
      </c>
      <c r="O2374" s="116">
        <v>441</v>
      </c>
      <c r="P2374" s="116">
        <v>446.95</v>
      </c>
      <c r="Q2374" s="116">
        <v>442.25</v>
      </c>
      <c r="R2374">
        <v>13720073</v>
      </c>
    </row>
    <row r="2375" spans="1:18" x14ac:dyDescent="0.25">
      <c r="A2375" s="170">
        <v>45503</v>
      </c>
      <c r="B2375" s="116">
        <v>449</v>
      </c>
      <c r="C2375" s="116">
        <v>444.05</v>
      </c>
      <c r="D2375" s="116">
        <v>440.35</v>
      </c>
      <c r="E2375" s="116">
        <v>442</v>
      </c>
      <c r="F2375" s="116">
        <v>444.05</v>
      </c>
      <c r="G2375">
        <v>1562503</v>
      </c>
      <c r="H2375" s="116"/>
      <c r="I2375" s="116"/>
      <c r="L2375" s="170">
        <v>45503</v>
      </c>
      <c r="M2375" s="116">
        <v>444.1</v>
      </c>
      <c r="N2375" s="116">
        <v>449.2</v>
      </c>
      <c r="O2375" s="116">
        <v>440</v>
      </c>
      <c r="P2375" s="116">
        <v>442.25</v>
      </c>
      <c r="Q2375" s="116">
        <v>444.1</v>
      </c>
      <c r="R2375">
        <v>11262582</v>
      </c>
    </row>
    <row r="2376" spans="1:18" x14ac:dyDescent="0.25">
      <c r="A2376" s="170">
        <v>45504</v>
      </c>
      <c r="B2376" s="116">
        <v>454.95</v>
      </c>
      <c r="C2376" s="116">
        <v>453.65</v>
      </c>
      <c r="D2376" s="116">
        <v>445.5</v>
      </c>
      <c r="E2376" s="116">
        <v>445.75</v>
      </c>
      <c r="F2376" s="116">
        <v>453.65</v>
      </c>
      <c r="G2376">
        <v>1100455</v>
      </c>
      <c r="H2376" s="116"/>
      <c r="I2376" s="116"/>
      <c r="L2376" s="170">
        <v>45504</v>
      </c>
      <c r="M2376" s="116">
        <v>453.6</v>
      </c>
      <c r="N2376" s="116">
        <v>455</v>
      </c>
      <c r="O2376" s="116">
        <v>445</v>
      </c>
      <c r="P2376" s="116">
        <v>446.4</v>
      </c>
      <c r="Q2376" s="116">
        <v>453.6</v>
      </c>
      <c r="R2376">
        <v>21227714</v>
      </c>
    </row>
    <row r="2377" spans="1:18" x14ac:dyDescent="0.25">
      <c r="A2377" s="170">
        <v>45505</v>
      </c>
      <c r="B2377" s="116">
        <v>466</v>
      </c>
      <c r="C2377" s="116">
        <v>464.35</v>
      </c>
      <c r="D2377" s="116">
        <v>454</v>
      </c>
      <c r="E2377" s="116">
        <v>454.55</v>
      </c>
      <c r="F2377" s="116">
        <v>464.35</v>
      </c>
      <c r="G2377">
        <v>3469207</v>
      </c>
      <c r="H2377" s="116"/>
      <c r="I2377" s="116"/>
      <c r="L2377" s="170">
        <v>45505</v>
      </c>
      <c r="M2377" s="116">
        <v>464.4</v>
      </c>
      <c r="N2377" s="116">
        <v>465.85</v>
      </c>
      <c r="O2377" s="116">
        <v>454.05</v>
      </c>
      <c r="P2377" s="116">
        <v>454.95</v>
      </c>
      <c r="Q2377" s="116">
        <v>464.4</v>
      </c>
      <c r="R2377">
        <v>34019552</v>
      </c>
    </row>
    <row r="2378" spans="1:18" x14ac:dyDescent="0.25">
      <c r="A2378" s="170">
        <v>45506</v>
      </c>
      <c r="B2378" s="116">
        <v>470.85</v>
      </c>
      <c r="C2378" s="116">
        <v>460.3</v>
      </c>
      <c r="D2378" s="116">
        <v>452.55</v>
      </c>
      <c r="E2378" s="116">
        <v>460.8</v>
      </c>
      <c r="F2378" s="116">
        <v>460.3</v>
      </c>
      <c r="G2378">
        <v>1334883</v>
      </c>
      <c r="H2378" s="116"/>
      <c r="I2378" s="116"/>
      <c r="L2378" s="170">
        <v>45506</v>
      </c>
      <c r="M2378" s="116">
        <v>460.35</v>
      </c>
      <c r="N2378" s="116">
        <v>471</v>
      </c>
      <c r="O2378" s="116">
        <v>452.35</v>
      </c>
      <c r="P2378" s="116">
        <v>460.3</v>
      </c>
      <c r="Q2378" s="116">
        <v>460.35</v>
      </c>
      <c r="R2378">
        <v>27534299</v>
      </c>
    </row>
    <row r="2379" spans="1:18" x14ac:dyDescent="0.25">
      <c r="A2379" s="170">
        <v>45509</v>
      </c>
      <c r="B2379" s="116">
        <v>452.6</v>
      </c>
      <c r="C2379" s="116">
        <v>434.7</v>
      </c>
      <c r="D2379" s="116">
        <v>430.3</v>
      </c>
      <c r="E2379" s="116">
        <v>445</v>
      </c>
      <c r="F2379" s="116">
        <v>434.7</v>
      </c>
      <c r="G2379">
        <v>1724319</v>
      </c>
      <c r="H2379" s="116"/>
      <c r="I2379" s="116"/>
      <c r="L2379" s="170">
        <v>45509</v>
      </c>
      <c r="M2379" s="116">
        <v>434.8</v>
      </c>
      <c r="N2379" s="116">
        <v>452.9</v>
      </c>
      <c r="O2379" s="116">
        <v>430.1</v>
      </c>
      <c r="P2379" s="116">
        <v>446</v>
      </c>
      <c r="Q2379" s="116">
        <v>434.8</v>
      </c>
      <c r="R2379">
        <v>28371364</v>
      </c>
    </row>
    <row r="2380" spans="1:18" x14ac:dyDescent="0.25">
      <c r="A2380" s="170">
        <v>45510</v>
      </c>
      <c r="B2380" s="116">
        <v>449.1</v>
      </c>
      <c r="C2380" s="116">
        <v>436.8</v>
      </c>
      <c r="D2380" s="116">
        <v>433.5</v>
      </c>
      <c r="E2380" s="116">
        <v>436.15</v>
      </c>
      <c r="F2380" s="116">
        <v>436.8</v>
      </c>
      <c r="G2380">
        <v>892517</v>
      </c>
      <c r="H2380" s="116"/>
      <c r="I2380" s="116"/>
      <c r="L2380" s="170">
        <v>45510</v>
      </c>
      <c r="M2380" s="116">
        <v>436.7</v>
      </c>
      <c r="N2380" s="116">
        <v>449.4</v>
      </c>
      <c r="O2380" s="116">
        <v>433.5</v>
      </c>
      <c r="P2380" s="116">
        <v>438</v>
      </c>
      <c r="Q2380" s="116">
        <v>436.7</v>
      </c>
      <c r="R2380">
        <v>19245378</v>
      </c>
    </row>
    <row r="2381" spans="1:18" x14ac:dyDescent="0.25">
      <c r="A2381" s="170">
        <v>45511</v>
      </c>
      <c r="B2381" s="116">
        <v>445</v>
      </c>
      <c r="C2381" s="116">
        <v>430.25</v>
      </c>
      <c r="D2381" s="116">
        <v>426.15</v>
      </c>
      <c r="E2381" s="116">
        <v>444</v>
      </c>
      <c r="F2381" s="116">
        <v>430.25</v>
      </c>
      <c r="G2381">
        <v>2418443</v>
      </c>
      <c r="H2381" s="116"/>
      <c r="I2381" s="116"/>
      <c r="L2381" s="170">
        <v>45511</v>
      </c>
      <c r="M2381" s="116">
        <v>430.3</v>
      </c>
      <c r="N2381" s="116">
        <v>445.3</v>
      </c>
      <c r="O2381" s="116">
        <v>426.1</v>
      </c>
      <c r="P2381" s="116">
        <v>444</v>
      </c>
      <c r="Q2381" s="116">
        <v>430.3</v>
      </c>
      <c r="R2381">
        <v>29078704</v>
      </c>
    </row>
    <row r="2382" spans="1:18" x14ac:dyDescent="0.25">
      <c r="A2382" s="170">
        <v>45512</v>
      </c>
      <c r="B2382" s="116">
        <v>432.9</v>
      </c>
      <c r="C2382" s="116">
        <v>418</v>
      </c>
      <c r="D2382" s="116">
        <v>417.1</v>
      </c>
      <c r="E2382" s="116">
        <v>432.9</v>
      </c>
      <c r="F2382" s="116">
        <v>418</v>
      </c>
      <c r="G2382">
        <v>1092110</v>
      </c>
      <c r="H2382" s="116"/>
      <c r="I2382" s="116"/>
      <c r="L2382" s="170">
        <v>45512</v>
      </c>
      <c r="M2382" s="116">
        <v>417.95</v>
      </c>
      <c r="N2382" s="116">
        <v>432.5</v>
      </c>
      <c r="O2382" s="116">
        <v>417</v>
      </c>
      <c r="P2382" s="116">
        <v>432.5</v>
      </c>
      <c r="Q2382" s="116">
        <v>417.95</v>
      </c>
      <c r="R2382">
        <v>25148625</v>
      </c>
    </row>
    <row r="2383" spans="1:18" x14ac:dyDescent="0.25">
      <c r="A2383" s="170">
        <v>45513</v>
      </c>
      <c r="B2383" s="116">
        <v>425.3</v>
      </c>
      <c r="C2383" s="116">
        <v>417.8</v>
      </c>
      <c r="D2383" s="116">
        <v>416.3</v>
      </c>
      <c r="E2383" s="116">
        <v>425.3</v>
      </c>
      <c r="F2383" s="116">
        <v>417.8</v>
      </c>
      <c r="G2383">
        <v>1165015</v>
      </c>
      <c r="H2383" s="116"/>
      <c r="I2383" s="116"/>
      <c r="L2383" s="170">
        <v>45513</v>
      </c>
      <c r="M2383" s="116">
        <v>417.75</v>
      </c>
      <c r="N2383" s="116">
        <v>425</v>
      </c>
      <c r="O2383" s="116">
        <v>416.05</v>
      </c>
      <c r="P2383" s="116">
        <v>424.9</v>
      </c>
      <c r="Q2383" s="116">
        <v>417.75</v>
      </c>
      <c r="R2383">
        <v>13056991</v>
      </c>
    </row>
    <row r="2384" spans="1:18" x14ac:dyDescent="0.25">
      <c r="A2384" s="170">
        <v>45516</v>
      </c>
      <c r="B2384" s="116">
        <v>422.8</v>
      </c>
      <c r="C2384" s="116">
        <v>418.15</v>
      </c>
      <c r="D2384" s="116">
        <v>411.15</v>
      </c>
      <c r="E2384" s="116">
        <v>416.8</v>
      </c>
      <c r="F2384" s="116">
        <v>418.15</v>
      </c>
      <c r="G2384">
        <v>1237049</v>
      </c>
      <c r="H2384" s="116"/>
      <c r="I2384" s="116"/>
      <c r="L2384" s="170">
        <v>45516</v>
      </c>
      <c r="M2384" s="116">
        <v>418.15</v>
      </c>
      <c r="N2384" s="116">
        <v>422.9</v>
      </c>
      <c r="O2384" s="116">
        <v>411.05</v>
      </c>
      <c r="P2384" s="116">
        <v>417.1</v>
      </c>
      <c r="Q2384" s="116">
        <v>418.15</v>
      </c>
      <c r="R2384">
        <v>14448957</v>
      </c>
    </row>
    <row r="2385" spans="1:18" x14ac:dyDescent="0.25">
      <c r="A2385" s="170">
        <v>45517</v>
      </c>
      <c r="B2385" s="116">
        <v>420.5</v>
      </c>
      <c r="C2385" s="116">
        <v>408.3</v>
      </c>
      <c r="D2385" s="116">
        <v>406.5</v>
      </c>
      <c r="E2385" s="116">
        <v>420.5</v>
      </c>
      <c r="F2385" s="116">
        <v>408.3</v>
      </c>
      <c r="G2385">
        <v>1383706</v>
      </c>
      <c r="H2385" s="116"/>
      <c r="I2385" s="116"/>
      <c r="L2385" s="170">
        <v>45517</v>
      </c>
      <c r="M2385" s="116">
        <v>408.25</v>
      </c>
      <c r="N2385" s="116">
        <v>420</v>
      </c>
      <c r="O2385" s="116">
        <v>406.4</v>
      </c>
      <c r="P2385" s="116">
        <v>420</v>
      </c>
      <c r="Q2385" s="116">
        <v>408.25</v>
      </c>
      <c r="R2385">
        <v>13650935</v>
      </c>
    </row>
    <row r="2386" spans="1:18" x14ac:dyDescent="0.25">
      <c r="A2386" s="170">
        <v>45518</v>
      </c>
      <c r="B2386" s="116">
        <v>412.9</v>
      </c>
      <c r="C2386" s="116">
        <v>405.55</v>
      </c>
      <c r="D2386" s="116">
        <v>403.1</v>
      </c>
      <c r="E2386" s="116">
        <v>410</v>
      </c>
      <c r="F2386" s="116">
        <v>405.55</v>
      </c>
      <c r="G2386">
        <v>1354632</v>
      </c>
      <c r="H2386" s="116"/>
      <c r="I2386" s="116"/>
      <c r="L2386" s="170">
        <v>45518</v>
      </c>
      <c r="M2386" s="116">
        <v>405.45</v>
      </c>
      <c r="N2386" s="116">
        <v>412.9</v>
      </c>
      <c r="O2386" s="116">
        <v>403.1</v>
      </c>
      <c r="P2386" s="116">
        <v>410</v>
      </c>
      <c r="Q2386" s="116">
        <v>405.45</v>
      </c>
      <c r="R2386">
        <v>11672941</v>
      </c>
    </row>
    <row r="2387" spans="1:18" x14ac:dyDescent="0.25">
      <c r="A2387" s="170">
        <v>45520</v>
      </c>
      <c r="B2387" s="116">
        <v>414.25</v>
      </c>
      <c r="C2387" s="116">
        <v>413.5</v>
      </c>
      <c r="D2387" s="116">
        <v>406.75</v>
      </c>
      <c r="E2387" s="116">
        <v>408.4</v>
      </c>
      <c r="F2387" s="116">
        <v>413.5</v>
      </c>
      <c r="G2387">
        <v>980341</v>
      </c>
      <c r="H2387" s="116"/>
      <c r="I2387" s="116"/>
      <c r="L2387" s="170">
        <v>45520</v>
      </c>
      <c r="M2387" s="116">
        <v>413.65</v>
      </c>
      <c r="N2387" s="116">
        <v>414.35</v>
      </c>
      <c r="O2387" s="116">
        <v>406.75</v>
      </c>
      <c r="P2387" s="116">
        <v>408.9</v>
      </c>
      <c r="Q2387" s="116">
        <v>413.65</v>
      </c>
      <c r="R2387">
        <v>8273268</v>
      </c>
    </row>
    <row r="2388" spans="1:18" x14ac:dyDescent="0.25">
      <c r="A2388" s="170">
        <v>45523</v>
      </c>
      <c r="B2388" s="116">
        <v>421</v>
      </c>
      <c r="C2388" s="116">
        <v>418.8</v>
      </c>
      <c r="D2388" s="116">
        <v>415.15</v>
      </c>
      <c r="E2388" s="116">
        <v>417</v>
      </c>
      <c r="F2388" s="116">
        <v>418.8</v>
      </c>
      <c r="G2388">
        <v>411175</v>
      </c>
      <c r="H2388" s="116"/>
      <c r="I2388" s="116"/>
      <c r="L2388" s="170">
        <v>45523</v>
      </c>
      <c r="M2388" s="116">
        <v>418.8</v>
      </c>
      <c r="N2388" s="116">
        <v>420.9</v>
      </c>
      <c r="O2388" s="116">
        <v>415.05</v>
      </c>
      <c r="P2388" s="116">
        <v>416.7</v>
      </c>
      <c r="Q2388" s="116">
        <v>418.8</v>
      </c>
      <c r="R2388">
        <v>8187151</v>
      </c>
    </row>
    <row r="2389" spans="1:18" x14ac:dyDescent="0.25">
      <c r="A2389" s="170">
        <v>45524</v>
      </c>
      <c r="B2389" s="116">
        <v>423.9</v>
      </c>
      <c r="C2389" s="116">
        <v>422.2</v>
      </c>
      <c r="D2389" s="116">
        <v>416.7</v>
      </c>
      <c r="E2389" s="116">
        <v>418</v>
      </c>
      <c r="F2389" s="116">
        <v>422.2</v>
      </c>
      <c r="G2389">
        <v>370175</v>
      </c>
      <c r="H2389" s="116"/>
      <c r="I2389" s="116"/>
      <c r="L2389" s="170">
        <v>45524</v>
      </c>
      <c r="M2389" s="116">
        <v>422.3</v>
      </c>
      <c r="N2389" s="116">
        <v>423.9</v>
      </c>
      <c r="O2389" s="116">
        <v>416.7</v>
      </c>
      <c r="P2389" s="116">
        <v>418.15</v>
      </c>
      <c r="Q2389" s="116">
        <v>422.3</v>
      </c>
      <c r="R2389">
        <v>7951880</v>
      </c>
    </row>
    <row r="2390" spans="1:18" x14ac:dyDescent="0.25">
      <c r="A2390" s="170">
        <v>45525</v>
      </c>
      <c r="B2390" s="116">
        <v>427</v>
      </c>
      <c r="C2390" s="116">
        <v>424.3</v>
      </c>
      <c r="D2390" s="116">
        <v>421.75</v>
      </c>
      <c r="E2390" s="116">
        <v>427</v>
      </c>
      <c r="F2390" s="116">
        <v>424.3</v>
      </c>
      <c r="G2390">
        <v>441380</v>
      </c>
      <c r="H2390" s="116"/>
      <c r="I2390" s="116"/>
      <c r="L2390" s="170">
        <v>45525</v>
      </c>
      <c r="M2390" s="116">
        <v>424.5</v>
      </c>
      <c r="N2390" s="116">
        <v>427.3</v>
      </c>
      <c r="O2390" s="116">
        <v>421.65</v>
      </c>
      <c r="P2390" s="116">
        <v>427.3</v>
      </c>
      <c r="Q2390" s="116">
        <v>424.5</v>
      </c>
      <c r="R2390">
        <v>10587000</v>
      </c>
    </row>
    <row r="2391" spans="1:18" x14ac:dyDescent="0.25">
      <c r="A2391" s="170">
        <v>45526</v>
      </c>
      <c r="B2391" s="116">
        <v>426.05</v>
      </c>
      <c r="C2391" s="116">
        <v>422.85</v>
      </c>
      <c r="D2391" s="116">
        <v>421.9</v>
      </c>
      <c r="E2391" s="116">
        <v>426</v>
      </c>
      <c r="F2391" s="116">
        <v>422.85</v>
      </c>
      <c r="G2391">
        <v>199822</v>
      </c>
      <c r="H2391" s="116"/>
      <c r="I2391" s="116"/>
      <c r="L2391" s="170">
        <v>45526</v>
      </c>
      <c r="M2391" s="116">
        <v>422.95</v>
      </c>
      <c r="N2391" s="116">
        <v>425.8</v>
      </c>
      <c r="O2391" s="116">
        <v>421.55</v>
      </c>
      <c r="P2391" s="116">
        <v>425.8</v>
      </c>
      <c r="Q2391" s="116">
        <v>422.95</v>
      </c>
      <c r="R2391">
        <v>4519043</v>
      </c>
    </row>
    <row r="2392" spans="1:18" x14ac:dyDescent="0.25">
      <c r="A2392" s="170">
        <v>45527</v>
      </c>
      <c r="B2392" s="116">
        <v>423</v>
      </c>
      <c r="C2392" s="116">
        <v>418</v>
      </c>
      <c r="D2392" s="116">
        <v>417.4</v>
      </c>
      <c r="E2392" s="116">
        <v>423</v>
      </c>
      <c r="F2392" s="116">
        <v>418</v>
      </c>
      <c r="G2392">
        <v>228889</v>
      </c>
      <c r="H2392" s="116"/>
      <c r="I2392" s="116"/>
      <c r="L2392" s="170">
        <v>45527</v>
      </c>
      <c r="M2392" s="116">
        <v>417.95</v>
      </c>
      <c r="N2392" s="116">
        <v>423.15</v>
      </c>
      <c r="O2392" s="116">
        <v>417.2</v>
      </c>
      <c r="P2392" s="116">
        <v>422.6</v>
      </c>
      <c r="Q2392" s="116">
        <v>417.95</v>
      </c>
      <c r="R2392">
        <v>5647724</v>
      </c>
    </row>
    <row r="2393" spans="1:18" x14ac:dyDescent="0.25">
      <c r="A2393" s="170">
        <v>45530</v>
      </c>
      <c r="B2393" s="116">
        <v>423.45</v>
      </c>
      <c r="C2393" s="116">
        <v>422.45</v>
      </c>
      <c r="D2393" s="116">
        <v>417</v>
      </c>
      <c r="E2393" s="116">
        <v>420.1</v>
      </c>
      <c r="F2393" s="116">
        <v>422.45</v>
      </c>
      <c r="G2393">
        <v>760826</v>
      </c>
      <c r="H2393" s="116"/>
      <c r="I2393" s="116"/>
      <c r="L2393" s="170">
        <v>45530</v>
      </c>
      <c r="M2393" s="116">
        <v>422.5</v>
      </c>
      <c r="N2393" s="116">
        <v>423.5</v>
      </c>
      <c r="O2393" s="116">
        <v>417</v>
      </c>
      <c r="P2393" s="116">
        <v>420</v>
      </c>
      <c r="Q2393" s="116">
        <v>422.5</v>
      </c>
      <c r="R2393">
        <v>6794262</v>
      </c>
    </row>
    <row r="2394" spans="1:18" x14ac:dyDescent="0.25">
      <c r="A2394" s="170">
        <v>45531</v>
      </c>
      <c r="B2394" s="116">
        <v>429.6</v>
      </c>
      <c r="C2394" s="116">
        <v>428</v>
      </c>
      <c r="D2394" s="116">
        <v>421.1</v>
      </c>
      <c r="E2394" s="116">
        <v>422.45</v>
      </c>
      <c r="F2394" s="116">
        <v>428</v>
      </c>
      <c r="G2394">
        <v>1179449</v>
      </c>
      <c r="H2394" s="116"/>
      <c r="I2394" s="116"/>
      <c r="L2394" s="170">
        <v>45531</v>
      </c>
      <c r="M2394" s="116">
        <v>428.15</v>
      </c>
      <c r="N2394" s="116">
        <v>429.45</v>
      </c>
      <c r="O2394" s="116">
        <v>421</v>
      </c>
      <c r="P2394" s="116">
        <v>422.5</v>
      </c>
      <c r="Q2394" s="116">
        <v>428.15</v>
      </c>
      <c r="R2394">
        <v>11895337</v>
      </c>
    </row>
    <row r="2395" spans="1:18" x14ac:dyDescent="0.25">
      <c r="A2395" s="170">
        <v>45532</v>
      </c>
      <c r="B2395" s="116">
        <v>434.1</v>
      </c>
      <c r="C2395" s="116">
        <v>431.25</v>
      </c>
      <c r="D2395" s="116">
        <v>428.6</v>
      </c>
      <c r="E2395" s="116">
        <v>430</v>
      </c>
      <c r="F2395" s="116">
        <v>431.25</v>
      </c>
      <c r="G2395">
        <v>1491463</v>
      </c>
      <c r="H2395" s="116"/>
      <c r="I2395" s="116"/>
      <c r="L2395" s="170">
        <v>45532</v>
      </c>
      <c r="M2395" s="116">
        <v>431.4</v>
      </c>
      <c r="N2395" s="116">
        <v>434.2</v>
      </c>
      <c r="O2395" s="116">
        <v>428.6</v>
      </c>
      <c r="P2395" s="116">
        <v>430</v>
      </c>
      <c r="Q2395" s="116">
        <v>431.4</v>
      </c>
      <c r="R2395">
        <v>18213329</v>
      </c>
    </row>
    <row r="2396" spans="1:18" x14ac:dyDescent="0.25">
      <c r="A2396" s="170">
        <v>45533</v>
      </c>
      <c r="B2396" s="116">
        <v>433</v>
      </c>
      <c r="C2396" s="116">
        <v>430.95</v>
      </c>
      <c r="D2396" s="116">
        <v>424.75</v>
      </c>
      <c r="E2396" s="116">
        <v>430.4</v>
      </c>
      <c r="F2396" s="116">
        <v>430.95</v>
      </c>
      <c r="G2396">
        <v>467713</v>
      </c>
      <c r="H2396" s="116"/>
      <c r="I2396" s="116"/>
      <c r="L2396" s="170">
        <v>45533</v>
      </c>
      <c r="M2396" s="116">
        <v>430.9</v>
      </c>
      <c r="N2396" s="116">
        <v>433.1</v>
      </c>
      <c r="O2396" s="116">
        <v>424.7</v>
      </c>
      <c r="P2396" s="116">
        <v>431.4</v>
      </c>
      <c r="Q2396" s="116">
        <v>430.9</v>
      </c>
      <c r="R2396">
        <v>9942257</v>
      </c>
    </row>
    <row r="2397" spans="1:18" x14ac:dyDescent="0.25">
      <c r="A2397" s="170">
        <v>45534</v>
      </c>
      <c r="B2397" s="116">
        <v>436</v>
      </c>
      <c r="C2397" s="116">
        <v>434.55</v>
      </c>
      <c r="D2397" s="116">
        <v>431.55</v>
      </c>
      <c r="E2397" s="116">
        <v>432</v>
      </c>
      <c r="F2397" s="116">
        <v>434.55</v>
      </c>
      <c r="G2397">
        <v>1022313</v>
      </c>
      <c r="H2397" s="116"/>
      <c r="I2397" s="116"/>
      <c r="L2397" s="170">
        <v>45534</v>
      </c>
      <c r="M2397" s="116">
        <v>434.65</v>
      </c>
      <c r="N2397" s="116">
        <v>437.4</v>
      </c>
      <c r="O2397" s="116">
        <v>431.35</v>
      </c>
      <c r="P2397" s="116">
        <v>432.4</v>
      </c>
      <c r="Q2397" s="116">
        <v>434.65</v>
      </c>
      <c r="R2397">
        <v>12866589</v>
      </c>
    </row>
    <row r="2398" spans="1:18" x14ac:dyDescent="0.25">
      <c r="A2398" s="170">
        <v>45537</v>
      </c>
      <c r="B2398" s="116">
        <v>436.6</v>
      </c>
      <c r="C2398" s="116">
        <v>433.05</v>
      </c>
      <c r="D2398" s="116">
        <v>429.5</v>
      </c>
      <c r="E2398" s="116">
        <v>435.35</v>
      </c>
      <c r="F2398" s="116">
        <v>433.05</v>
      </c>
      <c r="G2398">
        <v>499614</v>
      </c>
      <c r="H2398" s="116"/>
      <c r="I2398" s="116"/>
      <c r="L2398" s="170">
        <v>45537</v>
      </c>
      <c r="M2398" s="116">
        <v>433.2</v>
      </c>
      <c r="N2398" s="116">
        <v>436.75</v>
      </c>
      <c r="O2398" s="116">
        <v>429.5</v>
      </c>
      <c r="P2398" s="116">
        <v>435.85</v>
      </c>
      <c r="Q2398" s="116">
        <v>433.2</v>
      </c>
      <c r="R2398">
        <v>9400824</v>
      </c>
    </row>
    <row r="2399" spans="1:18" x14ac:dyDescent="0.25">
      <c r="A2399" s="170">
        <v>45538</v>
      </c>
      <c r="B2399" s="116">
        <v>434.75</v>
      </c>
      <c r="C2399" s="116">
        <v>433.8</v>
      </c>
      <c r="D2399" s="116">
        <v>431.35</v>
      </c>
      <c r="E2399" s="116">
        <v>434.75</v>
      </c>
      <c r="F2399" s="116">
        <v>433.8</v>
      </c>
      <c r="G2399">
        <v>382517</v>
      </c>
      <c r="H2399" s="116"/>
      <c r="I2399" s="116"/>
      <c r="L2399" s="170">
        <v>45538</v>
      </c>
      <c r="M2399" s="116">
        <v>433.95</v>
      </c>
      <c r="N2399" s="116">
        <v>434.65</v>
      </c>
      <c r="O2399" s="116">
        <v>431.3</v>
      </c>
      <c r="P2399" s="116">
        <v>433.5</v>
      </c>
      <c r="Q2399" s="116">
        <v>433.95</v>
      </c>
      <c r="R2399">
        <v>9712479</v>
      </c>
    </row>
    <row r="2400" spans="1:18" x14ac:dyDescent="0.25">
      <c r="A2400" s="170">
        <v>45539</v>
      </c>
      <c r="B2400" s="116">
        <v>429.6</v>
      </c>
      <c r="C2400" s="116">
        <v>420.65</v>
      </c>
      <c r="D2400" s="116">
        <v>419.95</v>
      </c>
      <c r="E2400" s="116">
        <v>429.25</v>
      </c>
      <c r="F2400" s="116">
        <v>420.65</v>
      </c>
      <c r="G2400">
        <v>489363</v>
      </c>
      <c r="H2400" s="116"/>
      <c r="I2400" s="116"/>
      <c r="L2400" s="170">
        <v>45539</v>
      </c>
      <c r="M2400" s="116">
        <v>420.9</v>
      </c>
      <c r="N2400" s="116">
        <v>429.7</v>
      </c>
      <c r="O2400" s="116">
        <v>419.65</v>
      </c>
      <c r="P2400" s="116">
        <v>429.7</v>
      </c>
      <c r="Q2400" s="116">
        <v>420.9</v>
      </c>
      <c r="R2400">
        <v>14761838</v>
      </c>
    </row>
    <row r="2401" spans="1:18" x14ac:dyDescent="0.25">
      <c r="A2401" s="170">
        <v>45540</v>
      </c>
      <c r="B2401" s="116">
        <v>424</v>
      </c>
      <c r="C2401" s="116">
        <v>420.45</v>
      </c>
      <c r="D2401" s="116">
        <v>419.3</v>
      </c>
      <c r="E2401" s="116">
        <v>421.95</v>
      </c>
      <c r="F2401" s="116">
        <v>420.45</v>
      </c>
      <c r="G2401">
        <v>789203</v>
      </c>
      <c r="H2401" s="116"/>
      <c r="I2401" s="116"/>
      <c r="L2401" s="170">
        <v>45540</v>
      </c>
      <c r="M2401" s="116">
        <v>420.9</v>
      </c>
      <c r="N2401" s="116">
        <v>424</v>
      </c>
      <c r="O2401" s="116">
        <v>419.15</v>
      </c>
      <c r="P2401" s="116">
        <v>421.1</v>
      </c>
      <c r="Q2401" s="116">
        <v>420.9</v>
      </c>
      <c r="R2401">
        <v>8167304</v>
      </c>
    </row>
    <row r="2402" spans="1:18" x14ac:dyDescent="0.25">
      <c r="A2402" s="170">
        <v>45541</v>
      </c>
      <c r="B2402" s="116">
        <v>421.25</v>
      </c>
      <c r="C2402" s="116">
        <v>416.95</v>
      </c>
      <c r="D2402" s="116">
        <v>414.65</v>
      </c>
      <c r="E2402" s="116">
        <v>420.55</v>
      </c>
      <c r="F2402" s="116">
        <v>416.95</v>
      </c>
      <c r="G2402">
        <v>982390</v>
      </c>
      <c r="H2402" s="116"/>
      <c r="I2402" s="116"/>
      <c r="L2402" s="170">
        <v>45541</v>
      </c>
      <c r="M2402" s="116">
        <v>417</v>
      </c>
      <c r="N2402" s="116">
        <v>421.3</v>
      </c>
      <c r="O2402" s="116">
        <v>414.35</v>
      </c>
      <c r="P2402" s="116">
        <v>420</v>
      </c>
      <c r="Q2402" s="116">
        <v>417</v>
      </c>
      <c r="R2402">
        <v>10236248</v>
      </c>
    </row>
    <row r="2403" spans="1:18" x14ac:dyDescent="0.25">
      <c r="A2403" s="170">
        <v>45544</v>
      </c>
      <c r="B2403" s="116">
        <v>418.95</v>
      </c>
      <c r="C2403" s="116">
        <v>417.85</v>
      </c>
      <c r="D2403" s="116">
        <v>411.15</v>
      </c>
      <c r="E2403" s="116">
        <v>416.95</v>
      </c>
      <c r="F2403" s="116">
        <v>417.85</v>
      </c>
      <c r="G2403">
        <v>339508</v>
      </c>
      <c r="H2403" s="116"/>
      <c r="I2403" s="116"/>
      <c r="L2403" s="170">
        <v>45544</v>
      </c>
      <c r="M2403" s="116">
        <v>417.85</v>
      </c>
      <c r="N2403" s="116">
        <v>419.15</v>
      </c>
      <c r="O2403" s="116">
        <v>411.3</v>
      </c>
      <c r="P2403" s="116">
        <v>417</v>
      </c>
      <c r="Q2403" s="116">
        <v>417.85</v>
      </c>
      <c r="R2403">
        <v>6590372</v>
      </c>
    </row>
    <row r="2404" spans="1:18" x14ac:dyDescent="0.25">
      <c r="A2404" s="170">
        <v>45545</v>
      </c>
      <c r="B2404" s="116">
        <v>446.95</v>
      </c>
      <c r="C2404" s="116">
        <v>445.2</v>
      </c>
      <c r="D2404" s="116">
        <v>420</v>
      </c>
      <c r="E2404" s="116">
        <v>422</v>
      </c>
      <c r="F2404" s="116">
        <v>445.2</v>
      </c>
      <c r="G2404">
        <v>4100419</v>
      </c>
      <c r="H2404" s="116"/>
      <c r="I2404" s="116"/>
      <c r="L2404" s="170">
        <v>45545</v>
      </c>
      <c r="M2404" s="116">
        <v>445.35</v>
      </c>
      <c r="N2404" s="116">
        <v>447.15</v>
      </c>
      <c r="O2404" s="116">
        <v>420.5</v>
      </c>
      <c r="P2404" s="116">
        <v>422.4</v>
      </c>
      <c r="Q2404" s="116">
        <v>445.35</v>
      </c>
      <c r="R2404">
        <v>39706164</v>
      </c>
    </row>
    <row r="2405" spans="1:18" x14ac:dyDescent="0.25">
      <c r="A2405" s="170">
        <v>45546</v>
      </c>
      <c r="B2405" s="116">
        <v>448.9</v>
      </c>
      <c r="C2405" s="116">
        <v>435.8</v>
      </c>
      <c r="D2405" s="116">
        <v>433</v>
      </c>
      <c r="E2405" s="116">
        <v>446</v>
      </c>
      <c r="F2405" s="116">
        <v>435.8</v>
      </c>
      <c r="G2405">
        <v>1079319</v>
      </c>
      <c r="H2405" s="116"/>
      <c r="I2405" s="116"/>
      <c r="L2405" s="170">
        <v>45546</v>
      </c>
      <c r="M2405" s="116">
        <v>435.65</v>
      </c>
      <c r="N2405" s="116">
        <v>449</v>
      </c>
      <c r="O2405" s="116">
        <v>432.8</v>
      </c>
      <c r="P2405" s="116">
        <v>445.9</v>
      </c>
      <c r="Q2405" s="116">
        <v>435.65</v>
      </c>
      <c r="R2405">
        <v>20189436</v>
      </c>
    </row>
    <row r="2406" spans="1:18" x14ac:dyDescent="0.25">
      <c r="A2406" s="170">
        <v>45547</v>
      </c>
      <c r="B2406" s="116">
        <v>443</v>
      </c>
      <c r="C2406" s="116">
        <v>439.8</v>
      </c>
      <c r="D2406" s="116">
        <v>436</v>
      </c>
      <c r="E2406" s="116">
        <v>438.05</v>
      </c>
      <c r="F2406" s="116">
        <v>439.8</v>
      </c>
      <c r="G2406">
        <v>992409</v>
      </c>
      <c r="H2406" s="116"/>
      <c r="I2406" s="116"/>
      <c r="L2406" s="170">
        <v>45547</v>
      </c>
      <c r="M2406" s="116">
        <v>439.9</v>
      </c>
      <c r="N2406" s="116">
        <v>443.4</v>
      </c>
      <c r="O2406" s="116">
        <v>436.1</v>
      </c>
      <c r="P2406" s="116">
        <v>438.55</v>
      </c>
      <c r="Q2406" s="116">
        <v>439.9</v>
      </c>
      <c r="R2406">
        <v>8729441</v>
      </c>
    </row>
    <row r="2407" spans="1:18" x14ac:dyDescent="0.25">
      <c r="A2407" s="170">
        <v>45548</v>
      </c>
      <c r="B2407" s="116">
        <v>449.5</v>
      </c>
      <c r="C2407" s="116">
        <v>441.85</v>
      </c>
      <c r="D2407" s="116">
        <v>441</v>
      </c>
      <c r="E2407" s="116">
        <v>446.55</v>
      </c>
      <c r="F2407" s="116">
        <v>441.85</v>
      </c>
      <c r="G2407">
        <v>1133810</v>
      </c>
      <c r="H2407" s="116"/>
      <c r="I2407" s="116"/>
      <c r="L2407" s="170">
        <v>45548</v>
      </c>
      <c r="M2407" s="116">
        <v>441.8</v>
      </c>
      <c r="N2407" s="116">
        <v>449.6</v>
      </c>
      <c r="O2407" s="116">
        <v>441.05</v>
      </c>
      <c r="P2407" s="116">
        <v>446</v>
      </c>
      <c r="Q2407" s="116">
        <v>441.8</v>
      </c>
      <c r="R2407">
        <v>13341086</v>
      </c>
    </row>
    <row r="2408" spans="1:18" x14ac:dyDescent="0.25">
      <c r="A2408" s="170">
        <v>45551</v>
      </c>
      <c r="B2408" s="116">
        <v>451.6</v>
      </c>
      <c r="C2408" s="116">
        <v>443.3</v>
      </c>
      <c r="D2408" s="116">
        <v>440.25</v>
      </c>
      <c r="E2408" s="116">
        <v>443.2</v>
      </c>
      <c r="F2408" s="116">
        <v>443.3</v>
      </c>
      <c r="G2408">
        <v>1090463</v>
      </c>
      <c r="H2408" s="116"/>
      <c r="I2408" s="116"/>
      <c r="L2408" s="170">
        <v>45551</v>
      </c>
      <c r="M2408" s="116">
        <v>443.35</v>
      </c>
      <c r="N2408" s="116">
        <v>451.9</v>
      </c>
      <c r="O2408" s="116">
        <v>440.5</v>
      </c>
      <c r="P2408" s="116">
        <v>443.5</v>
      </c>
      <c r="Q2408" s="116">
        <v>443.35</v>
      </c>
      <c r="R2408">
        <v>8850620</v>
      </c>
    </row>
    <row r="2409" spans="1:18" x14ac:dyDescent="0.25">
      <c r="A2409" s="170">
        <v>45552</v>
      </c>
      <c r="B2409" s="116">
        <v>450.85</v>
      </c>
      <c r="C2409" s="116">
        <v>445.05</v>
      </c>
      <c r="D2409" s="116">
        <v>439.65</v>
      </c>
      <c r="E2409" s="116">
        <v>443.8</v>
      </c>
      <c r="F2409" s="116">
        <v>445.05</v>
      </c>
      <c r="G2409">
        <v>599812</v>
      </c>
      <c r="H2409" s="116"/>
      <c r="I2409" s="116"/>
      <c r="L2409" s="170">
        <v>45552</v>
      </c>
      <c r="M2409" s="116">
        <v>445.1</v>
      </c>
      <c r="N2409" s="116">
        <v>450.9</v>
      </c>
      <c r="O2409" s="116">
        <v>439.55</v>
      </c>
      <c r="P2409" s="116">
        <v>443.35</v>
      </c>
      <c r="Q2409" s="116">
        <v>445.1</v>
      </c>
      <c r="R2409">
        <v>10744634</v>
      </c>
    </row>
    <row r="2410" spans="1:18" x14ac:dyDescent="0.25">
      <c r="A2410" s="170">
        <v>45553</v>
      </c>
      <c r="B2410" s="116">
        <v>447</v>
      </c>
      <c r="C2410" s="116">
        <v>440.65</v>
      </c>
      <c r="D2410" s="116">
        <v>438</v>
      </c>
      <c r="E2410" s="116">
        <v>445.5</v>
      </c>
      <c r="F2410" s="116">
        <v>440.65</v>
      </c>
      <c r="G2410">
        <v>345987</v>
      </c>
      <c r="H2410" s="116"/>
      <c r="I2410" s="116"/>
      <c r="L2410" s="170">
        <v>45553</v>
      </c>
      <c r="M2410" s="116">
        <v>440.6</v>
      </c>
      <c r="N2410" s="116">
        <v>447.1</v>
      </c>
      <c r="O2410" s="116">
        <v>437.95</v>
      </c>
      <c r="P2410" s="116">
        <v>445.5</v>
      </c>
      <c r="Q2410" s="116">
        <v>440.6</v>
      </c>
      <c r="R2410">
        <v>7014739</v>
      </c>
    </row>
    <row r="2411" spans="1:18" x14ac:dyDescent="0.25">
      <c r="A2411" s="170">
        <v>45554</v>
      </c>
      <c r="B2411" s="116">
        <v>450.5</v>
      </c>
      <c r="C2411" s="116">
        <v>439.3</v>
      </c>
      <c r="D2411" s="116">
        <v>430.8</v>
      </c>
      <c r="E2411" s="116">
        <v>442.5</v>
      </c>
      <c r="F2411" s="116">
        <v>439.3</v>
      </c>
      <c r="G2411">
        <v>1080134</v>
      </c>
      <c r="H2411" s="116"/>
      <c r="I2411" s="116"/>
      <c r="L2411" s="170">
        <v>45554</v>
      </c>
      <c r="M2411" s="116">
        <v>439.6</v>
      </c>
      <c r="N2411" s="116">
        <v>450.6</v>
      </c>
      <c r="O2411" s="116">
        <v>430.8</v>
      </c>
      <c r="P2411" s="116">
        <v>442.7</v>
      </c>
      <c r="Q2411" s="116">
        <v>439.6</v>
      </c>
      <c r="R2411">
        <v>12721422</v>
      </c>
    </row>
    <row r="2412" spans="1:18" x14ac:dyDescent="0.25">
      <c r="A2412" s="170">
        <v>45555</v>
      </c>
      <c r="B2412" s="116">
        <v>446.45</v>
      </c>
      <c r="C2412" s="116">
        <v>444.2</v>
      </c>
      <c r="D2412" s="116">
        <v>439.35</v>
      </c>
      <c r="E2412" s="116">
        <v>441.35</v>
      </c>
      <c r="F2412" s="116">
        <v>444.2</v>
      </c>
      <c r="G2412">
        <v>923255</v>
      </c>
      <c r="H2412" s="116"/>
      <c r="I2412" s="116"/>
      <c r="L2412" s="170">
        <v>45555</v>
      </c>
      <c r="M2412" s="116">
        <v>444.15</v>
      </c>
      <c r="N2412" s="116">
        <v>446.5</v>
      </c>
      <c r="O2412" s="116">
        <v>439.35</v>
      </c>
      <c r="P2412" s="116">
        <v>441.8</v>
      </c>
      <c r="Q2412" s="116">
        <v>444.15</v>
      </c>
      <c r="R2412">
        <v>11837310</v>
      </c>
    </row>
    <row r="2413" spans="1:18" x14ac:dyDescent="0.25">
      <c r="A2413" s="170">
        <v>45558</v>
      </c>
      <c r="B2413" s="116">
        <v>460</v>
      </c>
      <c r="C2413" s="116">
        <v>454.35</v>
      </c>
      <c r="D2413" s="116">
        <v>444.45</v>
      </c>
      <c r="E2413" s="116">
        <v>444.45</v>
      </c>
      <c r="F2413" s="116">
        <v>454.35</v>
      </c>
      <c r="G2413">
        <v>2951993</v>
      </c>
      <c r="H2413" s="116"/>
      <c r="I2413" s="116"/>
      <c r="L2413" s="170">
        <v>45558</v>
      </c>
      <c r="M2413" s="116">
        <v>454.45</v>
      </c>
      <c r="N2413" s="116">
        <v>460</v>
      </c>
      <c r="O2413" s="116">
        <v>444.5</v>
      </c>
      <c r="P2413" s="116">
        <v>444.95</v>
      </c>
      <c r="Q2413" s="116">
        <v>454.45</v>
      </c>
      <c r="R2413">
        <v>26480471</v>
      </c>
    </row>
    <row r="2414" spans="1:18" x14ac:dyDescent="0.25">
      <c r="A2414" s="170">
        <v>45559</v>
      </c>
      <c r="B2414" s="116">
        <v>474.15</v>
      </c>
      <c r="C2414" s="116">
        <v>467.7</v>
      </c>
      <c r="D2414" s="116">
        <v>453.4</v>
      </c>
      <c r="E2414" s="116">
        <v>455.85</v>
      </c>
      <c r="F2414" s="116">
        <v>467.7</v>
      </c>
      <c r="G2414">
        <v>2302350</v>
      </c>
      <c r="H2414" s="116"/>
      <c r="I2414" s="116"/>
      <c r="L2414" s="170">
        <v>45559</v>
      </c>
      <c r="M2414" s="116">
        <v>468.75</v>
      </c>
      <c r="N2414" s="116">
        <v>474.25</v>
      </c>
      <c r="O2414" s="116">
        <v>453.35</v>
      </c>
      <c r="P2414" s="116">
        <v>455.55</v>
      </c>
      <c r="Q2414" s="116">
        <v>468.75</v>
      </c>
      <c r="R2414">
        <v>40263592</v>
      </c>
    </row>
    <row r="2415" spans="1:18" x14ac:dyDescent="0.25">
      <c r="A2415" s="170">
        <v>45560</v>
      </c>
      <c r="B2415" s="116">
        <v>470.85</v>
      </c>
      <c r="C2415" s="116">
        <v>468.1</v>
      </c>
      <c r="D2415" s="116">
        <v>460.25</v>
      </c>
      <c r="E2415" s="116">
        <v>469.2</v>
      </c>
      <c r="F2415" s="116">
        <v>468.1</v>
      </c>
      <c r="G2415">
        <v>720344</v>
      </c>
      <c r="H2415" s="116"/>
      <c r="I2415" s="116"/>
      <c r="L2415" s="170">
        <v>45560</v>
      </c>
      <c r="M2415" s="116">
        <v>468.1</v>
      </c>
      <c r="N2415" s="116">
        <v>470.9</v>
      </c>
      <c r="O2415" s="116">
        <v>460.4</v>
      </c>
      <c r="P2415" s="116">
        <v>468.75</v>
      </c>
      <c r="Q2415" s="116">
        <v>468.1</v>
      </c>
      <c r="R2415">
        <v>15948993</v>
      </c>
    </row>
    <row r="2416" spans="1:18" x14ac:dyDescent="0.25">
      <c r="A2416" s="170">
        <v>45561</v>
      </c>
      <c r="B2416" s="116">
        <v>477.65</v>
      </c>
      <c r="C2416" s="116">
        <v>475.9</v>
      </c>
      <c r="D2416" s="116">
        <v>465.6</v>
      </c>
      <c r="E2416" s="116">
        <v>468.3</v>
      </c>
      <c r="F2416" s="116">
        <v>475.9</v>
      </c>
      <c r="G2416">
        <v>790230</v>
      </c>
      <c r="H2416" s="116"/>
      <c r="I2416" s="116"/>
      <c r="L2416" s="170">
        <v>45561</v>
      </c>
      <c r="M2416" s="116">
        <v>476.05</v>
      </c>
      <c r="N2416" s="116">
        <v>477.85</v>
      </c>
      <c r="O2416" s="116">
        <v>465.55</v>
      </c>
      <c r="P2416" s="116">
        <v>470</v>
      </c>
      <c r="Q2416" s="116">
        <v>476.05</v>
      </c>
      <c r="R2416">
        <v>20074440</v>
      </c>
    </row>
    <row r="2417" spans="1:18" x14ac:dyDescent="0.25">
      <c r="A2417" s="170">
        <v>45562</v>
      </c>
      <c r="B2417" s="116">
        <v>494.85</v>
      </c>
      <c r="C2417" s="116">
        <v>485.1</v>
      </c>
      <c r="D2417" s="116">
        <v>477.5</v>
      </c>
      <c r="E2417" s="116">
        <v>481.75</v>
      </c>
      <c r="F2417" s="116">
        <v>485.1</v>
      </c>
      <c r="G2417">
        <v>1646261</v>
      </c>
      <c r="H2417" s="116"/>
      <c r="I2417" s="116"/>
      <c r="L2417" s="170">
        <v>45562</v>
      </c>
      <c r="M2417" s="116">
        <v>485.5</v>
      </c>
      <c r="N2417" s="116">
        <v>494.85</v>
      </c>
      <c r="O2417" s="116">
        <v>477.5</v>
      </c>
      <c r="P2417" s="116">
        <v>482.5</v>
      </c>
      <c r="Q2417" s="116">
        <v>485.5</v>
      </c>
      <c r="R2417">
        <v>32121777</v>
      </c>
    </row>
    <row r="2418" spans="1:18" x14ac:dyDescent="0.25">
      <c r="A2418" s="170">
        <v>45565</v>
      </c>
      <c r="B2418" s="116">
        <v>489</v>
      </c>
      <c r="C2418" s="116">
        <v>482.7</v>
      </c>
      <c r="D2418" s="116">
        <v>473.65</v>
      </c>
      <c r="E2418" s="116">
        <v>486</v>
      </c>
      <c r="F2418" s="116">
        <v>482.7</v>
      </c>
      <c r="G2418">
        <v>687338</v>
      </c>
      <c r="H2418" s="116"/>
      <c r="I2418" s="116"/>
      <c r="L2418" s="170">
        <v>45565</v>
      </c>
      <c r="M2418" s="116">
        <v>482.6</v>
      </c>
      <c r="N2418" s="116">
        <v>489</v>
      </c>
      <c r="O2418" s="116">
        <v>473.35</v>
      </c>
      <c r="P2418" s="116">
        <v>485.4</v>
      </c>
      <c r="Q2418" s="116">
        <v>482.6</v>
      </c>
      <c r="R2418">
        <v>15756520</v>
      </c>
    </row>
    <row r="2419" spans="1:18" x14ac:dyDescent="0.25">
      <c r="A2419" s="170">
        <v>45566</v>
      </c>
      <c r="B2419" s="116">
        <v>491.25</v>
      </c>
      <c r="C2419" s="116">
        <v>481</v>
      </c>
      <c r="D2419" s="116">
        <v>479.95</v>
      </c>
      <c r="E2419" s="116">
        <v>487.75</v>
      </c>
      <c r="F2419" s="116">
        <v>481</v>
      </c>
      <c r="G2419">
        <v>1403215</v>
      </c>
      <c r="H2419" s="116"/>
      <c r="I2419" s="116"/>
      <c r="L2419" s="170">
        <v>45566</v>
      </c>
      <c r="M2419" s="116">
        <v>481.25</v>
      </c>
      <c r="N2419" s="116">
        <v>491.2</v>
      </c>
      <c r="O2419" s="116">
        <v>479.4</v>
      </c>
      <c r="P2419" s="116">
        <v>486.8</v>
      </c>
      <c r="Q2419" s="116">
        <v>481.25</v>
      </c>
      <c r="R2419">
        <v>15141589</v>
      </c>
    </row>
    <row r="2420" spans="1:18" x14ac:dyDescent="0.25">
      <c r="A2420" s="170">
        <v>45568</v>
      </c>
      <c r="B2420" s="116">
        <v>477.95</v>
      </c>
      <c r="C2420" s="116">
        <v>471.7</v>
      </c>
      <c r="D2420" s="116">
        <v>464.5</v>
      </c>
      <c r="E2420" s="116">
        <v>469.95</v>
      </c>
      <c r="F2420" s="116">
        <v>471.7</v>
      </c>
      <c r="G2420">
        <v>849884</v>
      </c>
      <c r="H2420" s="116"/>
      <c r="I2420" s="116"/>
      <c r="L2420" s="170">
        <v>45568</v>
      </c>
      <c r="M2420" s="116">
        <v>471.8</v>
      </c>
      <c r="N2420" s="116">
        <v>477.95</v>
      </c>
      <c r="O2420" s="116">
        <v>464.5</v>
      </c>
      <c r="P2420" s="116">
        <v>469.05</v>
      </c>
      <c r="Q2420" s="116">
        <v>471.8</v>
      </c>
      <c r="R2420">
        <v>14971905</v>
      </c>
    </row>
    <row r="2421" spans="1:18" x14ac:dyDescent="0.25">
      <c r="A2421" s="170">
        <v>45569</v>
      </c>
      <c r="B2421" s="116">
        <v>474.4</v>
      </c>
      <c r="C2421" s="116">
        <v>466.7</v>
      </c>
      <c r="D2421" s="116">
        <v>460.6</v>
      </c>
      <c r="E2421" s="116">
        <v>471.15</v>
      </c>
      <c r="F2421" s="116">
        <v>466.7</v>
      </c>
      <c r="G2421">
        <v>778749</v>
      </c>
      <c r="H2421" s="116"/>
      <c r="I2421" s="116"/>
      <c r="L2421" s="170">
        <v>45569</v>
      </c>
      <c r="M2421" s="116">
        <v>466.65</v>
      </c>
      <c r="N2421" s="116">
        <v>474.45</v>
      </c>
      <c r="O2421" s="116">
        <v>460.6</v>
      </c>
      <c r="P2421" s="116">
        <v>471.5</v>
      </c>
      <c r="Q2421" s="116">
        <v>466.65</v>
      </c>
      <c r="R2421">
        <v>13337665</v>
      </c>
    </row>
    <row r="2422" spans="1:18" x14ac:dyDescent="0.25">
      <c r="A2422" s="170">
        <v>45572</v>
      </c>
      <c r="B2422" s="116">
        <v>469</v>
      </c>
      <c r="C2422" s="116">
        <v>441.05</v>
      </c>
      <c r="D2422" s="116">
        <v>438.9</v>
      </c>
      <c r="E2422" s="116">
        <v>467.1</v>
      </c>
      <c r="F2422" s="116">
        <v>441.05</v>
      </c>
      <c r="G2422">
        <v>2459639</v>
      </c>
      <c r="H2422" s="116"/>
      <c r="I2422" s="116"/>
      <c r="L2422" s="170">
        <v>45572</v>
      </c>
      <c r="M2422" s="116">
        <v>441.3</v>
      </c>
      <c r="N2422" s="116">
        <v>468.9</v>
      </c>
      <c r="O2422" s="116">
        <v>438.7</v>
      </c>
      <c r="P2422" s="116">
        <v>467.9</v>
      </c>
      <c r="Q2422" s="116">
        <v>441.3</v>
      </c>
      <c r="R2422">
        <v>19893771</v>
      </c>
    </row>
    <row r="2423" spans="1:18" x14ac:dyDescent="0.25">
      <c r="A2423" s="170">
        <v>45573</v>
      </c>
      <c r="B2423" s="116">
        <v>460.8</v>
      </c>
      <c r="C2423" s="116">
        <v>456.4</v>
      </c>
      <c r="D2423" s="116">
        <v>439.65</v>
      </c>
      <c r="E2423" s="116">
        <v>441.1</v>
      </c>
      <c r="F2423" s="116">
        <v>456.4</v>
      </c>
      <c r="G2423">
        <v>1196507</v>
      </c>
      <c r="H2423" s="116"/>
      <c r="I2423" s="116"/>
      <c r="L2423" s="170">
        <v>45573</v>
      </c>
      <c r="M2423" s="116">
        <v>456.9</v>
      </c>
      <c r="N2423" s="116">
        <v>460.95</v>
      </c>
      <c r="O2423" s="116">
        <v>439.6</v>
      </c>
      <c r="P2423" s="116">
        <v>441.6</v>
      </c>
      <c r="Q2423" s="116">
        <v>456.9</v>
      </c>
      <c r="R2423">
        <v>20651560</v>
      </c>
    </row>
    <row r="2424" spans="1:18" x14ac:dyDescent="0.25">
      <c r="A2424" s="170">
        <v>45574</v>
      </c>
      <c r="B2424" s="116">
        <v>470.3</v>
      </c>
      <c r="C2424" s="116">
        <v>460.9</v>
      </c>
      <c r="D2424" s="116">
        <v>452.65</v>
      </c>
      <c r="E2424" s="116">
        <v>460</v>
      </c>
      <c r="F2424" s="116">
        <v>460.9</v>
      </c>
      <c r="G2424">
        <v>676223</v>
      </c>
      <c r="H2424" s="116"/>
      <c r="I2424" s="116"/>
      <c r="L2424" s="170">
        <v>45574</v>
      </c>
      <c r="M2424" s="116">
        <v>460.85</v>
      </c>
      <c r="N2424" s="116">
        <v>470.4</v>
      </c>
      <c r="O2424" s="116">
        <v>452.6</v>
      </c>
      <c r="P2424" s="116">
        <v>459.95</v>
      </c>
      <c r="Q2424" s="116">
        <v>460.85</v>
      </c>
      <c r="R2424">
        <v>16274750</v>
      </c>
    </row>
    <row r="2425" spans="1:18" x14ac:dyDescent="0.25">
      <c r="A2425" s="170">
        <v>45575</v>
      </c>
      <c r="B2425" s="116">
        <v>477.8</v>
      </c>
      <c r="C2425" s="116">
        <v>465.5</v>
      </c>
      <c r="D2425" s="116">
        <v>455.9</v>
      </c>
      <c r="E2425" s="116">
        <v>457.05</v>
      </c>
      <c r="F2425" s="116">
        <v>465.5</v>
      </c>
      <c r="G2425">
        <v>1817059</v>
      </c>
      <c r="H2425" s="116"/>
      <c r="I2425" s="116"/>
      <c r="L2425" s="170">
        <v>45575</v>
      </c>
      <c r="M2425" s="116">
        <v>465.65</v>
      </c>
      <c r="N2425" s="116">
        <v>477.9</v>
      </c>
      <c r="O2425" s="116">
        <v>456.2</v>
      </c>
      <c r="P2425" s="116">
        <v>460</v>
      </c>
      <c r="Q2425" s="116">
        <v>465.65</v>
      </c>
      <c r="R2425">
        <v>20626505</v>
      </c>
    </row>
    <row r="2426" spans="1:18" x14ac:dyDescent="0.25">
      <c r="A2426" s="170">
        <v>45576</v>
      </c>
      <c r="B2426" s="116">
        <v>467.1</v>
      </c>
      <c r="C2426" s="116">
        <v>461</v>
      </c>
      <c r="D2426" s="116">
        <v>459.2</v>
      </c>
      <c r="E2426" s="116">
        <v>465.9</v>
      </c>
      <c r="F2426" s="116">
        <v>461</v>
      </c>
      <c r="G2426">
        <v>462484</v>
      </c>
      <c r="H2426" s="116"/>
      <c r="I2426" s="116"/>
      <c r="L2426" s="170">
        <v>45576</v>
      </c>
      <c r="M2426" s="116">
        <v>461.15</v>
      </c>
      <c r="N2426" s="116">
        <v>467.35</v>
      </c>
      <c r="O2426" s="116">
        <v>459.35</v>
      </c>
      <c r="P2426" s="116">
        <v>465.65</v>
      </c>
      <c r="Q2426" s="116">
        <v>461.15</v>
      </c>
      <c r="R2426">
        <v>8006885</v>
      </c>
    </row>
    <row r="2427" spans="1:18" x14ac:dyDescent="0.25">
      <c r="A2427" s="170">
        <v>45579</v>
      </c>
      <c r="B2427" s="116">
        <v>464.7</v>
      </c>
      <c r="C2427" s="116">
        <v>462.35</v>
      </c>
      <c r="D2427" s="116">
        <v>458.5</v>
      </c>
      <c r="E2427" s="116">
        <v>464.7</v>
      </c>
      <c r="F2427" s="116">
        <v>462.35</v>
      </c>
      <c r="G2427">
        <v>646296</v>
      </c>
      <c r="H2427" s="116"/>
      <c r="I2427" s="116"/>
      <c r="L2427" s="170">
        <v>45579</v>
      </c>
      <c r="M2427" s="116">
        <v>462.3</v>
      </c>
      <c r="N2427" s="116">
        <v>464.8</v>
      </c>
      <c r="O2427" s="116">
        <v>458.35</v>
      </c>
      <c r="P2427" s="116">
        <v>463.8</v>
      </c>
      <c r="Q2427" s="116">
        <v>462.3</v>
      </c>
      <c r="R2427">
        <v>8552461</v>
      </c>
    </row>
    <row r="2428" spans="1:18" x14ac:dyDescent="0.25">
      <c r="A2428" s="170">
        <v>45580</v>
      </c>
      <c r="B2428" s="116">
        <v>474.3</v>
      </c>
      <c r="C2428" s="116">
        <v>463.5</v>
      </c>
      <c r="D2428" s="116">
        <v>461</v>
      </c>
      <c r="E2428" s="116">
        <v>463</v>
      </c>
      <c r="F2428" s="116">
        <v>463.5</v>
      </c>
      <c r="G2428">
        <v>1161567</v>
      </c>
      <c r="H2428" s="116"/>
      <c r="I2428" s="116"/>
      <c r="L2428" s="170">
        <v>45580</v>
      </c>
      <c r="M2428" s="116">
        <v>463.5</v>
      </c>
      <c r="N2428" s="116">
        <v>474.4</v>
      </c>
      <c r="O2428" s="116">
        <v>461.05</v>
      </c>
      <c r="P2428" s="116">
        <v>463.5</v>
      </c>
      <c r="Q2428" s="116">
        <v>463.5</v>
      </c>
      <c r="R2428">
        <v>11987910</v>
      </c>
    </row>
    <row r="2429" spans="1:18" x14ac:dyDescent="0.25">
      <c r="A2429" s="170">
        <v>45581</v>
      </c>
      <c r="B2429" s="116">
        <v>469.25</v>
      </c>
      <c r="C2429" s="116">
        <v>460.35</v>
      </c>
      <c r="D2429" s="116">
        <v>457.35</v>
      </c>
      <c r="E2429" s="116">
        <v>463</v>
      </c>
      <c r="F2429" s="116">
        <v>460.35</v>
      </c>
      <c r="G2429">
        <v>975013</v>
      </c>
      <c r="H2429" s="116"/>
      <c r="I2429" s="116"/>
      <c r="L2429" s="170">
        <v>45581</v>
      </c>
      <c r="M2429" s="116">
        <v>460.45</v>
      </c>
      <c r="N2429" s="116">
        <v>469.5</v>
      </c>
      <c r="O2429" s="116">
        <v>457.3</v>
      </c>
      <c r="P2429" s="116">
        <v>463.25</v>
      </c>
      <c r="Q2429" s="116">
        <v>460.45</v>
      </c>
      <c r="R2429">
        <v>8574770</v>
      </c>
    </row>
    <row r="2430" spans="1:18" x14ac:dyDescent="0.25">
      <c r="A2430" s="170">
        <v>45582</v>
      </c>
      <c r="B2430" s="116">
        <v>462.7</v>
      </c>
      <c r="C2430" s="116">
        <v>450.05</v>
      </c>
      <c r="D2430" s="116">
        <v>449.2</v>
      </c>
      <c r="E2430" s="116">
        <v>461.6</v>
      </c>
      <c r="F2430" s="116">
        <v>450.05</v>
      </c>
      <c r="G2430">
        <v>1064625</v>
      </c>
      <c r="H2430" s="116"/>
      <c r="I2430" s="116"/>
      <c r="L2430" s="170">
        <v>45582</v>
      </c>
      <c r="M2430" s="116">
        <v>450.2</v>
      </c>
      <c r="N2430" s="116">
        <v>462.6</v>
      </c>
      <c r="O2430" s="116">
        <v>449</v>
      </c>
      <c r="P2430" s="116">
        <v>461</v>
      </c>
      <c r="Q2430" s="116">
        <v>450.2</v>
      </c>
      <c r="R2430">
        <v>10204584</v>
      </c>
    </row>
    <row r="2431" spans="1:18" x14ac:dyDescent="0.25">
      <c r="A2431" s="170">
        <v>45583</v>
      </c>
      <c r="B2431" s="116">
        <v>456.3</v>
      </c>
      <c r="C2431" s="116">
        <v>453.5</v>
      </c>
      <c r="D2431" s="116">
        <v>443</v>
      </c>
      <c r="E2431" s="116">
        <v>450.05</v>
      </c>
      <c r="F2431" s="116">
        <v>453.5</v>
      </c>
      <c r="G2431">
        <v>965751</v>
      </c>
      <c r="H2431" s="116"/>
      <c r="I2431" s="116"/>
      <c r="L2431" s="170">
        <v>45583</v>
      </c>
      <c r="M2431" s="116">
        <v>453.55</v>
      </c>
      <c r="N2431" s="116">
        <v>456.5</v>
      </c>
      <c r="O2431" s="116">
        <v>443.05</v>
      </c>
      <c r="P2431" s="116">
        <v>449.9</v>
      </c>
      <c r="Q2431" s="116">
        <v>453.55</v>
      </c>
      <c r="R2431">
        <v>11045862</v>
      </c>
    </row>
    <row r="2432" spans="1:18" x14ac:dyDescent="0.25">
      <c r="A2432" s="170">
        <v>45586</v>
      </c>
      <c r="B2432" s="116">
        <v>465.55</v>
      </c>
      <c r="C2432" s="116">
        <v>453.75</v>
      </c>
      <c r="D2432" s="116">
        <v>449.55</v>
      </c>
      <c r="E2432" s="116">
        <v>454.65</v>
      </c>
      <c r="F2432" s="116">
        <v>453.75</v>
      </c>
      <c r="G2432">
        <v>763845</v>
      </c>
      <c r="H2432" s="116"/>
      <c r="I2432" s="116"/>
      <c r="L2432" s="170">
        <v>45586</v>
      </c>
      <c r="M2432" s="116">
        <v>453.8</v>
      </c>
      <c r="N2432" s="116">
        <v>465.55</v>
      </c>
      <c r="O2432" s="116">
        <v>449.65</v>
      </c>
      <c r="P2432" s="116">
        <v>455.55</v>
      </c>
      <c r="Q2432" s="116">
        <v>453.8</v>
      </c>
      <c r="R2432">
        <v>13387706</v>
      </c>
    </row>
    <row r="2433" spans="1:18" x14ac:dyDescent="0.25">
      <c r="A2433" s="170">
        <v>45587</v>
      </c>
      <c r="B2433" s="116">
        <v>454</v>
      </c>
      <c r="C2433" s="116">
        <v>436</v>
      </c>
      <c r="D2433" s="116">
        <v>434.05</v>
      </c>
      <c r="E2433" s="116">
        <v>453.75</v>
      </c>
      <c r="F2433" s="116">
        <v>436</v>
      </c>
      <c r="G2433">
        <v>416589</v>
      </c>
      <c r="H2433" s="116"/>
      <c r="I2433" s="116"/>
      <c r="L2433" s="170">
        <v>45587</v>
      </c>
      <c r="M2433" s="116">
        <v>435.85</v>
      </c>
      <c r="N2433" s="116">
        <v>454.1</v>
      </c>
      <c r="O2433" s="116">
        <v>434</v>
      </c>
      <c r="P2433" s="116">
        <v>453.8</v>
      </c>
      <c r="Q2433" s="116">
        <v>435.85</v>
      </c>
      <c r="R2433">
        <v>12887529</v>
      </c>
    </row>
    <row r="2434" spans="1:18" x14ac:dyDescent="0.25">
      <c r="A2434" s="170">
        <v>45588</v>
      </c>
      <c r="B2434" s="116">
        <v>442.9</v>
      </c>
      <c r="C2434" s="116">
        <v>437.45</v>
      </c>
      <c r="D2434" s="116">
        <v>430.3</v>
      </c>
      <c r="E2434" s="116">
        <v>436.05</v>
      </c>
      <c r="F2434" s="116">
        <v>437.45</v>
      </c>
      <c r="G2434">
        <v>1194183</v>
      </c>
      <c r="H2434" s="116"/>
      <c r="I2434" s="116"/>
      <c r="L2434" s="170">
        <v>45588</v>
      </c>
      <c r="M2434" s="116">
        <v>437.7</v>
      </c>
      <c r="N2434" s="116">
        <v>443.15</v>
      </c>
      <c r="O2434" s="116">
        <v>430.4</v>
      </c>
      <c r="P2434" s="116">
        <v>436.5</v>
      </c>
      <c r="Q2434" s="116">
        <v>437.7</v>
      </c>
      <c r="R2434">
        <v>11696327</v>
      </c>
    </row>
    <row r="2435" spans="1:18" x14ac:dyDescent="0.25">
      <c r="A2435" s="170">
        <v>45589</v>
      </c>
      <c r="B2435" s="116">
        <v>440.95</v>
      </c>
      <c r="C2435" s="116">
        <v>437.8</v>
      </c>
      <c r="D2435" s="116">
        <v>432.2</v>
      </c>
      <c r="E2435" s="116">
        <v>437.75</v>
      </c>
      <c r="F2435" s="116">
        <v>437.8</v>
      </c>
      <c r="G2435">
        <v>333280</v>
      </c>
      <c r="H2435" s="116"/>
      <c r="I2435" s="116"/>
      <c r="L2435" s="170">
        <v>45589</v>
      </c>
      <c r="M2435" s="116">
        <v>438</v>
      </c>
      <c r="N2435" s="116">
        <v>441.25</v>
      </c>
      <c r="O2435" s="116">
        <v>432.05</v>
      </c>
      <c r="P2435" s="116">
        <v>437.1</v>
      </c>
      <c r="Q2435" s="116">
        <v>438</v>
      </c>
      <c r="R2435">
        <v>7751620</v>
      </c>
    </row>
    <row r="2436" spans="1:18" x14ac:dyDescent="0.25">
      <c r="A2436" s="170">
        <v>45590</v>
      </c>
      <c r="B2436" s="116">
        <v>438.5</v>
      </c>
      <c r="C2436" s="116">
        <v>422.4</v>
      </c>
      <c r="D2436" s="116">
        <v>414.85</v>
      </c>
      <c r="E2436" s="116">
        <v>438.5</v>
      </c>
      <c r="F2436" s="116">
        <v>422.4</v>
      </c>
      <c r="G2436">
        <v>744583</v>
      </c>
      <c r="H2436" s="116"/>
      <c r="I2436" s="116"/>
      <c r="L2436" s="170">
        <v>45590</v>
      </c>
      <c r="M2436" s="116">
        <v>422.1</v>
      </c>
      <c r="N2436" s="116">
        <v>439.1</v>
      </c>
      <c r="O2436" s="116">
        <v>414.5</v>
      </c>
      <c r="P2436" s="116">
        <v>438</v>
      </c>
      <c r="Q2436" s="116">
        <v>422.1</v>
      </c>
      <c r="R2436">
        <v>16754459</v>
      </c>
    </row>
    <row r="2437" spans="1:18" x14ac:dyDescent="0.25">
      <c r="A2437" s="170">
        <v>45593</v>
      </c>
      <c r="B2437" s="116">
        <v>429.5</v>
      </c>
      <c r="C2437" s="116">
        <v>425.8</v>
      </c>
      <c r="D2437" s="116">
        <v>415</v>
      </c>
      <c r="E2437" s="116">
        <v>422.5</v>
      </c>
      <c r="F2437" s="116">
        <v>425.8</v>
      </c>
      <c r="G2437">
        <v>907744</v>
      </c>
      <c r="H2437" s="116"/>
      <c r="I2437" s="116"/>
      <c r="L2437" s="170">
        <v>45593</v>
      </c>
      <c r="M2437" s="116">
        <v>425.7</v>
      </c>
      <c r="N2437" s="116">
        <v>429.5</v>
      </c>
      <c r="O2437" s="116">
        <v>415</v>
      </c>
      <c r="P2437" s="116">
        <v>423.5</v>
      </c>
      <c r="Q2437" s="116">
        <v>425.7</v>
      </c>
      <c r="R2437">
        <v>8791214</v>
      </c>
    </row>
    <row r="2438" spans="1:18" x14ac:dyDescent="0.25">
      <c r="A2438" s="170">
        <v>45594</v>
      </c>
      <c r="B2438" s="116">
        <v>428.4</v>
      </c>
      <c r="C2438" s="116">
        <v>425.35</v>
      </c>
      <c r="D2438" s="116">
        <v>415.25</v>
      </c>
      <c r="E2438" s="116">
        <v>428.4</v>
      </c>
      <c r="F2438" s="116">
        <v>425.35</v>
      </c>
      <c r="G2438">
        <v>893808</v>
      </c>
      <c r="H2438" s="116"/>
      <c r="I2438" s="116"/>
      <c r="L2438" s="170">
        <v>45594</v>
      </c>
      <c r="M2438" s="116">
        <v>425.4</v>
      </c>
      <c r="N2438" s="116">
        <v>428.55</v>
      </c>
      <c r="O2438" s="116">
        <v>415.25</v>
      </c>
      <c r="P2438" s="116">
        <v>428</v>
      </c>
      <c r="Q2438" s="116">
        <v>425.4</v>
      </c>
      <c r="R2438">
        <v>9520732</v>
      </c>
    </row>
    <row r="2439" spans="1:18" x14ac:dyDescent="0.25">
      <c r="A2439" s="170">
        <v>45595</v>
      </c>
      <c r="B2439" s="116">
        <v>433.45</v>
      </c>
      <c r="C2439" s="116">
        <v>427.15</v>
      </c>
      <c r="D2439" s="116">
        <v>421.6</v>
      </c>
      <c r="E2439" s="116">
        <v>427.7</v>
      </c>
      <c r="F2439" s="116">
        <v>427.15</v>
      </c>
      <c r="G2439">
        <v>500815</v>
      </c>
      <c r="H2439" s="116"/>
      <c r="I2439" s="116"/>
      <c r="L2439" s="170">
        <v>45595</v>
      </c>
      <c r="M2439" s="116">
        <v>427</v>
      </c>
      <c r="N2439" s="116">
        <v>433.3</v>
      </c>
      <c r="O2439" s="116">
        <v>421.85</v>
      </c>
      <c r="P2439" s="116">
        <v>426.05</v>
      </c>
      <c r="Q2439" s="116">
        <v>427</v>
      </c>
      <c r="R2439">
        <v>9699786</v>
      </c>
    </row>
    <row r="2440" spans="1:18" x14ac:dyDescent="0.25">
      <c r="A2440" s="170">
        <v>45596</v>
      </c>
      <c r="B2440" s="116">
        <v>444.6</v>
      </c>
      <c r="C2440" s="116">
        <v>440.05</v>
      </c>
      <c r="D2440" s="116">
        <v>421</v>
      </c>
      <c r="E2440" s="116">
        <v>430.05</v>
      </c>
      <c r="F2440" s="116">
        <v>440.05</v>
      </c>
      <c r="G2440">
        <v>2029403</v>
      </c>
      <c r="H2440" s="116"/>
      <c r="I2440" s="116"/>
      <c r="L2440" s="170">
        <v>45596</v>
      </c>
      <c r="M2440" s="116">
        <v>440.05</v>
      </c>
      <c r="N2440" s="116">
        <v>444.8</v>
      </c>
      <c r="O2440" s="116">
        <v>420.8</v>
      </c>
      <c r="P2440" s="116">
        <v>430.5</v>
      </c>
      <c r="Q2440" s="116">
        <v>440.05</v>
      </c>
      <c r="R2440">
        <v>29693039</v>
      </c>
    </row>
    <row r="2441" spans="1:18" x14ac:dyDescent="0.25">
      <c r="A2441" s="170">
        <v>45597</v>
      </c>
      <c r="B2441" s="116">
        <v>448.5</v>
      </c>
      <c r="C2441" s="116">
        <v>445.2</v>
      </c>
      <c r="D2441" s="116">
        <v>442</v>
      </c>
      <c r="E2441" s="116">
        <v>446.35</v>
      </c>
      <c r="F2441" s="116">
        <v>445.2</v>
      </c>
      <c r="G2441">
        <v>466527</v>
      </c>
      <c r="H2441" s="116"/>
      <c r="I2441" s="116"/>
      <c r="L2441" s="170">
        <v>45597</v>
      </c>
      <c r="M2441" s="116">
        <v>445.45</v>
      </c>
      <c r="N2441" s="116">
        <v>448.45</v>
      </c>
      <c r="O2441" s="116">
        <v>442.1</v>
      </c>
      <c r="P2441" s="116">
        <v>444</v>
      </c>
      <c r="Q2441" s="116">
        <v>445.45</v>
      </c>
      <c r="R2441">
        <v>4387971</v>
      </c>
    </row>
    <row r="2442" spans="1:18" x14ac:dyDescent="0.25">
      <c r="A2442" s="170">
        <v>45600</v>
      </c>
      <c r="B2442" s="116">
        <v>446.7</v>
      </c>
      <c r="C2442" s="116">
        <v>429</v>
      </c>
      <c r="D2442" s="116">
        <v>426.2</v>
      </c>
      <c r="E2442" s="116">
        <v>446.7</v>
      </c>
      <c r="F2442" s="116">
        <v>429</v>
      </c>
      <c r="G2442">
        <v>756454</v>
      </c>
      <c r="H2442" s="116"/>
      <c r="I2442" s="116"/>
      <c r="L2442" s="170">
        <v>45600</v>
      </c>
      <c r="M2442" s="116">
        <v>429.05</v>
      </c>
      <c r="N2442" s="116">
        <v>446.8</v>
      </c>
      <c r="O2442" s="116">
        <v>426.05</v>
      </c>
      <c r="P2442" s="116">
        <v>446.25</v>
      </c>
      <c r="Q2442" s="116">
        <v>429.05</v>
      </c>
      <c r="R2442">
        <v>13264369</v>
      </c>
    </row>
    <row r="2443" spans="1:18" x14ac:dyDescent="0.25">
      <c r="A2443" s="170">
        <v>45601</v>
      </c>
      <c r="B2443" s="116">
        <v>434.95</v>
      </c>
      <c r="C2443" s="116">
        <v>433.95</v>
      </c>
      <c r="D2443" s="116">
        <v>426</v>
      </c>
      <c r="E2443" s="116">
        <v>429</v>
      </c>
      <c r="F2443" s="116">
        <v>433.95</v>
      </c>
      <c r="G2443">
        <v>365366</v>
      </c>
      <c r="H2443" s="116"/>
      <c r="I2443" s="116"/>
      <c r="L2443" s="170">
        <v>45601</v>
      </c>
      <c r="M2443" s="116">
        <v>434.1</v>
      </c>
      <c r="N2443" s="116">
        <v>434.85</v>
      </c>
      <c r="O2443" s="116">
        <v>425.85</v>
      </c>
      <c r="P2443" s="116">
        <v>429</v>
      </c>
      <c r="Q2443" s="116">
        <v>434.1</v>
      </c>
      <c r="R2443">
        <v>8889823</v>
      </c>
    </row>
    <row r="2444" spans="1:18" x14ac:dyDescent="0.25">
      <c r="A2444" s="170">
        <v>45602</v>
      </c>
      <c r="B2444" s="116">
        <v>451.95</v>
      </c>
      <c r="C2444" s="116">
        <v>449.3</v>
      </c>
      <c r="D2444" s="116">
        <v>436.65</v>
      </c>
      <c r="E2444" s="116">
        <v>437.55</v>
      </c>
      <c r="F2444" s="116">
        <v>449.3</v>
      </c>
      <c r="G2444">
        <v>653690</v>
      </c>
      <c r="H2444" s="116"/>
      <c r="I2444" s="116"/>
      <c r="L2444" s="170">
        <v>45602</v>
      </c>
      <c r="M2444" s="116">
        <v>449.3</v>
      </c>
      <c r="N2444" s="116">
        <v>452</v>
      </c>
      <c r="O2444" s="116">
        <v>436.5</v>
      </c>
      <c r="P2444" s="116">
        <v>437.1</v>
      </c>
      <c r="Q2444" s="116">
        <v>449.3</v>
      </c>
      <c r="R2444">
        <v>12638381</v>
      </c>
    </row>
    <row r="2445" spans="1:18" x14ac:dyDescent="0.25">
      <c r="A2445" s="170">
        <v>45603</v>
      </c>
      <c r="B2445" s="116">
        <v>454.8</v>
      </c>
      <c r="C2445" s="116">
        <v>444.8</v>
      </c>
      <c r="D2445" s="116">
        <v>442.85</v>
      </c>
      <c r="E2445" s="116">
        <v>451.9</v>
      </c>
      <c r="F2445" s="116">
        <v>444.8</v>
      </c>
      <c r="G2445">
        <v>972004</v>
      </c>
      <c r="H2445" s="116"/>
      <c r="I2445" s="116"/>
      <c r="L2445" s="170">
        <v>45603</v>
      </c>
      <c r="M2445" s="116">
        <v>444.9</v>
      </c>
      <c r="N2445" s="116">
        <v>454.75</v>
      </c>
      <c r="O2445" s="116">
        <v>443</v>
      </c>
      <c r="P2445" s="116">
        <v>451.5</v>
      </c>
      <c r="Q2445" s="116">
        <v>444.9</v>
      </c>
      <c r="R2445">
        <v>9820442</v>
      </c>
    </row>
    <row r="2446" spans="1:18" x14ac:dyDescent="0.25">
      <c r="A2446" s="170">
        <v>45604</v>
      </c>
      <c r="B2446" s="116">
        <v>448</v>
      </c>
      <c r="C2446" s="116">
        <v>432.6</v>
      </c>
      <c r="D2446" s="116">
        <v>430</v>
      </c>
      <c r="E2446" s="116">
        <v>448</v>
      </c>
      <c r="F2446" s="116">
        <v>432.6</v>
      </c>
      <c r="G2446">
        <v>504442</v>
      </c>
      <c r="H2446" s="116"/>
      <c r="I2446" s="116"/>
      <c r="L2446" s="170">
        <v>45604</v>
      </c>
      <c r="M2446" s="116">
        <v>432.75</v>
      </c>
      <c r="N2446" s="116">
        <v>446.8</v>
      </c>
      <c r="O2446" s="116">
        <v>430</v>
      </c>
      <c r="P2446" s="116">
        <v>446.8</v>
      </c>
      <c r="Q2446" s="116">
        <v>432.75</v>
      </c>
      <c r="R2446">
        <v>9328678</v>
      </c>
    </row>
    <row r="2447" spans="1:18" x14ac:dyDescent="0.25">
      <c r="A2447" s="170">
        <v>45607</v>
      </c>
      <c r="B2447" s="116">
        <v>437.65</v>
      </c>
      <c r="C2447" s="116">
        <v>431.5</v>
      </c>
      <c r="D2447" s="116">
        <v>428</v>
      </c>
      <c r="E2447" s="116">
        <v>432.4</v>
      </c>
      <c r="F2447" s="116">
        <v>431.5</v>
      </c>
      <c r="G2447">
        <v>529753</v>
      </c>
      <c r="H2447" s="116"/>
      <c r="I2447" s="116"/>
      <c r="L2447" s="170">
        <v>45607</v>
      </c>
      <c r="M2447" s="116">
        <v>431.5</v>
      </c>
      <c r="N2447" s="116">
        <v>437.75</v>
      </c>
      <c r="O2447" s="116">
        <v>428.05</v>
      </c>
      <c r="P2447" s="116">
        <v>431.95</v>
      </c>
      <c r="Q2447" s="116">
        <v>431.5</v>
      </c>
      <c r="R2447">
        <v>8278229</v>
      </c>
    </row>
    <row r="2448" spans="1:18" x14ac:dyDescent="0.25">
      <c r="A2448" s="170">
        <v>45608</v>
      </c>
      <c r="B2448" s="116">
        <v>436.25</v>
      </c>
      <c r="C2448" s="116">
        <v>414.25</v>
      </c>
      <c r="D2448" s="116">
        <v>412.7</v>
      </c>
      <c r="E2448" s="116">
        <v>431.55</v>
      </c>
      <c r="F2448" s="116">
        <v>414.25</v>
      </c>
      <c r="G2448">
        <v>1018904</v>
      </c>
      <c r="H2448" s="116"/>
      <c r="I2448" s="116"/>
      <c r="L2448" s="170">
        <v>45608</v>
      </c>
      <c r="M2448" s="116">
        <v>414.15</v>
      </c>
      <c r="N2448" s="116">
        <v>436.35</v>
      </c>
      <c r="O2448" s="116">
        <v>412.5</v>
      </c>
      <c r="P2448" s="116">
        <v>432.05</v>
      </c>
      <c r="Q2448" s="116">
        <v>414.15</v>
      </c>
      <c r="R2448">
        <v>11039936</v>
      </c>
    </row>
    <row r="2449" spans="1:18" x14ac:dyDescent="0.25">
      <c r="A2449" s="170">
        <v>45609</v>
      </c>
      <c r="B2449" s="116">
        <v>416.2</v>
      </c>
      <c r="C2449" s="116">
        <v>399.05</v>
      </c>
      <c r="D2449" s="116">
        <v>397</v>
      </c>
      <c r="E2449" s="116">
        <v>413.45</v>
      </c>
      <c r="F2449" s="116">
        <v>399.05</v>
      </c>
      <c r="G2449">
        <v>1621226</v>
      </c>
      <c r="H2449" s="116"/>
      <c r="I2449" s="116"/>
      <c r="L2449" s="170">
        <v>45609</v>
      </c>
      <c r="M2449" s="116">
        <v>399.35</v>
      </c>
      <c r="N2449" s="116">
        <v>416.2</v>
      </c>
      <c r="O2449" s="116">
        <v>396.95</v>
      </c>
      <c r="P2449" s="116">
        <v>413</v>
      </c>
      <c r="Q2449" s="116">
        <v>399.35</v>
      </c>
      <c r="R2449">
        <v>13327466</v>
      </c>
    </row>
    <row r="2450" spans="1:18" x14ac:dyDescent="0.25">
      <c r="A2450" s="170">
        <v>45610</v>
      </c>
      <c r="B2450" s="116">
        <v>411.75</v>
      </c>
      <c r="C2450" s="116">
        <v>404.65</v>
      </c>
      <c r="D2450" s="116">
        <v>400.25</v>
      </c>
      <c r="E2450" s="116">
        <v>400.25</v>
      </c>
      <c r="F2450" s="116">
        <v>404.65</v>
      </c>
      <c r="G2450">
        <v>611577</v>
      </c>
      <c r="H2450" s="116"/>
      <c r="I2450" s="116"/>
      <c r="L2450" s="170">
        <v>45610</v>
      </c>
      <c r="M2450" s="116">
        <v>404.65</v>
      </c>
      <c r="N2450" s="116">
        <v>411.85</v>
      </c>
      <c r="O2450" s="116">
        <v>400.5</v>
      </c>
      <c r="P2450" s="116">
        <v>401.95</v>
      </c>
      <c r="Q2450" s="116">
        <v>404.65</v>
      </c>
      <c r="R2450">
        <v>11063591</v>
      </c>
    </row>
    <row r="2451" spans="1:18" x14ac:dyDescent="0.25">
      <c r="A2451" s="170">
        <v>45614</v>
      </c>
      <c r="B2451" s="116">
        <v>410.85</v>
      </c>
      <c r="C2451" s="116">
        <v>404.75</v>
      </c>
      <c r="D2451" s="116">
        <v>397.5</v>
      </c>
      <c r="E2451" s="116">
        <v>407.05</v>
      </c>
      <c r="F2451" s="116">
        <v>404.75</v>
      </c>
      <c r="G2451">
        <v>805415</v>
      </c>
      <c r="H2451" s="116"/>
      <c r="I2451" s="116"/>
      <c r="L2451" s="170">
        <v>45614</v>
      </c>
      <c r="M2451" s="116">
        <v>404.7</v>
      </c>
      <c r="N2451" s="116">
        <v>410.9</v>
      </c>
      <c r="O2451" s="116">
        <v>397.6</v>
      </c>
      <c r="P2451" s="116">
        <v>408</v>
      </c>
      <c r="Q2451" s="116">
        <v>404.7</v>
      </c>
      <c r="R2451">
        <v>10703937</v>
      </c>
    </row>
    <row r="2452" spans="1:18" x14ac:dyDescent="0.25">
      <c r="A2452" s="170">
        <v>45615</v>
      </c>
      <c r="B2452" s="116">
        <v>417.8</v>
      </c>
      <c r="C2452" s="116">
        <v>408.1</v>
      </c>
      <c r="D2452" s="116">
        <v>405.55</v>
      </c>
      <c r="E2452" s="116">
        <v>405.55</v>
      </c>
      <c r="F2452" s="116">
        <v>408.1</v>
      </c>
      <c r="G2452">
        <v>784970</v>
      </c>
      <c r="H2452" s="116"/>
      <c r="I2452" s="116"/>
      <c r="L2452" s="170">
        <v>45615</v>
      </c>
      <c r="M2452" s="116">
        <v>408.1</v>
      </c>
      <c r="N2452" s="116">
        <v>417.8</v>
      </c>
      <c r="O2452" s="116">
        <v>406.25</v>
      </c>
      <c r="P2452" s="116">
        <v>406.25</v>
      </c>
      <c r="Q2452" s="116">
        <v>408.1</v>
      </c>
      <c r="R2452">
        <v>8869625</v>
      </c>
    </row>
    <row r="2453" spans="1:18" x14ac:dyDescent="0.25">
      <c r="A2453" s="170">
        <v>45617</v>
      </c>
      <c r="B2453" s="116">
        <v>413.2</v>
      </c>
      <c r="C2453" s="116">
        <v>408.45</v>
      </c>
      <c r="D2453" s="116">
        <v>397.5</v>
      </c>
      <c r="E2453" s="116">
        <v>412</v>
      </c>
      <c r="F2453" s="116">
        <v>408.45</v>
      </c>
      <c r="G2453">
        <v>1000834</v>
      </c>
      <c r="H2453" s="116"/>
      <c r="I2453" s="116"/>
      <c r="L2453" s="170">
        <v>45617</v>
      </c>
      <c r="M2453" s="116">
        <v>408.05</v>
      </c>
      <c r="N2453" s="116">
        <v>413.4</v>
      </c>
      <c r="O2453" s="116">
        <v>397.4</v>
      </c>
      <c r="P2453" s="116">
        <v>411.5</v>
      </c>
      <c r="Q2453" s="116">
        <v>408.05</v>
      </c>
      <c r="R2453">
        <v>13362385</v>
      </c>
    </row>
    <row r="2454" spans="1:18" x14ac:dyDescent="0.25">
      <c r="A2454" s="170">
        <v>45618</v>
      </c>
      <c r="B2454" s="116">
        <v>416.7</v>
      </c>
      <c r="C2454" s="116">
        <v>413.55</v>
      </c>
      <c r="D2454" s="116">
        <v>409.3</v>
      </c>
      <c r="E2454" s="116">
        <v>414.05</v>
      </c>
      <c r="F2454" s="116">
        <v>413.55</v>
      </c>
      <c r="G2454">
        <v>903345</v>
      </c>
      <c r="H2454" s="116"/>
      <c r="I2454" s="116"/>
      <c r="L2454" s="170">
        <v>45618</v>
      </c>
      <c r="M2454" s="116">
        <v>413.75</v>
      </c>
      <c r="N2454" s="116">
        <v>416.9</v>
      </c>
      <c r="O2454" s="116">
        <v>409.25</v>
      </c>
      <c r="P2454" s="116">
        <v>414.9</v>
      </c>
      <c r="Q2454" s="116">
        <v>413.75</v>
      </c>
      <c r="R2454">
        <v>11165181</v>
      </c>
    </row>
    <row r="2455" spans="1:18" x14ac:dyDescent="0.25">
      <c r="A2455" s="170">
        <v>45621</v>
      </c>
      <c r="B2455" s="116">
        <v>423.9</v>
      </c>
      <c r="C2455" s="116">
        <v>412.5</v>
      </c>
      <c r="D2455" s="116">
        <v>410.5</v>
      </c>
      <c r="E2455" s="116">
        <v>420.35</v>
      </c>
      <c r="F2455" s="116">
        <v>412.5</v>
      </c>
      <c r="G2455">
        <v>396985</v>
      </c>
      <c r="H2455" s="116"/>
      <c r="I2455" s="116"/>
      <c r="L2455" s="170">
        <v>45621</v>
      </c>
      <c r="M2455" s="116">
        <v>412.35</v>
      </c>
      <c r="N2455" s="116">
        <v>423.45</v>
      </c>
      <c r="O2455" s="116">
        <v>410</v>
      </c>
      <c r="P2455" s="116">
        <v>421.45</v>
      </c>
      <c r="Q2455" s="116">
        <v>412.35</v>
      </c>
      <c r="R2455">
        <v>20232580</v>
      </c>
    </row>
    <row r="2456" spans="1:18" x14ac:dyDescent="0.25">
      <c r="A2456" s="170">
        <v>45622</v>
      </c>
      <c r="B2456" s="116">
        <v>414.2</v>
      </c>
      <c r="C2456" s="116">
        <v>410.05</v>
      </c>
      <c r="D2456" s="116">
        <v>408</v>
      </c>
      <c r="E2456" s="116">
        <v>413.25</v>
      </c>
      <c r="F2456" s="116">
        <v>410.05</v>
      </c>
      <c r="G2456">
        <v>552215</v>
      </c>
      <c r="H2456" s="116"/>
      <c r="I2456" s="116"/>
      <c r="L2456" s="170">
        <v>45622</v>
      </c>
      <c r="M2456" s="116">
        <v>410.3</v>
      </c>
      <c r="N2456" s="116">
        <v>415.4</v>
      </c>
      <c r="O2456" s="116">
        <v>408</v>
      </c>
      <c r="P2456" s="116">
        <v>413.9</v>
      </c>
      <c r="Q2456" s="116">
        <v>410.3</v>
      </c>
      <c r="R2456">
        <v>7286324</v>
      </c>
    </row>
    <row r="2457" spans="1:18" x14ac:dyDescent="0.25">
      <c r="A2457" s="170">
        <v>45623</v>
      </c>
      <c r="B2457" s="116">
        <v>418.6</v>
      </c>
      <c r="C2457" s="116">
        <v>417.8</v>
      </c>
      <c r="D2457" s="116">
        <v>409.2</v>
      </c>
      <c r="E2457" s="116">
        <v>411.95</v>
      </c>
      <c r="F2457" s="116">
        <v>417.8</v>
      </c>
      <c r="G2457">
        <v>616353</v>
      </c>
      <c r="H2457" s="116"/>
      <c r="I2457" s="116"/>
      <c r="L2457" s="170">
        <v>45623</v>
      </c>
      <c r="M2457" s="116">
        <v>417.65</v>
      </c>
      <c r="N2457" s="116">
        <v>418.5</v>
      </c>
      <c r="O2457" s="116">
        <v>409.25</v>
      </c>
      <c r="P2457" s="116">
        <v>411.8</v>
      </c>
      <c r="Q2457" s="116">
        <v>417.65</v>
      </c>
      <c r="R2457">
        <v>7869397</v>
      </c>
    </row>
    <row r="2458" spans="1:18" x14ac:dyDescent="0.25">
      <c r="A2458" s="170">
        <v>45624</v>
      </c>
      <c r="B2458" s="116">
        <v>420.9</v>
      </c>
      <c r="C2458" s="116">
        <v>414.3</v>
      </c>
      <c r="D2458" s="116">
        <v>412</v>
      </c>
      <c r="E2458" s="116">
        <v>418.85</v>
      </c>
      <c r="F2458" s="116">
        <v>414.3</v>
      </c>
      <c r="G2458">
        <v>985056</v>
      </c>
      <c r="H2458" s="116"/>
      <c r="I2458" s="116"/>
      <c r="L2458" s="170">
        <v>45624</v>
      </c>
      <c r="M2458" s="116">
        <v>414.5</v>
      </c>
      <c r="N2458" s="116">
        <v>421</v>
      </c>
      <c r="O2458" s="116">
        <v>412.1</v>
      </c>
      <c r="P2458" s="116">
        <v>418.35</v>
      </c>
      <c r="Q2458" s="116">
        <v>414.5</v>
      </c>
      <c r="R2458">
        <v>9850477</v>
      </c>
    </row>
    <row r="2459" spans="1:18" x14ac:dyDescent="0.25">
      <c r="A2459" s="170">
        <v>45625</v>
      </c>
      <c r="B2459" s="116">
        <v>417.25</v>
      </c>
      <c r="C2459" s="116">
        <v>414.05</v>
      </c>
      <c r="D2459" s="116">
        <v>410.55</v>
      </c>
      <c r="E2459" s="116">
        <v>414.5</v>
      </c>
      <c r="F2459" s="116">
        <v>414.05</v>
      </c>
      <c r="G2459">
        <v>290521</v>
      </c>
      <c r="H2459" s="116"/>
      <c r="I2459" s="116"/>
      <c r="L2459" s="170">
        <v>45625</v>
      </c>
      <c r="M2459" s="116">
        <v>414.15</v>
      </c>
      <c r="N2459" s="116">
        <v>417.5</v>
      </c>
      <c r="O2459" s="116">
        <v>410.45</v>
      </c>
      <c r="P2459" s="116">
        <v>414.5</v>
      </c>
      <c r="Q2459" s="116">
        <v>414.15</v>
      </c>
      <c r="R2459">
        <v>8478659</v>
      </c>
    </row>
    <row r="2460" spans="1:18" x14ac:dyDescent="0.25">
      <c r="A2460" s="170">
        <v>45628</v>
      </c>
      <c r="B2460" s="116">
        <v>418.85</v>
      </c>
      <c r="C2460" s="116">
        <v>416.15</v>
      </c>
      <c r="D2460" s="116">
        <v>412.05</v>
      </c>
      <c r="E2460" s="116">
        <v>413.85</v>
      </c>
      <c r="F2460" s="116">
        <v>416.15</v>
      </c>
      <c r="G2460">
        <v>658644</v>
      </c>
      <c r="H2460" s="116"/>
      <c r="I2460" s="116"/>
      <c r="L2460" s="170">
        <v>45628</v>
      </c>
      <c r="M2460" s="116">
        <v>416.5</v>
      </c>
      <c r="N2460" s="116">
        <v>418.9</v>
      </c>
      <c r="O2460" s="116">
        <v>412</v>
      </c>
      <c r="P2460" s="116">
        <v>413</v>
      </c>
      <c r="Q2460" s="116">
        <v>416.5</v>
      </c>
      <c r="R2460">
        <v>8156409</v>
      </c>
    </row>
    <row r="2461" spans="1:18" x14ac:dyDescent="0.25">
      <c r="A2461" s="170">
        <v>45629</v>
      </c>
      <c r="B2461" s="116">
        <v>430.2</v>
      </c>
      <c r="C2461" s="116">
        <v>428.8</v>
      </c>
      <c r="D2461" s="116">
        <v>417.5</v>
      </c>
      <c r="E2461" s="116">
        <v>419</v>
      </c>
      <c r="F2461" s="116">
        <v>428.8</v>
      </c>
      <c r="G2461">
        <v>1100513</v>
      </c>
      <c r="H2461" s="116"/>
      <c r="I2461" s="116"/>
      <c r="L2461" s="170">
        <v>45629</v>
      </c>
      <c r="M2461" s="116">
        <v>428.55</v>
      </c>
      <c r="N2461" s="116">
        <v>429.9</v>
      </c>
      <c r="O2461" s="116">
        <v>417.6</v>
      </c>
      <c r="P2461" s="116">
        <v>418.4</v>
      </c>
      <c r="Q2461" s="116">
        <v>428.55</v>
      </c>
      <c r="R2461">
        <v>14366296</v>
      </c>
    </row>
    <row r="2462" spans="1:18" x14ac:dyDescent="0.25">
      <c r="A2462" s="170">
        <v>45630</v>
      </c>
      <c r="B2462" s="116">
        <v>432</v>
      </c>
      <c r="C2462" s="116">
        <v>425.5</v>
      </c>
      <c r="D2462" s="116">
        <v>424.4</v>
      </c>
      <c r="E2462" s="116">
        <v>427.3</v>
      </c>
      <c r="F2462" s="116">
        <v>425.5</v>
      </c>
      <c r="G2462">
        <v>697975</v>
      </c>
      <c r="H2462" s="116"/>
      <c r="I2462" s="116"/>
      <c r="L2462" s="170">
        <v>45630</v>
      </c>
      <c r="M2462" s="116">
        <v>425.65</v>
      </c>
      <c r="N2462" s="116">
        <v>432</v>
      </c>
      <c r="O2462" s="116">
        <v>424.3</v>
      </c>
      <c r="P2462" s="116">
        <v>428.55</v>
      </c>
      <c r="Q2462" s="116">
        <v>425.65</v>
      </c>
      <c r="R2462">
        <v>6195150</v>
      </c>
    </row>
    <row r="2463" spans="1:18" x14ac:dyDescent="0.25">
      <c r="A2463" s="170">
        <v>45631</v>
      </c>
      <c r="B2463" s="116">
        <v>433.5</v>
      </c>
      <c r="C2463" s="116">
        <v>431.8</v>
      </c>
      <c r="D2463" s="116">
        <v>419.5</v>
      </c>
      <c r="E2463" s="116">
        <v>425.5</v>
      </c>
      <c r="F2463" s="116">
        <v>431.8</v>
      </c>
      <c r="G2463">
        <v>418685</v>
      </c>
      <c r="H2463" s="116"/>
      <c r="I2463" s="116"/>
      <c r="L2463" s="170">
        <v>45631</v>
      </c>
      <c r="M2463" s="116">
        <v>430.85</v>
      </c>
      <c r="N2463" s="116">
        <v>433.3</v>
      </c>
      <c r="O2463" s="116">
        <v>419.5</v>
      </c>
      <c r="P2463" s="116">
        <v>425.65</v>
      </c>
      <c r="Q2463" s="116">
        <v>430.85</v>
      </c>
      <c r="R2463">
        <v>10798097</v>
      </c>
    </row>
    <row r="2464" spans="1:18" x14ac:dyDescent="0.25">
      <c r="A2464" s="170">
        <v>45632</v>
      </c>
      <c r="B2464" s="116">
        <v>442.35</v>
      </c>
      <c r="C2464" s="116">
        <v>439.45</v>
      </c>
      <c r="D2464" s="116">
        <v>433.35</v>
      </c>
      <c r="E2464" s="116">
        <v>433.45</v>
      </c>
      <c r="F2464" s="116">
        <v>439.45</v>
      </c>
      <c r="G2464">
        <v>1384081</v>
      </c>
      <c r="H2464" s="116"/>
      <c r="I2464" s="116"/>
      <c r="L2464" s="170">
        <v>45632</v>
      </c>
      <c r="M2464" s="116">
        <v>439.7</v>
      </c>
      <c r="N2464" s="116">
        <v>442.5</v>
      </c>
      <c r="O2464" s="116">
        <v>433.25</v>
      </c>
      <c r="P2464" s="116">
        <v>433.8</v>
      </c>
      <c r="Q2464" s="116">
        <v>439.7</v>
      </c>
      <c r="R2464">
        <v>17372298</v>
      </c>
    </row>
    <row r="2465" spans="1:18" x14ac:dyDescent="0.25">
      <c r="A2465" s="170">
        <v>45635</v>
      </c>
      <c r="B2465" s="116">
        <v>447.7</v>
      </c>
      <c r="C2465" s="116">
        <v>440.6</v>
      </c>
      <c r="D2465" s="116">
        <v>439.1</v>
      </c>
      <c r="E2465" s="116">
        <v>443.35</v>
      </c>
      <c r="F2465" s="116">
        <v>440.6</v>
      </c>
      <c r="G2465">
        <v>670978</v>
      </c>
      <c r="H2465" s="116"/>
      <c r="I2465" s="116"/>
      <c r="L2465" s="170">
        <v>45635</v>
      </c>
      <c r="M2465" s="116">
        <v>440.75</v>
      </c>
      <c r="N2465" s="116">
        <v>447.7</v>
      </c>
      <c r="O2465" s="116">
        <v>439.1</v>
      </c>
      <c r="P2465" s="116">
        <v>443</v>
      </c>
      <c r="Q2465" s="116">
        <v>440.75</v>
      </c>
      <c r="R2465">
        <v>13417161</v>
      </c>
    </row>
    <row r="2466" spans="1:18" x14ac:dyDescent="0.25">
      <c r="A2466" s="170">
        <v>45636</v>
      </c>
      <c r="B2466" s="116">
        <v>443.2</v>
      </c>
      <c r="C2466" s="116">
        <v>435.2</v>
      </c>
      <c r="D2466" s="116">
        <v>432.15</v>
      </c>
      <c r="E2466" s="116">
        <v>442.75</v>
      </c>
      <c r="F2466" s="116">
        <v>435.2</v>
      </c>
      <c r="G2466">
        <v>1242755</v>
      </c>
      <c r="H2466" s="116"/>
      <c r="I2466" s="116"/>
      <c r="L2466" s="170">
        <v>45636</v>
      </c>
      <c r="M2466" s="116">
        <v>435.2</v>
      </c>
      <c r="N2466" s="116">
        <v>442.65</v>
      </c>
      <c r="O2466" s="116">
        <v>432.05</v>
      </c>
      <c r="P2466" s="116">
        <v>441.95</v>
      </c>
      <c r="Q2466" s="116">
        <v>435.2</v>
      </c>
      <c r="R2466">
        <v>9854285</v>
      </c>
    </row>
    <row r="2467" spans="1:18" x14ac:dyDescent="0.25">
      <c r="A2467" s="170">
        <v>45637</v>
      </c>
      <c r="B2467" s="116">
        <v>438.55</v>
      </c>
      <c r="C2467" s="116">
        <v>434.55</v>
      </c>
      <c r="D2467" s="116">
        <v>434.1</v>
      </c>
      <c r="E2467" s="116">
        <v>435.2</v>
      </c>
      <c r="F2467" s="116">
        <v>434.55</v>
      </c>
      <c r="G2467">
        <v>550125</v>
      </c>
      <c r="H2467" s="116"/>
      <c r="I2467" s="116"/>
      <c r="L2467" s="170">
        <v>45637</v>
      </c>
      <c r="M2467" s="116">
        <v>434.8</v>
      </c>
      <c r="N2467" s="116">
        <v>438.6</v>
      </c>
      <c r="O2467" s="116">
        <v>434.3</v>
      </c>
      <c r="P2467" s="116">
        <v>435.6</v>
      </c>
      <c r="Q2467" s="116">
        <v>434.8</v>
      </c>
      <c r="R2467">
        <v>5815604</v>
      </c>
    </row>
    <row r="2468" spans="1:18" x14ac:dyDescent="0.25">
      <c r="A2468" s="170">
        <v>45638</v>
      </c>
      <c r="B2468" s="116">
        <v>437.05</v>
      </c>
      <c r="C2468" s="116">
        <v>433.65</v>
      </c>
      <c r="D2468" s="116">
        <v>429</v>
      </c>
      <c r="E2468" s="116">
        <v>435.45</v>
      </c>
      <c r="F2468" s="116">
        <v>433.65</v>
      </c>
      <c r="G2468">
        <v>231530</v>
      </c>
      <c r="H2468" s="116"/>
      <c r="I2468" s="116"/>
      <c r="L2468" s="170">
        <v>45638</v>
      </c>
      <c r="M2468" s="116">
        <v>433.55</v>
      </c>
      <c r="N2468" s="116">
        <v>436.75</v>
      </c>
      <c r="O2468" s="116">
        <v>429</v>
      </c>
      <c r="P2468" s="116">
        <v>435</v>
      </c>
      <c r="Q2468" s="116">
        <v>433.55</v>
      </c>
      <c r="R2468">
        <v>6049186</v>
      </c>
    </row>
    <row r="2469" spans="1:18" x14ac:dyDescent="0.25">
      <c r="A2469" s="170">
        <v>45639</v>
      </c>
      <c r="B2469" s="116">
        <v>432.4</v>
      </c>
      <c r="C2469" s="116">
        <v>428.3</v>
      </c>
      <c r="D2469" s="116">
        <v>420.5</v>
      </c>
      <c r="E2469" s="116">
        <v>431.05</v>
      </c>
      <c r="F2469" s="116">
        <v>428.3</v>
      </c>
      <c r="G2469">
        <v>663176</v>
      </c>
      <c r="H2469" s="116"/>
      <c r="I2469" s="116"/>
      <c r="L2469" s="170">
        <v>45639</v>
      </c>
      <c r="M2469" s="116">
        <v>428.45</v>
      </c>
      <c r="N2469" s="116">
        <v>432.4</v>
      </c>
      <c r="O2469" s="116">
        <v>420.3</v>
      </c>
      <c r="P2469" s="116">
        <v>432</v>
      </c>
      <c r="Q2469" s="116">
        <v>428.45</v>
      </c>
      <c r="R2469">
        <v>8032224</v>
      </c>
    </row>
    <row r="2470" spans="1:18" x14ac:dyDescent="0.25">
      <c r="A2470" s="170">
        <v>45642</v>
      </c>
      <c r="B2470" s="116">
        <v>430.45</v>
      </c>
      <c r="C2470" s="116">
        <v>425.4</v>
      </c>
      <c r="D2470" s="116">
        <v>424.5</v>
      </c>
      <c r="E2470" s="116">
        <v>428.3</v>
      </c>
      <c r="F2470" s="116">
        <v>425.4</v>
      </c>
      <c r="G2470">
        <v>189176</v>
      </c>
      <c r="H2470" s="116"/>
      <c r="I2470" s="116"/>
      <c r="L2470" s="170">
        <v>45642</v>
      </c>
      <c r="M2470" s="116">
        <v>425.5</v>
      </c>
      <c r="N2470" s="116">
        <v>430.4</v>
      </c>
      <c r="O2470" s="116">
        <v>424.35</v>
      </c>
      <c r="P2470" s="116">
        <v>427.95</v>
      </c>
      <c r="Q2470" s="116">
        <v>425.5</v>
      </c>
      <c r="R2470">
        <v>4244188</v>
      </c>
    </row>
    <row r="2471" spans="1:18" x14ac:dyDescent="0.25">
      <c r="A2471" s="170">
        <v>45643</v>
      </c>
      <c r="B2471" s="116">
        <v>428.1</v>
      </c>
      <c r="C2471" s="116">
        <v>420.6</v>
      </c>
      <c r="D2471" s="116">
        <v>419.5</v>
      </c>
      <c r="E2471" s="116">
        <v>425</v>
      </c>
      <c r="F2471" s="116">
        <v>420.6</v>
      </c>
      <c r="G2471">
        <v>193926</v>
      </c>
      <c r="H2471" s="116"/>
      <c r="I2471" s="116"/>
      <c r="L2471" s="170">
        <v>45643</v>
      </c>
      <c r="M2471" s="116">
        <v>420.9</v>
      </c>
      <c r="N2471" s="116">
        <v>428</v>
      </c>
      <c r="O2471" s="116">
        <v>419.3</v>
      </c>
      <c r="P2471" s="116">
        <v>425.4</v>
      </c>
      <c r="Q2471" s="116">
        <v>420.9</v>
      </c>
      <c r="R2471">
        <v>6450903</v>
      </c>
    </row>
    <row r="2472" spans="1:18" x14ac:dyDescent="0.25">
      <c r="A2472" s="170">
        <v>45644</v>
      </c>
      <c r="B2472" s="116">
        <v>421.3</v>
      </c>
      <c r="C2472" s="116">
        <v>415.05</v>
      </c>
      <c r="D2472" s="116">
        <v>413.2</v>
      </c>
      <c r="E2472" s="116">
        <v>421.3</v>
      </c>
      <c r="F2472" s="116">
        <v>415.05</v>
      </c>
      <c r="G2472">
        <v>185498</v>
      </c>
      <c r="H2472" s="116"/>
      <c r="I2472" s="116"/>
      <c r="L2472" s="170">
        <v>45644</v>
      </c>
      <c r="M2472" s="116">
        <v>415</v>
      </c>
      <c r="N2472" s="116">
        <v>421</v>
      </c>
      <c r="O2472" s="116">
        <v>413</v>
      </c>
      <c r="P2472" s="116">
        <v>420.9</v>
      </c>
      <c r="Q2472" s="116">
        <v>415</v>
      </c>
      <c r="R2472">
        <v>6313538</v>
      </c>
    </row>
    <row r="2473" spans="1:18" x14ac:dyDescent="0.25">
      <c r="A2473" s="170">
        <v>45645</v>
      </c>
      <c r="B2473" s="116">
        <v>413.85</v>
      </c>
      <c r="C2473" s="116">
        <v>412.6</v>
      </c>
      <c r="D2473" s="116">
        <v>406.4</v>
      </c>
      <c r="E2473" s="116">
        <v>410</v>
      </c>
      <c r="F2473" s="116">
        <v>412.6</v>
      </c>
      <c r="G2473">
        <v>534719</v>
      </c>
      <c r="H2473" s="116"/>
      <c r="I2473" s="116"/>
      <c r="L2473" s="170">
        <v>45645</v>
      </c>
      <c r="M2473" s="116">
        <v>412.6</v>
      </c>
      <c r="N2473" s="116">
        <v>413.9</v>
      </c>
      <c r="O2473" s="116">
        <v>406.7</v>
      </c>
      <c r="P2473" s="116">
        <v>410</v>
      </c>
      <c r="Q2473" s="116">
        <v>412.6</v>
      </c>
      <c r="R2473">
        <v>7242352</v>
      </c>
    </row>
    <row r="2474" spans="1:18" x14ac:dyDescent="0.25">
      <c r="A2474" s="170">
        <v>45646</v>
      </c>
      <c r="B2474" s="116">
        <v>415.5</v>
      </c>
      <c r="C2474" s="116">
        <v>401.25</v>
      </c>
      <c r="D2474" s="116">
        <v>400.1</v>
      </c>
      <c r="E2474" s="116">
        <v>411</v>
      </c>
      <c r="F2474" s="116">
        <v>401.25</v>
      </c>
      <c r="G2474">
        <v>428743</v>
      </c>
      <c r="H2474" s="116"/>
      <c r="I2474" s="116"/>
      <c r="L2474" s="170">
        <v>45646</v>
      </c>
      <c r="M2474" s="116">
        <v>401.1</v>
      </c>
      <c r="N2474" s="116">
        <v>415.4</v>
      </c>
      <c r="O2474" s="116">
        <v>400.05</v>
      </c>
      <c r="P2474" s="116">
        <v>412.6</v>
      </c>
      <c r="Q2474" s="116">
        <v>401.1</v>
      </c>
      <c r="R2474">
        <v>10205219</v>
      </c>
    </row>
    <row r="2475" spans="1:18" x14ac:dyDescent="0.25">
      <c r="A2475" s="170">
        <v>45649</v>
      </c>
      <c r="B2475" s="116">
        <v>406.35</v>
      </c>
      <c r="C2475" s="116">
        <v>399.85</v>
      </c>
      <c r="D2475" s="116">
        <v>396.85</v>
      </c>
      <c r="E2475" s="116">
        <v>403.45</v>
      </c>
      <c r="F2475" s="116">
        <v>399.85</v>
      </c>
      <c r="G2475">
        <v>1541331</v>
      </c>
      <c r="H2475" s="116"/>
      <c r="I2475" s="116"/>
      <c r="L2475" s="170">
        <v>45649</v>
      </c>
      <c r="M2475" s="116">
        <v>399.9</v>
      </c>
      <c r="N2475" s="116">
        <v>406</v>
      </c>
      <c r="O2475" s="116">
        <v>396.85</v>
      </c>
      <c r="P2475" s="116">
        <v>404.85</v>
      </c>
      <c r="Q2475" s="116">
        <v>399.9</v>
      </c>
      <c r="R2475">
        <v>9052063</v>
      </c>
    </row>
    <row r="2476" spans="1:18" x14ac:dyDescent="0.25">
      <c r="A2476" s="170">
        <v>45650</v>
      </c>
      <c r="B2476" s="116">
        <v>405.35</v>
      </c>
      <c r="C2476" s="116">
        <v>399.4</v>
      </c>
      <c r="D2476" s="116">
        <v>398.4</v>
      </c>
      <c r="E2476" s="116">
        <v>400.9</v>
      </c>
      <c r="F2476" s="116">
        <v>399.4</v>
      </c>
      <c r="G2476">
        <v>252541</v>
      </c>
      <c r="H2476" s="116"/>
      <c r="I2476" s="116"/>
      <c r="L2476" s="170">
        <v>45650</v>
      </c>
      <c r="M2476" s="116">
        <v>399.4</v>
      </c>
      <c r="N2476" s="116">
        <v>405.25</v>
      </c>
      <c r="O2476" s="116">
        <v>398.25</v>
      </c>
      <c r="P2476" s="116">
        <v>400.85</v>
      </c>
      <c r="Q2476" s="116">
        <v>399.4</v>
      </c>
      <c r="R2476">
        <v>6762204</v>
      </c>
    </row>
    <row r="2477" spans="1:18" x14ac:dyDescent="0.25">
      <c r="A2477" s="170">
        <v>45652</v>
      </c>
      <c r="B2477" s="116">
        <v>407.95</v>
      </c>
      <c r="C2477" s="116">
        <v>403.8</v>
      </c>
      <c r="D2477" s="116">
        <v>397.8</v>
      </c>
      <c r="E2477" s="116">
        <v>401.65</v>
      </c>
      <c r="F2477" s="116">
        <v>403.8</v>
      </c>
      <c r="G2477">
        <v>277793</v>
      </c>
      <c r="H2477" s="116"/>
      <c r="I2477" s="116"/>
      <c r="L2477" s="170">
        <v>45652</v>
      </c>
      <c r="M2477" s="116">
        <v>404.3</v>
      </c>
      <c r="N2477" s="116">
        <v>408</v>
      </c>
      <c r="O2477" s="116">
        <v>397.7</v>
      </c>
      <c r="P2477" s="116">
        <v>401</v>
      </c>
      <c r="Q2477" s="116">
        <v>404.3</v>
      </c>
      <c r="R2477">
        <v>8622771</v>
      </c>
    </row>
    <row r="2478" spans="1:18" x14ac:dyDescent="0.25">
      <c r="A2478" s="170">
        <v>45653</v>
      </c>
      <c r="B2478" s="116">
        <v>408.2</v>
      </c>
      <c r="C2478" s="116">
        <v>399.1</v>
      </c>
      <c r="D2478" s="116">
        <v>398.25</v>
      </c>
      <c r="E2478" s="116">
        <v>406</v>
      </c>
      <c r="F2478" s="116">
        <v>399.1</v>
      </c>
      <c r="G2478">
        <v>537484</v>
      </c>
      <c r="H2478" s="116"/>
      <c r="I2478" s="116"/>
      <c r="L2478" s="170">
        <v>45653</v>
      </c>
      <c r="M2478" s="116">
        <v>399</v>
      </c>
      <c r="N2478" s="116">
        <v>408</v>
      </c>
      <c r="O2478" s="116">
        <v>398.15</v>
      </c>
      <c r="P2478" s="116">
        <v>406</v>
      </c>
      <c r="Q2478" s="116">
        <v>399</v>
      </c>
      <c r="R2478">
        <v>5983308</v>
      </c>
    </row>
    <row r="2479" spans="1:18" x14ac:dyDescent="0.25">
      <c r="A2479" s="170">
        <v>45656</v>
      </c>
      <c r="B2479" s="116">
        <v>400.4</v>
      </c>
      <c r="C2479" s="116">
        <v>390.3</v>
      </c>
      <c r="D2479" s="116">
        <v>387.3</v>
      </c>
      <c r="E2479" s="116">
        <v>399.15</v>
      </c>
      <c r="F2479" s="116">
        <v>390.3</v>
      </c>
      <c r="G2479">
        <v>990052</v>
      </c>
      <c r="H2479" s="116"/>
      <c r="I2479" s="116"/>
      <c r="L2479" s="170">
        <v>45656</v>
      </c>
      <c r="M2479" s="116">
        <v>389.75</v>
      </c>
      <c r="N2479" s="116">
        <v>400.3</v>
      </c>
      <c r="O2479" s="116">
        <v>387</v>
      </c>
      <c r="P2479" s="116">
        <v>399.6</v>
      </c>
      <c r="Q2479" s="116">
        <v>389.75</v>
      </c>
      <c r="R2479">
        <v>29023595</v>
      </c>
    </row>
    <row r="2480" spans="1:18" x14ac:dyDescent="0.25">
      <c r="A2480" s="170">
        <v>45657</v>
      </c>
      <c r="B2480" s="116">
        <v>395</v>
      </c>
      <c r="C2480" s="116">
        <v>392.4</v>
      </c>
      <c r="D2480" s="116">
        <v>385.45</v>
      </c>
      <c r="E2480" s="116">
        <v>389.15</v>
      </c>
      <c r="F2480" s="116">
        <v>392.4</v>
      </c>
      <c r="G2480">
        <v>782500</v>
      </c>
      <c r="H2480" s="116"/>
      <c r="I2480" s="116"/>
      <c r="L2480" s="170">
        <v>45657</v>
      </c>
      <c r="M2480" s="116">
        <v>392.4</v>
      </c>
      <c r="N2480" s="116">
        <v>395</v>
      </c>
      <c r="O2480" s="116">
        <v>385.5</v>
      </c>
      <c r="P2480" s="116">
        <v>389.5</v>
      </c>
      <c r="Q2480" s="116">
        <v>392.4</v>
      </c>
      <c r="R2480">
        <v>9685224</v>
      </c>
    </row>
    <row r="2481" spans="1:18" x14ac:dyDescent="0.25">
      <c r="A2481" s="170">
        <v>45658</v>
      </c>
      <c r="B2481" s="116">
        <v>394.55</v>
      </c>
      <c r="C2481" s="116">
        <v>392.4</v>
      </c>
      <c r="D2481" s="116">
        <v>389.35</v>
      </c>
      <c r="E2481" s="116">
        <v>393</v>
      </c>
      <c r="F2481" s="116">
        <v>392.4</v>
      </c>
      <c r="G2481">
        <v>461683</v>
      </c>
      <c r="H2481" s="116"/>
      <c r="I2481" s="116"/>
      <c r="L2481" s="170">
        <v>45658</v>
      </c>
      <c r="M2481" s="116">
        <v>392.35</v>
      </c>
      <c r="N2481" s="116">
        <v>394.2</v>
      </c>
      <c r="O2481" s="116">
        <v>389.3</v>
      </c>
      <c r="P2481" s="116">
        <v>392.5</v>
      </c>
      <c r="Q2481" s="116">
        <v>392.35</v>
      </c>
      <c r="R2481">
        <v>4404708</v>
      </c>
    </row>
    <row r="2482" spans="1:18" x14ac:dyDescent="0.25">
      <c r="A2482" s="170">
        <v>45659</v>
      </c>
      <c r="B2482" s="116">
        <v>396.9</v>
      </c>
      <c r="C2482" s="116">
        <v>395.55</v>
      </c>
      <c r="D2482" s="116">
        <v>387.5</v>
      </c>
      <c r="E2482" s="116">
        <v>393</v>
      </c>
      <c r="F2482" s="116">
        <v>395.55</v>
      </c>
      <c r="G2482">
        <v>618699</v>
      </c>
      <c r="H2482" s="116"/>
      <c r="I2482" s="116"/>
      <c r="L2482" s="170">
        <v>45659</v>
      </c>
      <c r="M2482" s="116">
        <v>395.5</v>
      </c>
      <c r="N2482" s="116">
        <v>397</v>
      </c>
      <c r="O2482" s="116">
        <v>387.1</v>
      </c>
      <c r="P2482" s="116">
        <v>392</v>
      </c>
      <c r="Q2482" s="116">
        <v>395.5</v>
      </c>
      <c r="R2482">
        <v>11244310</v>
      </c>
    </row>
    <row r="2483" spans="1:18" x14ac:dyDescent="0.25">
      <c r="A2483" s="170">
        <v>45660</v>
      </c>
      <c r="B2483" s="116">
        <v>402.9</v>
      </c>
      <c r="C2483" s="116">
        <v>396.65</v>
      </c>
      <c r="D2483" s="116">
        <v>395</v>
      </c>
      <c r="E2483" s="116">
        <v>396</v>
      </c>
      <c r="F2483" s="116">
        <v>396.65</v>
      </c>
      <c r="G2483">
        <v>1564367</v>
      </c>
      <c r="H2483" s="116"/>
      <c r="I2483" s="116"/>
      <c r="L2483" s="170">
        <v>45660</v>
      </c>
      <c r="M2483" s="116">
        <v>396.65</v>
      </c>
      <c r="N2483" s="116">
        <v>402.95</v>
      </c>
      <c r="O2483" s="116">
        <v>395.45</v>
      </c>
      <c r="P2483" s="116">
        <v>396</v>
      </c>
      <c r="Q2483" s="116">
        <v>396.65</v>
      </c>
      <c r="R2483">
        <v>8254584</v>
      </c>
    </row>
    <row r="2484" spans="1:18" x14ac:dyDescent="0.25">
      <c r="A2484" s="170">
        <v>45663</v>
      </c>
      <c r="B2484" s="116">
        <v>397</v>
      </c>
      <c r="C2484" s="116">
        <v>378.8</v>
      </c>
      <c r="D2484" s="116">
        <v>377.15</v>
      </c>
      <c r="E2484" s="116">
        <v>396.65</v>
      </c>
      <c r="F2484" s="116">
        <v>378.8</v>
      </c>
      <c r="G2484">
        <v>593147</v>
      </c>
      <c r="H2484" s="116"/>
      <c r="I2484" s="116"/>
      <c r="L2484" s="170">
        <v>45663</v>
      </c>
      <c r="M2484" s="116">
        <v>378.65</v>
      </c>
      <c r="N2484" s="116">
        <v>397</v>
      </c>
      <c r="O2484" s="116">
        <v>377</v>
      </c>
      <c r="P2484" s="116">
        <v>397</v>
      </c>
      <c r="Q2484" s="116">
        <v>378.65</v>
      </c>
      <c r="R2484">
        <v>11688108</v>
      </c>
    </row>
    <row r="2485" spans="1:18" x14ac:dyDescent="0.25">
      <c r="A2485" s="170">
        <v>45664</v>
      </c>
      <c r="B2485" s="116">
        <v>384.5</v>
      </c>
      <c r="C2485" s="116">
        <v>378.9</v>
      </c>
      <c r="D2485" s="116">
        <v>377.5</v>
      </c>
      <c r="E2485" s="116">
        <v>379.6</v>
      </c>
      <c r="F2485" s="116">
        <v>378.9</v>
      </c>
      <c r="G2485">
        <v>682914</v>
      </c>
      <c r="H2485" s="116"/>
      <c r="I2485" s="116"/>
      <c r="L2485" s="170">
        <v>45664</v>
      </c>
      <c r="M2485" s="116">
        <v>378.75</v>
      </c>
      <c r="N2485" s="116">
        <v>384.45</v>
      </c>
      <c r="O2485" s="116">
        <v>377.55</v>
      </c>
      <c r="P2485" s="116">
        <v>380</v>
      </c>
      <c r="Q2485" s="116">
        <v>378.75</v>
      </c>
      <c r="R2485">
        <v>7289119</v>
      </c>
    </row>
    <row r="2486" spans="1:18" x14ac:dyDescent="0.25">
      <c r="A2486" s="170">
        <v>45665</v>
      </c>
      <c r="B2486" s="116">
        <v>380.3</v>
      </c>
      <c r="C2486" s="116">
        <v>373.95</v>
      </c>
      <c r="D2486" s="116">
        <v>372.05</v>
      </c>
      <c r="E2486" s="116">
        <v>379.15</v>
      </c>
      <c r="F2486" s="116">
        <v>373.95</v>
      </c>
      <c r="G2486">
        <v>852696</v>
      </c>
      <c r="H2486" s="116"/>
      <c r="I2486" s="116"/>
      <c r="L2486" s="170">
        <v>45665</v>
      </c>
      <c r="M2486" s="116">
        <v>374.05</v>
      </c>
      <c r="N2486" s="116">
        <v>380.45</v>
      </c>
      <c r="O2486" s="116">
        <v>372.05</v>
      </c>
      <c r="P2486" s="116">
        <v>379.5</v>
      </c>
      <c r="Q2486" s="116">
        <v>374.05</v>
      </c>
      <c r="R2486">
        <v>8183207</v>
      </c>
    </row>
    <row r="2487" spans="1:18" x14ac:dyDescent="0.25">
      <c r="A2487" s="170">
        <v>45666</v>
      </c>
      <c r="B2487" s="116">
        <v>376</v>
      </c>
      <c r="C2487" s="116">
        <v>367.1</v>
      </c>
      <c r="D2487" s="116">
        <v>366.15</v>
      </c>
      <c r="E2487" s="116">
        <v>374.05</v>
      </c>
      <c r="F2487" s="116">
        <v>367.1</v>
      </c>
      <c r="G2487">
        <v>301144</v>
      </c>
      <c r="H2487" s="116"/>
      <c r="I2487" s="116"/>
      <c r="L2487" s="170">
        <v>45666</v>
      </c>
      <c r="M2487" s="116">
        <v>367.15</v>
      </c>
      <c r="N2487" s="116">
        <v>376</v>
      </c>
      <c r="O2487" s="116">
        <v>366</v>
      </c>
      <c r="P2487" s="116">
        <v>374.05</v>
      </c>
      <c r="Q2487" s="116">
        <v>367.15</v>
      </c>
      <c r="R2487">
        <v>6423717</v>
      </c>
    </row>
    <row r="2488" spans="1:18" x14ac:dyDescent="0.25">
      <c r="A2488" s="170">
        <v>45667</v>
      </c>
      <c r="B2488" s="116">
        <v>367.7</v>
      </c>
      <c r="C2488" s="116">
        <v>356.3</v>
      </c>
      <c r="D2488" s="116">
        <v>355.1</v>
      </c>
      <c r="E2488" s="116">
        <v>367.1</v>
      </c>
      <c r="F2488" s="116">
        <v>356.3</v>
      </c>
      <c r="G2488">
        <v>438198</v>
      </c>
      <c r="H2488" s="116"/>
      <c r="I2488" s="116"/>
      <c r="L2488" s="170">
        <v>45667</v>
      </c>
      <c r="M2488" s="116">
        <v>356.35</v>
      </c>
      <c r="N2488" s="116">
        <v>368.5</v>
      </c>
      <c r="O2488" s="116">
        <v>355.05</v>
      </c>
      <c r="P2488" s="116">
        <v>367.15</v>
      </c>
      <c r="Q2488" s="116">
        <v>356.35</v>
      </c>
      <c r="R2488">
        <v>9579404</v>
      </c>
    </row>
    <row r="2489" spans="1:18" x14ac:dyDescent="0.25">
      <c r="A2489" s="170">
        <v>45670</v>
      </c>
      <c r="B2489" s="116">
        <v>354.9</v>
      </c>
      <c r="C2489" s="116">
        <v>340.1</v>
      </c>
      <c r="D2489" s="116">
        <v>338.5</v>
      </c>
      <c r="E2489" s="116">
        <v>352.6</v>
      </c>
      <c r="F2489" s="116">
        <v>340.1</v>
      </c>
      <c r="G2489">
        <v>483665</v>
      </c>
      <c r="H2489" s="116"/>
      <c r="I2489" s="116"/>
      <c r="L2489" s="170">
        <v>45670</v>
      </c>
      <c r="M2489" s="116">
        <v>339.95</v>
      </c>
      <c r="N2489" s="116">
        <v>354.85</v>
      </c>
      <c r="O2489" s="116">
        <v>338.4</v>
      </c>
      <c r="P2489" s="116">
        <v>350</v>
      </c>
      <c r="Q2489" s="116">
        <v>339.95</v>
      </c>
      <c r="R2489">
        <v>11236512</v>
      </c>
    </row>
    <row r="2490" spans="1:18" x14ac:dyDescent="0.25">
      <c r="A2490" s="170">
        <v>45671</v>
      </c>
      <c r="B2490" s="116">
        <v>358.3</v>
      </c>
      <c r="C2490" s="116">
        <v>357.15</v>
      </c>
      <c r="D2490" s="116">
        <v>340.9</v>
      </c>
      <c r="E2490" s="116">
        <v>340.9</v>
      </c>
      <c r="F2490" s="116">
        <v>357.15</v>
      </c>
      <c r="G2490">
        <v>955194</v>
      </c>
      <c r="H2490" s="116"/>
      <c r="I2490" s="116"/>
      <c r="L2490" s="170">
        <v>45671</v>
      </c>
      <c r="M2490" s="116">
        <v>356.95</v>
      </c>
      <c r="N2490" s="116">
        <v>358.15</v>
      </c>
      <c r="O2490" s="116">
        <v>341</v>
      </c>
      <c r="P2490" s="116">
        <v>341</v>
      </c>
      <c r="Q2490" s="116">
        <v>356.95</v>
      </c>
      <c r="R2490">
        <v>11846097</v>
      </c>
    </row>
    <row r="2491" spans="1:18" x14ac:dyDescent="0.25">
      <c r="A2491" s="170">
        <v>45672</v>
      </c>
      <c r="B2491" s="116">
        <v>371.5</v>
      </c>
      <c r="C2491" s="116">
        <v>365.5</v>
      </c>
      <c r="D2491" s="116">
        <v>355.85</v>
      </c>
      <c r="E2491" s="116">
        <v>360.7</v>
      </c>
      <c r="F2491" s="116">
        <v>365.5</v>
      </c>
      <c r="G2491">
        <v>996448</v>
      </c>
      <c r="H2491" s="116"/>
      <c r="I2491" s="116"/>
      <c r="L2491" s="170">
        <v>45672</v>
      </c>
      <c r="M2491" s="116">
        <v>365.45</v>
      </c>
      <c r="N2491" s="116">
        <v>371.6</v>
      </c>
      <c r="O2491" s="116">
        <v>355.95</v>
      </c>
      <c r="P2491" s="116">
        <v>360</v>
      </c>
      <c r="Q2491" s="116">
        <v>365.45</v>
      </c>
      <c r="R2491">
        <v>11046133</v>
      </c>
    </row>
    <row r="2492" spans="1:18" x14ac:dyDescent="0.25">
      <c r="A2492" s="170">
        <v>45673</v>
      </c>
      <c r="B2492" s="116">
        <v>373.8</v>
      </c>
      <c r="C2492" s="116">
        <v>368.95</v>
      </c>
      <c r="D2492" s="116">
        <v>368.15</v>
      </c>
      <c r="E2492" s="116">
        <v>372.25</v>
      </c>
      <c r="F2492" s="116">
        <v>368.95</v>
      </c>
      <c r="G2492">
        <v>542209</v>
      </c>
      <c r="H2492" s="116"/>
      <c r="I2492" s="116"/>
      <c r="L2492" s="170">
        <v>45673</v>
      </c>
      <c r="M2492" s="116">
        <v>368.9</v>
      </c>
      <c r="N2492" s="116">
        <v>374</v>
      </c>
      <c r="O2492" s="116">
        <v>368.05</v>
      </c>
      <c r="P2492" s="116">
        <v>371.8</v>
      </c>
      <c r="Q2492" s="116">
        <v>368.9</v>
      </c>
      <c r="R2492">
        <v>5888896</v>
      </c>
    </row>
    <row r="2493" spans="1:18" x14ac:dyDescent="0.25">
      <c r="A2493" s="170">
        <v>45674</v>
      </c>
      <c r="B2493" s="116">
        <v>375.45</v>
      </c>
      <c r="C2493" s="116">
        <v>373.65</v>
      </c>
      <c r="D2493" s="116">
        <v>365.05</v>
      </c>
      <c r="E2493" s="116">
        <v>368.85</v>
      </c>
      <c r="F2493" s="116">
        <v>373.65</v>
      </c>
      <c r="G2493">
        <v>570677</v>
      </c>
      <c r="H2493" s="116"/>
      <c r="I2493" s="116"/>
      <c r="L2493" s="170">
        <v>45674</v>
      </c>
      <c r="M2493" s="116">
        <v>373.6</v>
      </c>
      <c r="N2493" s="116">
        <v>375.4</v>
      </c>
      <c r="O2493" s="116">
        <v>365.3</v>
      </c>
      <c r="P2493" s="116">
        <v>368.45</v>
      </c>
      <c r="Q2493" s="116">
        <v>373.6</v>
      </c>
      <c r="R2493">
        <v>5504954</v>
      </c>
    </row>
    <row r="2494" spans="1:18" x14ac:dyDescent="0.25">
      <c r="A2494" s="170">
        <v>45677</v>
      </c>
      <c r="B2494" s="116">
        <v>376.15</v>
      </c>
      <c r="C2494" s="116">
        <v>374.45</v>
      </c>
      <c r="D2494" s="116">
        <v>371</v>
      </c>
      <c r="E2494" s="116">
        <v>374.45</v>
      </c>
      <c r="F2494" s="116">
        <v>374.45</v>
      </c>
      <c r="G2494">
        <v>414419</v>
      </c>
      <c r="H2494" s="116"/>
      <c r="I2494" s="116"/>
      <c r="L2494" s="170">
        <v>45677</v>
      </c>
      <c r="M2494" s="116">
        <v>374.45</v>
      </c>
      <c r="N2494" s="116">
        <v>376.2</v>
      </c>
      <c r="O2494" s="116">
        <v>371</v>
      </c>
      <c r="P2494" s="116">
        <v>374.85</v>
      </c>
      <c r="Q2494" s="116">
        <v>374.45</v>
      </c>
      <c r="R2494">
        <v>3436674</v>
      </c>
    </row>
    <row r="2495" spans="1:18" x14ac:dyDescent="0.25">
      <c r="A2495" s="170">
        <v>45678</v>
      </c>
      <c r="B2495" s="116">
        <v>376.2</v>
      </c>
      <c r="C2495" s="116">
        <v>365.95</v>
      </c>
      <c r="D2495" s="116">
        <v>365.35</v>
      </c>
      <c r="E2495" s="116">
        <v>374.9</v>
      </c>
      <c r="F2495" s="116">
        <v>365.95</v>
      </c>
      <c r="G2495">
        <v>205312</v>
      </c>
      <c r="H2495" s="116"/>
      <c r="I2495" s="116"/>
      <c r="L2495" s="170">
        <v>45678</v>
      </c>
      <c r="M2495" s="116">
        <v>365.9</v>
      </c>
      <c r="N2495" s="116">
        <v>376.1</v>
      </c>
      <c r="O2495" s="116">
        <v>365.2</v>
      </c>
      <c r="P2495" s="116">
        <v>374.45</v>
      </c>
      <c r="Q2495" s="116">
        <v>365.9</v>
      </c>
      <c r="R2495">
        <v>5074789</v>
      </c>
    </row>
    <row r="2496" spans="1:18" x14ac:dyDescent="0.25">
      <c r="A2496" s="170">
        <v>45679</v>
      </c>
      <c r="B2496" s="116">
        <v>368.4</v>
      </c>
      <c r="C2496" s="116">
        <v>358.75</v>
      </c>
      <c r="D2496" s="116">
        <v>352.2</v>
      </c>
      <c r="E2496" s="116">
        <v>368.4</v>
      </c>
      <c r="F2496" s="116">
        <v>358.75</v>
      </c>
      <c r="G2496">
        <v>785600</v>
      </c>
      <c r="H2496" s="116"/>
      <c r="I2496" s="116"/>
      <c r="L2496" s="170">
        <v>45679</v>
      </c>
      <c r="M2496" s="116">
        <v>358.85</v>
      </c>
      <c r="N2496" s="116">
        <v>368.65</v>
      </c>
      <c r="O2496" s="116">
        <v>352.15</v>
      </c>
      <c r="P2496" s="116">
        <v>368</v>
      </c>
      <c r="Q2496" s="116">
        <v>358.85</v>
      </c>
      <c r="R2496">
        <v>5952212</v>
      </c>
    </row>
    <row r="2497" spans="1:18" x14ac:dyDescent="0.25">
      <c r="A2497" s="170">
        <v>45680</v>
      </c>
      <c r="B2497" s="116">
        <v>365.85</v>
      </c>
      <c r="C2497" s="116">
        <v>362.8</v>
      </c>
      <c r="D2497" s="116">
        <v>355.55</v>
      </c>
      <c r="E2497" s="116">
        <v>357.7</v>
      </c>
      <c r="F2497" s="116">
        <v>362.8</v>
      </c>
      <c r="G2497">
        <v>172325</v>
      </c>
      <c r="H2497" s="116"/>
      <c r="I2497" s="116"/>
      <c r="L2497" s="170">
        <v>45680</v>
      </c>
      <c r="M2497" s="116">
        <v>362.75</v>
      </c>
      <c r="N2497" s="116">
        <v>365.9</v>
      </c>
      <c r="O2497" s="116">
        <v>355.1</v>
      </c>
      <c r="P2497" s="116">
        <v>357.5</v>
      </c>
      <c r="Q2497" s="116">
        <v>362.75</v>
      </c>
      <c r="R2497">
        <v>4886732</v>
      </c>
    </row>
    <row r="2498" spans="1:18" x14ac:dyDescent="0.25">
      <c r="A2498" s="170">
        <v>45681</v>
      </c>
      <c r="B2498" s="116">
        <v>370.75</v>
      </c>
      <c r="C2498" s="116">
        <v>363.35</v>
      </c>
      <c r="D2498" s="116">
        <v>362.3</v>
      </c>
      <c r="E2498" s="116">
        <v>362.3</v>
      </c>
      <c r="F2498" s="116">
        <v>363.35</v>
      </c>
      <c r="G2498">
        <v>731511</v>
      </c>
      <c r="H2498" s="116"/>
      <c r="I2498" s="116"/>
      <c r="L2498" s="170">
        <v>45681</v>
      </c>
      <c r="M2498" s="116">
        <v>363.4</v>
      </c>
      <c r="N2498" s="116">
        <v>370.7</v>
      </c>
      <c r="O2498" s="116">
        <v>362.2</v>
      </c>
      <c r="P2498" s="116">
        <v>362.75</v>
      </c>
      <c r="Q2498" s="116">
        <v>363.4</v>
      </c>
      <c r="R2498">
        <v>7966520</v>
      </c>
    </row>
    <row r="2499" spans="1:18" x14ac:dyDescent="0.25">
      <c r="A2499" s="170">
        <v>45684</v>
      </c>
      <c r="B2499" s="116">
        <v>361.4</v>
      </c>
      <c r="C2499" s="116">
        <v>351.85</v>
      </c>
      <c r="D2499" s="116">
        <v>350.2</v>
      </c>
      <c r="E2499" s="116">
        <v>361.4</v>
      </c>
      <c r="F2499" s="116">
        <v>351.85</v>
      </c>
      <c r="G2499">
        <v>446025</v>
      </c>
      <c r="H2499" s="116"/>
      <c r="I2499" s="116"/>
      <c r="L2499" s="170">
        <v>45684</v>
      </c>
      <c r="M2499" s="116">
        <v>351.9</v>
      </c>
      <c r="N2499" s="116">
        <v>361</v>
      </c>
      <c r="O2499" s="116">
        <v>350.1</v>
      </c>
      <c r="P2499" s="116">
        <v>361</v>
      </c>
      <c r="Q2499" s="116">
        <v>351.9</v>
      </c>
      <c r="R2499">
        <v>6562351</v>
      </c>
    </row>
    <row r="2500" spans="1:18" x14ac:dyDescent="0.25">
      <c r="A2500" s="170">
        <v>45685</v>
      </c>
      <c r="B2500" s="116">
        <v>356.3</v>
      </c>
      <c r="C2500" s="116">
        <v>346.3</v>
      </c>
      <c r="D2500" s="116">
        <v>343.35</v>
      </c>
      <c r="E2500" s="116">
        <v>355.1</v>
      </c>
      <c r="F2500" s="116">
        <v>346.3</v>
      </c>
      <c r="G2500">
        <v>318781</v>
      </c>
      <c r="H2500" s="116"/>
      <c r="I2500" s="116"/>
      <c r="L2500" s="170">
        <v>45685</v>
      </c>
      <c r="M2500" s="116">
        <v>346.35</v>
      </c>
      <c r="N2500" s="116">
        <v>356.1</v>
      </c>
      <c r="O2500" s="116">
        <v>342.95</v>
      </c>
      <c r="P2500" s="116">
        <v>355.5</v>
      </c>
      <c r="Q2500" s="116">
        <v>346.35</v>
      </c>
      <c r="R2500">
        <v>9189775</v>
      </c>
    </row>
    <row r="2501" spans="1:18" x14ac:dyDescent="0.25">
      <c r="A2501" s="170">
        <v>45686</v>
      </c>
      <c r="B2501" s="116">
        <v>352.4</v>
      </c>
      <c r="C2501" s="116">
        <v>351.05</v>
      </c>
      <c r="D2501" s="116">
        <v>345</v>
      </c>
      <c r="E2501" s="116">
        <v>346.3</v>
      </c>
      <c r="F2501" s="116">
        <v>351.05</v>
      </c>
      <c r="G2501">
        <v>659727</v>
      </c>
      <c r="H2501" s="116"/>
      <c r="I2501" s="116"/>
      <c r="L2501" s="170">
        <v>45686</v>
      </c>
      <c r="M2501" s="116">
        <v>350.95</v>
      </c>
      <c r="N2501" s="116">
        <v>352.45</v>
      </c>
      <c r="O2501" s="116">
        <v>345</v>
      </c>
      <c r="P2501" s="116">
        <v>346.35</v>
      </c>
      <c r="Q2501" s="116">
        <v>350.95</v>
      </c>
      <c r="R2501">
        <v>6707937</v>
      </c>
    </row>
    <row r="2502" spans="1:18" x14ac:dyDescent="0.25">
      <c r="A2502" s="170">
        <v>45687</v>
      </c>
      <c r="B2502" s="116">
        <v>356.2</v>
      </c>
      <c r="C2502" s="116">
        <v>352.15</v>
      </c>
      <c r="D2502" s="116">
        <v>348.35</v>
      </c>
      <c r="E2502" s="116">
        <v>353.25</v>
      </c>
      <c r="F2502" s="116">
        <v>352.15</v>
      </c>
      <c r="G2502">
        <v>577921</v>
      </c>
      <c r="H2502" s="116"/>
      <c r="I2502" s="116"/>
      <c r="L2502" s="170">
        <v>45687</v>
      </c>
      <c r="M2502" s="116">
        <v>352.15</v>
      </c>
      <c r="N2502" s="116">
        <v>356.25</v>
      </c>
      <c r="O2502" s="116">
        <v>348.4</v>
      </c>
      <c r="P2502" s="116">
        <v>352</v>
      </c>
      <c r="Q2502" s="116">
        <v>352.15</v>
      </c>
      <c r="R2502">
        <v>7304454</v>
      </c>
    </row>
    <row r="2503" spans="1:18" x14ac:dyDescent="0.25">
      <c r="A2503" s="170">
        <v>45688</v>
      </c>
      <c r="B2503" s="116">
        <v>366.8</v>
      </c>
      <c r="C2503" s="116">
        <v>364.25</v>
      </c>
      <c r="D2503" s="116">
        <v>350.4</v>
      </c>
      <c r="E2503" s="116">
        <v>353</v>
      </c>
      <c r="F2503" s="116">
        <v>364.25</v>
      </c>
      <c r="G2503">
        <v>688569</v>
      </c>
      <c r="H2503" s="116"/>
      <c r="I2503" s="116"/>
      <c r="L2503" s="170">
        <v>45688</v>
      </c>
      <c r="M2503" s="116">
        <v>364.5</v>
      </c>
      <c r="N2503" s="116">
        <v>366.95</v>
      </c>
      <c r="O2503" s="116">
        <v>350.1</v>
      </c>
      <c r="P2503" s="116">
        <v>353</v>
      </c>
      <c r="Q2503" s="116">
        <v>364.5</v>
      </c>
      <c r="R2503">
        <v>7026507</v>
      </c>
    </row>
    <row r="2504" spans="1:18" x14ac:dyDescent="0.25">
      <c r="A2504" s="170">
        <v>45689</v>
      </c>
      <c r="B2504" s="116">
        <v>378.95</v>
      </c>
      <c r="C2504" s="116">
        <v>368.35</v>
      </c>
      <c r="D2504" s="116">
        <v>361.3</v>
      </c>
      <c r="E2504" s="116">
        <v>368.85</v>
      </c>
      <c r="F2504" s="116">
        <v>368.35</v>
      </c>
      <c r="G2504">
        <v>911593</v>
      </c>
      <c r="H2504" s="116"/>
      <c r="I2504" s="116"/>
      <c r="L2504" s="170">
        <v>45689</v>
      </c>
      <c r="M2504" s="116">
        <v>368.4</v>
      </c>
      <c r="N2504" s="116">
        <v>379</v>
      </c>
      <c r="O2504" s="116">
        <v>361.35</v>
      </c>
      <c r="P2504" s="116">
        <v>367.9</v>
      </c>
      <c r="Q2504" s="116">
        <v>368.4</v>
      </c>
      <c r="R2504">
        <v>14485333</v>
      </c>
    </row>
    <row r="2505" spans="1:18" x14ac:dyDescent="0.25">
      <c r="A2505" s="170">
        <v>45691</v>
      </c>
      <c r="B2505" s="116">
        <v>367.35</v>
      </c>
      <c r="C2505" s="116">
        <v>354.85</v>
      </c>
      <c r="D2505" s="116">
        <v>351.55</v>
      </c>
      <c r="E2505" s="116">
        <v>367.35</v>
      </c>
      <c r="F2505" s="116">
        <v>354.85</v>
      </c>
      <c r="G2505">
        <v>368742</v>
      </c>
      <c r="H2505" s="116"/>
      <c r="I2505" s="116"/>
      <c r="L2505" s="170">
        <v>45691</v>
      </c>
      <c r="M2505" s="116">
        <v>354.9</v>
      </c>
      <c r="N2505" s="116">
        <v>367</v>
      </c>
      <c r="O2505" s="116">
        <v>351.5</v>
      </c>
      <c r="P2505" s="116">
        <v>367</v>
      </c>
      <c r="Q2505" s="116">
        <v>354.9</v>
      </c>
      <c r="R2505">
        <v>8346246</v>
      </c>
    </row>
    <row r="2506" spans="1:18" x14ac:dyDescent="0.25">
      <c r="A2506" s="170">
        <v>45692</v>
      </c>
      <c r="B2506" s="116">
        <v>363.5</v>
      </c>
      <c r="C2506" s="116">
        <v>362.15</v>
      </c>
      <c r="D2506" s="116">
        <v>353.75</v>
      </c>
      <c r="E2506" s="116">
        <v>356.45</v>
      </c>
      <c r="F2506" s="116">
        <v>362.15</v>
      </c>
      <c r="G2506">
        <v>308214</v>
      </c>
      <c r="H2506" s="116"/>
      <c r="I2506" s="116"/>
      <c r="L2506" s="170">
        <v>45692</v>
      </c>
      <c r="M2506" s="116">
        <v>362.05</v>
      </c>
      <c r="N2506" s="116">
        <v>363.6</v>
      </c>
      <c r="O2506" s="116">
        <v>353.75</v>
      </c>
      <c r="P2506" s="116">
        <v>359</v>
      </c>
      <c r="Q2506" s="116">
        <v>362.05</v>
      </c>
      <c r="R2506">
        <v>7633708</v>
      </c>
    </row>
    <row r="2507" spans="1:18" x14ac:dyDescent="0.25">
      <c r="A2507" s="170">
        <v>45693</v>
      </c>
      <c r="B2507" s="116">
        <v>375</v>
      </c>
      <c r="C2507" s="116">
        <v>366.2</v>
      </c>
      <c r="D2507" s="116">
        <v>363.15</v>
      </c>
      <c r="E2507" s="116">
        <v>369.85</v>
      </c>
      <c r="F2507" s="116">
        <v>366.2</v>
      </c>
      <c r="G2507">
        <v>982875</v>
      </c>
      <c r="H2507" s="116"/>
      <c r="I2507" s="116"/>
      <c r="L2507" s="170">
        <v>45693</v>
      </c>
      <c r="M2507" s="116">
        <v>366.2</v>
      </c>
      <c r="N2507" s="116">
        <v>375</v>
      </c>
      <c r="O2507" s="116">
        <v>362.5</v>
      </c>
      <c r="P2507" s="116">
        <v>366.45</v>
      </c>
      <c r="Q2507" s="116">
        <v>366.2</v>
      </c>
      <c r="R2507">
        <v>16453177</v>
      </c>
    </row>
    <row r="2508" spans="1:18" x14ac:dyDescent="0.25">
      <c r="A2508" s="170">
        <v>45694</v>
      </c>
      <c r="B2508" s="116">
        <v>371.8</v>
      </c>
      <c r="C2508" s="116">
        <v>365.4</v>
      </c>
      <c r="D2508" s="116">
        <v>362.55</v>
      </c>
      <c r="E2508" s="116">
        <v>371.2</v>
      </c>
      <c r="F2508" s="116">
        <v>365.4</v>
      </c>
      <c r="G2508">
        <v>477060</v>
      </c>
      <c r="H2508" s="116"/>
      <c r="I2508" s="116"/>
      <c r="L2508" s="170">
        <v>45694</v>
      </c>
      <c r="M2508" s="116">
        <v>365.35</v>
      </c>
      <c r="N2508" s="116">
        <v>371.85</v>
      </c>
      <c r="O2508" s="116">
        <v>362.5</v>
      </c>
      <c r="P2508" s="116">
        <v>370.8</v>
      </c>
      <c r="Q2508" s="116">
        <v>365.35</v>
      </c>
      <c r="R2508">
        <v>7562113</v>
      </c>
    </row>
    <row r="2509" spans="1:18" x14ac:dyDescent="0.25">
      <c r="A2509" s="170">
        <v>45695</v>
      </c>
      <c r="B2509" s="116">
        <v>372.65</v>
      </c>
      <c r="C2509" s="116">
        <v>366.75</v>
      </c>
      <c r="D2509" s="116">
        <v>364</v>
      </c>
      <c r="E2509" s="116">
        <v>365.5</v>
      </c>
      <c r="F2509" s="116">
        <v>366.75</v>
      </c>
      <c r="G2509">
        <v>574316</v>
      </c>
      <c r="H2509" s="116"/>
      <c r="I2509" s="116"/>
      <c r="L2509" s="170">
        <v>45695</v>
      </c>
      <c r="M2509" s="116">
        <v>367.1</v>
      </c>
      <c r="N2509" s="116">
        <v>372.8</v>
      </c>
      <c r="O2509" s="116">
        <v>363.85</v>
      </c>
      <c r="P2509" s="116">
        <v>365.55</v>
      </c>
      <c r="Q2509" s="116">
        <v>367.1</v>
      </c>
      <c r="R2509">
        <v>5469279</v>
      </c>
    </row>
    <row r="2510" spans="1:18" x14ac:dyDescent="0.25">
      <c r="A2510" s="170">
        <v>45698</v>
      </c>
      <c r="B2510" s="116">
        <v>368.4</v>
      </c>
      <c r="C2510" s="116">
        <v>358.2</v>
      </c>
      <c r="D2510" s="116">
        <v>357</v>
      </c>
      <c r="E2510" s="116">
        <v>366.75</v>
      </c>
      <c r="F2510" s="116">
        <v>358.2</v>
      </c>
      <c r="G2510">
        <v>224166</v>
      </c>
      <c r="H2510" s="116"/>
      <c r="I2510" s="116"/>
      <c r="L2510" s="170">
        <v>45698</v>
      </c>
      <c r="M2510" s="116">
        <v>358.2</v>
      </c>
      <c r="N2510" s="116">
        <v>368.95</v>
      </c>
      <c r="O2510" s="116">
        <v>356.85</v>
      </c>
      <c r="P2510" s="116">
        <v>367.05</v>
      </c>
      <c r="Q2510" s="116">
        <v>358.2</v>
      </c>
      <c r="R2510">
        <v>5124415</v>
      </c>
    </row>
    <row r="2511" spans="1:18" x14ac:dyDescent="0.25">
      <c r="A2511" s="170">
        <v>45699</v>
      </c>
      <c r="B2511" s="116">
        <v>358.65</v>
      </c>
      <c r="C2511" s="116">
        <v>349.05</v>
      </c>
      <c r="D2511" s="116">
        <v>347.3</v>
      </c>
      <c r="E2511" s="116">
        <v>358.2</v>
      </c>
      <c r="F2511" s="116">
        <v>349.05</v>
      </c>
      <c r="G2511">
        <v>683260</v>
      </c>
      <c r="H2511" s="116"/>
      <c r="I2511" s="116"/>
      <c r="L2511" s="170">
        <v>45699</v>
      </c>
      <c r="M2511" s="116">
        <v>349.1</v>
      </c>
      <c r="N2511" s="116">
        <v>358.7</v>
      </c>
      <c r="O2511" s="116">
        <v>347.15</v>
      </c>
      <c r="P2511" s="116">
        <v>358.2</v>
      </c>
      <c r="Q2511" s="116">
        <v>349.1</v>
      </c>
      <c r="R2511">
        <v>4620826</v>
      </c>
    </row>
    <row r="2512" spans="1:18" x14ac:dyDescent="0.25">
      <c r="A2512" s="170">
        <v>45700</v>
      </c>
      <c r="B2512" s="116">
        <v>351</v>
      </c>
      <c r="C2512" s="116">
        <v>348.25</v>
      </c>
      <c r="D2512" s="116">
        <v>339</v>
      </c>
      <c r="E2512" s="116">
        <v>348.2</v>
      </c>
      <c r="F2512" s="116">
        <v>348.25</v>
      </c>
      <c r="G2512">
        <v>389213</v>
      </c>
      <c r="H2512" s="116"/>
      <c r="I2512" s="116"/>
      <c r="L2512" s="170">
        <v>45700</v>
      </c>
      <c r="M2512" s="116">
        <v>348.1</v>
      </c>
      <c r="N2512" s="116">
        <v>350.9</v>
      </c>
      <c r="O2512" s="116">
        <v>339</v>
      </c>
      <c r="P2512" s="116">
        <v>349</v>
      </c>
      <c r="Q2512" s="116">
        <v>348.1</v>
      </c>
      <c r="R2512">
        <v>7835524</v>
      </c>
    </row>
    <row r="2513" spans="1:18" x14ac:dyDescent="0.25">
      <c r="A2513" s="170">
        <v>45701</v>
      </c>
      <c r="B2513" s="116">
        <v>357.45</v>
      </c>
      <c r="C2513" s="116">
        <v>347.75</v>
      </c>
      <c r="D2513" s="116">
        <v>346.25</v>
      </c>
      <c r="E2513" s="116">
        <v>350.15</v>
      </c>
      <c r="F2513" s="116">
        <v>347.75</v>
      </c>
      <c r="G2513">
        <v>521519</v>
      </c>
      <c r="H2513" s="116"/>
      <c r="I2513" s="116"/>
      <c r="L2513" s="170">
        <v>45701</v>
      </c>
      <c r="M2513" s="116">
        <v>347.85</v>
      </c>
      <c r="N2513" s="116">
        <v>357.45</v>
      </c>
      <c r="O2513" s="116">
        <v>346.4</v>
      </c>
      <c r="P2513" s="116">
        <v>351.4</v>
      </c>
      <c r="Q2513" s="116">
        <v>347.85</v>
      </c>
      <c r="R2513">
        <v>5816040</v>
      </c>
    </row>
    <row r="2514" spans="1:18" x14ac:dyDescent="0.25">
      <c r="A2514" s="170">
        <v>45702</v>
      </c>
      <c r="B2514" s="116">
        <v>351</v>
      </c>
      <c r="C2514" s="116">
        <v>337.2</v>
      </c>
      <c r="D2514" s="116">
        <v>332.15</v>
      </c>
      <c r="E2514" s="116">
        <v>349.85</v>
      </c>
      <c r="F2514" s="116">
        <v>337.2</v>
      </c>
      <c r="G2514">
        <v>915310</v>
      </c>
      <c r="H2514" s="116"/>
      <c r="I2514" s="116"/>
      <c r="L2514" s="170">
        <v>45702</v>
      </c>
      <c r="M2514" s="116">
        <v>337.15</v>
      </c>
      <c r="N2514" s="116">
        <v>351.15</v>
      </c>
      <c r="O2514" s="116">
        <v>332</v>
      </c>
      <c r="P2514" s="116">
        <v>349.05</v>
      </c>
      <c r="Q2514" s="116">
        <v>337.15</v>
      </c>
      <c r="R2514">
        <v>8576754</v>
      </c>
    </row>
    <row r="2515" spans="1:18" x14ac:dyDescent="0.25">
      <c r="A2515" s="170">
        <v>45705</v>
      </c>
      <c r="B2515" s="116">
        <v>338.4</v>
      </c>
      <c r="C2515" s="116">
        <v>337.1</v>
      </c>
      <c r="D2515" s="116">
        <v>326.25</v>
      </c>
      <c r="E2515" s="116">
        <v>336.65</v>
      </c>
      <c r="F2515" s="116">
        <v>337.1</v>
      </c>
      <c r="G2515">
        <v>899718</v>
      </c>
      <c r="H2515" s="116"/>
      <c r="I2515" s="116"/>
      <c r="L2515" s="170">
        <v>45705</v>
      </c>
      <c r="M2515" s="116">
        <v>337.2</v>
      </c>
      <c r="N2515" s="116">
        <v>338.5</v>
      </c>
      <c r="O2515" s="116">
        <v>326.35000000000002</v>
      </c>
      <c r="P2515" s="116">
        <v>337.1</v>
      </c>
      <c r="Q2515" s="116">
        <v>337.2</v>
      </c>
      <c r="R2515">
        <v>7217327</v>
      </c>
    </row>
    <row r="2516" spans="1:18" x14ac:dyDescent="0.25">
      <c r="A2516" s="170">
        <v>45706</v>
      </c>
      <c r="B2516" s="116">
        <v>340.75</v>
      </c>
      <c r="C2516" s="116">
        <v>339.65</v>
      </c>
      <c r="D2516" s="116">
        <v>329.75</v>
      </c>
      <c r="E2516" s="116">
        <v>337.95</v>
      </c>
      <c r="F2516" s="116">
        <v>339.65</v>
      </c>
      <c r="G2516">
        <v>445035</v>
      </c>
      <c r="H2516" s="116"/>
      <c r="I2516" s="116"/>
      <c r="L2516" s="170">
        <v>45706</v>
      </c>
      <c r="M2516" s="116">
        <v>339.6</v>
      </c>
      <c r="N2516" s="116">
        <v>340.8</v>
      </c>
      <c r="O2516" s="116">
        <v>329.65</v>
      </c>
      <c r="P2516" s="116">
        <v>337.2</v>
      </c>
      <c r="Q2516" s="116">
        <v>339.6</v>
      </c>
      <c r="R2516">
        <v>6538131</v>
      </c>
    </row>
    <row r="2517" spans="1:18" x14ac:dyDescent="0.25">
      <c r="A2517" s="170">
        <v>45707</v>
      </c>
      <c r="B2517" s="116">
        <v>349.85</v>
      </c>
      <c r="C2517" s="116">
        <v>347.6</v>
      </c>
      <c r="D2517" s="116">
        <v>334.7</v>
      </c>
      <c r="E2517" s="116">
        <v>336.95</v>
      </c>
      <c r="F2517" s="116">
        <v>347.6</v>
      </c>
      <c r="G2517">
        <v>616588</v>
      </c>
      <c r="H2517" s="116"/>
      <c r="I2517" s="116"/>
      <c r="L2517" s="170">
        <v>45707</v>
      </c>
      <c r="M2517" s="116">
        <v>347.65</v>
      </c>
      <c r="N2517" s="116">
        <v>350</v>
      </c>
      <c r="O2517" s="116">
        <v>334.7</v>
      </c>
      <c r="P2517" s="116">
        <v>337</v>
      </c>
      <c r="Q2517" s="116">
        <v>347.65</v>
      </c>
      <c r="R2517">
        <v>6083541</v>
      </c>
    </row>
    <row r="2518" spans="1:18" x14ac:dyDescent="0.25">
      <c r="A2518" s="170">
        <v>45708</v>
      </c>
      <c r="B2518" s="116">
        <v>361</v>
      </c>
      <c r="C2518" s="116">
        <v>357.95</v>
      </c>
      <c r="D2518" s="116">
        <v>344.75</v>
      </c>
      <c r="E2518" s="116">
        <v>347.7</v>
      </c>
      <c r="F2518" s="116">
        <v>357.95</v>
      </c>
      <c r="G2518">
        <v>401926</v>
      </c>
      <c r="H2518" s="116"/>
      <c r="I2518" s="116"/>
      <c r="L2518" s="170">
        <v>45708</v>
      </c>
      <c r="M2518" s="116">
        <v>357.95</v>
      </c>
      <c r="N2518" s="116">
        <v>361</v>
      </c>
      <c r="O2518" s="116">
        <v>344.55</v>
      </c>
      <c r="P2518" s="116">
        <v>348</v>
      </c>
      <c r="Q2518" s="116">
        <v>357.95</v>
      </c>
      <c r="R2518">
        <v>10098769</v>
      </c>
    </row>
    <row r="2519" spans="1:18" x14ac:dyDescent="0.25">
      <c r="A2519" s="170">
        <v>45709</v>
      </c>
      <c r="B2519" s="116">
        <v>362.3</v>
      </c>
      <c r="C2519" s="116">
        <v>357.4</v>
      </c>
      <c r="D2519" s="116">
        <v>354</v>
      </c>
      <c r="E2519" s="116">
        <v>358</v>
      </c>
      <c r="F2519" s="116">
        <v>357.4</v>
      </c>
      <c r="G2519">
        <v>561259</v>
      </c>
      <c r="H2519" s="116"/>
      <c r="I2519" s="116"/>
      <c r="L2519" s="170">
        <v>45709</v>
      </c>
      <c r="M2519" s="116">
        <v>357.2</v>
      </c>
      <c r="N2519" s="116">
        <v>362.45</v>
      </c>
      <c r="O2519" s="116">
        <v>353.7</v>
      </c>
      <c r="P2519" s="116">
        <v>357.95</v>
      </c>
      <c r="Q2519" s="116">
        <v>357.2</v>
      </c>
      <c r="R2519">
        <v>6119901</v>
      </c>
    </row>
    <row r="2520" spans="1:18" x14ac:dyDescent="0.25">
      <c r="A2520" s="170">
        <v>45712</v>
      </c>
      <c r="B2520" s="116">
        <v>356.95</v>
      </c>
      <c r="C2520" s="116">
        <v>354.65</v>
      </c>
      <c r="D2520" s="116">
        <v>351.7</v>
      </c>
      <c r="E2520" s="116">
        <v>355.15</v>
      </c>
      <c r="F2520" s="116">
        <v>354.65</v>
      </c>
      <c r="G2520">
        <v>411600</v>
      </c>
      <c r="H2520" s="116"/>
      <c r="I2520" s="116"/>
      <c r="L2520" s="170">
        <v>45712</v>
      </c>
      <c r="M2520" s="116">
        <v>354.6</v>
      </c>
      <c r="N2520" s="116">
        <v>356.95</v>
      </c>
      <c r="O2520" s="116">
        <v>351.65</v>
      </c>
      <c r="P2520" s="116">
        <v>356</v>
      </c>
      <c r="Q2520" s="116">
        <v>354.6</v>
      </c>
      <c r="R2520">
        <v>3758390</v>
      </c>
    </row>
    <row r="2521" spans="1:18" x14ac:dyDescent="0.25">
      <c r="A2521" s="170">
        <v>45713</v>
      </c>
      <c r="B2521" s="116">
        <v>356.25</v>
      </c>
      <c r="C2521" s="116">
        <v>351.05</v>
      </c>
      <c r="D2521" s="116">
        <v>350.05</v>
      </c>
      <c r="E2521" s="116">
        <v>354.65</v>
      </c>
      <c r="F2521" s="116">
        <v>351.05</v>
      </c>
      <c r="G2521">
        <v>417057</v>
      </c>
      <c r="H2521" s="116"/>
      <c r="I2521" s="116"/>
      <c r="L2521" s="170">
        <v>45713</v>
      </c>
      <c r="M2521" s="116">
        <v>351.5</v>
      </c>
      <c r="N2521" s="116">
        <v>356.6</v>
      </c>
      <c r="O2521" s="116">
        <v>350.15</v>
      </c>
      <c r="P2521" s="116">
        <v>354.6</v>
      </c>
      <c r="Q2521" s="116">
        <v>351.5</v>
      </c>
      <c r="R2521">
        <v>4066133</v>
      </c>
    </row>
    <row r="2522" spans="1:18" x14ac:dyDescent="0.25">
      <c r="A2522" s="170">
        <v>45715</v>
      </c>
      <c r="B2522" s="116">
        <v>354.9</v>
      </c>
      <c r="C2522" s="116">
        <v>343.3</v>
      </c>
      <c r="D2522" s="116">
        <v>341.15</v>
      </c>
      <c r="E2522" s="116">
        <v>354.35</v>
      </c>
      <c r="F2522" s="116">
        <v>343.3</v>
      </c>
      <c r="G2522">
        <v>331043</v>
      </c>
      <c r="H2522" s="116"/>
      <c r="I2522" s="116"/>
      <c r="L2522" s="170">
        <v>45715</v>
      </c>
      <c r="M2522" s="116">
        <v>343.3</v>
      </c>
      <c r="N2522" s="116">
        <v>356</v>
      </c>
      <c r="O2522" s="116">
        <v>341</v>
      </c>
      <c r="P2522" s="116">
        <v>353.25</v>
      </c>
      <c r="Q2522" s="116">
        <v>343.3</v>
      </c>
      <c r="R2522">
        <v>6464092</v>
      </c>
    </row>
    <row r="2523" spans="1:18" x14ac:dyDescent="0.25">
      <c r="A2523" s="170">
        <v>45716</v>
      </c>
      <c r="B2523" s="116">
        <v>342.2</v>
      </c>
      <c r="C2523" s="116">
        <v>339.1</v>
      </c>
      <c r="D2523" s="116">
        <v>335.45</v>
      </c>
      <c r="E2523" s="116">
        <v>340.25</v>
      </c>
      <c r="F2523" s="116">
        <v>339.1</v>
      </c>
      <c r="G2523">
        <v>788046</v>
      </c>
      <c r="H2523" s="116"/>
      <c r="I2523" s="116"/>
      <c r="L2523" s="170">
        <v>45716</v>
      </c>
      <c r="M2523" s="116">
        <v>339.2</v>
      </c>
      <c r="N2523" s="116">
        <v>342.05</v>
      </c>
      <c r="O2523" s="116">
        <v>335.5</v>
      </c>
      <c r="P2523" s="116">
        <v>340</v>
      </c>
      <c r="Q2523" s="116">
        <v>339.2</v>
      </c>
      <c r="R2523">
        <v>8340920</v>
      </c>
    </row>
    <row r="2524" spans="1:18" x14ac:dyDescent="0.25">
      <c r="A2524" s="170">
        <v>45719</v>
      </c>
      <c r="B2524" s="116">
        <v>345.75</v>
      </c>
      <c r="C2524" s="116">
        <v>342.9</v>
      </c>
      <c r="D2524" s="116">
        <v>332</v>
      </c>
      <c r="E2524" s="116">
        <v>338.55</v>
      </c>
      <c r="F2524" s="116">
        <v>342.9</v>
      </c>
      <c r="G2524">
        <v>559991</v>
      </c>
      <c r="H2524" s="116"/>
      <c r="I2524" s="116"/>
      <c r="L2524" s="170">
        <v>45719</v>
      </c>
      <c r="M2524" s="116">
        <v>342.85</v>
      </c>
      <c r="N2524" s="116">
        <v>345.85</v>
      </c>
      <c r="O2524" s="116">
        <v>331.85</v>
      </c>
      <c r="P2524" s="116">
        <v>338.75</v>
      </c>
      <c r="Q2524" s="116">
        <v>342.85</v>
      </c>
      <c r="R2524">
        <v>9727866</v>
      </c>
    </row>
    <row r="2525" spans="1:18" x14ac:dyDescent="0.25">
      <c r="A2525" s="170">
        <v>45720</v>
      </c>
      <c r="B2525" s="116">
        <v>347.75</v>
      </c>
      <c r="C2525" s="116">
        <v>345.9</v>
      </c>
      <c r="D2525" s="116">
        <v>336.8</v>
      </c>
      <c r="E2525" s="116">
        <v>338.15</v>
      </c>
      <c r="F2525" s="116">
        <v>345.9</v>
      </c>
      <c r="G2525">
        <v>513015</v>
      </c>
      <c r="H2525" s="116"/>
      <c r="I2525" s="116"/>
      <c r="L2525" s="170">
        <v>45720</v>
      </c>
      <c r="M2525" s="116">
        <v>345.95</v>
      </c>
      <c r="N2525" s="116">
        <v>347.9</v>
      </c>
      <c r="O2525" s="116">
        <v>336.95</v>
      </c>
      <c r="P2525" s="116">
        <v>338.95</v>
      </c>
      <c r="Q2525" s="116">
        <v>345.95</v>
      </c>
      <c r="R2525">
        <v>5170345</v>
      </c>
    </row>
    <row r="2526" spans="1:18" x14ac:dyDescent="0.25">
      <c r="A2526" s="170">
        <v>45721</v>
      </c>
      <c r="B2526" s="116">
        <v>352.65</v>
      </c>
      <c r="C2526" s="116">
        <v>351.45</v>
      </c>
      <c r="D2526" s="116">
        <v>345</v>
      </c>
      <c r="E2526" s="116">
        <v>345.55</v>
      </c>
      <c r="F2526" s="116">
        <v>351.45</v>
      </c>
      <c r="G2526">
        <v>272610</v>
      </c>
      <c r="H2526" s="116"/>
      <c r="I2526" s="116"/>
      <c r="L2526" s="170">
        <v>45721</v>
      </c>
      <c r="M2526" s="116">
        <v>351.4</v>
      </c>
      <c r="N2526" s="116">
        <v>352.65</v>
      </c>
      <c r="O2526" s="116">
        <v>344.55</v>
      </c>
      <c r="P2526" s="116">
        <v>345</v>
      </c>
      <c r="Q2526" s="116">
        <v>351.4</v>
      </c>
      <c r="R2526">
        <v>6098026</v>
      </c>
    </row>
    <row r="2527" spans="1:18" x14ac:dyDescent="0.25">
      <c r="A2527" s="170">
        <v>45722</v>
      </c>
      <c r="B2527" s="116">
        <v>357.6</v>
      </c>
      <c r="C2527" s="116">
        <v>354</v>
      </c>
      <c r="D2527" s="116">
        <v>351.2</v>
      </c>
      <c r="E2527" s="116">
        <v>355.65</v>
      </c>
      <c r="F2527" s="116">
        <v>354</v>
      </c>
      <c r="G2527">
        <v>448076</v>
      </c>
      <c r="H2527" s="116"/>
      <c r="I2527" s="116"/>
      <c r="L2527" s="170">
        <v>45722</v>
      </c>
      <c r="M2527" s="116">
        <v>354.05</v>
      </c>
      <c r="N2527" s="116">
        <v>357.45</v>
      </c>
      <c r="O2527" s="116">
        <v>351.15</v>
      </c>
      <c r="P2527" s="116">
        <v>355</v>
      </c>
      <c r="Q2527" s="116">
        <v>354.05</v>
      </c>
      <c r="R2527">
        <v>4879725</v>
      </c>
    </row>
    <row r="2528" spans="1:18" x14ac:dyDescent="0.25">
      <c r="A2528" s="170">
        <v>45723</v>
      </c>
      <c r="B2528" s="116">
        <v>360.45</v>
      </c>
      <c r="C2528" s="116">
        <v>351.3</v>
      </c>
      <c r="D2528" s="116">
        <v>350.2</v>
      </c>
      <c r="E2528" s="116">
        <v>354.1</v>
      </c>
      <c r="F2528" s="116">
        <v>351.3</v>
      </c>
      <c r="G2528">
        <v>281160</v>
      </c>
      <c r="H2528" s="116"/>
      <c r="I2528" s="116"/>
      <c r="L2528" s="170">
        <v>45723</v>
      </c>
      <c r="M2528" s="116">
        <v>351.45</v>
      </c>
      <c r="N2528" s="116">
        <v>360.5</v>
      </c>
      <c r="O2528" s="116">
        <v>350.25</v>
      </c>
      <c r="P2528" s="116">
        <v>354</v>
      </c>
      <c r="Q2528" s="116">
        <v>351.45</v>
      </c>
      <c r="R2528">
        <v>5520005</v>
      </c>
    </row>
    <row r="2529" spans="1:18" x14ac:dyDescent="0.25">
      <c r="A2529" s="170">
        <v>45726</v>
      </c>
      <c r="B2529" s="116">
        <v>362.8</v>
      </c>
      <c r="C2529" s="116">
        <v>352.6</v>
      </c>
      <c r="D2529" s="116">
        <v>351.5</v>
      </c>
      <c r="E2529" s="116">
        <v>356.95</v>
      </c>
      <c r="F2529" s="116">
        <v>352.6</v>
      </c>
      <c r="G2529">
        <v>539668</v>
      </c>
      <c r="H2529" s="116"/>
      <c r="I2529" s="116"/>
      <c r="L2529" s="170">
        <v>45726</v>
      </c>
      <c r="M2529" s="116">
        <v>352.45</v>
      </c>
      <c r="N2529" s="116">
        <v>362.8</v>
      </c>
      <c r="O2529" s="116">
        <v>351.4</v>
      </c>
      <c r="P2529" s="116">
        <v>356.5</v>
      </c>
      <c r="Q2529" s="116">
        <v>352.45</v>
      </c>
      <c r="R2529">
        <v>11222110</v>
      </c>
    </row>
    <row r="2530" spans="1:18" x14ac:dyDescent="0.25">
      <c r="A2530" s="170">
        <v>45727</v>
      </c>
      <c r="B2530" s="116">
        <v>353.95</v>
      </c>
      <c r="C2530" s="116">
        <v>352.7</v>
      </c>
      <c r="D2530" s="116">
        <v>344.15</v>
      </c>
      <c r="E2530" s="116">
        <v>350.95</v>
      </c>
      <c r="F2530" s="116">
        <v>352.7</v>
      </c>
      <c r="G2530">
        <v>531642</v>
      </c>
      <c r="H2530" s="116"/>
      <c r="I2530" s="116"/>
      <c r="L2530" s="170">
        <v>45727</v>
      </c>
      <c r="M2530" s="116">
        <v>352.45</v>
      </c>
      <c r="N2530" s="116">
        <v>354</v>
      </c>
      <c r="O2530" s="116">
        <v>344.3</v>
      </c>
      <c r="P2530" s="116">
        <v>350.2</v>
      </c>
      <c r="Q2530" s="116">
        <v>352.45</v>
      </c>
      <c r="R2530">
        <v>5141578</v>
      </c>
    </row>
    <row r="2531" spans="1:18" x14ac:dyDescent="0.25">
      <c r="A2531" s="170">
        <v>45728</v>
      </c>
      <c r="B2531" s="116">
        <v>359.55</v>
      </c>
      <c r="C2531" s="116">
        <v>356.05</v>
      </c>
      <c r="D2531" s="116">
        <v>350.8</v>
      </c>
      <c r="E2531" s="116">
        <v>353.6</v>
      </c>
      <c r="F2531" s="116">
        <v>356.05</v>
      </c>
      <c r="G2531">
        <v>474123</v>
      </c>
      <c r="H2531" s="116"/>
      <c r="I2531" s="116"/>
      <c r="L2531" s="170">
        <v>45728</v>
      </c>
      <c r="M2531" s="116">
        <v>356.25</v>
      </c>
      <c r="N2531" s="116">
        <v>359.6</v>
      </c>
      <c r="O2531" s="116">
        <v>351</v>
      </c>
      <c r="P2531" s="116">
        <v>353.55</v>
      </c>
      <c r="Q2531" s="116">
        <v>356.25</v>
      </c>
      <c r="R2531">
        <v>5285957</v>
      </c>
    </row>
    <row r="2532" spans="1:18" x14ac:dyDescent="0.25">
      <c r="A2532" s="170">
        <v>45729</v>
      </c>
      <c r="B2532" s="116">
        <v>360.75</v>
      </c>
      <c r="C2532" s="116">
        <v>350.75</v>
      </c>
      <c r="D2532" s="116">
        <v>350</v>
      </c>
      <c r="E2532" s="116">
        <v>360.25</v>
      </c>
      <c r="F2532" s="116">
        <v>350.75</v>
      </c>
      <c r="G2532">
        <v>204733</v>
      </c>
      <c r="H2532" s="116"/>
      <c r="I2532" s="116"/>
      <c r="L2532" s="170">
        <v>45729</v>
      </c>
      <c r="M2532" s="116">
        <v>350.75</v>
      </c>
      <c r="N2532" s="116">
        <v>360.8</v>
      </c>
      <c r="O2532" s="116">
        <v>350</v>
      </c>
      <c r="P2532" s="116">
        <v>360.5</v>
      </c>
      <c r="Q2532" s="116">
        <v>350.75</v>
      </c>
      <c r="R2532">
        <v>4898500</v>
      </c>
    </row>
    <row r="2533" spans="1:18" x14ac:dyDescent="0.25">
      <c r="A2533" s="170">
        <v>45733</v>
      </c>
      <c r="B2533" s="116">
        <v>354.5</v>
      </c>
      <c r="C2533" s="116">
        <v>350.75</v>
      </c>
      <c r="D2533" s="116">
        <v>349.1</v>
      </c>
      <c r="E2533" s="116">
        <v>351.35</v>
      </c>
      <c r="F2533" s="116">
        <v>350.75</v>
      </c>
      <c r="G2533">
        <v>445161</v>
      </c>
      <c r="H2533" s="116"/>
      <c r="I2533" s="116"/>
      <c r="L2533" s="170">
        <v>45733</v>
      </c>
      <c r="M2533" s="116">
        <v>350.75</v>
      </c>
      <c r="N2533" s="116">
        <v>354.6</v>
      </c>
      <c r="O2533" s="116">
        <v>349</v>
      </c>
      <c r="P2533" s="116">
        <v>350.8</v>
      </c>
      <c r="Q2533" s="116">
        <v>350.75</v>
      </c>
      <c r="R2533">
        <v>3997959</v>
      </c>
    </row>
    <row r="2534" spans="1:18" x14ac:dyDescent="0.25">
      <c r="A2534" s="170">
        <v>45734</v>
      </c>
      <c r="B2534" s="116">
        <v>363.75</v>
      </c>
      <c r="C2534" s="116">
        <v>362.65</v>
      </c>
      <c r="D2534" s="116">
        <v>351.65</v>
      </c>
      <c r="E2534" s="116">
        <v>351.65</v>
      </c>
      <c r="F2534" s="116">
        <v>362.65</v>
      </c>
      <c r="G2534">
        <v>322375</v>
      </c>
      <c r="H2534" s="116"/>
      <c r="I2534" s="116"/>
      <c r="L2534" s="170">
        <v>45734</v>
      </c>
      <c r="M2534" s="116">
        <v>362.7</v>
      </c>
      <c r="N2534" s="116">
        <v>363.7</v>
      </c>
      <c r="O2534" s="116">
        <v>351.8</v>
      </c>
      <c r="P2534" s="116">
        <v>352.05</v>
      </c>
      <c r="Q2534" s="116">
        <v>362.7</v>
      </c>
      <c r="R2534">
        <v>7096285</v>
      </c>
    </row>
    <row r="2535" spans="1:18" x14ac:dyDescent="0.25">
      <c r="A2535" s="170">
        <v>45735</v>
      </c>
      <c r="B2535" s="116">
        <v>373.3</v>
      </c>
      <c r="C2535" s="116">
        <v>371.6</v>
      </c>
      <c r="D2535" s="116">
        <v>363</v>
      </c>
      <c r="E2535" s="116">
        <v>364.35</v>
      </c>
      <c r="F2535" s="116">
        <v>371.6</v>
      </c>
      <c r="G2535">
        <v>313807</v>
      </c>
      <c r="H2535" s="116"/>
      <c r="I2535" s="116"/>
      <c r="L2535" s="170">
        <v>45735</v>
      </c>
      <c r="M2535" s="116">
        <v>371.45</v>
      </c>
      <c r="N2535" s="116">
        <v>373.3</v>
      </c>
      <c r="O2535" s="116">
        <v>363</v>
      </c>
      <c r="P2535" s="116">
        <v>363.9</v>
      </c>
      <c r="Q2535" s="116">
        <v>371.45</v>
      </c>
      <c r="R2535">
        <v>7875564</v>
      </c>
    </row>
    <row r="2536" spans="1:18" x14ac:dyDescent="0.25">
      <c r="A2536" s="170">
        <v>45736</v>
      </c>
      <c r="B2536" s="116">
        <v>375.3</v>
      </c>
      <c r="C2536" s="116">
        <v>370.2</v>
      </c>
      <c r="D2536" s="116">
        <v>367.5</v>
      </c>
      <c r="E2536" s="116">
        <v>375.3</v>
      </c>
      <c r="F2536" s="116">
        <v>370.2</v>
      </c>
      <c r="G2536">
        <v>448106</v>
      </c>
      <c r="H2536" s="116"/>
      <c r="I2536" s="116"/>
      <c r="L2536" s="170">
        <v>45736</v>
      </c>
      <c r="M2536" s="116">
        <v>370.35</v>
      </c>
      <c r="N2536" s="116">
        <v>374.8</v>
      </c>
      <c r="O2536" s="116">
        <v>367.55</v>
      </c>
      <c r="P2536" s="116">
        <v>374.8</v>
      </c>
      <c r="Q2536" s="116">
        <v>370.35</v>
      </c>
      <c r="R2536">
        <v>4678329</v>
      </c>
    </row>
    <row r="2537" spans="1:18" x14ac:dyDescent="0.25">
      <c r="A2537" s="170">
        <v>45737</v>
      </c>
      <c r="B2537" s="116">
        <v>381.75</v>
      </c>
      <c r="C2537" s="116">
        <v>379.45</v>
      </c>
      <c r="D2537" s="116">
        <v>370.2</v>
      </c>
      <c r="E2537" s="116">
        <v>370.95</v>
      </c>
      <c r="F2537" s="116">
        <v>379.45</v>
      </c>
      <c r="G2537">
        <v>384224</v>
      </c>
      <c r="H2537" s="116"/>
      <c r="I2537" s="116"/>
      <c r="L2537" s="170">
        <v>45737</v>
      </c>
      <c r="M2537" s="116">
        <v>379.5</v>
      </c>
      <c r="N2537" s="116">
        <v>381.9</v>
      </c>
      <c r="O2537" s="116">
        <v>370.25</v>
      </c>
      <c r="P2537" s="116">
        <v>370.35</v>
      </c>
      <c r="Q2537" s="116">
        <v>379.5</v>
      </c>
      <c r="R2537">
        <v>7559436</v>
      </c>
    </row>
    <row r="2538" spans="1:18" x14ac:dyDescent="0.25">
      <c r="A2538" s="170">
        <v>45740</v>
      </c>
      <c r="B2538" s="116">
        <v>385</v>
      </c>
      <c r="C2538" s="116">
        <v>383.25</v>
      </c>
      <c r="D2538" s="116">
        <v>379.65</v>
      </c>
      <c r="E2538" s="116">
        <v>385</v>
      </c>
      <c r="F2538" s="116">
        <v>383.25</v>
      </c>
      <c r="G2538">
        <v>266784</v>
      </c>
      <c r="H2538" s="116"/>
      <c r="I2538" s="116"/>
      <c r="L2538" s="170">
        <v>45740</v>
      </c>
      <c r="M2538" s="116">
        <v>383.3</v>
      </c>
      <c r="N2538" s="116">
        <v>385</v>
      </c>
      <c r="O2538" s="116">
        <v>379.6</v>
      </c>
      <c r="P2538" s="116">
        <v>385</v>
      </c>
      <c r="Q2538" s="116">
        <v>383.3</v>
      </c>
      <c r="R2538">
        <v>6177301</v>
      </c>
    </row>
    <row r="2539" spans="1:18" x14ac:dyDescent="0.25">
      <c r="A2539" s="170">
        <v>45741</v>
      </c>
      <c r="B2539" s="116">
        <v>385.9</v>
      </c>
      <c r="C2539" s="116">
        <v>377</v>
      </c>
      <c r="D2539" s="116">
        <v>375.55</v>
      </c>
      <c r="E2539" s="116">
        <v>385.4</v>
      </c>
      <c r="F2539" s="116">
        <v>377</v>
      </c>
      <c r="G2539">
        <v>338837</v>
      </c>
      <c r="H2539" s="116"/>
      <c r="I2539" s="116"/>
      <c r="L2539" s="170">
        <v>45741</v>
      </c>
      <c r="M2539" s="116">
        <v>377.1</v>
      </c>
      <c r="N2539" s="116">
        <v>385.9</v>
      </c>
      <c r="O2539" s="116">
        <v>375.5</v>
      </c>
      <c r="P2539" s="116">
        <v>385</v>
      </c>
      <c r="Q2539" s="116">
        <v>377.1</v>
      </c>
      <c r="R2539">
        <v>6063608</v>
      </c>
    </row>
    <row r="2540" spans="1:18" x14ac:dyDescent="0.25">
      <c r="A2540" s="170">
        <v>45742</v>
      </c>
      <c r="B2540" s="116">
        <v>381</v>
      </c>
      <c r="C2540" s="116">
        <v>375.8</v>
      </c>
      <c r="D2540" s="116">
        <v>374.75</v>
      </c>
      <c r="E2540" s="116">
        <v>377</v>
      </c>
      <c r="F2540" s="116">
        <v>375.8</v>
      </c>
      <c r="G2540">
        <v>278974</v>
      </c>
      <c r="H2540" s="116"/>
      <c r="I2540" s="116"/>
      <c r="L2540" s="170">
        <v>45742</v>
      </c>
      <c r="M2540" s="116">
        <v>376</v>
      </c>
      <c r="N2540" s="116">
        <v>381</v>
      </c>
      <c r="O2540" s="116">
        <v>374.6</v>
      </c>
      <c r="P2540" s="116">
        <v>377.1</v>
      </c>
      <c r="Q2540" s="116">
        <v>376</v>
      </c>
      <c r="R2540">
        <v>8048272</v>
      </c>
    </row>
    <row r="2541" spans="1:18" x14ac:dyDescent="0.25">
      <c r="A2541" s="170">
        <v>45743</v>
      </c>
      <c r="B2541" s="116">
        <v>384.7</v>
      </c>
      <c r="C2541" s="116">
        <v>383.55</v>
      </c>
      <c r="D2541" s="116">
        <v>372.1</v>
      </c>
      <c r="E2541" s="116">
        <v>374.9</v>
      </c>
      <c r="F2541" s="116">
        <v>383.55</v>
      </c>
      <c r="G2541">
        <v>283960</v>
      </c>
      <c r="H2541" s="116"/>
      <c r="I2541" s="116"/>
      <c r="L2541" s="170">
        <v>45743</v>
      </c>
      <c r="M2541" s="116">
        <v>383.4</v>
      </c>
      <c r="N2541" s="116">
        <v>384.8</v>
      </c>
      <c r="O2541" s="116">
        <v>372.35</v>
      </c>
      <c r="P2541" s="116">
        <v>374.5</v>
      </c>
      <c r="Q2541" s="116">
        <v>383.4</v>
      </c>
      <c r="R2541">
        <v>6287597</v>
      </c>
    </row>
    <row r="2542" spans="1:18" x14ac:dyDescent="0.25">
      <c r="A2542" s="170">
        <v>45744</v>
      </c>
      <c r="B2542" s="116">
        <v>386</v>
      </c>
      <c r="C2542" s="116">
        <v>375.4</v>
      </c>
      <c r="D2542" s="116">
        <v>373.3</v>
      </c>
      <c r="E2542" s="116">
        <v>384.8</v>
      </c>
      <c r="F2542" s="116">
        <v>375.4</v>
      </c>
      <c r="G2542">
        <v>710243</v>
      </c>
      <c r="H2542" s="116"/>
      <c r="I2542" s="116"/>
      <c r="L2542" s="170">
        <v>45744</v>
      </c>
      <c r="M2542" s="116">
        <v>375.4</v>
      </c>
      <c r="N2542" s="116">
        <v>386.05</v>
      </c>
      <c r="O2542" s="116">
        <v>373.3</v>
      </c>
      <c r="P2542" s="116">
        <v>384.05</v>
      </c>
      <c r="Q2542" s="116">
        <v>375.4</v>
      </c>
      <c r="R2542">
        <v>6458106</v>
      </c>
    </row>
    <row r="2543" spans="1:18" x14ac:dyDescent="0.25">
      <c r="A2543" s="170">
        <v>45748</v>
      </c>
      <c r="B2543" s="116">
        <v>379.75</v>
      </c>
      <c r="C2543" s="116">
        <v>374.75</v>
      </c>
      <c r="D2543" s="116">
        <v>370.85</v>
      </c>
      <c r="E2543" s="116">
        <v>372.95</v>
      </c>
      <c r="F2543" s="116">
        <v>374.75</v>
      </c>
      <c r="G2543">
        <v>525877</v>
      </c>
      <c r="H2543" s="116"/>
      <c r="I2543" s="116"/>
      <c r="L2543" s="170">
        <v>45748</v>
      </c>
      <c r="M2543" s="116">
        <v>374.75</v>
      </c>
      <c r="N2543" s="116">
        <v>379.75</v>
      </c>
      <c r="O2543" s="116">
        <v>370.6</v>
      </c>
      <c r="P2543" s="116">
        <v>372.45</v>
      </c>
      <c r="Q2543" s="116">
        <v>374.75</v>
      </c>
      <c r="R2543">
        <v>3414174</v>
      </c>
    </row>
    <row r="2544" spans="1:18" x14ac:dyDescent="0.25">
      <c r="A2544" s="170">
        <v>45749</v>
      </c>
      <c r="B2544" s="116">
        <v>379.2</v>
      </c>
      <c r="C2544" s="116">
        <v>378.25</v>
      </c>
      <c r="D2544" s="116">
        <v>368.5</v>
      </c>
      <c r="E2544" s="116">
        <v>373.65</v>
      </c>
      <c r="F2544" s="116">
        <v>378.25</v>
      </c>
      <c r="G2544">
        <v>386512</v>
      </c>
      <c r="H2544" s="116"/>
      <c r="I2544" s="116"/>
      <c r="L2544" s="170">
        <v>45749</v>
      </c>
      <c r="M2544" s="116">
        <v>378.25</v>
      </c>
      <c r="N2544" s="116">
        <v>379.2</v>
      </c>
      <c r="O2544" s="116">
        <v>368.3</v>
      </c>
      <c r="P2544" s="116">
        <v>374.75</v>
      </c>
      <c r="Q2544" s="116">
        <v>378.25</v>
      </c>
      <c r="R2544">
        <v>3283925</v>
      </c>
    </row>
    <row r="2545" spans="1:18" x14ac:dyDescent="0.25">
      <c r="A2545" s="170">
        <v>45750</v>
      </c>
      <c r="B2545" s="116">
        <v>387</v>
      </c>
      <c r="C2545" s="116">
        <v>385.3</v>
      </c>
      <c r="D2545" s="116">
        <v>372.4</v>
      </c>
      <c r="E2545" s="116">
        <v>372.4</v>
      </c>
      <c r="F2545" s="116">
        <v>385.3</v>
      </c>
      <c r="G2545">
        <v>739465</v>
      </c>
      <c r="H2545" s="116"/>
      <c r="I2545" s="116"/>
      <c r="L2545" s="170">
        <v>45750</v>
      </c>
      <c r="M2545" s="116">
        <v>385.65</v>
      </c>
      <c r="N2545" s="116">
        <v>387.3</v>
      </c>
      <c r="O2545" s="116">
        <v>373.55</v>
      </c>
      <c r="P2545" s="116">
        <v>374</v>
      </c>
      <c r="Q2545" s="116">
        <v>385.65</v>
      </c>
      <c r="R2545">
        <v>6580525</v>
      </c>
    </row>
    <row r="2546" spans="1:18" x14ac:dyDescent="0.25">
      <c r="A2546" s="170">
        <v>45751</v>
      </c>
      <c r="B2546" s="116">
        <v>388.3</v>
      </c>
      <c r="C2546" s="116">
        <v>368.95</v>
      </c>
      <c r="D2546" s="116">
        <v>367.25</v>
      </c>
      <c r="E2546" s="116">
        <v>382.3</v>
      </c>
      <c r="F2546" s="116">
        <v>368.95</v>
      </c>
      <c r="G2546">
        <v>400762</v>
      </c>
      <c r="H2546" s="116"/>
      <c r="I2546" s="116"/>
      <c r="L2546" s="170">
        <v>45751</v>
      </c>
      <c r="M2546" s="116">
        <v>368.95</v>
      </c>
      <c r="N2546" s="116">
        <v>388.2</v>
      </c>
      <c r="O2546" s="116">
        <v>367.1</v>
      </c>
      <c r="P2546" s="116">
        <v>383.8</v>
      </c>
      <c r="Q2546" s="116">
        <v>368.95</v>
      </c>
      <c r="R2546">
        <v>7609077</v>
      </c>
    </row>
    <row r="2547" spans="1:18" x14ac:dyDescent="0.25">
      <c r="A2547" s="170">
        <v>45754</v>
      </c>
      <c r="B2547" s="116">
        <v>358.8</v>
      </c>
      <c r="C2547" s="116">
        <v>354.75</v>
      </c>
      <c r="D2547" s="116">
        <v>332.1</v>
      </c>
      <c r="E2547" s="116">
        <v>332.1</v>
      </c>
      <c r="F2547" s="116">
        <v>354.75</v>
      </c>
      <c r="G2547">
        <v>1403403</v>
      </c>
      <c r="H2547" s="116"/>
      <c r="I2547" s="116"/>
      <c r="L2547" s="170">
        <v>45754</v>
      </c>
      <c r="M2547" s="116">
        <v>354.85</v>
      </c>
      <c r="N2547" s="116">
        <v>358.7</v>
      </c>
      <c r="O2547" s="116">
        <v>335</v>
      </c>
      <c r="P2547" s="116">
        <v>337</v>
      </c>
      <c r="Q2547" s="116">
        <v>354.85</v>
      </c>
      <c r="R2547">
        <v>9906124</v>
      </c>
    </row>
    <row r="2548" spans="1:18" x14ac:dyDescent="0.25">
      <c r="A2548" s="170">
        <v>45755</v>
      </c>
      <c r="B2548" s="116">
        <v>365.75</v>
      </c>
      <c r="C2548" s="116">
        <v>359.75</v>
      </c>
      <c r="D2548" s="116">
        <v>355.95</v>
      </c>
      <c r="E2548" s="116">
        <v>359.6</v>
      </c>
      <c r="F2548" s="116">
        <v>359.75</v>
      </c>
      <c r="G2548">
        <v>410171</v>
      </c>
      <c r="H2548" s="116"/>
      <c r="I2548" s="116"/>
      <c r="L2548" s="170">
        <v>45755</v>
      </c>
      <c r="M2548" s="116">
        <v>359.7</v>
      </c>
      <c r="N2548" s="116">
        <v>370.7</v>
      </c>
      <c r="O2548" s="116">
        <v>356</v>
      </c>
      <c r="P2548" s="116">
        <v>360.25</v>
      </c>
      <c r="Q2548" s="116">
        <v>359.7</v>
      </c>
      <c r="R2548">
        <v>6317158</v>
      </c>
    </row>
    <row r="2549" spans="1:18" x14ac:dyDescent="0.25">
      <c r="A2549" s="170">
        <v>45756</v>
      </c>
      <c r="B2549" s="116">
        <v>363</v>
      </c>
      <c r="C2549" s="116">
        <v>358.25</v>
      </c>
      <c r="D2549" s="116">
        <v>354</v>
      </c>
      <c r="E2549" s="116">
        <v>357.25</v>
      </c>
      <c r="F2549" s="116">
        <v>358.25</v>
      </c>
      <c r="G2549">
        <v>354936</v>
      </c>
      <c r="H2549" s="116"/>
      <c r="I2549" s="116"/>
      <c r="L2549" s="170">
        <v>45756</v>
      </c>
      <c r="M2549" s="116">
        <v>358.25</v>
      </c>
      <c r="N2549" s="116">
        <v>363</v>
      </c>
      <c r="O2549" s="116">
        <v>354.15</v>
      </c>
      <c r="P2549" s="116">
        <v>359.7</v>
      </c>
      <c r="Q2549" s="116">
        <v>358.25</v>
      </c>
      <c r="R2549">
        <v>4343527</v>
      </c>
    </row>
    <row r="2550" spans="1:18" x14ac:dyDescent="0.25">
      <c r="A2550" s="170">
        <v>45758</v>
      </c>
      <c r="B2550" s="116">
        <v>368.95</v>
      </c>
      <c r="C2550" s="116">
        <v>364.5</v>
      </c>
      <c r="D2550" s="116">
        <v>362.25</v>
      </c>
      <c r="E2550" s="116">
        <v>368.95</v>
      </c>
      <c r="F2550" s="116">
        <v>364.5</v>
      </c>
      <c r="G2550">
        <v>483439</v>
      </c>
      <c r="H2550" s="116"/>
      <c r="I2550" s="116"/>
      <c r="L2550" s="170">
        <v>45758</v>
      </c>
      <c r="M2550" s="116">
        <v>364.45</v>
      </c>
      <c r="N2550" s="116">
        <v>368.9</v>
      </c>
      <c r="O2550" s="116">
        <v>362.1</v>
      </c>
      <c r="P2550" s="116">
        <v>368.1</v>
      </c>
      <c r="Q2550" s="116">
        <v>364.45</v>
      </c>
      <c r="R2550">
        <v>5187303</v>
      </c>
    </row>
    <row r="2551" spans="1:18" x14ac:dyDescent="0.25">
      <c r="A2551" s="170">
        <v>45762</v>
      </c>
      <c r="B2551" s="116">
        <v>380.5</v>
      </c>
      <c r="C2551" s="116">
        <v>378.6</v>
      </c>
      <c r="D2551" s="116">
        <v>372.15</v>
      </c>
      <c r="E2551" s="116">
        <v>377</v>
      </c>
      <c r="F2551" s="116">
        <v>378.6</v>
      </c>
      <c r="G2551">
        <v>679553</v>
      </c>
      <c r="H2551" s="116"/>
      <c r="I2551" s="116"/>
      <c r="L2551" s="170">
        <v>45762</v>
      </c>
      <c r="M2551" s="116">
        <v>378.5</v>
      </c>
      <c r="N2551" s="116">
        <v>380.55</v>
      </c>
      <c r="O2551" s="116">
        <v>372.3</v>
      </c>
      <c r="P2551" s="116">
        <v>375</v>
      </c>
      <c r="Q2551" s="116">
        <v>378.5</v>
      </c>
      <c r="R2551">
        <v>7238758</v>
      </c>
    </row>
    <row r="2552" spans="1:18" x14ac:dyDescent="0.25">
      <c r="A2552" s="170">
        <v>45763</v>
      </c>
      <c r="B2552" s="116">
        <v>382.8</v>
      </c>
      <c r="C2552" s="116">
        <v>381.2</v>
      </c>
      <c r="D2552" s="116">
        <v>377.55</v>
      </c>
      <c r="E2552" s="116">
        <v>378.6</v>
      </c>
      <c r="F2552" s="116">
        <v>381.2</v>
      </c>
      <c r="G2552">
        <v>752718</v>
      </c>
      <c r="H2552" s="116"/>
      <c r="I2552" s="116"/>
      <c r="L2552" s="170">
        <v>45763</v>
      </c>
      <c r="M2552" s="116">
        <v>381.25</v>
      </c>
      <c r="N2552" s="116">
        <v>382.95</v>
      </c>
      <c r="O2552" s="116">
        <v>377.5</v>
      </c>
      <c r="P2552" s="116">
        <v>378</v>
      </c>
      <c r="Q2552" s="116">
        <v>381.25</v>
      </c>
      <c r="R2552">
        <v>5869686</v>
      </c>
    </row>
    <row r="2553" spans="1:18" x14ac:dyDescent="0.25">
      <c r="A2553" s="170">
        <v>45764</v>
      </c>
      <c r="B2553" s="116">
        <v>384.1</v>
      </c>
      <c r="C2553" s="116">
        <v>381.35</v>
      </c>
      <c r="D2553" s="116">
        <v>378.55</v>
      </c>
      <c r="E2553" s="116">
        <v>381.2</v>
      </c>
      <c r="F2553" s="116">
        <v>381.35</v>
      </c>
      <c r="G2553">
        <v>388126</v>
      </c>
      <c r="H2553" s="116"/>
      <c r="I2553" s="116"/>
      <c r="L2553" s="170">
        <v>45764</v>
      </c>
      <c r="M2553" s="116">
        <v>381.7</v>
      </c>
      <c r="N2553" s="116">
        <v>384.35</v>
      </c>
      <c r="O2553" s="116">
        <v>378.5</v>
      </c>
      <c r="P2553" s="116">
        <v>381</v>
      </c>
      <c r="Q2553" s="116">
        <v>381.7</v>
      </c>
      <c r="R2553">
        <v>6156250</v>
      </c>
    </row>
    <row r="2554" spans="1:18" x14ac:dyDescent="0.25">
      <c r="A2554" s="170">
        <v>45768</v>
      </c>
      <c r="B2554" s="116">
        <v>393.85</v>
      </c>
      <c r="C2554" s="116">
        <v>390.95</v>
      </c>
      <c r="D2554" s="116">
        <v>382.5</v>
      </c>
      <c r="E2554" s="116">
        <v>382.6</v>
      </c>
      <c r="F2554" s="116">
        <v>390.95</v>
      </c>
      <c r="G2554">
        <v>374930</v>
      </c>
      <c r="H2554" s="116"/>
      <c r="I2554" s="116"/>
      <c r="L2554" s="170">
        <v>45768</v>
      </c>
      <c r="M2554" s="116">
        <v>390.85</v>
      </c>
      <c r="N2554" s="116">
        <v>394</v>
      </c>
      <c r="O2554" s="116">
        <v>382</v>
      </c>
      <c r="P2554" s="116">
        <v>383.1</v>
      </c>
      <c r="Q2554" s="116">
        <v>390.85</v>
      </c>
      <c r="R2554">
        <v>7589962</v>
      </c>
    </row>
    <row r="2555" spans="1:18" x14ac:dyDescent="0.25">
      <c r="A2555" s="170">
        <v>45769</v>
      </c>
      <c r="B2555" s="116">
        <v>395.25</v>
      </c>
      <c r="C2555" s="116">
        <v>388.5</v>
      </c>
      <c r="D2555" s="116">
        <v>387.3</v>
      </c>
      <c r="E2555" s="116">
        <v>393.15</v>
      </c>
      <c r="F2555" s="116">
        <v>388.5</v>
      </c>
      <c r="G2555">
        <v>496842</v>
      </c>
      <c r="H2555" s="116"/>
      <c r="I2555" s="116"/>
      <c r="L2555" s="170">
        <v>45769</v>
      </c>
      <c r="M2555" s="116">
        <v>388.6</v>
      </c>
      <c r="N2555" s="116">
        <v>395.45</v>
      </c>
      <c r="O2555" s="116">
        <v>387</v>
      </c>
      <c r="P2555" s="116">
        <v>393</v>
      </c>
      <c r="Q2555" s="116">
        <v>388.6</v>
      </c>
      <c r="R2555">
        <v>6180369</v>
      </c>
    </row>
    <row r="2556" spans="1:18" x14ac:dyDescent="0.25">
      <c r="A2556" s="170">
        <v>45770</v>
      </c>
      <c r="B2556" s="116">
        <v>395.9</v>
      </c>
      <c r="C2556" s="116">
        <v>394.5</v>
      </c>
      <c r="D2556" s="116">
        <v>382.3</v>
      </c>
      <c r="E2556" s="116">
        <v>389.7</v>
      </c>
      <c r="F2556" s="116">
        <v>394.5</v>
      </c>
      <c r="G2556">
        <v>362372</v>
      </c>
      <c r="H2556" s="116"/>
      <c r="I2556" s="116"/>
      <c r="L2556" s="170">
        <v>45770</v>
      </c>
      <c r="M2556" s="116">
        <v>394.45</v>
      </c>
      <c r="N2556" s="116">
        <v>395.95</v>
      </c>
      <c r="O2556" s="116">
        <v>382.2</v>
      </c>
      <c r="P2556" s="116">
        <v>390.1</v>
      </c>
      <c r="Q2556" s="116">
        <v>394.45</v>
      </c>
      <c r="R2556">
        <v>8443906</v>
      </c>
    </row>
    <row r="2557" spans="1:18" x14ac:dyDescent="0.25">
      <c r="A2557" s="170">
        <v>45771</v>
      </c>
      <c r="B2557" s="116">
        <v>399.15</v>
      </c>
      <c r="C2557" s="116">
        <v>396</v>
      </c>
      <c r="D2557" s="116">
        <v>392</v>
      </c>
      <c r="E2557" s="116">
        <v>393.05</v>
      </c>
      <c r="F2557" s="116">
        <v>396</v>
      </c>
      <c r="G2557">
        <v>675853</v>
      </c>
      <c r="H2557" s="116"/>
      <c r="I2557" s="116"/>
      <c r="L2557" s="170">
        <v>45771</v>
      </c>
      <c r="M2557" s="116">
        <v>395.85</v>
      </c>
      <c r="N2557" s="116">
        <v>399.25</v>
      </c>
      <c r="O2557" s="116">
        <v>391.9</v>
      </c>
      <c r="P2557" s="116">
        <v>392.5</v>
      </c>
      <c r="Q2557" s="116">
        <v>395.85</v>
      </c>
      <c r="R2557">
        <v>6639147</v>
      </c>
    </row>
    <row r="2558" spans="1:18" x14ac:dyDescent="0.25">
      <c r="A2558" s="170">
        <v>45772</v>
      </c>
      <c r="B2558" s="116">
        <v>402.3</v>
      </c>
      <c r="C2558" s="116">
        <v>387.3</v>
      </c>
      <c r="D2558" s="116">
        <v>382</v>
      </c>
      <c r="E2558" s="116">
        <v>393.2</v>
      </c>
      <c r="F2558" s="116">
        <v>387.3</v>
      </c>
      <c r="G2558">
        <v>1712200</v>
      </c>
      <c r="H2558" s="116"/>
      <c r="I2558" s="116"/>
      <c r="L2558" s="170">
        <v>45772</v>
      </c>
      <c r="M2558" s="116">
        <v>387.6</v>
      </c>
      <c r="N2558" s="116">
        <v>402.5</v>
      </c>
      <c r="O2558" s="116">
        <v>382.15</v>
      </c>
      <c r="P2558" s="116">
        <v>394.5</v>
      </c>
      <c r="Q2558" s="116">
        <v>387.6</v>
      </c>
      <c r="R2558">
        <v>14233760</v>
      </c>
    </row>
    <row r="2559" spans="1:18" x14ac:dyDescent="0.25">
      <c r="A2559" s="170">
        <v>45775</v>
      </c>
      <c r="B2559" s="116">
        <v>400.5</v>
      </c>
      <c r="C2559" s="116">
        <v>395.05</v>
      </c>
      <c r="D2559" s="116">
        <v>386.6</v>
      </c>
      <c r="E2559" s="116">
        <v>386.6</v>
      </c>
      <c r="F2559" s="116">
        <v>395.05</v>
      </c>
      <c r="G2559">
        <v>623113</v>
      </c>
      <c r="H2559" s="116"/>
      <c r="I2559" s="116"/>
      <c r="L2559" s="170">
        <v>45775</v>
      </c>
      <c r="M2559" s="116">
        <v>395.1</v>
      </c>
      <c r="N2559" s="116">
        <v>400.4</v>
      </c>
      <c r="O2559" s="116">
        <v>386.15</v>
      </c>
      <c r="P2559" s="116">
        <v>386.15</v>
      </c>
      <c r="Q2559" s="116">
        <v>395.1</v>
      </c>
      <c r="R2559">
        <v>10237785</v>
      </c>
    </row>
    <row r="2560" spans="1:18" x14ac:dyDescent="0.25">
      <c r="A2560" s="170">
        <v>45776</v>
      </c>
      <c r="B2560" s="116">
        <v>403.35</v>
      </c>
      <c r="C2560" s="116">
        <v>393.3</v>
      </c>
      <c r="D2560" s="116">
        <v>392.05</v>
      </c>
      <c r="E2560" s="116">
        <v>395.6</v>
      </c>
      <c r="F2560" s="116">
        <v>393.3</v>
      </c>
      <c r="G2560">
        <v>710728</v>
      </c>
      <c r="H2560" s="116"/>
      <c r="I2560" s="116"/>
      <c r="L2560" s="170">
        <v>45776</v>
      </c>
      <c r="M2560" s="116">
        <v>393.35</v>
      </c>
      <c r="N2560" s="116">
        <v>403.3</v>
      </c>
      <c r="O2560" s="116">
        <v>392</v>
      </c>
      <c r="P2560" s="116">
        <v>395.1</v>
      </c>
      <c r="Q2560" s="116">
        <v>393.35</v>
      </c>
      <c r="R2560">
        <v>8781695</v>
      </c>
    </row>
    <row r="2561" spans="1:18" x14ac:dyDescent="0.25">
      <c r="A2561" s="170">
        <v>45777</v>
      </c>
      <c r="B2561" s="116">
        <v>391.7</v>
      </c>
      <c r="C2561" s="116">
        <v>384.2</v>
      </c>
      <c r="D2561" s="116">
        <v>382.4</v>
      </c>
      <c r="E2561" s="116">
        <v>391.25</v>
      </c>
      <c r="F2561" s="116">
        <v>384.2</v>
      </c>
      <c r="G2561">
        <v>286180</v>
      </c>
      <c r="H2561" s="116"/>
      <c r="I2561" s="116"/>
      <c r="L2561" s="170">
        <v>45777</v>
      </c>
      <c r="M2561" s="116">
        <v>384.4</v>
      </c>
      <c r="N2561" s="116">
        <v>391.8</v>
      </c>
      <c r="O2561" s="116">
        <v>382</v>
      </c>
      <c r="P2561" s="116">
        <v>391.8</v>
      </c>
      <c r="Q2561" s="116">
        <v>384.4</v>
      </c>
      <c r="R2561">
        <v>4942900</v>
      </c>
    </row>
    <row r="2562" spans="1:18" x14ac:dyDescent="0.25">
      <c r="A2562" s="170">
        <v>45779</v>
      </c>
      <c r="B2562" s="116">
        <v>390.45</v>
      </c>
      <c r="C2562" s="116">
        <v>381.7</v>
      </c>
      <c r="D2562" s="116">
        <v>380.8</v>
      </c>
      <c r="E2562" s="116">
        <v>383.1</v>
      </c>
      <c r="F2562" s="116">
        <v>381.7</v>
      </c>
      <c r="G2562">
        <v>437435</v>
      </c>
      <c r="H2562" s="116"/>
      <c r="I2562" s="116"/>
      <c r="L2562" s="170">
        <v>45779</v>
      </c>
      <c r="M2562" s="116">
        <v>381.75</v>
      </c>
      <c r="N2562" s="116">
        <v>390.45</v>
      </c>
      <c r="O2562" s="116">
        <v>380.65</v>
      </c>
      <c r="P2562" s="116">
        <v>384</v>
      </c>
      <c r="Q2562" s="116">
        <v>381.75</v>
      </c>
      <c r="R2562">
        <v>6399563</v>
      </c>
    </row>
    <row r="2563" spans="1:18" x14ac:dyDescent="0.25">
      <c r="A2563" s="170">
        <v>45782</v>
      </c>
      <c r="B2563" s="116">
        <v>389.8</v>
      </c>
      <c r="C2563" s="116">
        <v>389.05</v>
      </c>
      <c r="D2563" s="116">
        <v>380.1</v>
      </c>
      <c r="E2563" s="116">
        <v>381.75</v>
      </c>
      <c r="F2563" s="116">
        <v>389.05</v>
      </c>
      <c r="G2563">
        <v>287560</v>
      </c>
      <c r="H2563" s="116"/>
      <c r="I2563" s="116"/>
      <c r="L2563" s="170">
        <v>45782</v>
      </c>
      <c r="M2563" s="116">
        <v>389.1</v>
      </c>
      <c r="N2563" s="116">
        <v>389.9</v>
      </c>
      <c r="O2563" s="116">
        <v>380.15</v>
      </c>
      <c r="P2563" s="116">
        <v>382</v>
      </c>
      <c r="Q2563" s="116">
        <v>389.1</v>
      </c>
      <c r="R2563">
        <v>4274926</v>
      </c>
    </row>
    <row r="2564" spans="1:18" x14ac:dyDescent="0.25">
      <c r="A2564" s="170">
        <v>45783</v>
      </c>
      <c r="B2564" s="116">
        <v>389.9</v>
      </c>
      <c r="C2564" s="116">
        <v>374.7</v>
      </c>
      <c r="D2564" s="116">
        <v>373</v>
      </c>
      <c r="E2564" s="116">
        <v>388.75</v>
      </c>
      <c r="F2564" s="116">
        <v>374.7</v>
      </c>
      <c r="G2564">
        <v>332095</v>
      </c>
      <c r="H2564" s="116"/>
      <c r="I2564" s="116"/>
      <c r="L2564" s="170">
        <v>45783</v>
      </c>
      <c r="M2564" s="116">
        <v>374.9</v>
      </c>
      <c r="N2564" s="116">
        <v>389.8</v>
      </c>
      <c r="O2564" s="116">
        <v>373</v>
      </c>
      <c r="P2564" s="116">
        <v>388.05</v>
      </c>
      <c r="Q2564" s="116">
        <v>374.9</v>
      </c>
      <c r="R2564">
        <v>5610082</v>
      </c>
    </row>
    <row r="2565" spans="1:18" x14ac:dyDescent="0.25">
      <c r="A2565" s="170">
        <v>45784</v>
      </c>
      <c r="B2565" s="116">
        <v>380.8</v>
      </c>
      <c r="C2565" s="116">
        <v>377.3</v>
      </c>
      <c r="D2565" s="116">
        <v>364.25</v>
      </c>
      <c r="E2565" s="116">
        <v>364.25</v>
      </c>
      <c r="F2565" s="116">
        <v>377.3</v>
      </c>
      <c r="G2565">
        <v>354548</v>
      </c>
      <c r="H2565" s="116"/>
      <c r="I2565" s="116"/>
      <c r="L2565" s="170">
        <v>45784</v>
      </c>
      <c r="M2565" s="116">
        <v>377.35</v>
      </c>
      <c r="N2565" s="116">
        <v>380.85</v>
      </c>
      <c r="O2565" s="116">
        <v>366</v>
      </c>
      <c r="P2565" s="116">
        <v>366</v>
      </c>
      <c r="Q2565" s="116">
        <v>377.35</v>
      </c>
      <c r="R2565">
        <v>6822934</v>
      </c>
    </row>
    <row r="2566" spans="1:18" x14ac:dyDescent="0.25">
      <c r="A2566" s="170">
        <v>45785</v>
      </c>
      <c r="B2566" s="116">
        <v>383.45</v>
      </c>
      <c r="C2566" s="116">
        <v>369.95</v>
      </c>
      <c r="D2566" s="116">
        <v>368</v>
      </c>
      <c r="E2566" s="116">
        <v>377.95</v>
      </c>
      <c r="F2566" s="116">
        <v>369.95</v>
      </c>
      <c r="G2566">
        <v>299294</v>
      </c>
      <c r="H2566" s="116"/>
      <c r="I2566" s="116"/>
      <c r="L2566" s="170">
        <v>45785</v>
      </c>
      <c r="M2566" s="116">
        <v>370.15</v>
      </c>
      <c r="N2566" s="116">
        <v>383.6</v>
      </c>
      <c r="O2566" s="116">
        <v>367.3</v>
      </c>
      <c r="P2566" s="116">
        <v>377.35</v>
      </c>
      <c r="Q2566" s="116">
        <v>370.15</v>
      </c>
      <c r="R2566">
        <v>5891937</v>
      </c>
    </row>
    <row r="2567" spans="1:18" x14ac:dyDescent="0.25">
      <c r="A2567" s="170">
        <v>45786</v>
      </c>
      <c r="B2567" s="116">
        <v>371.9</v>
      </c>
      <c r="C2567" s="116">
        <v>371.15</v>
      </c>
      <c r="D2567" s="116">
        <v>357.55</v>
      </c>
      <c r="E2567" s="116">
        <v>357.55</v>
      </c>
      <c r="F2567" s="116">
        <v>371.15</v>
      </c>
      <c r="G2567">
        <v>289478</v>
      </c>
      <c r="H2567" s="116"/>
      <c r="I2567" s="116"/>
      <c r="L2567" s="170">
        <v>45786</v>
      </c>
      <c r="M2567" s="116">
        <v>371</v>
      </c>
      <c r="N2567" s="116">
        <v>372.05</v>
      </c>
      <c r="O2567" s="116">
        <v>357.25</v>
      </c>
      <c r="P2567" s="116">
        <v>358.15</v>
      </c>
      <c r="Q2567" s="116">
        <v>371</v>
      </c>
      <c r="R2567">
        <v>9008734</v>
      </c>
    </row>
    <row r="2568" spans="1:18" x14ac:dyDescent="0.25">
      <c r="A2568" s="170">
        <v>45789</v>
      </c>
      <c r="B2568" s="116">
        <v>392.85</v>
      </c>
      <c r="C2568" s="116">
        <v>391.65</v>
      </c>
      <c r="D2568" s="116">
        <v>378.7</v>
      </c>
      <c r="E2568" s="116">
        <v>379.25</v>
      </c>
      <c r="F2568" s="116">
        <v>391.65</v>
      </c>
      <c r="G2568">
        <v>988125</v>
      </c>
      <c r="H2568" s="116"/>
      <c r="I2568" s="116"/>
      <c r="L2568" s="170">
        <v>45789</v>
      </c>
      <c r="M2568" s="116">
        <v>391.4</v>
      </c>
      <c r="N2568" s="116">
        <v>393</v>
      </c>
      <c r="O2568" s="116">
        <v>378.5</v>
      </c>
      <c r="P2568" s="116">
        <v>382</v>
      </c>
      <c r="Q2568" s="116">
        <v>391.4</v>
      </c>
      <c r="R2568">
        <v>8931721</v>
      </c>
    </row>
    <row r="2569" spans="1:18" x14ac:dyDescent="0.25">
      <c r="A2569" s="170">
        <v>45790</v>
      </c>
      <c r="B2569" s="116">
        <v>395.7</v>
      </c>
      <c r="C2569" s="116">
        <v>389.15</v>
      </c>
      <c r="D2569" s="116">
        <v>388.1</v>
      </c>
      <c r="E2569" s="116">
        <v>391.65</v>
      </c>
      <c r="F2569" s="116">
        <v>389.15</v>
      </c>
      <c r="G2569">
        <v>656070</v>
      </c>
      <c r="H2569" s="116"/>
      <c r="I2569" s="116"/>
      <c r="L2569" s="170">
        <v>45790</v>
      </c>
      <c r="M2569" s="116">
        <v>389.3</v>
      </c>
      <c r="N2569" s="116">
        <v>395.9</v>
      </c>
      <c r="O2569" s="116">
        <v>388.05</v>
      </c>
      <c r="P2569" s="116">
        <v>392</v>
      </c>
      <c r="Q2569" s="116">
        <v>389.3</v>
      </c>
      <c r="R2569">
        <v>5941514</v>
      </c>
    </row>
    <row r="2570" spans="1:18" x14ac:dyDescent="0.25">
      <c r="A2570" s="170">
        <v>45791</v>
      </c>
      <c r="B2570" s="116">
        <v>398.7</v>
      </c>
      <c r="C2570" s="116">
        <v>397</v>
      </c>
      <c r="D2570" s="116">
        <v>390.05</v>
      </c>
      <c r="E2570" s="116">
        <v>390.05</v>
      </c>
      <c r="F2570" s="116">
        <v>397</v>
      </c>
      <c r="G2570">
        <v>438493</v>
      </c>
      <c r="H2570" s="116"/>
      <c r="I2570" s="116"/>
      <c r="L2570" s="170">
        <v>45791</v>
      </c>
      <c r="M2570" s="116">
        <v>396.95</v>
      </c>
      <c r="N2570" s="116">
        <v>398.9</v>
      </c>
      <c r="O2570" s="116">
        <v>390.3</v>
      </c>
      <c r="P2570" s="116">
        <v>390.5</v>
      </c>
      <c r="Q2570" s="116">
        <v>396.95</v>
      </c>
      <c r="R2570">
        <v>8640596</v>
      </c>
    </row>
    <row r="2571" spans="1:18" x14ac:dyDescent="0.25">
      <c r="A2571" s="170">
        <v>45792</v>
      </c>
      <c r="B2571" s="116">
        <v>404.55</v>
      </c>
      <c r="C2571" s="116">
        <v>398</v>
      </c>
      <c r="D2571" s="116">
        <v>392.65</v>
      </c>
      <c r="E2571" s="116">
        <v>404.55</v>
      </c>
      <c r="F2571" s="116">
        <v>398</v>
      </c>
      <c r="G2571">
        <v>1461992</v>
      </c>
      <c r="H2571" s="116"/>
      <c r="I2571" s="116"/>
      <c r="L2571" s="170">
        <v>45792</v>
      </c>
      <c r="M2571" s="116">
        <v>397.95</v>
      </c>
      <c r="N2571" s="116">
        <v>404</v>
      </c>
      <c r="O2571" s="116">
        <v>392.65</v>
      </c>
      <c r="P2571" s="116">
        <v>403</v>
      </c>
      <c r="Q2571" s="116">
        <v>397.95</v>
      </c>
      <c r="R2571">
        <v>18848985</v>
      </c>
    </row>
    <row r="2572" spans="1:18" x14ac:dyDescent="0.25">
      <c r="A2572" s="170">
        <v>45793</v>
      </c>
      <c r="B2572" s="116">
        <v>409.45</v>
      </c>
      <c r="C2572" s="116">
        <v>405.7</v>
      </c>
      <c r="D2572" s="116">
        <v>396.4</v>
      </c>
      <c r="E2572" s="116">
        <v>396.4</v>
      </c>
      <c r="F2572" s="116">
        <v>405.7</v>
      </c>
      <c r="G2572">
        <v>1589004</v>
      </c>
      <c r="H2572" s="116"/>
      <c r="I2572" s="116"/>
      <c r="L2572" s="170">
        <v>45793</v>
      </c>
      <c r="M2572" s="116">
        <v>405.8</v>
      </c>
      <c r="N2572" s="116">
        <v>409.8</v>
      </c>
      <c r="O2572" s="116">
        <v>397.65</v>
      </c>
      <c r="P2572" s="116">
        <v>397.95</v>
      </c>
      <c r="Q2572" s="116">
        <v>405.8</v>
      </c>
      <c r="R2572">
        <v>13234846</v>
      </c>
    </row>
    <row r="2573" spans="1:18" x14ac:dyDescent="0.25">
      <c r="A2573" s="170">
        <v>45796</v>
      </c>
      <c r="B2573" s="116">
        <v>412</v>
      </c>
      <c r="C2573" s="116">
        <v>408</v>
      </c>
      <c r="D2573" s="116">
        <v>406.85</v>
      </c>
      <c r="E2573" s="116">
        <v>408.5</v>
      </c>
      <c r="F2573" s="116">
        <v>408</v>
      </c>
      <c r="G2573">
        <v>430874</v>
      </c>
      <c r="H2573" s="116"/>
      <c r="I2573" s="116"/>
      <c r="L2573" s="170">
        <v>45796</v>
      </c>
      <c r="M2573" s="116">
        <v>408.1</v>
      </c>
      <c r="N2573" s="116">
        <v>411.95</v>
      </c>
      <c r="O2573" s="116">
        <v>406.6</v>
      </c>
      <c r="P2573" s="116">
        <v>407.8</v>
      </c>
      <c r="Q2573" s="116">
        <v>408.1</v>
      </c>
      <c r="R2573">
        <v>6903749</v>
      </c>
    </row>
    <row r="2574" spans="1:18" x14ac:dyDescent="0.25">
      <c r="A2574" s="170">
        <v>45797</v>
      </c>
      <c r="B2574" s="116">
        <v>408.7</v>
      </c>
      <c r="C2574" s="116">
        <v>398.95</v>
      </c>
      <c r="D2574" s="116">
        <v>398.3</v>
      </c>
      <c r="E2574" s="116">
        <v>408</v>
      </c>
      <c r="F2574" s="116">
        <v>398.95</v>
      </c>
      <c r="G2574">
        <v>284187</v>
      </c>
      <c r="H2574" s="116"/>
      <c r="I2574" s="116"/>
      <c r="L2574" s="170">
        <v>45797</v>
      </c>
      <c r="M2574" s="116">
        <v>398.95</v>
      </c>
      <c r="N2574" s="116">
        <v>408.75</v>
      </c>
      <c r="O2574" s="116">
        <v>398.3</v>
      </c>
      <c r="P2574" s="116">
        <v>408.3</v>
      </c>
      <c r="Q2574" s="116">
        <v>398.95</v>
      </c>
      <c r="R2574">
        <v>5873673</v>
      </c>
    </row>
    <row r="2575" spans="1:18" x14ac:dyDescent="0.25">
      <c r="A2575" s="170">
        <v>45798</v>
      </c>
      <c r="B2575" s="116">
        <v>402.85</v>
      </c>
      <c r="C2575" s="116">
        <v>401.75</v>
      </c>
      <c r="D2575" s="116">
        <v>396.1</v>
      </c>
      <c r="E2575" s="116">
        <v>399.6</v>
      </c>
      <c r="F2575" s="116">
        <v>401.75</v>
      </c>
      <c r="G2575">
        <v>475650</v>
      </c>
      <c r="H2575" s="116"/>
      <c r="I2575" s="116"/>
      <c r="L2575" s="170">
        <v>45798</v>
      </c>
      <c r="M2575" s="116">
        <v>401.85</v>
      </c>
      <c r="N2575" s="116">
        <v>402.85</v>
      </c>
      <c r="O2575" s="116">
        <v>396.15</v>
      </c>
      <c r="P2575" s="116">
        <v>400.8</v>
      </c>
      <c r="Q2575" s="116">
        <v>401.85</v>
      </c>
      <c r="R2575">
        <v>3841567</v>
      </c>
    </row>
    <row r="2576" spans="1:18" x14ac:dyDescent="0.25">
      <c r="A2576" s="170">
        <v>45799</v>
      </c>
      <c r="B2576" s="116">
        <v>402.6</v>
      </c>
      <c r="C2576" s="116">
        <v>395.6</v>
      </c>
      <c r="D2576" s="116">
        <v>389.65</v>
      </c>
      <c r="E2576" s="116">
        <v>398</v>
      </c>
      <c r="F2576" s="116">
        <v>395.6</v>
      </c>
      <c r="G2576">
        <v>244561</v>
      </c>
      <c r="H2576" s="116"/>
      <c r="I2576" s="116"/>
      <c r="L2576" s="170">
        <v>45799</v>
      </c>
      <c r="M2576" s="116">
        <v>395.6</v>
      </c>
      <c r="N2576" s="116">
        <v>402.55</v>
      </c>
      <c r="O2576" s="116">
        <v>389.5</v>
      </c>
      <c r="P2576" s="116">
        <v>399</v>
      </c>
      <c r="Q2576" s="116">
        <v>395.6</v>
      </c>
      <c r="R2576">
        <v>5109983</v>
      </c>
    </row>
    <row r="2577" spans="1:18" x14ac:dyDescent="0.25">
      <c r="A2577" s="170">
        <v>45800</v>
      </c>
      <c r="B2577" s="116">
        <v>402.6</v>
      </c>
      <c r="C2577" s="116">
        <v>401.95</v>
      </c>
      <c r="D2577" s="116">
        <v>393.55</v>
      </c>
      <c r="E2577" s="116">
        <v>395.75</v>
      </c>
      <c r="F2577" s="116">
        <v>401.95</v>
      </c>
      <c r="G2577">
        <v>559307</v>
      </c>
      <c r="H2577" s="116"/>
      <c r="I2577" s="116"/>
      <c r="L2577" s="170">
        <v>45800</v>
      </c>
      <c r="M2577" s="116">
        <v>402.05</v>
      </c>
      <c r="N2577" s="116">
        <v>402.8</v>
      </c>
      <c r="O2577" s="116">
        <v>393.55</v>
      </c>
      <c r="P2577" s="116">
        <v>396.15</v>
      </c>
      <c r="Q2577" s="116">
        <v>402.05</v>
      </c>
      <c r="R2577">
        <v>5125963</v>
      </c>
    </row>
    <row r="2578" spans="1:18" x14ac:dyDescent="0.25">
      <c r="A2578" s="170">
        <v>45803</v>
      </c>
      <c r="B2578" s="116">
        <v>405.95</v>
      </c>
      <c r="C2578" s="116">
        <v>402.5</v>
      </c>
      <c r="D2578" s="116">
        <v>400.85</v>
      </c>
      <c r="E2578" s="116">
        <v>402.95</v>
      </c>
      <c r="F2578" s="116">
        <v>402.5</v>
      </c>
      <c r="G2578">
        <v>302741</v>
      </c>
      <c r="H2578" s="116"/>
      <c r="I2578" s="116"/>
      <c r="L2578" s="170">
        <v>45803</v>
      </c>
      <c r="M2578" s="116">
        <v>402.6</v>
      </c>
      <c r="N2578" s="116">
        <v>406</v>
      </c>
      <c r="O2578" s="116">
        <v>400.6</v>
      </c>
      <c r="P2578" s="116">
        <v>402.25</v>
      </c>
      <c r="Q2578" s="116">
        <v>402.6</v>
      </c>
      <c r="R2578">
        <v>5935753</v>
      </c>
    </row>
    <row r="2579" spans="1:18" x14ac:dyDescent="0.25">
      <c r="A2579" s="170">
        <v>45804</v>
      </c>
      <c r="B2579" s="116">
        <v>403.8</v>
      </c>
      <c r="C2579" s="116">
        <v>402.15</v>
      </c>
      <c r="D2579" s="116">
        <v>398.5</v>
      </c>
      <c r="E2579" s="116">
        <v>403.05</v>
      </c>
      <c r="F2579" s="116">
        <v>402.15</v>
      </c>
      <c r="G2579">
        <v>138319</v>
      </c>
      <c r="H2579" s="116"/>
      <c r="I2579" s="116"/>
      <c r="L2579" s="170">
        <v>45804</v>
      </c>
      <c r="M2579" s="116">
        <v>402.2</v>
      </c>
      <c r="N2579" s="116">
        <v>404</v>
      </c>
      <c r="O2579" s="116">
        <v>398.4</v>
      </c>
      <c r="P2579" s="116">
        <v>402.9</v>
      </c>
      <c r="Q2579" s="116">
        <v>402.2</v>
      </c>
      <c r="R2579">
        <v>4088356</v>
      </c>
    </row>
    <row r="2580" spans="1:18" x14ac:dyDescent="0.25">
      <c r="A2580" s="170">
        <v>45805</v>
      </c>
      <c r="B2580" s="116">
        <v>404.5</v>
      </c>
      <c r="C2580" s="116">
        <v>396.4</v>
      </c>
      <c r="D2580" s="116">
        <v>395.5</v>
      </c>
      <c r="E2580" s="116">
        <v>402.15</v>
      </c>
      <c r="F2580" s="116">
        <v>396.4</v>
      </c>
      <c r="G2580">
        <v>220252</v>
      </c>
      <c r="H2580" s="116"/>
      <c r="I2580" s="116"/>
      <c r="L2580" s="170">
        <v>45805</v>
      </c>
      <c r="M2580" s="116">
        <v>396.35</v>
      </c>
      <c r="N2580" s="116">
        <v>404.55</v>
      </c>
      <c r="O2580" s="116">
        <v>395.5</v>
      </c>
      <c r="P2580" s="116">
        <v>400.95</v>
      </c>
      <c r="Q2580" s="116">
        <v>396.35</v>
      </c>
      <c r="R2580">
        <v>5224499</v>
      </c>
    </row>
    <row r="2581" spans="1:18" x14ac:dyDescent="0.25">
      <c r="A2581" s="170">
        <v>45806</v>
      </c>
      <c r="B2581" s="116">
        <v>399.35</v>
      </c>
      <c r="C2581" s="116">
        <v>397.1</v>
      </c>
      <c r="D2581" s="116">
        <v>395.05</v>
      </c>
      <c r="E2581" s="116">
        <v>396.55</v>
      </c>
      <c r="F2581" s="116">
        <v>397.1</v>
      </c>
      <c r="G2581">
        <v>411171</v>
      </c>
      <c r="H2581" s="116"/>
      <c r="I2581" s="116"/>
      <c r="L2581" s="170">
        <v>45806</v>
      </c>
      <c r="M2581" s="116">
        <v>397.3</v>
      </c>
      <c r="N2581" s="116">
        <v>399.15</v>
      </c>
      <c r="O2581" s="116">
        <v>395.1</v>
      </c>
      <c r="P2581" s="116">
        <v>398.7</v>
      </c>
      <c r="Q2581" s="116">
        <v>397.3</v>
      </c>
      <c r="R2581">
        <v>3547895</v>
      </c>
    </row>
    <row r="2582" spans="1:18" x14ac:dyDescent="0.25">
      <c r="A2582" s="170">
        <v>45807</v>
      </c>
      <c r="B2582" s="116">
        <v>399.8</v>
      </c>
      <c r="C2582" s="116">
        <v>392.75</v>
      </c>
      <c r="D2582" s="116">
        <v>391.1</v>
      </c>
      <c r="E2582" s="116">
        <v>396.1</v>
      </c>
      <c r="F2582" s="116">
        <v>392.75</v>
      </c>
      <c r="G2582">
        <v>250160</v>
      </c>
      <c r="H2582" s="116"/>
      <c r="I2582" s="116"/>
      <c r="L2582" s="170">
        <v>45807</v>
      </c>
      <c r="M2582" s="116">
        <v>392.8</v>
      </c>
      <c r="N2582" s="116">
        <v>399.9</v>
      </c>
      <c r="O2582" s="116">
        <v>391.05</v>
      </c>
      <c r="P2582" s="116">
        <v>397</v>
      </c>
      <c r="Q2582" s="116">
        <v>392.8</v>
      </c>
      <c r="R2582">
        <v>6602059</v>
      </c>
    </row>
    <row r="2583" spans="1:18" x14ac:dyDescent="0.25">
      <c r="A2583" s="170">
        <v>45810</v>
      </c>
      <c r="B2583" s="116">
        <v>398.25</v>
      </c>
      <c r="C2583" s="116">
        <v>396.9</v>
      </c>
      <c r="D2583" s="116">
        <v>390.75</v>
      </c>
      <c r="E2583" s="116">
        <v>392.7</v>
      </c>
      <c r="F2583" s="116">
        <v>396.9</v>
      </c>
      <c r="G2583">
        <v>194413</v>
      </c>
      <c r="H2583" s="116"/>
      <c r="I2583" s="116"/>
      <c r="L2583" s="170">
        <v>45810</v>
      </c>
      <c r="M2583" s="116">
        <v>396.85</v>
      </c>
      <c r="N2583" s="116">
        <v>398.2</v>
      </c>
      <c r="O2583" s="116">
        <v>391.1</v>
      </c>
      <c r="P2583" s="116">
        <v>392.8</v>
      </c>
      <c r="Q2583" s="116">
        <v>396.85</v>
      </c>
      <c r="R2583">
        <v>4988795</v>
      </c>
    </row>
    <row r="2584" spans="1:18" x14ac:dyDescent="0.25">
      <c r="A2584" s="170">
        <v>45811</v>
      </c>
      <c r="B2584" s="116">
        <v>399.25</v>
      </c>
      <c r="C2584" s="116">
        <v>391.5</v>
      </c>
      <c r="D2584" s="116">
        <v>390.1</v>
      </c>
      <c r="E2584" s="116">
        <v>396.85</v>
      </c>
      <c r="F2584" s="116">
        <v>391.5</v>
      </c>
      <c r="G2584">
        <v>440405</v>
      </c>
      <c r="H2584" s="116"/>
      <c r="I2584" s="116"/>
      <c r="L2584" s="170">
        <v>45811</v>
      </c>
      <c r="M2584" s="116">
        <v>391.5</v>
      </c>
      <c r="N2584" s="116">
        <v>399.15</v>
      </c>
      <c r="O2584" s="116">
        <v>389.85</v>
      </c>
      <c r="P2584" s="116">
        <v>396.85</v>
      </c>
      <c r="Q2584" s="116">
        <v>391.5</v>
      </c>
      <c r="R2584">
        <v>4922600</v>
      </c>
    </row>
    <row r="2585" spans="1:18" x14ac:dyDescent="0.25">
      <c r="A2585" s="170">
        <v>45812</v>
      </c>
      <c r="B2585" s="116">
        <v>394.85</v>
      </c>
      <c r="C2585" s="116">
        <v>393.5</v>
      </c>
      <c r="D2585" s="116">
        <v>389.1</v>
      </c>
      <c r="E2585" s="116">
        <v>390.95</v>
      </c>
      <c r="F2585" s="116">
        <v>393.5</v>
      </c>
      <c r="G2585">
        <v>531740</v>
      </c>
      <c r="H2585" s="116"/>
      <c r="I2585" s="116"/>
      <c r="L2585" s="170">
        <v>45812</v>
      </c>
      <c r="M2585" s="116">
        <v>393.65</v>
      </c>
      <c r="N2585" s="116">
        <v>395</v>
      </c>
      <c r="O2585" s="116">
        <v>389.05</v>
      </c>
      <c r="P2585" s="116">
        <v>391</v>
      </c>
      <c r="Q2585" s="116">
        <v>393.65</v>
      </c>
      <c r="R2585">
        <v>7238701</v>
      </c>
    </row>
    <row r="2586" spans="1:18" x14ac:dyDescent="0.25">
      <c r="A2586" s="170">
        <v>45813</v>
      </c>
      <c r="B2586" s="116">
        <v>398</v>
      </c>
      <c r="C2586" s="116">
        <v>393.4</v>
      </c>
      <c r="D2586" s="116">
        <v>392.35</v>
      </c>
      <c r="E2586" s="116">
        <v>393.35</v>
      </c>
      <c r="F2586" s="116">
        <v>393.4</v>
      </c>
      <c r="G2586">
        <v>182398</v>
      </c>
      <c r="H2586" s="116"/>
      <c r="I2586" s="116"/>
      <c r="L2586" s="170">
        <v>45813</v>
      </c>
      <c r="M2586" s="116">
        <v>393.55</v>
      </c>
      <c r="N2586" s="116">
        <v>397.95</v>
      </c>
      <c r="O2586" s="116">
        <v>392.3</v>
      </c>
      <c r="P2586" s="116">
        <v>393</v>
      </c>
      <c r="Q2586" s="116">
        <v>393.55</v>
      </c>
      <c r="R2586">
        <v>3947460</v>
      </c>
    </row>
    <row r="2587" spans="1:18" x14ac:dyDescent="0.25">
      <c r="A2587" s="170">
        <v>45814</v>
      </c>
      <c r="B2587" s="116">
        <v>400.8</v>
      </c>
      <c r="C2587" s="116">
        <v>399.55</v>
      </c>
      <c r="D2587" s="116">
        <v>392.5</v>
      </c>
      <c r="E2587" s="116">
        <v>393.4</v>
      </c>
      <c r="F2587" s="116">
        <v>399.55</v>
      </c>
      <c r="G2587">
        <v>313505</v>
      </c>
      <c r="H2587" s="116"/>
      <c r="I2587" s="116"/>
      <c r="L2587" s="170">
        <v>45814</v>
      </c>
      <c r="M2587" s="116">
        <v>399.55</v>
      </c>
      <c r="N2587" s="116">
        <v>400.8</v>
      </c>
      <c r="O2587" s="116">
        <v>392.1</v>
      </c>
      <c r="P2587" s="116">
        <v>392.1</v>
      </c>
      <c r="Q2587" s="116">
        <v>399.55</v>
      </c>
      <c r="R2587">
        <v>6204861</v>
      </c>
    </row>
    <row r="2588" spans="1:18" x14ac:dyDescent="0.25">
      <c r="A2588" s="170">
        <v>45817</v>
      </c>
      <c r="B2588" s="116">
        <v>407.55</v>
      </c>
      <c r="C2588" s="116">
        <v>406.25</v>
      </c>
      <c r="D2588" s="116">
        <v>399.75</v>
      </c>
      <c r="E2588" s="116">
        <v>399.75</v>
      </c>
      <c r="F2588" s="116">
        <v>406.25</v>
      </c>
      <c r="G2588">
        <v>389924</v>
      </c>
      <c r="H2588" s="116"/>
      <c r="I2588" s="116"/>
      <c r="L2588" s="170">
        <v>45817</v>
      </c>
      <c r="M2588" s="116">
        <v>406.2</v>
      </c>
      <c r="N2588" s="116">
        <v>407.5</v>
      </c>
      <c r="O2588" s="116">
        <v>400</v>
      </c>
      <c r="P2588" s="116">
        <v>400.4</v>
      </c>
      <c r="Q2588" s="116">
        <v>406.2</v>
      </c>
      <c r="R2588">
        <v>5981383</v>
      </c>
    </row>
    <row r="2589" spans="1:18" x14ac:dyDescent="0.25">
      <c r="A2589" s="170">
        <v>45818</v>
      </c>
      <c r="B2589" s="116">
        <v>416.15</v>
      </c>
      <c r="C2589" s="116">
        <v>413.25</v>
      </c>
      <c r="D2589" s="116">
        <v>406.15</v>
      </c>
      <c r="E2589" s="116">
        <v>408.05</v>
      </c>
      <c r="F2589" s="116">
        <v>413.25</v>
      </c>
      <c r="G2589">
        <v>1385679</v>
      </c>
      <c r="H2589" s="116"/>
      <c r="I2589" s="116"/>
      <c r="L2589" s="170">
        <v>45818</v>
      </c>
      <c r="M2589" s="116">
        <v>413.2</v>
      </c>
      <c r="N2589" s="116">
        <v>416</v>
      </c>
      <c r="O2589" s="116">
        <v>406.2</v>
      </c>
      <c r="P2589" s="116">
        <v>409</v>
      </c>
      <c r="Q2589" s="116">
        <v>413.2</v>
      </c>
      <c r="R2589">
        <v>10129259</v>
      </c>
    </row>
    <row r="2590" spans="1:18" x14ac:dyDescent="0.25">
      <c r="A2590" s="170">
        <v>45819</v>
      </c>
      <c r="B2590" s="116">
        <v>416.7</v>
      </c>
      <c r="C2590" s="116">
        <v>411.9</v>
      </c>
      <c r="D2590" s="116">
        <v>409.25</v>
      </c>
      <c r="E2590" s="116">
        <v>414.45</v>
      </c>
      <c r="F2590" s="116">
        <v>411.9</v>
      </c>
      <c r="G2590">
        <v>730702</v>
      </c>
      <c r="H2590" s="116"/>
      <c r="I2590" s="116"/>
      <c r="L2590" s="170">
        <v>45819</v>
      </c>
      <c r="M2590" s="116">
        <v>412.05</v>
      </c>
      <c r="N2590" s="116">
        <v>416.8</v>
      </c>
      <c r="O2590" s="116">
        <v>409.35</v>
      </c>
      <c r="P2590" s="116">
        <v>415</v>
      </c>
      <c r="Q2590" s="116">
        <v>412.05</v>
      </c>
      <c r="R2590">
        <v>6791313</v>
      </c>
    </row>
    <row r="2591" spans="1:18" x14ac:dyDescent="0.25">
      <c r="A2591" s="170">
        <v>45820</v>
      </c>
      <c r="B2591" s="116">
        <v>412.5</v>
      </c>
      <c r="C2591" s="116">
        <v>401.6</v>
      </c>
      <c r="D2591" s="116">
        <v>400.5</v>
      </c>
      <c r="E2591" s="116">
        <v>411.9</v>
      </c>
      <c r="F2591" s="116">
        <v>401.6</v>
      </c>
      <c r="G2591">
        <v>301675</v>
      </c>
      <c r="H2591" s="116"/>
      <c r="I2591" s="116"/>
      <c r="L2591" s="170">
        <v>45820</v>
      </c>
      <c r="M2591" s="116">
        <v>401.65</v>
      </c>
      <c r="N2591" s="116">
        <v>412.5</v>
      </c>
      <c r="O2591" s="116">
        <v>400.05</v>
      </c>
      <c r="P2591" s="116">
        <v>412</v>
      </c>
      <c r="Q2591" s="116">
        <v>401.65</v>
      </c>
      <c r="R2591">
        <v>5284359</v>
      </c>
    </row>
    <row r="2592" spans="1:18" x14ac:dyDescent="0.25">
      <c r="A2592" s="170">
        <v>45821</v>
      </c>
      <c r="B2592" s="116">
        <v>399.45</v>
      </c>
      <c r="C2592" s="116">
        <v>397.35</v>
      </c>
      <c r="D2592" s="116">
        <v>393.65</v>
      </c>
      <c r="E2592" s="116">
        <v>393.65</v>
      </c>
      <c r="F2592" s="116">
        <v>397.35</v>
      </c>
      <c r="G2592">
        <v>218158</v>
      </c>
      <c r="H2592" s="116"/>
      <c r="I2592" s="116"/>
      <c r="L2592" s="170">
        <v>45821</v>
      </c>
      <c r="M2592" s="116">
        <v>397.2</v>
      </c>
      <c r="N2592" s="116">
        <v>399.4</v>
      </c>
      <c r="O2592" s="116">
        <v>393.75</v>
      </c>
      <c r="P2592" s="116">
        <v>395</v>
      </c>
      <c r="Q2592" s="116">
        <v>397.2</v>
      </c>
      <c r="R2592">
        <v>4749159</v>
      </c>
    </row>
    <row r="2593" spans="1:18" x14ac:dyDescent="0.25">
      <c r="A2593" s="170">
        <v>45824</v>
      </c>
      <c r="B2593" s="116">
        <v>401.3</v>
      </c>
      <c r="C2593" s="116">
        <v>399.45</v>
      </c>
      <c r="D2593" s="116">
        <v>391.15</v>
      </c>
      <c r="E2593" s="116">
        <v>395.8</v>
      </c>
      <c r="F2593" s="116">
        <v>399.45</v>
      </c>
      <c r="G2593">
        <v>558858</v>
      </c>
      <c r="H2593" s="116"/>
      <c r="I2593" s="116"/>
      <c r="L2593" s="170">
        <v>45824</v>
      </c>
      <c r="M2593" s="116">
        <v>399.4</v>
      </c>
      <c r="N2593" s="116">
        <v>401.25</v>
      </c>
      <c r="O2593" s="116">
        <v>391.25</v>
      </c>
      <c r="P2593" s="116">
        <v>397</v>
      </c>
      <c r="Q2593" s="116">
        <v>399.4</v>
      </c>
      <c r="R2593">
        <v>3609820</v>
      </c>
    </row>
    <row r="2594" spans="1:18" x14ac:dyDescent="0.25">
      <c r="A2594" s="170">
        <v>45825</v>
      </c>
      <c r="B2594" s="116">
        <v>402.55</v>
      </c>
      <c r="C2594" s="116">
        <v>396</v>
      </c>
      <c r="D2594" s="116">
        <v>395</v>
      </c>
      <c r="E2594" s="116">
        <v>398.3</v>
      </c>
      <c r="F2594" s="116">
        <v>396</v>
      </c>
      <c r="G2594">
        <v>425289</v>
      </c>
      <c r="H2594" s="116"/>
      <c r="I2594" s="116"/>
      <c r="L2594" s="170">
        <v>45825</v>
      </c>
      <c r="M2594" s="116">
        <v>396.05</v>
      </c>
      <c r="N2594" s="116">
        <v>402.2</v>
      </c>
      <c r="O2594" s="116">
        <v>395</v>
      </c>
      <c r="P2594" s="116">
        <v>399.4</v>
      </c>
      <c r="Q2594" s="116">
        <v>396.05</v>
      </c>
      <c r="R2594">
        <v>3234777</v>
      </c>
    </row>
    <row r="2595" spans="1:18" x14ac:dyDescent="0.25">
      <c r="A2595" s="170">
        <v>45826</v>
      </c>
      <c r="B2595" s="116">
        <v>398</v>
      </c>
      <c r="C2595" s="116">
        <v>393.35</v>
      </c>
      <c r="D2595" s="116">
        <v>390.7</v>
      </c>
      <c r="E2595" s="116">
        <v>396</v>
      </c>
      <c r="F2595" s="116">
        <v>393.35</v>
      </c>
      <c r="G2595">
        <v>212315</v>
      </c>
      <c r="H2595" s="116"/>
      <c r="I2595" s="116"/>
      <c r="L2595" s="170">
        <v>45826</v>
      </c>
      <c r="M2595" s="116">
        <v>393.4</v>
      </c>
      <c r="N2595" s="116">
        <v>398</v>
      </c>
      <c r="O2595" s="116">
        <v>390.6</v>
      </c>
      <c r="P2595" s="116">
        <v>396.05</v>
      </c>
      <c r="Q2595" s="116">
        <v>393.4</v>
      </c>
      <c r="R2595">
        <v>2973122</v>
      </c>
    </row>
    <row r="2596" spans="1:18" x14ac:dyDescent="0.25">
      <c r="A2596" s="170">
        <v>45827</v>
      </c>
      <c r="B2596" s="116">
        <v>394</v>
      </c>
      <c r="C2596" s="116">
        <v>384.55</v>
      </c>
      <c r="D2596" s="116">
        <v>383.35</v>
      </c>
      <c r="E2596" s="116">
        <v>392.05</v>
      </c>
      <c r="F2596" s="116">
        <v>384.55</v>
      </c>
      <c r="G2596">
        <v>207646</v>
      </c>
      <c r="H2596" s="116"/>
      <c r="I2596" s="116"/>
      <c r="L2596" s="170">
        <v>45827</v>
      </c>
      <c r="M2596" s="116">
        <v>384.55</v>
      </c>
      <c r="N2596" s="116">
        <v>394.1</v>
      </c>
      <c r="O2596" s="116">
        <v>383</v>
      </c>
      <c r="P2596" s="116">
        <v>392.5</v>
      </c>
      <c r="Q2596" s="116">
        <v>384.55</v>
      </c>
      <c r="R2596">
        <v>4441866</v>
      </c>
    </row>
    <row r="2597" spans="1:18" x14ac:dyDescent="0.25">
      <c r="A2597" s="170">
        <v>45828</v>
      </c>
      <c r="B2597" s="116">
        <v>392.5</v>
      </c>
      <c r="C2597" s="116">
        <v>389.7</v>
      </c>
      <c r="D2597" s="116">
        <v>381.75</v>
      </c>
      <c r="E2597" s="116">
        <v>384.5</v>
      </c>
      <c r="F2597" s="116">
        <v>389.7</v>
      </c>
      <c r="G2597">
        <v>233636</v>
      </c>
      <c r="H2597" s="116"/>
      <c r="I2597" s="116"/>
      <c r="L2597" s="170">
        <v>45828</v>
      </c>
      <c r="M2597" s="116">
        <v>390.1</v>
      </c>
      <c r="N2597" s="116">
        <v>392.5</v>
      </c>
      <c r="O2597" s="116">
        <v>381.6</v>
      </c>
      <c r="P2597" s="116">
        <v>383.5</v>
      </c>
      <c r="Q2597" s="116">
        <v>390.1</v>
      </c>
      <c r="R2597">
        <v>15318217</v>
      </c>
    </row>
    <row r="2598" spans="1:18" x14ac:dyDescent="0.25">
      <c r="A2598" s="170">
        <v>45831</v>
      </c>
      <c r="B2598" s="116">
        <v>394.55</v>
      </c>
      <c r="C2598" s="116">
        <v>393</v>
      </c>
      <c r="D2598" s="116">
        <v>384.6</v>
      </c>
      <c r="E2598" s="116">
        <v>385.5</v>
      </c>
      <c r="F2598" s="116">
        <v>393</v>
      </c>
      <c r="G2598">
        <v>200413</v>
      </c>
      <c r="H2598" s="116"/>
      <c r="I2598" s="116"/>
      <c r="L2598" s="170">
        <v>45831</v>
      </c>
      <c r="M2598" s="116">
        <v>393</v>
      </c>
      <c r="N2598" s="116">
        <v>394.55</v>
      </c>
      <c r="O2598" s="116">
        <v>384.55</v>
      </c>
      <c r="P2598" s="116">
        <v>385</v>
      </c>
      <c r="Q2598" s="116">
        <v>393</v>
      </c>
      <c r="R2598">
        <v>5195843</v>
      </c>
    </row>
    <row r="2599" spans="1:18" x14ac:dyDescent="0.25">
      <c r="A2599" s="170">
        <v>45832</v>
      </c>
      <c r="B2599" s="116">
        <v>403.65</v>
      </c>
      <c r="C2599" s="116">
        <v>398.55</v>
      </c>
      <c r="D2599" s="116">
        <v>394.95</v>
      </c>
      <c r="E2599" s="116">
        <v>395.95</v>
      </c>
      <c r="F2599" s="116">
        <v>398.55</v>
      </c>
      <c r="G2599">
        <v>228147</v>
      </c>
      <c r="H2599" s="116"/>
      <c r="I2599" s="116"/>
      <c r="L2599" s="170">
        <v>45832</v>
      </c>
      <c r="M2599" s="116">
        <v>398.45</v>
      </c>
      <c r="N2599" s="116">
        <v>403.8</v>
      </c>
      <c r="O2599" s="116">
        <v>394.85</v>
      </c>
      <c r="P2599" s="116">
        <v>395</v>
      </c>
      <c r="Q2599" s="116">
        <v>398.45</v>
      </c>
      <c r="R2599">
        <v>6296902</v>
      </c>
    </row>
    <row r="2600" spans="1:18" x14ac:dyDescent="0.25">
      <c r="A2600" s="170">
        <v>45833</v>
      </c>
      <c r="B2600" s="116">
        <v>405.65</v>
      </c>
      <c r="C2600" s="116">
        <v>403</v>
      </c>
      <c r="D2600" s="116">
        <v>398.55</v>
      </c>
      <c r="E2600" s="116">
        <v>400.45</v>
      </c>
      <c r="F2600" s="116">
        <v>403</v>
      </c>
      <c r="G2600">
        <v>569699</v>
      </c>
      <c r="H2600" s="116"/>
      <c r="I2600" s="116"/>
      <c r="L2600" s="170">
        <v>45833</v>
      </c>
      <c r="M2600" s="116">
        <v>403.05</v>
      </c>
      <c r="N2600" s="116">
        <v>405.65</v>
      </c>
      <c r="O2600" s="116">
        <v>400</v>
      </c>
      <c r="P2600" s="116">
        <v>400.95</v>
      </c>
      <c r="Q2600" s="116">
        <v>403.05</v>
      </c>
      <c r="R2600">
        <v>6324991</v>
      </c>
    </row>
    <row r="2601" spans="1:18" x14ac:dyDescent="0.25">
      <c r="A2601" s="170">
        <v>45834</v>
      </c>
      <c r="B2601" s="116">
        <v>406</v>
      </c>
      <c r="C2601" s="116">
        <v>405.5</v>
      </c>
      <c r="D2601" s="116">
        <v>401.5</v>
      </c>
      <c r="E2601" s="116">
        <v>403.95</v>
      </c>
      <c r="F2601" s="116">
        <v>405.5</v>
      </c>
      <c r="G2601">
        <v>281878</v>
      </c>
      <c r="H2601" s="116"/>
      <c r="I2601" s="116"/>
      <c r="L2601" s="170">
        <v>45834</v>
      </c>
      <c r="M2601" s="116">
        <v>405.65</v>
      </c>
      <c r="N2601" s="116">
        <v>406</v>
      </c>
      <c r="O2601" s="116">
        <v>401.5</v>
      </c>
      <c r="P2601" s="116">
        <v>403.05</v>
      </c>
      <c r="Q2601" s="116">
        <v>405.65</v>
      </c>
      <c r="R2601">
        <v>5064123</v>
      </c>
    </row>
    <row r="2602" spans="1:18" x14ac:dyDescent="0.25">
      <c r="A2602" s="170">
        <v>45835</v>
      </c>
      <c r="B2602" s="116">
        <v>411.45</v>
      </c>
      <c r="C2602" s="116">
        <v>408.8</v>
      </c>
      <c r="D2602" s="116">
        <v>406.4</v>
      </c>
      <c r="E2602" s="116">
        <v>406.5</v>
      </c>
      <c r="F2602" s="116">
        <v>408.8</v>
      </c>
      <c r="G2602">
        <v>200119</v>
      </c>
      <c r="H2602" s="116"/>
      <c r="I2602" s="116"/>
      <c r="L2602" s="170">
        <v>45835</v>
      </c>
      <c r="M2602" s="116">
        <v>408.85</v>
      </c>
      <c r="N2602" s="116">
        <v>411.5</v>
      </c>
      <c r="O2602" s="116">
        <v>406.35</v>
      </c>
      <c r="P2602" s="116">
        <v>407.1</v>
      </c>
      <c r="Q2602" s="116">
        <v>408.85</v>
      </c>
      <c r="R2602">
        <v>5243333</v>
      </c>
    </row>
    <row r="2603" spans="1:18" x14ac:dyDescent="0.25">
      <c r="A2603" s="170">
        <v>45838</v>
      </c>
      <c r="B2603" s="116">
        <v>410.4</v>
      </c>
      <c r="C2603" s="116">
        <v>405.6</v>
      </c>
      <c r="D2603" s="116">
        <v>403.5</v>
      </c>
      <c r="E2603" s="116">
        <v>407.7</v>
      </c>
      <c r="F2603" s="116">
        <v>405.6</v>
      </c>
      <c r="G2603">
        <v>207619</v>
      </c>
      <c r="H2603" s="116"/>
      <c r="I2603" s="116"/>
      <c r="L2603" s="170">
        <v>45838</v>
      </c>
      <c r="M2603" s="116">
        <v>405.45</v>
      </c>
      <c r="N2603" s="116">
        <v>410.2</v>
      </c>
      <c r="O2603" s="116">
        <v>403.5</v>
      </c>
      <c r="P2603" s="116">
        <v>408.85</v>
      </c>
      <c r="Q2603" s="116">
        <v>405.45</v>
      </c>
      <c r="R2603">
        <v>3232056</v>
      </c>
    </row>
    <row r="2604" spans="1:18" x14ac:dyDescent="0.25">
      <c r="A2604" s="170">
        <v>45839</v>
      </c>
      <c r="B2604" s="116">
        <v>407.7</v>
      </c>
      <c r="C2604" s="116">
        <v>406.45</v>
      </c>
      <c r="D2604" s="116">
        <v>403</v>
      </c>
      <c r="E2604" s="116">
        <v>406.2</v>
      </c>
      <c r="F2604" s="116">
        <v>406.45</v>
      </c>
      <c r="G2604">
        <v>322102</v>
      </c>
      <c r="H2604" s="116"/>
      <c r="I2604" s="116"/>
      <c r="L2604" s="170">
        <v>45839</v>
      </c>
      <c r="M2604" s="116">
        <v>406.55</v>
      </c>
      <c r="N2604" s="116">
        <v>407.8</v>
      </c>
      <c r="O2604" s="116">
        <v>403</v>
      </c>
      <c r="P2604" s="116">
        <v>406</v>
      </c>
      <c r="Q2604" s="116">
        <v>406.55</v>
      </c>
      <c r="R2604">
        <v>3180881</v>
      </c>
    </row>
    <row r="2605" spans="1:18" x14ac:dyDescent="0.25">
      <c r="A2605" s="170">
        <v>45840</v>
      </c>
      <c r="B2605" s="116">
        <v>410.9</v>
      </c>
      <c r="C2605" s="116">
        <v>406.45</v>
      </c>
      <c r="D2605" s="116">
        <v>404.3</v>
      </c>
      <c r="E2605" s="116">
        <v>406.85</v>
      </c>
      <c r="F2605" s="116">
        <v>406.45</v>
      </c>
      <c r="G2605">
        <v>210759</v>
      </c>
      <c r="H2605" s="116"/>
      <c r="I2605" s="116"/>
      <c r="L2605" s="170">
        <v>45840</v>
      </c>
      <c r="M2605" s="116">
        <v>406.65</v>
      </c>
      <c r="N2605" s="116">
        <v>410.9</v>
      </c>
      <c r="O2605" s="116">
        <v>404.4</v>
      </c>
      <c r="P2605" s="116">
        <v>406.55</v>
      </c>
      <c r="Q2605" s="116">
        <v>406.65</v>
      </c>
      <c r="R2605">
        <v>4283041</v>
      </c>
    </row>
    <row r="2606" spans="1:18" x14ac:dyDescent="0.25">
      <c r="A2606" s="170">
        <v>45841</v>
      </c>
      <c r="B2606" s="116">
        <v>403.95</v>
      </c>
      <c r="C2606" s="116">
        <v>399.75</v>
      </c>
      <c r="D2606" s="116">
        <v>396.75</v>
      </c>
      <c r="E2606" s="116">
        <v>399.05</v>
      </c>
      <c r="F2606" s="116">
        <v>399.75</v>
      </c>
      <c r="G2606">
        <v>497344</v>
      </c>
      <c r="H2606" s="116"/>
      <c r="I2606" s="116"/>
      <c r="L2606" s="170">
        <v>45841</v>
      </c>
      <c r="M2606" s="116">
        <v>399.9</v>
      </c>
      <c r="N2606" s="116">
        <v>403.7</v>
      </c>
      <c r="O2606" s="116">
        <v>396.6</v>
      </c>
      <c r="P2606" s="116">
        <v>400</v>
      </c>
      <c r="Q2606" s="116">
        <v>399.9</v>
      </c>
      <c r="R2606">
        <v>9669274</v>
      </c>
    </row>
    <row r="2607" spans="1:18" x14ac:dyDescent="0.25">
      <c r="A2607" s="170">
        <v>45842</v>
      </c>
      <c r="B2607" s="116">
        <v>403.5</v>
      </c>
      <c r="C2607" s="116">
        <v>400.95</v>
      </c>
      <c r="D2607" s="116">
        <v>398.6</v>
      </c>
      <c r="E2607" s="116">
        <v>399.7</v>
      </c>
      <c r="F2607" s="116">
        <v>400.95</v>
      </c>
      <c r="G2607">
        <v>194982</v>
      </c>
      <c r="H2607" s="116"/>
      <c r="I2607" s="116"/>
      <c r="L2607" s="170">
        <v>45842</v>
      </c>
      <c r="M2607" s="116">
        <v>401</v>
      </c>
      <c r="N2607" s="116">
        <v>403.55</v>
      </c>
      <c r="O2607" s="116">
        <v>398.5</v>
      </c>
      <c r="P2607" s="116">
        <v>399</v>
      </c>
      <c r="Q2607" s="116">
        <v>401</v>
      </c>
      <c r="R2607">
        <v>3432678</v>
      </c>
    </row>
    <row r="2608" spans="1:18" x14ac:dyDescent="0.25">
      <c r="A2608" s="170">
        <v>45845</v>
      </c>
      <c r="B2608" s="116">
        <v>403.5</v>
      </c>
      <c r="C2608" s="116">
        <v>401.15</v>
      </c>
      <c r="D2608" s="116">
        <v>398.4</v>
      </c>
      <c r="E2608" s="116">
        <v>400.2</v>
      </c>
      <c r="F2608" s="116">
        <v>401.15</v>
      </c>
      <c r="G2608">
        <v>235248</v>
      </c>
      <c r="H2608" s="116"/>
      <c r="I2608" s="116"/>
      <c r="L2608" s="170">
        <v>45845</v>
      </c>
      <c r="M2608" s="116">
        <v>401.2</v>
      </c>
      <c r="N2608" s="116">
        <v>403.55</v>
      </c>
      <c r="O2608" s="116">
        <v>398.4</v>
      </c>
      <c r="P2608" s="116">
        <v>401</v>
      </c>
      <c r="Q2608" s="116">
        <v>401.2</v>
      </c>
      <c r="R2608">
        <v>6385392</v>
      </c>
    </row>
    <row r="2609" spans="1:18" x14ac:dyDescent="0.25">
      <c r="A2609" s="170">
        <v>45846</v>
      </c>
      <c r="B2609" s="116">
        <v>406.5</v>
      </c>
      <c r="C2609" s="116">
        <v>400.85</v>
      </c>
      <c r="D2609" s="116">
        <v>397.65</v>
      </c>
      <c r="E2609" s="116">
        <v>401.15</v>
      </c>
      <c r="F2609" s="116">
        <v>400.85</v>
      </c>
      <c r="G2609">
        <v>234047</v>
      </c>
      <c r="H2609" s="116"/>
      <c r="I2609" s="116"/>
      <c r="L2609" s="170">
        <v>45846</v>
      </c>
      <c r="M2609" s="116">
        <v>400.85</v>
      </c>
      <c r="N2609" s="116">
        <v>406.65</v>
      </c>
      <c r="O2609" s="116">
        <v>397.7</v>
      </c>
      <c r="P2609" s="116">
        <v>401.2</v>
      </c>
      <c r="Q2609" s="116">
        <v>400.85</v>
      </c>
      <c r="R2609">
        <v>5551339</v>
      </c>
    </row>
    <row r="2610" spans="1:18" x14ac:dyDescent="0.25">
      <c r="A2610" s="170">
        <v>45847</v>
      </c>
      <c r="B2610" s="116">
        <v>405.5</v>
      </c>
      <c r="C2610" s="116">
        <v>400.45</v>
      </c>
      <c r="D2610" s="116">
        <v>398.35</v>
      </c>
      <c r="E2610" s="116">
        <v>401.35</v>
      </c>
      <c r="F2610" s="116">
        <v>400.45</v>
      </c>
      <c r="G2610">
        <v>329905</v>
      </c>
      <c r="H2610" s="116"/>
      <c r="I2610" s="116"/>
      <c r="L2610" s="170">
        <v>45847</v>
      </c>
      <c r="M2610" s="116">
        <v>400.65</v>
      </c>
      <c r="N2610" s="116">
        <v>405.5</v>
      </c>
      <c r="O2610" s="116">
        <v>398.5</v>
      </c>
      <c r="P2610" s="116">
        <v>400.85</v>
      </c>
      <c r="Q2610" s="116">
        <v>400.65</v>
      </c>
      <c r="R2610">
        <v>4148059</v>
      </c>
    </row>
    <row r="2611" spans="1:18" x14ac:dyDescent="0.25">
      <c r="A2611" s="170">
        <v>45848</v>
      </c>
      <c r="B2611" s="116">
        <v>402.5</v>
      </c>
      <c r="C2611" s="116">
        <v>399.8</v>
      </c>
      <c r="D2611" s="116">
        <v>398</v>
      </c>
      <c r="E2611" s="116">
        <v>400.65</v>
      </c>
      <c r="F2611" s="116">
        <v>399.8</v>
      </c>
      <c r="G2611">
        <v>126880</v>
      </c>
      <c r="H2611" s="116"/>
      <c r="I2611" s="116"/>
      <c r="L2611" s="170">
        <v>45848</v>
      </c>
      <c r="M2611" s="116">
        <v>399.9</v>
      </c>
      <c r="N2611" s="116">
        <v>402.7</v>
      </c>
      <c r="O2611" s="116">
        <v>397.8</v>
      </c>
      <c r="P2611" s="116">
        <v>400.65</v>
      </c>
      <c r="Q2611" s="116">
        <v>399.9</v>
      </c>
      <c r="R2611">
        <v>4302998</v>
      </c>
    </row>
    <row r="2612" spans="1:18" x14ac:dyDescent="0.25">
      <c r="A2612" s="170">
        <v>45849</v>
      </c>
      <c r="B2612" s="116">
        <v>401.5</v>
      </c>
      <c r="C2612" s="116">
        <v>396.7</v>
      </c>
      <c r="D2612" s="116">
        <v>395.6</v>
      </c>
      <c r="E2612" s="116">
        <v>399.4</v>
      </c>
      <c r="F2612" s="116">
        <v>396.7</v>
      </c>
      <c r="G2612">
        <v>98977</v>
      </c>
      <c r="H2612" s="116"/>
      <c r="I2612" s="116"/>
      <c r="L2612" s="170">
        <v>45849</v>
      </c>
      <c r="M2612" s="116">
        <v>396.85</v>
      </c>
      <c r="N2612" s="116">
        <v>401.7</v>
      </c>
      <c r="O2612" s="116">
        <v>395.4</v>
      </c>
      <c r="P2612" s="116">
        <v>399.05</v>
      </c>
      <c r="Q2612" s="116">
        <v>396.85</v>
      </c>
      <c r="R2612">
        <v>6893575</v>
      </c>
    </row>
    <row r="2613" spans="1:18" x14ac:dyDescent="0.25">
      <c r="A2613" s="170">
        <v>45852</v>
      </c>
      <c r="B2613" s="116">
        <v>403.1</v>
      </c>
      <c r="C2613" s="116">
        <v>402.45</v>
      </c>
      <c r="D2613" s="116">
        <v>395.6</v>
      </c>
      <c r="E2613" s="116">
        <v>396.2</v>
      </c>
      <c r="F2613" s="116">
        <v>402.45</v>
      </c>
      <c r="G2613">
        <v>291572</v>
      </c>
      <c r="H2613" s="116"/>
      <c r="I2613" s="116"/>
      <c r="L2613" s="170">
        <v>45852</v>
      </c>
      <c r="M2613" s="116">
        <v>402.55</v>
      </c>
      <c r="N2613" s="116">
        <v>403.15</v>
      </c>
      <c r="O2613" s="116">
        <v>395.5</v>
      </c>
      <c r="P2613" s="116">
        <v>396.85</v>
      </c>
      <c r="Q2613" s="116">
        <v>402.55</v>
      </c>
      <c r="R2613">
        <v>4074490</v>
      </c>
    </row>
    <row r="2614" spans="1:18" x14ac:dyDescent="0.25">
      <c r="A2614" s="170">
        <v>45853</v>
      </c>
      <c r="B2614" s="116">
        <v>405.35</v>
      </c>
      <c r="C2614" s="116">
        <v>403.8</v>
      </c>
      <c r="D2614" s="116">
        <v>398.9</v>
      </c>
      <c r="E2614" s="116">
        <v>403.5</v>
      </c>
      <c r="F2614" s="116">
        <v>403.8</v>
      </c>
      <c r="G2614">
        <v>141233</v>
      </c>
      <c r="H2614" s="116"/>
      <c r="I2614" s="116"/>
      <c r="L2614" s="170">
        <v>45853</v>
      </c>
      <c r="M2614" s="116">
        <v>403.9</v>
      </c>
      <c r="N2614" s="116">
        <v>405.3</v>
      </c>
      <c r="O2614" s="116">
        <v>398.85</v>
      </c>
      <c r="P2614" s="116">
        <v>402.6</v>
      </c>
      <c r="Q2614" s="116">
        <v>403.9</v>
      </c>
      <c r="R2614">
        <v>4286434</v>
      </c>
    </row>
    <row r="2615" spans="1:18" x14ac:dyDescent="0.25">
      <c r="A2615" s="170">
        <v>45854</v>
      </c>
      <c r="B2615" s="116">
        <v>416.7</v>
      </c>
      <c r="C2615" s="116">
        <v>414.65</v>
      </c>
      <c r="D2615" s="116">
        <v>402.45</v>
      </c>
      <c r="E2615" s="116">
        <v>403.55</v>
      </c>
      <c r="F2615" s="116">
        <v>414.65</v>
      </c>
      <c r="G2615">
        <v>516044</v>
      </c>
      <c r="H2615" s="116"/>
      <c r="I2615" s="116"/>
      <c r="L2615" s="170">
        <v>45854</v>
      </c>
      <c r="M2615" s="116">
        <v>414.7</v>
      </c>
      <c r="N2615" s="116">
        <v>416.75</v>
      </c>
      <c r="O2615" s="116">
        <v>402.5</v>
      </c>
      <c r="P2615" s="116">
        <v>403.05</v>
      </c>
      <c r="Q2615" s="116">
        <v>414.7</v>
      </c>
      <c r="R2615">
        <v>13501549</v>
      </c>
    </row>
    <row r="2616" spans="1:18" x14ac:dyDescent="0.25">
      <c r="A2616" s="170">
        <v>45855</v>
      </c>
      <c r="B2616" s="116">
        <v>416.4</v>
      </c>
      <c r="C2616" s="116">
        <v>413.25</v>
      </c>
      <c r="D2616" s="116">
        <v>411.5</v>
      </c>
      <c r="E2616" s="116">
        <v>414.65</v>
      </c>
      <c r="F2616" s="116">
        <v>413.25</v>
      </c>
      <c r="G2616">
        <v>296258</v>
      </c>
      <c r="H2616" s="116"/>
      <c r="I2616" s="116"/>
      <c r="L2616" s="170">
        <v>45855</v>
      </c>
      <c r="M2616" s="116">
        <v>413.45</v>
      </c>
      <c r="N2616" s="116">
        <v>416.4</v>
      </c>
      <c r="O2616" s="116">
        <v>411.15</v>
      </c>
      <c r="P2616" s="116">
        <v>415</v>
      </c>
      <c r="Q2616" s="116">
        <v>413.45</v>
      </c>
      <c r="R2616">
        <v>6347491</v>
      </c>
    </row>
    <row r="2617" spans="1:18" x14ac:dyDescent="0.25">
      <c r="A2617" s="170">
        <v>45856</v>
      </c>
      <c r="B2617" s="116">
        <v>414.3</v>
      </c>
      <c r="C2617" s="116">
        <v>408</v>
      </c>
      <c r="D2617" s="116">
        <v>406.4</v>
      </c>
      <c r="E2617" s="116">
        <v>413.2</v>
      </c>
      <c r="F2617" s="116">
        <v>408</v>
      </c>
      <c r="G2617">
        <v>385462</v>
      </c>
      <c r="H2617" s="116"/>
      <c r="I2617" s="116"/>
      <c r="L2617" s="170">
        <v>45856</v>
      </c>
      <c r="M2617" s="116">
        <v>407.9</v>
      </c>
      <c r="N2617" s="116">
        <v>414.15</v>
      </c>
      <c r="O2617" s="116">
        <v>406.15</v>
      </c>
      <c r="P2617" s="116">
        <v>411</v>
      </c>
      <c r="Q2617" s="116">
        <v>407.9</v>
      </c>
      <c r="R2617">
        <v>4614946</v>
      </c>
    </row>
    <row r="2618" spans="1:18" x14ac:dyDescent="0.25">
      <c r="A2618" s="170">
        <v>45859</v>
      </c>
      <c r="B2618" s="116">
        <v>403.9</v>
      </c>
      <c r="C2618" s="116">
        <v>401.8</v>
      </c>
      <c r="D2618" s="116">
        <v>395.9</v>
      </c>
      <c r="E2618" s="116">
        <v>402.15</v>
      </c>
      <c r="F2618" s="116">
        <v>401.8</v>
      </c>
      <c r="G2618">
        <v>604434</v>
      </c>
      <c r="H2618" s="116"/>
      <c r="I2618" s="116"/>
      <c r="L2618" s="170">
        <v>45859</v>
      </c>
      <c r="M2618" s="116">
        <v>401.85</v>
      </c>
      <c r="N2618" s="116">
        <v>404</v>
      </c>
      <c r="O2618" s="116">
        <v>395</v>
      </c>
      <c r="P2618" s="116">
        <v>404</v>
      </c>
      <c r="Q2618" s="116">
        <v>401.85</v>
      </c>
      <c r="R2618">
        <v>7045744</v>
      </c>
    </row>
    <row r="2619" spans="1:18" x14ac:dyDescent="0.25">
      <c r="A2619" s="170">
        <v>45860</v>
      </c>
      <c r="B2619" s="116">
        <v>403.65</v>
      </c>
      <c r="C2619" s="116">
        <v>399</v>
      </c>
      <c r="D2619" s="116">
        <v>397.15</v>
      </c>
      <c r="E2619" s="116">
        <v>402.1</v>
      </c>
      <c r="F2619" s="116">
        <v>399</v>
      </c>
      <c r="G2619">
        <v>362347</v>
      </c>
      <c r="H2619" s="116"/>
      <c r="I2619" s="116"/>
      <c r="L2619" s="170">
        <v>45860</v>
      </c>
      <c r="M2619" s="116">
        <v>399.15</v>
      </c>
      <c r="N2619" s="116">
        <v>403.9</v>
      </c>
      <c r="O2619" s="116">
        <v>398.5</v>
      </c>
      <c r="P2619" s="116">
        <v>403.75</v>
      </c>
      <c r="Q2619" s="116">
        <v>399.15</v>
      </c>
      <c r="R2619">
        <v>3980682</v>
      </c>
    </row>
    <row r="2620" spans="1:18" x14ac:dyDescent="0.25">
      <c r="A2620" s="170">
        <v>45861</v>
      </c>
      <c r="B2620" s="116">
        <v>405.05</v>
      </c>
      <c r="C2620" s="116">
        <v>402.35</v>
      </c>
      <c r="D2620" s="116">
        <v>399.65</v>
      </c>
      <c r="E2620" s="116">
        <v>400</v>
      </c>
      <c r="F2620" s="116">
        <v>402.35</v>
      </c>
      <c r="G2620">
        <v>134610</v>
      </c>
      <c r="H2620" s="116"/>
      <c r="I2620" s="116"/>
      <c r="L2620" s="170">
        <v>45861</v>
      </c>
      <c r="M2620" s="116">
        <v>402.5</v>
      </c>
      <c r="N2620" s="116">
        <v>405</v>
      </c>
      <c r="O2620" s="116">
        <v>399.65</v>
      </c>
      <c r="P2620" s="116">
        <v>400.1</v>
      </c>
      <c r="Q2620" s="116">
        <v>402.5</v>
      </c>
      <c r="R2620">
        <v>3778869</v>
      </c>
    </row>
    <row r="2621" spans="1:18" x14ac:dyDescent="0.25">
      <c r="A2621" s="170">
        <v>45862</v>
      </c>
      <c r="B2621" s="116">
        <v>404</v>
      </c>
      <c r="C2621" s="116">
        <v>400.6</v>
      </c>
      <c r="D2621" s="116">
        <v>398.8</v>
      </c>
      <c r="E2621" s="116">
        <v>401.1</v>
      </c>
      <c r="F2621" s="116">
        <v>400.6</v>
      </c>
      <c r="G2621">
        <v>575207</v>
      </c>
      <c r="H2621" s="116"/>
      <c r="I2621" s="116"/>
      <c r="L2621" s="170">
        <v>45862</v>
      </c>
      <c r="M2621" s="116">
        <v>400.7</v>
      </c>
      <c r="N2621" s="116">
        <v>403.95</v>
      </c>
      <c r="O2621" s="116">
        <v>398.7</v>
      </c>
      <c r="P2621" s="116">
        <v>402.3</v>
      </c>
      <c r="Q2621" s="116">
        <v>400.7</v>
      </c>
      <c r="R2621">
        <v>4023200</v>
      </c>
    </row>
    <row r="2622" spans="1:18" x14ac:dyDescent="0.25">
      <c r="A2622" s="170">
        <v>45863</v>
      </c>
      <c r="B2622" s="116">
        <v>401.3</v>
      </c>
      <c r="C2622" s="116">
        <v>395.45</v>
      </c>
      <c r="D2622" s="116">
        <v>394.35</v>
      </c>
      <c r="E2622" s="116">
        <v>400.25</v>
      </c>
      <c r="F2622" s="116">
        <v>395.45</v>
      </c>
      <c r="G2622">
        <v>416969</v>
      </c>
      <c r="H2622" s="116"/>
      <c r="I2622" s="116"/>
      <c r="L2622" s="170">
        <v>45863</v>
      </c>
      <c r="M2622" s="116">
        <v>395.35</v>
      </c>
      <c r="N2622" s="116">
        <v>401.25</v>
      </c>
      <c r="O2622" s="116">
        <v>394.3</v>
      </c>
      <c r="P2622" s="116">
        <v>399.8</v>
      </c>
      <c r="Q2622" s="116">
        <v>395.35</v>
      </c>
      <c r="R2622">
        <v>5831294</v>
      </c>
    </row>
    <row r="2623" spans="1:18" x14ac:dyDescent="0.25">
      <c r="A2623" s="170">
        <v>45866</v>
      </c>
      <c r="B2623" s="116">
        <v>403.6</v>
      </c>
      <c r="C2623" s="116">
        <v>399.25</v>
      </c>
      <c r="D2623" s="116">
        <v>393.4</v>
      </c>
      <c r="E2623" s="116">
        <v>394.4</v>
      </c>
      <c r="F2623" s="116">
        <v>399.25</v>
      </c>
      <c r="G2623">
        <v>567782</v>
      </c>
      <c r="H2623" s="116"/>
      <c r="I2623" s="116"/>
      <c r="L2623" s="170">
        <v>45866</v>
      </c>
      <c r="M2623" s="116">
        <v>399.2</v>
      </c>
      <c r="N2623" s="116">
        <v>403.8</v>
      </c>
      <c r="O2623" s="116">
        <v>393.5</v>
      </c>
      <c r="P2623" s="116">
        <v>394.1</v>
      </c>
      <c r="Q2623" s="116">
        <v>399.2</v>
      </c>
      <c r="R2623">
        <v>5758606</v>
      </c>
    </row>
    <row r="2624" spans="1:18" x14ac:dyDescent="0.25">
      <c r="A2624" s="170">
        <v>45867</v>
      </c>
      <c r="B2624" s="116">
        <v>401.6</v>
      </c>
      <c r="C2624" s="116">
        <v>399.75</v>
      </c>
      <c r="D2624" s="116">
        <v>395.85</v>
      </c>
      <c r="E2624" s="116">
        <v>396.5</v>
      </c>
      <c r="F2624" s="116">
        <v>399.75</v>
      </c>
      <c r="G2624">
        <v>454636</v>
      </c>
      <c r="H2624" s="116"/>
      <c r="I2624" s="116"/>
      <c r="L2624" s="170">
        <v>45867</v>
      </c>
      <c r="M2624" s="116">
        <v>399.85</v>
      </c>
      <c r="N2624" s="116">
        <v>401.6</v>
      </c>
      <c r="O2624" s="116">
        <v>396</v>
      </c>
      <c r="P2624" s="116">
        <v>397</v>
      </c>
      <c r="Q2624" s="116">
        <v>399.85</v>
      </c>
      <c r="R2624">
        <v>5038609</v>
      </c>
    </row>
    <row r="2625" spans="1:18" x14ac:dyDescent="0.25">
      <c r="A2625" s="170">
        <v>45868</v>
      </c>
      <c r="B2625" s="116">
        <v>403.55</v>
      </c>
      <c r="C2625" s="116">
        <v>401.2</v>
      </c>
      <c r="D2625" s="116">
        <v>397.8</v>
      </c>
      <c r="E2625" s="116">
        <v>400.95</v>
      </c>
      <c r="F2625" s="116">
        <v>401.2</v>
      </c>
      <c r="G2625">
        <v>169437</v>
      </c>
      <c r="H2625" s="116"/>
      <c r="I2625" s="116"/>
      <c r="L2625" s="170">
        <v>45868</v>
      </c>
      <c r="M2625" s="116">
        <v>401.35</v>
      </c>
      <c r="N2625" s="116">
        <v>403.75</v>
      </c>
      <c r="O2625" s="116">
        <v>397.7</v>
      </c>
      <c r="P2625" s="116">
        <v>401.5</v>
      </c>
      <c r="Q2625" s="116">
        <v>401.35</v>
      </c>
      <c r="R2625">
        <v>5468844</v>
      </c>
    </row>
    <row r="2626" spans="1:18" x14ac:dyDescent="0.25">
      <c r="A2626" s="170">
        <v>45869</v>
      </c>
      <c r="B2626" s="116">
        <v>400.55</v>
      </c>
      <c r="C2626" s="116">
        <v>397.7</v>
      </c>
      <c r="D2626" s="116">
        <v>395.25</v>
      </c>
      <c r="E2626" s="116">
        <v>395.25</v>
      </c>
      <c r="F2626" s="116">
        <v>397.7</v>
      </c>
      <c r="G2626">
        <v>383464</v>
      </c>
      <c r="H2626" s="116"/>
      <c r="I2626" s="116"/>
      <c r="L2626" s="170">
        <v>45869</v>
      </c>
      <c r="M2626" s="116">
        <v>397.75</v>
      </c>
      <c r="N2626" s="116">
        <v>400.5</v>
      </c>
      <c r="O2626" s="116">
        <v>396.1</v>
      </c>
      <c r="P2626" s="116">
        <v>396.7</v>
      </c>
      <c r="Q2626" s="116">
        <v>397.75</v>
      </c>
      <c r="R2626">
        <v>5285016</v>
      </c>
    </row>
    <row r="2627" spans="1:18" x14ac:dyDescent="0.25">
      <c r="A2627" s="170">
        <v>45870</v>
      </c>
      <c r="B2627" s="116">
        <v>397.75</v>
      </c>
      <c r="C2627" s="116">
        <v>389.3</v>
      </c>
      <c r="D2627" s="116">
        <v>388.1</v>
      </c>
      <c r="E2627" s="116">
        <v>397.4</v>
      </c>
      <c r="F2627" s="116">
        <v>389.3</v>
      </c>
      <c r="G2627">
        <v>1064408</v>
      </c>
      <c r="H2627" s="116"/>
      <c r="I2627" s="116"/>
      <c r="L2627" s="170">
        <v>45870</v>
      </c>
      <c r="M2627" s="116">
        <v>389.3</v>
      </c>
      <c r="N2627" s="116">
        <v>398.15</v>
      </c>
      <c r="O2627" s="116">
        <v>388.2</v>
      </c>
      <c r="P2627" s="116">
        <v>395.1</v>
      </c>
      <c r="Q2627" s="116">
        <v>389.3</v>
      </c>
      <c r="R2627">
        <v>6240934</v>
      </c>
    </row>
    <row r="2628" spans="1:18" x14ac:dyDescent="0.25">
      <c r="A2628" s="170">
        <v>45873</v>
      </c>
      <c r="B2628" s="116">
        <v>391</v>
      </c>
      <c r="C2628" s="116">
        <v>387.05</v>
      </c>
      <c r="D2628" s="116">
        <v>376.5</v>
      </c>
      <c r="E2628" s="116">
        <v>390.05</v>
      </c>
      <c r="F2628" s="116">
        <v>387.05</v>
      </c>
      <c r="G2628">
        <v>1063625</v>
      </c>
      <c r="H2628" s="116"/>
      <c r="I2628" s="116"/>
      <c r="L2628" s="170">
        <v>45873</v>
      </c>
      <c r="M2628" s="116">
        <v>387.1</v>
      </c>
      <c r="N2628" s="116">
        <v>391.65</v>
      </c>
      <c r="O2628" s="116">
        <v>376.25</v>
      </c>
      <c r="P2628" s="116">
        <v>390</v>
      </c>
      <c r="Q2628" s="116">
        <v>387.1</v>
      </c>
      <c r="R2628">
        <v>13251686</v>
      </c>
    </row>
    <row r="2629" spans="1:18" x14ac:dyDescent="0.25">
      <c r="A2629" s="170">
        <v>45874</v>
      </c>
      <c r="B2629" s="116">
        <v>390.4</v>
      </c>
      <c r="C2629" s="116">
        <v>385.3</v>
      </c>
      <c r="D2629" s="116">
        <v>382.9</v>
      </c>
      <c r="E2629" s="116">
        <v>389.6</v>
      </c>
      <c r="F2629" s="116">
        <v>385.3</v>
      </c>
      <c r="G2629">
        <v>612695</v>
      </c>
      <c r="H2629" s="116"/>
      <c r="I2629" s="116"/>
      <c r="L2629" s="170">
        <v>45874</v>
      </c>
      <c r="M2629" s="116">
        <v>385.55</v>
      </c>
      <c r="N2629" s="116">
        <v>390.5</v>
      </c>
      <c r="O2629" s="116">
        <v>382.7</v>
      </c>
      <c r="P2629" s="116">
        <v>388</v>
      </c>
      <c r="Q2629" s="116">
        <v>385.55</v>
      </c>
      <c r="R2629">
        <v>6366590</v>
      </c>
    </row>
    <row r="2630" spans="1:18" x14ac:dyDescent="0.25">
      <c r="A2630" s="170">
        <v>45875</v>
      </c>
      <c r="B2630" s="116">
        <v>387.15</v>
      </c>
      <c r="C2630" s="116">
        <v>385.7</v>
      </c>
      <c r="D2630" s="116">
        <v>381.9</v>
      </c>
      <c r="E2630" s="116">
        <v>385.55</v>
      </c>
      <c r="F2630" s="116">
        <v>385.7</v>
      </c>
      <c r="G2630">
        <v>351795</v>
      </c>
      <c r="H2630" s="116"/>
      <c r="I2630" s="116"/>
      <c r="L2630" s="170">
        <v>45875</v>
      </c>
      <c r="M2630" s="116">
        <v>385.55</v>
      </c>
      <c r="N2630" s="116">
        <v>387</v>
      </c>
      <c r="O2630" s="116">
        <v>381.65</v>
      </c>
      <c r="P2630" s="116">
        <v>385.55</v>
      </c>
      <c r="Q2630" s="116">
        <v>385.55</v>
      </c>
      <c r="R2630">
        <v>6114204</v>
      </c>
    </row>
    <row r="2631" spans="1:18" x14ac:dyDescent="0.25">
      <c r="A2631" s="170">
        <v>45876</v>
      </c>
      <c r="B2631" s="116">
        <v>386.65</v>
      </c>
      <c r="C2631" s="116">
        <v>385.6</v>
      </c>
      <c r="D2631" s="116">
        <v>379</v>
      </c>
      <c r="E2631" s="116">
        <v>381.7</v>
      </c>
      <c r="F2631" s="116">
        <v>385.6</v>
      </c>
      <c r="G2631">
        <v>475415</v>
      </c>
      <c r="H2631" s="116"/>
      <c r="I2631" s="116"/>
      <c r="L2631" s="170">
        <v>45876</v>
      </c>
      <c r="M2631" s="116">
        <v>385.55</v>
      </c>
      <c r="N2631" s="116">
        <v>386.75</v>
      </c>
      <c r="O2631" s="116">
        <v>379</v>
      </c>
      <c r="P2631" s="116">
        <v>383</v>
      </c>
      <c r="Q2631" s="116">
        <v>385.55</v>
      </c>
      <c r="R2631">
        <v>5333971</v>
      </c>
    </row>
    <row r="2632" spans="1:18" x14ac:dyDescent="0.25">
      <c r="A2632" s="170">
        <v>45877</v>
      </c>
      <c r="B2632" s="116">
        <v>387.05</v>
      </c>
      <c r="C2632" s="116">
        <v>378.95</v>
      </c>
      <c r="D2632" s="116">
        <v>376.15</v>
      </c>
      <c r="E2632" s="116">
        <v>385.15</v>
      </c>
      <c r="F2632" s="116">
        <v>378.95</v>
      </c>
      <c r="G2632">
        <v>352493</v>
      </c>
      <c r="H2632" s="116"/>
      <c r="I2632" s="116"/>
      <c r="L2632" s="170">
        <v>45877</v>
      </c>
      <c r="M2632" s="116">
        <v>378.8</v>
      </c>
      <c r="N2632" s="116">
        <v>387.1</v>
      </c>
      <c r="O2632" s="116">
        <v>376</v>
      </c>
      <c r="P2632" s="116">
        <v>385.55</v>
      </c>
      <c r="Q2632" s="116">
        <v>378.8</v>
      </c>
      <c r="R2632">
        <v>3495353</v>
      </c>
    </row>
    <row r="2633" spans="1:18" x14ac:dyDescent="0.25">
      <c r="A2633" s="170">
        <v>45880</v>
      </c>
      <c r="B2633" s="116">
        <v>385.95</v>
      </c>
      <c r="C2633" s="116">
        <v>384.5</v>
      </c>
      <c r="D2633" s="116">
        <v>377.5</v>
      </c>
      <c r="E2633" s="116">
        <v>378.95</v>
      </c>
      <c r="F2633" s="116">
        <v>384.5</v>
      </c>
      <c r="G2633">
        <v>361433</v>
      </c>
      <c r="H2633" s="116"/>
      <c r="I2633" s="116"/>
      <c r="L2633" s="170">
        <v>45880</v>
      </c>
      <c r="M2633" s="116">
        <v>384.3</v>
      </c>
      <c r="N2633" s="116">
        <v>385.9</v>
      </c>
      <c r="O2633" s="116">
        <v>377.5</v>
      </c>
      <c r="P2633" s="116">
        <v>380</v>
      </c>
      <c r="Q2633" s="116">
        <v>384.3</v>
      </c>
      <c r="R2633">
        <v>3328976</v>
      </c>
    </row>
    <row r="2634" spans="1:18" x14ac:dyDescent="0.25">
      <c r="A2634" s="170">
        <v>45881</v>
      </c>
      <c r="B2634" s="116">
        <v>388.85</v>
      </c>
      <c r="C2634" s="116">
        <v>384.45</v>
      </c>
      <c r="D2634" s="116">
        <v>383.3</v>
      </c>
      <c r="E2634" s="116">
        <v>384.3</v>
      </c>
      <c r="F2634" s="116">
        <v>384.45</v>
      </c>
      <c r="G2634">
        <v>280734</v>
      </c>
      <c r="H2634" s="116"/>
      <c r="I2634" s="116"/>
      <c r="L2634" s="170">
        <v>45881</v>
      </c>
      <c r="M2634" s="116">
        <v>384.45</v>
      </c>
      <c r="N2634" s="116">
        <v>388.95</v>
      </c>
      <c r="O2634" s="116">
        <v>383.5</v>
      </c>
      <c r="P2634" s="116">
        <v>384.1</v>
      </c>
      <c r="Q2634" s="116">
        <v>384.45</v>
      </c>
      <c r="R2634">
        <v>2575426</v>
      </c>
    </row>
    <row r="2635" spans="1:18" x14ac:dyDescent="0.25">
      <c r="A2635" s="170">
        <v>45882</v>
      </c>
      <c r="B2635" s="116">
        <v>388.7</v>
      </c>
      <c r="C2635" s="116">
        <v>387.1</v>
      </c>
      <c r="D2635" s="116">
        <v>384.5</v>
      </c>
      <c r="E2635" s="116">
        <v>385.35</v>
      </c>
      <c r="F2635" s="116">
        <v>387.1</v>
      </c>
      <c r="G2635">
        <v>289821</v>
      </c>
      <c r="H2635" s="116"/>
      <c r="I2635" s="116"/>
      <c r="L2635" s="170">
        <v>45882</v>
      </c>
      <c r="M2635" s="116">
        <v>387.2</v>
      </c>
      <c r="N2635" s="116">
        <v>388.95</v>
      </c>
      <c r="O2635" s="116">
        <v>384.4</v>
      </c>
      <c r="P2635" s="116">
        <v>385.5</v>
      </c>
      <c r="Q2635" s="116">
        <v>387.2</v>
      </c>
      <c r="R2635">
        <v>3757839</v>
      </c>
    </row>
    <row r="2636" spans="1:18" x14ac:dyDescent="0.25">
      <c r="A2636" s="170">
        <v>45883</v>
      </c>
      <c r="B2636" s="116">
        <v>388.35</v>
      </c>
      <c r="C2636" s="116">
        <v>385.15</v>
      </c>
      <c r="D2636" s="116">
        <v>383.5</v>
      </c>
      <c r="E2636" s="116">
        <v>387.6</v>
      </c>
      <c r="F2636" s="116">
        <v>385.15</v>
      </c>
      <c r="G2636">
        <v>70088</v>
      </c>
      <c r="H2636" s="116"/>
      <c r="I2636" s="116"/>
      <c r="L2636" s="170">
        <v>45883</v>
      </c>
      <c r="M2636" s="116">
        <v>385.3</v>
      </c>
      <c r="N2636" s="116">
        <v>388.6</v>
      </c>
      <c r="O2636" s="116">
        <v>383.15</v>
      </c>
      <c r="P2636" s="116">
        <v>387.2</v>
      </c>
      <c r="Q2636" s="116">
        <v>385.3</v>
      </c>
      <c r="R2636">
        <v>2662149</v>
      </c>
    </row>
    <row r="2637" spans="1:18" x14ac:dyDescent="0.25">
      <c r="A2637" s="170">
        <v>45887</v>
      </c>
      <c r="B2637" s="116">
        <v>390</v>
      </c>
      <c r="C2637" s="116">
        <v>387.2</v>
      </c>
      <c r="D2637" s="116">
        <v>385.5</v>
      </c>
      <c r="E2637" s="116">
        <v>389.95</v>
      </c>
      <c r="F2637" s="116">
        <v>387.2</v>
      </c>
      <c r="G2637">
        <v>127707</v>
      </c>
      <c r="H2637" s="116"/>
      <c r="I2637" s="116"/>
      <c r="L2637" s="170">
        <v>45887</v>
      </c>
      <c r="M2637" s="116">
        <v>387.3</v>
      </c>
      <c r="N2637" s="116">
        <v>390</v>
      </c>
      <c r="O2637" s="116">
        <v>385.3</v>
      </c>
      <c r="P2637" s="116">
        <v>389</v>
      </c>
      <c r="Q2637" s="116">
        <v>387.3</v>
      </c>
      <c r="R2637">
        <v>3712118</v>
      </c>
    </row>
    <row r="2638" spans="1:18" x14ac:dyDescent="0.25">
      <c r="A2638" s="170">
        <v>45888</v>
      </c>
      <c r="B2638" s="116">
        <v>389.65</v>
      </c>
      <c r="C2638" s="116">
        <v>389.1</v>
      </c>
      <c r="D2638" s="116">
        <v>386.4</v>
      </c>
      <c r="E2638" s="116">
        <v>387.75</v>
      </c>
      <c r="F2638" s="116">
        <v>389.1</v>
      </c>
      <c r="G2638">
        <v>111731</v>
      </c>
      <c r="H2638" s="116"/>
      <c r="I2638" s="116"/>
      <c r="L2638" s="170">
        <v>45888</v>
      </c>
      <c r="M2638" s="116">
        <v>389.15</v>
      </c>
      <c r="N2638" s="116">
        <v>389.65</v>
      </c>
      <c r="O2638" s="116">
        <v>386.5</v>
      </c>
      <c r="P2638" s="116">
        <v>387.35</v>
      </c>
      <c r="Q2638" s="116">
        <v>389.15</v>
      </c>
      <c r="R2638">
        <v>2047149</v>
      </c>
    </row>
    <row r="2639" spans="1:18" x14ac:dyDescent="0.25">
      <c r="A2639" s="170">
        <v>45889</v>
      </c>
      <c r="B2639" s="116">
        <v>392.4</v>
      </c>
      <c r="C2639" s="116">
        <v>390.6</v>
      </c>
      <c r="D2639" s="116">
        <v>388.05</v>
      </c>
      <c r="E2639" s="116">
        <v>389</v>
      </c>
      <c r="F2639" s="116">
        <v>390.6</v>
      </c>
      <c r="G2639">
        <v>136419</v>
      </c>
      <c r="H2639" s="116"/>
      <c r="I2639" s="116"/>
      <c r="L2639" s="170">
        <v>45889</v>
      </c>
      <c r="M2639" s="116">
        <v>390.55</v>
      </c>
      <c r="N2639" s="116">
        <v>392.45</v>
      </c>
      <c r="O2639" s="116">
        <v>388.05</v>
      </c>
      <c r="P2639" s="116">
        <v>388.95</v>
      </c>
      <c r="Q2639" s="116">
        <v>390.55</v>
      </c>
      <c r="R2639">
        <v>3045301</v>
      </c>
    </row>
    <row r="2640" spans="1:18" x14ac:dyDescent="0.25">
      <c r="A2640" s="170">
        <v>45890</v>
      </c>
      <c r="B2640" s="116">
        <v>392.4</v>
      </c>
      <c r="C2640" s="116">
        <v>387.8</v>
      </c>
      <c r="D2640" s="116">
        <v>386.85</v>
      </c>
      <c r="E2640" s="116">
        <v>390</v>
      </c>
      <c r="F2640" s="116">
        <v>387.8</v>
      </c>
      <c r="G2640">
        <v>446193</v>
      </c>
      <c r="H2640" s="116"/>
      <c r="I2640" s="116"/>
      <c r="L2640" s="170">
        <v>45890</v>
      </c>
      <c r="M2640" s="116">
        <v>388.05</v>
      </c>
      <c r="N2640" s="116">
        <v>392.3</v>
      </c>
      <c r="O2640" s="116">
        <v>386.8</v>
      </c>
      <c r="P2640" s="116">
        <v>390.1</v>
      </c>
      <c r="Q2640" s="116">
        <v>388.05</v>
      </c>
      <c r="R2640">
        <v>2551655</v>
      </c>
    </row>
    <row r="2641" spans="1:18" x14ac:dyDescent="0.25">
      <c r="A2641" s="170">
        <v>45891</v>
      </c>
      <c r="B2641" s="116">
        <v>388.5</v>
      </c>
      <c r="C2641" s="116">
        <v>385.6</v>
      </c>
      <c r="D2641" s="116">
        <v>384.5</v>
      </c>
      <c r="E2641" s="116">
        <v>387.75</v>
      </c>
      <c r="F2641" s="116">
        <v>385.6</v>
      </c>
      <c r="G2641">
        <v>119328</v>
      </c>
      <c r="H2641" s="116"/>
      <c r="I2641" s="116"/>
      <c r="L2641" s="170">
        <v>45891</v>
      </c>
      <c r="M2641" s="116">
        <v>385.6</v>
      </c>
      <c r="N2641" s="116">
        <v>388.7</v>
      </c>
      <c r="O2641" s="116">
        <v>384.7</v>
      </c>
      <c r="P2641" s="116">
        <v>387</v>
      </c>
      <c r="Q2641" s="116">
        <v>385.6</v>
      </c>
      <c r="R2641">
        <v>3042678</v>
      </c>
    </row>
    <row r="2642" spans="1:18" x14ac:dyDescent="0.25">
      <c r="A2642" s="170">
        <v>45894</v>
      </c>
      <c r="B2642" s="116">
        <v>388.35</v>
      </c>
      <c r="C2642" s="116">
        <v>383.25</v>
      </c>
      <c r="D2642" s="116">
        <v>382.55</v>
      </c>
      <c r="E2642" s="116">
        <v>385.65</v>
      </c>
      <c r="F2642" s="116">
        <v>383.25</v>
      </c>
      <c r="G2642">
        <v>296651</v>
      </c>
      <c r="H2642" s="116"/>
      <c r="I2642" s="116"/>
      <c r="L2642" s="170">
        <v>45894</v>
      </c>
      <c r="M2642" s="116">
        <v>383.25</v>
      </c>
      <c r="N2642" s="116">
        <v>388.4</v>
      </c>
      <c r="O2642" s="116">
        <v>382.4</v>
      </c>
      <c r="P2642" s="116">
        <v>386.05</v>
      </c>
      <c r="Q2642" s="116">
        <v>383.25</v>
      </c>
      <c r="R2642">
        <v>4216691</v>
      </c>
    </row>
    <row r="2643" spans="1:18" x14ac:dyDescent="0.25">
      <c r="A2643" s="170">
        <v>45895</v>
      </c>
      <c r="B2643" s="116">
        <v>383.75</v>
      </c>
      <c r="C2643" s="116">
        <v>377.95</v>
      </c>
      <c r="D2643" s="116">
        <v>376.8</v>
      </c>
      <c r="E2643" s="116">
        <v>382.5</v>
      </c>
      <c r="F2643" s="116">
        <v>377.95</v>
      </c>
      <c r="G2643">
        <v>334422</v>
      </c>
      <c r="H2643" s="116"/>
      <c r="I2643" s="116"/>
      <c r="L2643" s="170">
        <v>45895</v>
      </c>
      <c r="M2643" s="116">
        <v>377.75</v>
      </c>
      <c r="N2643" s="116">
        <v>383.6</v>
      </c>
      <c r="O2643" s="116">
        <v>376.6</v>
      </c>
      <c r="P2643" s="116">
        <v>382.15</v>
      </c>
      <c r="Q2643" s="116">
        <v>377.75</v>
      </c>
      <c r="R2643">
        <v>5561286</v>
      </c>
    </row>
    <row r="2644" spans="1:18" x14ac:dyDescent="0.25">
      <c r="A2644" s="170">
        <v>45897</v>
      </c>
      <c r="B2644" s="116">
        <v>378.6</v>
      </c>
      <c r="C2644" s="116">
        <v>371.05</v>
      </c>
      <c r="D2644" s="116">
        <v>370.25</v>
      </c>
      <c r="E2644" s="116">
        <v>376.45</v>
      </c>
      <c r="F2644" s="116">
        <v>371.05</v>
      </c>
      <c r="G2644">
        <v>488164</v>
      </c>
      <c r="H2644" s="116"/>
      <c r="I2644" s="116"/>
      <c r="L2644" s="170">
        <v>45897</v>
      </c>
      <c r="M2644" s="116">
        <v>371.1</v>
      </c>
      <c r="N2644" s="116">
        <v>378.5</v>
      </c>
      <c r="O2644" s="116">
        <v>370.25</v>
      </c>
      <c r="P2644" s="116">
        <v>377.75</v>
      </c>
      <c r="Q2644" s="116">
        <v>371.1</v>
      </c>
      <c r="R2644">
        <v>5704659</v>
      </c>
    </row>
    <row r="2645" spans="1:18" x14ac:dyDescent="0.25">
      <c r="A2645" s="170">
        <v>45898</v>
      </c>
      <c r="B2645" s="116">
        <v>375</v>
      </c>
      <c r="C2645" s="116">
        <v>374.1</v>
      </c>
      <c r="D2645" s="116">
        <v>368.65</v>
      </c>
      <c r="E2645" s="116">
        <v>371.05</v>
      </c>
      <c r="F2645" s="116">
        <v>374.1</v>
      </c>
      <c r="G2645">
        <v>197617</v>
      </c>
      <c r="H2645" s="116"/>
      <c r="I2645" s="116"/>
      <c r="L2645" s="170">
        <v>45898</v>
      </c>
      <c r="M2645" s="116">
        <v>374.15</v>
      </c>
      <c r="N2645" s="116">
        <v>375</v>
      </c>
      <c r="O2645" s="116">
        <v>368.5</v>
      </c>
      <c r="P2645" s="116">
        <v>371.1</v>
      </c>
      <c r="Q2645" s="116">
        <v>374.15</v>
      </c>
      <c r="R2645">
        <v>5793121</v>
      </c>
    </row>
    <row r="2646" spans="1:18" x14ac:dyDescent="0.25">
      <c r="A2646" s="170">
        <v>45901</v>
      </c>
      <c r="B2646" s="116">
        <v>381.15</v>
      </c>
      <c r="C2646" s="116">
        <v>380.45</v>
      </c>
      <c r="D2646" s="116">
        <v>373.75</v>
      </c>
      <c r="E2646" s="116">
        <v>373.75</v>
      </c>
      <c r="F2646" s="116">
        <v>380.45</v>
      </c>
      <c r="G2646">
        <v>103387</v>
      </c>
      <c r="H2646" s="116"/>
      <c r="I2646" s="116"/>
      <c r="L2646" s="170">
        <v>45901</v>
      </c>
      <c r="M2646" s="116">
        <v>380.55</v>
      </c>
      <c r="N2646" s="116">
        <v>381</v>
      </c>
      <c r="O2646" s="116">
        <v>374.15</v>
      </c>
      <c r="P2646" s="116">
        <v>374.15</v>
      </c>
      <c r="Q2646" s="116">
        <v>380.55</v>
      </c>
      <c r="R2646">
        <v>2169911</v>
      </c>
    </row>
    <row r="2647" spans="1:18" x14ac:dyDescent="0.25">
      <c r="A2647" s="170">
        <v>45902</v>
      </c>
      <c r="B2647" s="116">
        <v>388.3</v>
      </c>
      <c r="C2647" s="116">
        <v>386.1</v>
      </c>
      <c r="D2647" s="116">
        <v>380.1</v>
      </c>
      <c r="E2647" s="116">
        <v>380.35</v>
      </c>
      <c r="F2647" s="116">
        <v>386.1</v>
      </c>
      <c r="G2647">
        <v>166312</v>
      </c>
      <c r="H2647" s="116"/>
      <c r="I2647" s="116"/>
      <c r="L2647" s="170">
        <v>45902</v>
      </c>
      <c r="M2647" s="116">
        <v>386.05</v>
      </c>
      <c r="N2647" s="116">
        <v>388.4</v>
      </c>
      <c r="O2647" s="116">
        <v>380</v>
      </c>
      <c r="P2647" s="116">
        <v>380.9</v>
      </c>
      <c r="Q2647" s="116">
        <v>386.05</v>
      </c>
      <c r="R2647">
        <v>3362410</v>
      </c>
    </row>
    <row r="2648" spans="1:18" x14ac:dyDescent="0.25">
      <c r="A2648" s="170">
        <v>45903</v>
      </c>
      <c r="B2648" s="116">
        <v>389.55</v>
      </c>
      <c r="C2648" s="116">
        <v>389.05</v>
      </c>
      <c r="D2648" s="116">
        <v>385.55</v>
      </c>
      <c r="E2648" s="116">
        <v>385.9</v>
      </c>
      <c r="F2648" s="116">
        <v>389.05</v>
      </c>
      <c r="G2648">
        <v>238491</v>
      </c>
      <c r="H2648" s="116"/>
      <c r="I2648" s="116"/>
      <c r="L2648" s="170">
        <v>45903</v>
      </c>
      <c r="M2648" s="116">
        <v>389.15</v>
      </c>
      <c r="N2648" s="116">
        <v>389.7</v>
      </c>
      <c r="O2648" s="116">
        <v>385.7</v>
      </c>
      <c r="P2648" s="116">
        <v>386.05</v>
      </c>
      <c r="Q2648" s="116">
        <v>389.15</v>
      </c>
      <c r="R2648">
        <v>2628692</v>
      </c>
    </row>
    <row r="2649" spans="1:18" x14ac:dyDescent="0.25">
      <c r="A2649" s="170">
        <v>45904</v>
      </c>
      <c r="B2649" s="116">
        <v>391.95</v>
      </c>
      <c r="C2649" s="116">
        <v>382.85</v>
      </c>
      <c r="D2649" s="116">
        <v>382</v>
      </c>
      <c r="E2649" s="116">
        <v>391.1</v>
      </c>
      <c r="F2649" s="116">
        <v>382.85</v>
      </c>
      <c r="G2649">
        <v>187546</v>
      </c>
      <c r="H2649" s="116"/>
      <c r="I2649" s="116"/>
      <c r="L2649" s="170">
        <v>45904</v>
      </c>
      <c r="M2649" s="116">
        <v>382.6</v>
      </c>
      <c r="N2649" s="116">
        <v>392</v>
      </c>
      <c r="O2649" s="116">
        <v>381.75</v>
      </c>
      <c r="P2649" s="116">
        <v>390.05</v>
      </c>
      <c r="Q2649" s="116">
        <v>382.6</v>
      </c>
      <c r="R2649">
        <v>4114491</v>
      </c>
    </row>
    <row r="2650" spans="1:18" x14ac:dyDescent="0.25">
      <c r="A2650" s="170">
        <v>45905</v>
      </c>
      <c r="B2650" s="116">
        <v>386.9</v>
      </c>
      <c r="C2650" s="116">
        <v>385.7</v>
      </c>
      <c r="D2650" s="116">
        <v>380.1</v>
      </c>
      <c r="E2650" s="116">
        <v>382.15</v>
      </c>
      <c r="F2650" s="116">
        <v>385.7</v>
      </c>
      <c r="G2650">
        <v>482762</v>
      </c>
      <c r="H2650" s="116"/>
      <c r="I2650" s="116"/>
      <c r="L2650" s="170">
        <v>45905</v>
      </c>
      <c r="M2650" s="116">
        <v>385.8</v>
      </c>
      <c r="N2650" s="116">
        <v>386.5</v>
      </c>
      <c r="O2650" s="116">
        <v>380.1</v>
      </c>
      <c r="P2650" s="116">
        <v>382.6</v>
      </c>
      <c r="Q2650" s="116">
        <v>385.8</v>
      </c>
      <c r="R2650">
        <v>3358057</v>
      </c>
    </row>
    <row r="2651" spans="1:18" x14ac:dyDescent="0.25">
      <c r="A2651" s="170">
        <v>45908</v>
      </c>
      <c r="B2651" s="116">
        <v>387.85</v>
      </c>
      <c r="C2651" s="116">
        <v>383.35</v>
      </c>
      <c r="D2651" s="116">
        <v>382.7</v>
      </c>
      <c r="E2651" s="116">
        <v>384.45</v>
      </c>
      <c r="F2651" s="116">
        <v>383.35</v>
      </c>
      <c r="G2651">
        <v>143568</v>
      </c>
      <c r="H2651" s="116"/>
      <c r="I2651" s="116"/>
      <c r="L2651" s="170">
        <v>45908</v>
      </c>
      <c r="M2651" s="116">
        <v>383.25</v>
      </c>
      <c r="N2651" s="116">
        <v>387.8</v>
      </c>
      <c r="O2651" s="116">
        <v>382.6</v>
      </c>
      <c r="P2651" s="116">
        <v>385.8</v>
      </c>
      <c r="Q2651" s="116">
        <v>383.25</v>
      </c>
      <c r="R2651">
        <v>2978303</v>
      </c>
    </row>
    <row r="2652" spans="1:18" x14ac:dyDescent="0.25">
      <c r="A2652" s="170">
        <v>45909</v>
      </c>
      <c r="B2652" s="116">
        <v>385.5</v>
      </c>
      <c r="C2652" s="116">
        <v>384.5</v>
      </c>
      <c r="D2652" s="116">
        <v>381.05</v>
      </c>
      <c r="E2652" s="116">
        <v>382.3</v>
      </c>
      <c r="F2652" s="116">
        <v>384.5</v>
      </c>
      <c r="G2652">
        <v>312215</v>
      </c>
      <c r="H2652" s="116"/>
      <c r="I2652" s="116"/>
      <c r="L2652" s="170">
        <v>45909</v>
      </c>
      <c r="M2652" s="116">
        <v>384.65</v>
      </c>
      <c r="N2652" s="116">
        <v>385.65</v>
      </c>
      <c r="O2652" s="116">
        <v>381.15</v>
      </c>
      <c r="P2652" s="116">
        <v>383.5</v>
      </c>
      <c r="Q2652" s="116">
        <v>384.65</v>
      </c>
      <c r="R2652">
        <v>3129390</v>
      </c>
    </row>
    <row r="2653" spans="1:18" x14ac:dyDescent="0.25">
      <c r="A2653" s="170">
        <v>45910</v>
      </c>
      <c r="B2653" s="116">
        <v>390.85</v>
      </c>
      <c r="C2653" s="116">
        <v>386.55</v>
      </c>
      <c r="D2653" s="116">
        <v>385.65</v>
      </c>
      <c r="E2653" s="116">
        <v>385.65</v>
      </c>
      <c r="F2653" s="116">
        <v>386.55</v>
      </c>
      <c r="G2653">
        <v>416372</v>
      </c>
      <c r="H2653" s="116"/>
      <c r="I2653" s="116"/>
      <c r="L2653" s="170">
        <v>45910</v>
      </c>
      <c r="M2653" s="116">
        <v>386.5</v>
      </c>
      <c r="N2653" s="116">
        <v>390.95</v>
      </c>
      <c r="O2653" s="116">
        <v>386.05</v>
      </c>
      <c r="P2653" s="116">
        <v>386.8</v>
      </c>
      <c r="Q2653" s="116">
        <v>386.5</v>
      </c>
      <c r="R2653">
        <v>4022433</v>
      </c>
    </row>
    <row r="2654" spans="1:18" x14ac:dyDescent="0.25">
      <c r="A2654" s="170">
        <v>45911</v>
      </c>
      <c r="B2654" s="116">
        <v>388.8</v>
      </c>
      <c r="C2654" s="116">
        <v>388.05</v>
      </c>
      <c r="D2654" s="116">
        <v>385.5</v>
      </c>
      <c r="E2654" s="116">
        <v>386.5</v>
      </c>
      <c r="F2654" s="116">
        <v>388.05</v>
      </c>
      <c r="G2654">
        <v>395352</v>
      </c>
      <c r="H2654" s="116"/>
      <c r="I2654" s="116"/>
      <c r="L2654" s="170">
        <v>45911</v>
      </c>
      <c r="M2654" s="116">
        <v>388.1</v>
      </c>
      <c r="N2654" s="116">
        <v>388.7</v>
      </c>
      <c r="O2654" s="116">
        <v>385.5</v>
      </c>
      <c r="P2654" s="116">
        <v>386.45</v>
      </c>
      <c r="Q2654" s="116">
        <v>388.1</v>
      </c>
      <c r="R2654">
        <v>3078027</v>
      </c>
    </row>
    <row r="2655" spans="1:18" x14ac:dyDescent="0.25">
      <c r="A2655" s="170">
        <v>45912</v>
      </c>
      <c r="B2655" s="116">
        <v>389.8</v>
      </c>
      <c r="C2655" s="116">
        <v>386.25</v>
      </c>
      <c r="D2655" s="116">
        <v>384.05</v>
      </c>
      <c r="E2655" s="116">
        <v>388</v>
      </c>
      <c r="F2655" s="116">
        <v>386.25</v>
      </c>
      <c r="G2655">
        <v>129340</v>
      </c>
      <c r="H2655" s="116"/>
      <c r="I2655" s="116"/>
      <c r="L2655" s="170">
        <v>45912</v>
      </c>
      <c r="M2655" s="116">
        <v>386.25</v>
      </c>
      <c r="N2655" s="116">
        <v>389.8</v>
      </c>
      <c r="O2655" s="116">
        <v>384</v>
      </c>
      <c r="P2655" s="116">
        <v>388.2</v>
      </c>
      <c r="Q2655" s="116">
        <v>386.25</v>
      </c>
      <c r="R2655">
        <v>3626792</v>
      </c>
    </row>
    <row r="2656" spans="1:18" x14ac:dyDescent="0.25">
      <c r="A2656" s="170">
        <v>45915</v>
      </c>
      <c r="B2656" s="116">
        <v>390.8</v>
      </c>
      <c r="C2656" s="116">
        <v>387.9</v>
      </c>
      <c r="D2656" s="116">
        <v>385.65</v>
      </c>
      <c r="E2656" s="116">
        <v>385.65</v>
      </c>
      <c r="F2656" s="116">
        <v>387.9</v>
      </c>
      <c r="G2656">
        <v>349076</v>
      </c>
      <c r="H2656" s="116"/>
      <c r="I2656" s="116"/>
      <c r="L2656" s="170">
        <v>45915</v>
      </c>
      <c r="M2656" s="116">
        <v>388</v>
      </c>
      <c r="N2656" s="116">
        <v>390.95</v>
      </c>
      <c r="O2656" s="116">
        <v>385.5</v>
      </c>
      <c r="P2656" s="116">
        <v>386</v>
      </c>
      <c r="Q2656" s="116">
        <v>388</v>
      </c>
      <c r="R2656">
        <v>3837268</v>
      </c>
    </row>
    <row r="2657" spans="1:18" x14ac:dyDescent="0.25">
      <c r="A2657" s="170">
        <v>45916</v>
      </c>
      <c r="B2657" s="116">
        <v>399.9</v>
      </c>
      <c r="C2657" s="116">
        <v>396.05</v>
      </c>
      <c r="D2657" s="116">
        <v>387.9</v>
      </c>
      <c r="E2657" s="116">
        <v>387.9</v>
      </c>
      <c r="F2657" s="116">
        <v>396.05</v>
      </c>
      <c r="G2657">
        <v>590281</v>
      </c>
      <c r="H2657" s="116"/>
      <c r="I2657" s="116"/>
      <c r="L2657" s="170">
        <v>45916</v>
      </c>
      <c r="M2657" s="116">
        <v>396.05</v>
      </c>
      <c r="N2657" s="116">
        <v>399.8</v>
      </c>
      <c r="O2657" s="116">
        <v>388</v>
      </c>
      <c r="P2657" s="116">
        <v>388</v>
      </c>
      <c r="Q2657" s="116">
        <v>396.05</v>
      </c>
      <c r="R2657">
        <v>10102211</v>
      </c>
    </row>
    <row r="2658" spans="1:18" x14ac:dyDescent="0.25">
      <c r="A2658" s="170">
        <v>45917</v>
      </c>
      <c r="B2658" s="116">
        <v>397.65</v>
      </c>
      <c r="C2658" s="116">
        <v>394.6</v>
      </c>
      <c r="D2658" s="116">
        <v>393.6</v>
      </c>
      <c r="E2658" s="116">
        <v>397.65</v>
      </c>
      <c r="F2658" s="116">
        <v>394.6</v>
      </c>
      <c r="G2658">
        <v>372513</v>
      </c>
      <c r="H2658" s="116"/>
      <c r="I2658" s="116"/>
      <c r="L2658" s="170">
        <v>45917</v>
      </c>
      <c r="M2658" s="116">
        <v>394.65</v>
      </c>
      <c r="N2658" s="116">
        <v>397.8</v>
      </c>
      <c r="O2658" s="116">
        <v>393.55</v>
      </c>
      <c r="P2658" s="116">
        <v>397.25</v>
      </c>
      <c r="Q2658" s="116">
        <v>394.65</v>
      </c>
      <c r="R2658">
        <v>4229347</v>
      </c>
    </row>
    <row r="2659" spans="1:18" x14ac:dyDescent="0.25">
      <c r="A2659" s="170">
        <v>45918</v>
      </c>
      <c r="B2659" s="116">
        <v>397.05</v>
      </c>
      <c r="C2659" s="116">
        <v>393.15</v>
      </c>
      <c r="D2659" s="116">
        <v>390</v>
      </c>
      <c r="E2659" s="116">
        <v>394.9</v>
      </c>
      <c r="F2659" s="116">
        <v>393.15</v>
      </c>
      <c r="G2659">
        <v>555488</v>
      </c>
      <c r="H2659" s="116"/>
      <c r="I2659" s="116"/>
      <c r="L2659" s="170">
        <v>45918</v>
      </c>
      <c r="M2659" s="116">
        <v>393.1</v>
      </c>
      <c r="N2659" s="116">
        <v>397</v>
      </c>
      <c r="O2659" s="116">
        <v>390.1</v>
      </c>
      <c r="P2659" s="116">
        <v>395.05</v>
      </c>
      <c r="Q2659" s="116">
        <v>393.1</v>
      </c>
      <c r="R2659">
        <v>3956999</v>
      </c>
    </row>
    <row r="2660" spans="1:18" x14ac:dyDescent="0.25">
      <c r="A2660" s="170">
        <v>45919</v>
      </c>
      <c r="B2660" s="116">
        <v>397.4</v>
      </c>
      <c r="C2660" s="116">
        <v>396.2</v>
      </c>
      <c r="D2660" s="116">
        <v>393.05</v>
      </c>
      <c r="E2660" s="116">
        <v>393.05</v>
      </c>
      <c r="F2660" s="116">
        <v>396.2</v>
      </c>
      <c r="G2660">
        <v>709683</v>
      </c>
      <c r="H2660" s="116"/>
      <c r="I2660" s="116"/>
      <c r="L2660" s="170">
        <v>45919</v>
      </c>
      <c r="M2660" s="116">
        <v>396.3</v>
      </c>
      <c r="N2660" s="116">
        <v>397.5</v>
      </c>
      <c r="O2660" s="116">
        <v>393.15</v>
      </c>
      <c r="P2660" s="116">
        <v>393.25</v>
      </c>
      <c r="Q2660" s="116">
        <v>396.3</v>
      </c>
      <c r="R2660">
        <v>5457632</v>
      </c>
    </row>
    <row r="2661" spans="1:18" x14ac:dyDescent="0.25">
      <c r="A2661" s="170">
        <v>45922</v>
      </c>
      <c r="B2661" s="116">
        <v>399.95</v>
      </c>
      <c r="C2661" s="116">
        <v>395.3</v>
      </c>
      <c r="D2661" s="116">
        <v>394.1</v>
      </c>
      <c r="E2661" s="116">
        <v>396</v>
      </c>
      <c r="F2661" s="116">
        <v>395.3</v>
      </c>
      <c r="G2661">
        <v>231312</v>
      </c>
      <c r="H2661" s="116"/>
      <c r="I2661" s="116"/>
      <c r="L2661" s="170">
        <v>45922</v>
      </c>
      <c r="M2661" s="116">
        <v>395.3</v>
      </c>
      <c r="N2661" s="116">
        <v>399.9</v>
      </c>
      <c r="O2661" s="116">
        <v>394</v>
      </c>
      <c r="P2661" s="116">
        <v>396</v>
      </c>
      <c r="Q2661" s="116">
        <v>395.3</v>
      </c>
      <c r="R2661">
        <v>4424464</v>
      </c>
    </row>
    <row r="2662" spans="1:18" x14ac:dyDescent="0.25">
      <c r="A2662" s="170">
        <v>45923</v>
      </c>
      <c r="B2662" s="116">
        <v>398</v>
      </c>
      <c r="C2662" s="116">
        <v>395.4</v>
      </c>
      <c r="D2662" s="116">
        <v>394.1</v>
      </c>
      <c r="E2662" s="116">
        <v>395.35</v>
      </c>
      <c r="F2662" s="116">
        <v>395.4</v>
      </c>
      <c r="G2662">
        <v>393483</v>
      </c>
      <c r="H2662" s="116"/>
      <c r="I2662" s="116"/>
      <c r="L2662" s="170">
        <v>45923</v>
      </c>
      <c r="M2662" s="116">
        <v>395.5</v>
      </c>
      <c r="N2662" s="116">
        <v>398.2</v>
      </c>
      <c r="O2662" s="116">
        <v>394.25</v>
      </c>
      <c r="P2662" s="116">
        <v>396.5</v>
      </c>
      <c r="Q2662" s="116">
        <v>395.5</v>
      </c>
      <c r="R2662">
        <v>2963511</v>
      </c>
    </row>
    <row r="2663" spans="1:18" x14ac:dyDescent="0.25">
      <c r="A2663" s="170">
        <v>45924</v>
      </c>
      <c r="B2663" s="116">
        <v>396.55</v>
      </c>
      <c r="C2663" s="116">
        <v>390.15</v>
      </c>
      <c r="D2663" s="116">
        <v>388.85</v>
      </c>
      <c r="E2663" s="116">
        <v>394</v>
      </c>
      <c r="F2663" s="116">
        <v>390.15</v>
      </c>
      <c r="G2663">
        <v>277451</v>
      </c>
      <c r="H2663" s="116"/>
      <c r="I2663" s="116"/>
      <c r="L2663" s="170">
        <v>45924</v>
      </c>
      <c r="M2663" s="116">
        <v>390.3</v>
      </c>
      <c r="N2663" s="116">
        <v>396.4</v>
      </c>
      <c r="O2663" s="116">
        <v>389.2</v>
      </c>
      <c r="P2663" s="116">
        <v>394.5</v>
      </c>
      <c r="Q2663" s="116">
        <v>390.3</v>
      </c>
      <c r="R2663">
        <v>3121538</v>
      </c>
    </row>
    <row r="2664" spans="1:18" x14ac:dyDescent="0.25">
      <c r="A2664" s="170">
        <v>45925</v>
      </c>
      <c r="B2664" s="116">
        <v>392.05</v>
      </c>
      <c r="C2664" s="116">
        <v>385.9</v>
      </c>
      <c r="D2664" s="116">
        <v>385.35</v>
      </c>
      <c r="E2664" s="116">
        <v>389.7</v>
      </c>
      <c r="F2664" s="116">
        <v>385.9</v>
      </c>
      <c r="G2664">
        <v>274446</v>
      </c>
      <c r="H2664" s="116"/>
      <c r="I2664" s="116"/>
      <c r="L2664" s="170">
        <v>45925</v>
      </c>
      <c r="M2664" s="116">
        <v>386</v>
      </c>
      <c r="N2664" s="116">
        <v>392.4</v>
      </c>
      <c r="O2664" s="116">
        <v>385.2</v>
      </c>
      <c r="P2664" s="116">
        <v>390.3</v>
      </c>
      <c r="Q2664" s="116">
        <v>386</v>
      </c>
      <c r="R2664">
        <v>3091484</v>
      </c>
    </row>
    <row r="2665" spans="1:18" x14ac:dyDescent="0.25">
      <c r="A2665" s="170">
        <v>45926</v>
      </c>
      <c r="B2665" s="116">
        <v>387</v>
      </c>
      <c r="C2665" s="116">
        <v>383.85</v>
      </c>
      <c r="D2665" s="116">
        <v>382.3</v>
      </c>
      <c r="E2665" s="116">
        <v>386</v>
      </c>
      <c r="F2665" s="116">
        <v>383.85</v>
      </c>
      <c r="G2665">
        <v>325787</v>
      </c>
      <c r="H2665" s="116"/>
      <c r="I2665" s="116"/>
      <c r="L2665" s="170">
        <v>45926</v>
      </c>
      <c r="M2665" s="116">
        <v>383.8</v>
      </c>
      <c r="N2665" s="116">
        <v>387</v>
      </c>
      <c r="O2665" s="116">
        <v>382.2</v>
      </c>
      <c r="P2665" s="116">
        <v>386</v>
      </c>
      <c r="Q2665" s="116">
        <v>383.8</v>
      </c>
      <c r="R2665">
        <v>3519702</v>
      </c>
    </row>
    <row r="2666" spans="1:18" x14ac:dyDescent="0.25">
      <c r="A2666" s="170">
        <v>45929</v>
      </c>
      <c r="B2666" s="116">
        <v>389.45</v>
      </c>
      <c r="C2666" s="116">
        <v>387.95</v>
      </c>
      <c r="D2666" s="116">
        <v>380.05</v>
      </c>
      <c r="E2666" s="116">
        <v>380.05</v>
      </c>
      <c r="F2666" s="116">
        <v>387.95</v>
      </c>
      <c r="G2666">
        <v>354137</v>
      </c>
      <c r="H2666" s="116"/>
      <c r="I2666" s="116"/>
      <c r="L2666" s="170">
        <v>45929</v>
      </c>
      <c r="M2666" s="116">
        <v>388.05</v>
      </c>
      <c r="N2666" s="116">
        <v>389.45</v>
      </c>
      <c r="O2666" s="116">
        <v>383.25</v>
      </c>
      <c r="P2666" s="116">
        <v>384.25</v>
      </c>
      <c r="Q2666" s="116">
        <v>388.05</v>
      </c>
      <c r="R2666">
        <v>3592071</v>
      </c>
    </row>
    <row r="2667" spans="1:18" x14ac:dyDescent="0.25">
      <c r="A2667" s="170">
        <v>45930</v>
      </c>
      <c r="B2667" s="116">
        <v>392.05</v>
      </c>
      <c r="C2667" s="116">
        <v>388.75</v>
      </c>
      <c r="D2667" s="116">
        <v>386.2</v>
      </c>
      <c r="E2667" s="116">
        <v>387.75</v>
      </c>
      <c r="F2667" s="116">
        <v>388.75</v>
      </c>
      <c r="G2667">
        <v>346499</v>
      </c>
      <c r="H2667" s="116"/>
      <c r="I2667" s="116"/>
      <c r="L2667" s="170">
        <v>45930</v>
      </c>
      <c r="M2667" s="116">
        <v>388.65</v>
      </c>
      <c r="N2667" s="116">
        <v>392.05</v>
      </c>
      <c r="O2667" s="116">
        <v>386.1</v>
      </c>
      <c r="P2667" s="116">
        <v>388</v>
      </c>
      <c r="Q2667" s="116">
        <v>388.65</v>
      </c>
      <c r="R2667">
        <v>3229139</v>
      </c>
    </row>
    <row r="2668" spans="1:18" x14ac:dyDescent="0.25">
      <c r="A2668" s="170">
        <v>45931</v>
      </c>
      <c r="B2668" s="116">
        <v>392.8</v>
      </c>
      <c r="C2668" s="116">
        <v>391</v>
      </c>
      <c r="D2668" s="116">
        <v>386.7</v>
      </c>
      <c r="E2668" s="116">
        <v>386.7</v>
      </c>
      <c r="F2668" s="116">
        <v>391</v>
      </c>
      <c r="G2668">
        <v>657866</v>
      </c>
      <c r="H2668" s="116"/>
      <c r="I2668" s="116"/>
      <c r="L2668" s="170">
        <v>45931</v>
      </c>
      <c r="M2668" s="116">
        <v>391.15</v>
      </c>
      <c r="N2668" s="116">
        <v>392.8</v>
      </c>
      <c r="O2668" s="116">
        <v>388.6</v>
      </c>
      <c r="P2668" s="116">
        <v>388.65</v>
      </c>
      <c r="Q2668" s="116">
        <v>391.15</v>
      </c>
      <c r="R2668">
        <v>2705427</v>
      </c>
    </row>
    <row r="2669" spans="1:18" x14ac:dyDescent="0.25">
      <c r="A2669" s="170">
        <v>45933</v>
      </c>
      <c r="B2669" s="116">
        <v>395.35</v>
      </c>
      <c r="C2669" s="116">
        <v>394.85</v>
      </c>
      <c r="D2669" s="116">
        <v>390</v>
      </c>
      <c r="E2669" s="116">
        <v>391.6</v>
      </c>
      <c r="F2669" s="116">
        <v>394.85</v>
      </c>
      <c r="G2669">
        <v>218345</v>
      </c>
      <c r="H2669" s="116"/>
      <c r="I2669" s="116"/>
      <c r="L2669" s="170">
        <v>45933</v>
      </c>
      <c r="M2669" s="116">
        <v>394.9</v>
      </c>
      <c r="N2669" s="116">
        <v>395.5</v>
      </c>
      <c r="O2669" s="116">
        <v>390</v>
      </c>
      <c r="P2669" s="116">
        <v>392</v>
      </c>
      <c r="Q2669" s="116">
        <v>394.9</v>
      </c>
      <c r="R2669">
        <v>4157330</v>
      </c>
    </row>
    <row r="2670" spans="1:18" x14ac:dyDescent="0.25">
      <c r="A2670" s="170">
        <v>45936</v>
      </c>
      <c r="B2670" s="116">
        <v>396.55</v>
      </c>
      <c r="C2670" s="116">
        <v>395.55</v>
      </c>
      <c r="D2670" s="116">
        <v>389.5</v>
      </c>
      <c r="E2670" s="116">
        <v>393.15</v>
      </c>
      <c r="F2670" s="116">
        <v>395.55</v>
      </c>
      <c r="G2670">
        <v>863672</v>
      </c>
      <c r="H2670" s="116"/>
      <c r="I2670" s="116"/>
      <c r="L2670" s="170">
        <v>45936</v>
      </c>
      <c r="M2670" s="116">
        <v>395.55</v>
      </c>
      <c r="N2670" s="116">
        <v>396.4</v>
      </c>
      <c r="O2670" s="116">
        <v>389.3</v>
      </c>
      <c r="P2670" s="116">
        <v>394.9</v>
      </c>
      <c r="Q2670" s="116">
        <v>395.55</v>
      </c>
      <c r="R2670">
        <v>4190489</v>
      </c>
    </row>
    <row r="2671" spans="1:18" x14ac:dyDescent="0.25">
      <c r="A2671" s="170">
        <v>45937</v>
      </c>
      <c r="B2671" s="116">
        <v>397.15</v>
      </c>
      <c r="C2671" s="116">
        <v>392.25</v>
      </c>
      <c r="D2671" s="116">
        <v>391.5</v>
      </c>
      <c r="E2671" s="116">
        <v>395.15</v>
      </c>
      <c r="F2671" s="116">
        <v>392.25</v>
      </c>
      <c r="G2671">
        <v>425403</v>
      </c>
      <c r="H2671" s="116"/>
      <c r="I2671" s="116"/>
      <c r="L2671" s="170">
        <v>45937</v>
      </c>
      <c r="M2671" s="116">
        <v>392.5</v>
      </c>
      <c r="N2671" s="116">
        <v>397.5</v>
      </c>
      <c r="O2671" s="116">
        <v>391.25</v>
      </c>
      <c r="P2671" s="116">
        <v>395.5</v>
      </c>
      <c r="Q2671" s="116">
        <v>392.5</v>
      </c>
      <c r="R2671">
        <v>5544502</v>
      </c>
    </row>
    <row r="2672" spans="1:18" x14ac:dyDescent="0.25">
      <c r="A2672" s="170">
        <v>45938</v>
      </c>
      <c r="B2672" s="116">
        <v>393.15</v>
      </c>
      <c r="C2672" s="116">
        <v>385.4</v>
      </c>
      <c r="D2672" s="116">
        <v>384.25</v>
      </c>
      <c r="E2672" s="116">
        <v>391.1</v>
      </c>
      <c r="F2672" s="116">
        <v>385.4</v>
      </c>
      <c r="G2672">
        <v>249961</v>
      </c>
      <c r="H2672" s="116"/>
      <c r="I2672" s="116"/>
      <c r="L2672" s="170">
        <v>45938</v>
      </c>
      <c r="M2672" s="116">
        <v>385.45</v>
      </c>
      <c r="N2672" s="116">
        <v>393.4</v>
      </c>
      <c r="O2672" s="116">
        <v>384.25</v>
      </c>
      <c r="P2672" s="116">
        <v>391.5</v>
      </c>
      <c r="Q2672" s="116">
        <v>385.45</v>
      </c>
      <c r="R2672">
        <v>5286159</v>
      </c>
    </row>
    <row r="2673" spans="1:18" x14ac:dyDescent="0.25">
      <c r="A2673" s="170">
        <v>45939</v>
      </c>
      <c r="B2673" s="116">
        <v>389.2</v>
      </c>
      <c r="C2673" s="116">
        <v>388.3</v>
      </c>
      <c r="D2673" s="116">
        <v>381.6</v>
      </c>
      <c r="E2673" s="116">
        <v>386.15</v>
      </c>
      <c r="F2673" s="116">
        <v>388.3</v>
      </c>
      <c r="G2673">
        <v>544726</v>
      </c>
      <c r="H2673" s="116"/>
      <c r="I2673" s="116"/>
      <c r="L2673" s="170">
        <v>45939</v>
      </c>
      <c r="M2673" s="116">
        <v>388.2</v>
      </c>
      <c r="N2673" s="116">
        <v>389.65</v>
      </c>
      <c r="O2673" s="116">
        <v>381.5</v>
      </c>
      <c r="P2673" s="116">
        <v>386.8</v>
      </c>
      <c r="Q2673" s="116">
        <v>388.2</v>
      </c>
      <c r="R2673">
        <v>5139999</v>
      </c>
    </row>
    <row r="2674" spans="1:18" x14ac:dyDescent="0.25">
      <c r="A2674" s="170">
        <v>45940</v>
      </c>
      <c r="B2674" s="116">
        <v>396.7</v>
      </c>
      <c r="C2674" s="116">
        <v>390.05</v>
      </c>
      <c r="D2674" s="116">
        <v>389.55</v>
      </c>
      <c r="E2674" s="116">
        <v>393</v>
      </c>
      <c r="F2674" s="116">
        <v>390.05</v>
      </c>
      <c r="G2674">
        <v>941543</v>
      </c>
      <c r="H2674" s="116"/>
      <c r="I2674" s="116"/>
      <c r="L2674" s="170">
        <v>45940</v>
      </c>
      <c r="M2674" s="116">
        <v>390.1</v>
      </c>
      <c r="N2674" s="116">
        <v>396.8</v>
      </c>
      <c r="O2674" s="116">
        <v>389.6</v>
      </c>
      <c r="P2674" s="116">
        <v>396</v>
      </c>
      <c r="Q2674" s="116">
        <v>390.1</v>
      </c>
      <c r="R2674">
        <v>7725390</v>
      </c>
    </row>
    <row r="2675" spans="1:18" x14ac:dyDescent="0.25">
      <c r="A2675" s="170">
        <v>45943</v>
      </c>
      <c r="B2675" s="116">
        <v>392</v>
      </c>
      <c r="C2675" s="116">
        <v>391.15</v>
      </c>
      <c r="D2675" s="116">
        <v>385.25</v>
      </c>
      <c r="E2675" s="116">
        <v>387.65</v>
      </c>
      <c r="F2675" s="116">
        <v>391.15</v>
      </c>
      <c r="G2675">
        <v>652587</v>
      </c>
      <c r="H2675" s="116"/>
      <c r="I2675" s="116"/>
      <c r="L2675" s="170">
        <v>45943</v>
      </c>
      <c r="M2675" s="116">
        <v>391.15</v>
      </c>
      <c r="N2675" s="116">
        <v>392.05</v>
      </c>
      <c r="O2675" s="116">
        <v>385.25</v>
      </c>
      <c r="P2675" s="116">
        <v>388</v>
      </c>
      <c r="Q2675" s="116">
        <v>391.15</v>
      </c>
      <c r="R2675">
        <v>4861965</v>
      </c>
    </row>
    <row r="2676" spans="1:18" x14ac:dyDescent="0.25">
      <c r="A2676" s="170">
        <v>45944</v>
      </c>
      <c r="B2676" s="116">
        <v>393.4</v>
      </c>
      <c r="C2676" s="116">
        <v>391.25</v>
      </c>
      <c r="D2676" s="116">
        <v>387.7</v>
      </c>
      <c r="E2676" s="116">
        <v>390.7</v>
      </c>
      <c r="F2676" s="116">
        <v>391.25</v>
      </c>
      <c r="G2676">
        <v>518478</v>
      </c>
      <c r="H2676" s="116"/>
      <c r="I2676" s="116"/>
      <c r="L2676" s="170">
        <v>45944</v>
      </c>
      <c r="M2676" s="116">
        <v>391.55</v>
      </c>
      <c r="N2676" s="116">
        <v>393.1</v>
      </c>
      <c r="O2676" s="116">
        <v>387.7</v>
      </c>
      <c r="P2676" s="116">
        <v>391.15</v>
      </c>
      <c r="Q2676" s="116">
        <v>391.55</v>
      </c>
      <c r="R2676">
        <v>4978714</v>
      </c>
    </row>
    <row r="2677" spans="1:18" x14ac:dyDescent="0.25">
      <c r="A2677" s="170">
        <v>45945</v>
      </c>
      <c r="B2677" s="116">
        <v>397.2</v>
      </c>
      <c r="C2677" s="116">
        <v>396.35</v>
      </c>
      <c r="D2677" s="116">
        <v>391.15</v>
      </c>
      <c r="E2677" s="116">
        <v>391.15</v>
      </c>
      <c r="F2677" s="116">
        <v>396.35</v>
      </c>
      <c r="G2677">
        <v>358216</v>
      </c>
      <c r="H2677" s="116"/>
      <c r="I2677" s="116"/>
      <c r="L2677" s="170">
        <v>45945</v>
      </c>
      <c r="M2677" s="116">
        <v>396.5</v>
      </c>
      <c r="N2677" s="116">
        <v>397.3</v>
      </c>
      <c r="O2677" s="116">
        <v>391.3</v>
      </c>
      <c r="P2677" s="116">
        <v>391.55</v>
      </c>
      <c r="Q2677" s="116">
        <v>396.5</v>
      </c>
      <c r="R2677">
        <v>4091897</v>
      </c>
    </row>
    <row r="2678" spans="1:18" x14ac:dyDescent="0.25">
      <c r="A2678" s="170">
        <v>45946</v>
      </c>
      <c r="B2678" s="116">
        <v>402.85</v>
      </c>
      <c r="C2678" s="116">
        <v>398.95</v>
      </c>
      <c r="D2678" s="116">
        <v>396.35</v>
      </c>
      <c r="E2678" s="116">
        <v>396.35</v>
      </c>
      <c r="F2678" s="116">
        <v>398.95</v>
      </c>
      <c r="G2678">
        <v>250029</v>
      </c>
      <c r="H2678" s="116"/>
      <c r="I2678" s="116"/>
      <c r="L2678" s="170">
        <v>45946</v>
      </c>
      <c r="M2678" s="116">
        <v>399</v>
      </c>
      <c r="N2678" s="116">
        <v>402.8</v>
      </c>
      <c r="O2678" s="116">
        <v>396.15</v>
      </c>
      <c r="P2678" s="116">
        <v>397</v>
      </c>
      <c r="Q2678" s="116">
        <v>399</v>
      </c>
      <c r="R2678">
        <v>5611314</v>
      </c>
    </row>
    <row r="2679" spans="1:18" x14ac:dyDescent="0.25">
      <c r="A2679" s="170">
        <v>45947</v>
      </c>
      <c r="B2679" s="116">
        <v>400.6</v>
      </c>
      <c r="C2679" s="116">
        <v>397.75</v>
      </c>
      <c r="D2679" s="116">
        <v>394.55</v>
      </c>
      <c r="E2679" s="116">
        <v>398.9</v>
      </c>
      <c r="F2679" s="116">
        <v>397.75</v>
      </c>
      <c r="G2679">
        <v>837367</v>
      </c>
      <c r="H2679" s="116"/>
      <c r="I2679" s="116"/>
      <c r="L2679" s="170">
        <v>45947</v>
      </c>
      <c r="M2679" s="116">
        <v>397.8</v>
      </c>
      <c r="N2679" s="116">
        <v>400.5</v>
      </c>
      <c r="O2679" s="116">
        <v>394.55</v>
      </c>
      <c r="P2679" s="116">
        <v>399</v>
      </c>
      <c r="Q2679" s="116">
        <v>397.8</v>
      </c>
      <c r="R2679">
        <v>4998891</v>
      </c>
    </row>
    <row r="2680" spans="1:18" x14ac:dyDescent="0.25">
      <c r="A2680" s="170">
        <v>45950</v>
      </c>
      <c r="B2680" s="116">
        <v>400.8</v>
      </c>
      <c r="C2680" s="116">
        <v>399.65</v>
      </c>
      <c r="D2680" s="116">
        <v>396.65</v>
      </c>
      <c r="E2680" s="116">
        <v>397.35</v>
      </c>
      <c r="F2680" s="116">
        <v>399.65</v>
      </c>
      <c r="G2680">
        <v>168137</v>
      </c>
      <c r="H2680" s="116"/>
      <c r="I2680" s="116"/>
      <c r="L2680" s="170">
        <v>45950</v>
      </c>
      <c r="M2680" s="116">
        <v>399.8</v>
      </c>
      <c r="N2680" s="116">
        <v>401</v>
      </c>
      <c r="O2680" s="116">
        <v>396.65</v>
      </c>
      <c r="P2680" s="116">
        <v>398.3</v>
      </c>
      <c r="Q2680" s="116">
        <v>399.8</v>
      </c>
      <c r="R2680">
        <v>4130123</v>
      </c>
    </row>
    <row r="2681" spans="1:18" x14ac:dyDescent="0.25">
      <c r="A2681" s="170">
        <v>45951</v>
      </c>
      <c r="B2681" s="116">
        <v>401.25</v>
      </c>
      <c r="C2681" s="116">
        <v>398.45</v>
      </c>
      <c r="D2681" s="116">
        <v>397.65</v>
      </c>
      <c r="E2681" s="116">
        <v>398.4</v>
      </c>
      <c r="F2681" s="116">
        <v>398.45</v>
      </c>
      <c r="G2681">
        <v>68456</v>
      </c>
      <c r="H2681" s="116"/>
      <c r="I2681" s="116"/>
      <c r="L2681" s="170">
        <v>45951</v>
      </c>
      <c r="M2681" s="116">
        <v>398.8</v>
      </c>
      <c r="N2681" s="116">
        <v>401.2</v>
      </c>
      <c r="O2681" s="116">
        <v>397.55</v>
      </c>
      <c r="P2681" s="116">
        <v>400</v>
      </c>
      <c r="Q2681" s="116">
        <v>398.8</v>
      </c>
      <c r="R2681">
        <v>712785</v>
      </c>
    </row>
    <row r="2682" spans="1:18" x14ac:dyDescent="0.25">
      <c r="A2682" s="170">
        <v>45953</v>
      </c>
      <c r="B2682" s="116">
        <v>403.8</v>
      </c>
      <c r="C2682" s="116">
        <v>397.5</v>
      </c>
      <c r="D2682" s="116">
        <v>396.25</v>
      </c>
      <c r="E2682" s="116">
        <v>398.45</v>
      </c>
      <c r="F2682" s="116">
        <v>397.5</v>
      </c>
      <c r="G2682">
        <v>250116</v>
      </c>
      <c r="H2682" s="116"/>
      <c r="I2682" s="116"/>
      <c r="L2682" s="170">
        <v>45953</v>
      </c>
      <c r="M2682" s="116">
        <v>397.65</v>
      </c>
      <c r="N2682" s="116">
        <v>403.85</v>
      </c>
      <c r="O2682" s="116">
        <v>396.15</v>
      </c>
      <c r="P2682" s="116">
        <v>398.85</v>
      </c>
      <c r="Q2682" s="116">
        <v>397.65</v>
      </c>
      <c r="R2682">
        <v>5231732</v>
      </c>
    </row>
    <row r="2683" spans="1:18" x14ac:dyDescent="0.25">
      <c r="A2683" s="170">
        <v>45954</v>
      </c>
      <c r="B2683" s="116">
        <v>399.15</v>
      </c>
      <c r="C2683" s="116">
        <v>397.4</v>
      </c>
      <c r="D2683" s="116">
        <v>393.85</v>
      </c>
      <c r="E2683" s="116">
        <v>397.25</v>
      </c>
      <c r="F2683" s="116">
        <v>397.4</v>
      </c>
      <c r="G2683">
        <v>186128</v>
      </c>
      <c r="H2683" s="116"/>
      <c r="I2683" s="116"/>
      <c r="L2683" s="170">
        <v>45954</v>
      </c>
      <c r="M2683" s="116">
        <v>396.85</v>
      </c>
      <c r="N2683" s="116">
        <v>399.2</v>
      </c>
      <c r="O2683" s="116">
        <v>394</v>
      </c>
      <c r="P2683" s="116">
        <v>397.65</v>
      </c>
      <c r="Q2683" s="116">
        <v>396.85</v>
      </c>
      <c r="R2683">
        <v>5032576</v>
      </c>
    </row>
    <row r="2684" spans="1:18" x14ac:dyDescent="0.25">
      <c r="A2684" s="170">
        <v>45957</v>
      </c>
      <c r="B2684" s="116">
        <v>401.5</v>
      </c>
      <c r="C2684" s="116">
        <v>400.25</v>
      </c>
      <c r="D2684" s="116">
        <v>395.25</v>
      </c>
      <c r="E2684" s="116">
        <v>395.25</v>
      </c>
      <c r="F2684" s="116">
        <v>400.25</v>
      </c>
      <c r="G2684">
        <v>452649</v>
      </c>
      <c r="H2684" s="116"/>
      <c r="I2684" s="116"/>
      <c r="L2684" s="170">
        <v>45957</v>
      </c>
      <c r="M2684" s="116">
        <v>400.25</v>
      </c>
      <c r="N2684" s="116">
        <v>401.75</v>
      </c>
      <c r="O2684" s="116">
        <v>395.65</v>
      </c>
      <c r="P2684" s="116">
        <v>396.9</v>
      </c>
      <c r="Q2684" s="116">
        <v>400.25</v>
      </c>
      <c r="R2684">
        <v>2799280</v>
      </c>
    </row>
    <row r="2685" spans="1:18" x14ac:dyDescent="0.25">
      <c r="A2685" s="170">
        <v>45958</v>
      </c>
      <c r="B2685" s="116">
        <v>401.8</v>
      </c>
      <c r="C2685" s="116">
        <v>398.65</v>
      </c>
      <c r="D2685" s="116">
        <v>396.1</v>
      </c>
      <c r="E2685" s="116">
        <v>399.7</v>
      </c>
      <c r="F2685" s="116">
        <v>398.65</v>
      </c>
      <c r="G2685">
        <v>451819</v>
      </c>
      <c r="H2685" s="116"/>
      <c r="I2685" s="116"/>
      <c r="L2685" s="170">
        <v>45958</v>
      </c>
      <c r="M2685" s="116">
        <v>398.65</v>
      </c>
      <c r="N2685" s="116">
        <v>401.85</v>
      </c>
      <c r="O2685" s="116">
        <v>396.1</v>
      </c>
      <c r="P2685" s="116">
        <v>400.25</v>
      </c>
      <c r="Q2685" s="116">
        <v>398.65</v>
      </c>
      <c r="R2685">
        <v>3949368</v>
      </c>
    </row>
    <row r="2686" spans="1:18" x14ac:dyDescent="0.25">
      <c r="A2686" s="170">
        <v>45959</v>
      </c>
      <c r="B2686" s="116">
        <v>412.25</v>
      </c>
      <c r="C2686" s="116">
        <v>410.5</v>
      </c>
      <c r="D2686" s="116">
        <v>397.35</v>
      </c>
      <c r="E2686" s="116">
        <v>397.35</v>
      </c>
      <c r="F2686" s="116">
        <v>410.5</v>
      </c>
      <c r="G2686">
        <v>1367420</v>
      </c>
      <c r="H2686" s="116"/>
      <c r="I2686" s="116"/>
      <c r="L2686" s="170">
        <v>45959</v>
      </c>
      <c r="M2686" s="116">
        <v>410.7</v>
      </c>
      <c r="N2686" s="116">
        <v>412.4</v>
      </c>
      <c r="O2686" s="116">
        <v>398.7</v>
      </c>
      <c r="P2686" s="116">
        <v>399</v>
      </c>
      <c r="Q2686" s="116">
        <v>410.7</v>
      </c>
      <c r="R2686">
        <v>10944400</v>
      </c>
    </row>
    <row r="2687" spans="1:18" x14ac:dyDescent="0.25">
      <c r="A2687" s="170">
        <v>45960</v>
      </c>
      <c r="B2687" s="116">
        <v>413.2</v>
      </c>
      <c r="C2687" s="116">
        <v>409.65</v>
      </c>
      <c r="D2687" s="116">
        <v>408.25</v>
      </c>
      <c r="E2687" s="116">
        <v>410.85</v>
      </c>
      <c r="F2687" s="116">
        <v>409.65</v>
      </c>
      <c r="G2687">
        <v>221586</v>
      </c>
      <c r="H2687" s="116"/>
      <c r="I2687" s="116"/>
      <c r="L2687" s="170">
        <v>45960</v>
      </c>
      <c r="M2687" s="116">
        <v>409.8</v>
      </c>
      <c r="N2687" s="116">
        <v>413.25</v>
      </c>
      <c r="O2687" s="116">
        <v>408.3</v>
      </c>
      <c r="P2687" s="116">
        <v>411.05</v>
      </c>
      <c r="Q2687" s="116">
        <v>409.8</v>
      </c>
      <c r="R2687">
        <v>3782450</v>
      </c>
    </row>
    <row r="2688" spans="1:18" x14ac:dyDescent="0.25">
      <c r="A2688" s="170">
        <v>45961</v>
      </c>
      <c r="B2688" s="116">
        <v>409.95</v>
      </c>
      <c r="C2688" s="116">
        <v>405.05</v>
      </c>
      <c r="D2688" s="116">
        <v>404.5</v>
      </c>
      <c r="E2688" s="116">
        <v>408.75</v>
      </c>
      <c r="F2688" s="116">
        <v>405.05</v>
      </c>
      <c r="G2688">
        <v>212088</v>
      </c>
      <c r="H2688" s="116"/>
      <c r="I2688" s="116"/>
      <c r="L2688" s="170">
        <v>45961</v>
      </c>
      <c r="M2688" s="116">
        <v>404.9</v>
      </c>
      <c r="N2688" s="116">
        <v>409.9</v>
      </c>
      <c r="O2688" s="116">
        <v>404.5</v>
      </c>
      <c r="P2688" s="116">
        <v>409.6</v>
      </c>
      <c r="Q2688" s="116">
        <v>404.9</v>
      </c>
      <c r="R2688">
        <v>5071291</v>
      </c>
    </row>
    <row r="2689" spans="1:18" x14ac:dyDescent="0.25">
      <c r="A2689" s="170">
        <v>45964</v>
      </c>
      <c r="B2689" s="116">
        <v>409.3</v>
      </c>
      <c r="C2689" s="116">
        <v>408.4</v>
      </c>
      <c r="D2689" s="116">
        <v>401.15</v>
      </c>
      <c r="E2689" s="116">
        <v>402.8</v>
      </c>
      <c r="F2689" s="116">
        <v>408.4</v>
      </c>
      <c r="G2689">
        <v>573093</v>
      </c>
      <c r="H2689" s="116"/>
      <c r="I2689" s="116"/>
      <c r="L2689" s="170">
        <v>45964</v>
      </c>
      <c r="M2689" s="116">
        <v>408.6</v>
      </c>
      <c r="N2689" s="116">
        <v>409.5</v>
      </c>
      <c r="O2689" s="116">
        <v>401.25</v>
      </c>
      <c r="P2689" s="116">
        <v>403.85</v>
      </c>
      <c r="Q2689" s="116">
        <v>408.6</v>
      </c>
      <c r="R2689">
        <v>4166052</v>
      </c>
    </row>
    <row r="2690" spans="1:18" x14ac:dyDescent="0.25">
      <c r="A2690" s="170">
        <v>45965</v>
      </c>
      <c r="B2690" s="116">
        <v>407.4</v>
      </c>
      <c r="C2690" s="116">
        <v>400.75</v>
      </c>
      <c r="D2690" s="116">
        <v>398.65</v>
      </c>
      <c r="E2690" s="116">
        <v>407.1</v>
      </c>
      <c r="F2690" s="116">
        <v>400.75</v>
      </c>
      <c r="G2690">
        <v>271854</v>
      </c>
      <c r="H2690" s="116"/>
      <c r="I2690" s="116"/>
      <c r="L2690" s="170">
        <v>45965</v>
      </c>
      <c r="M2690" s="116">
        <v>400.6</v>
      </c>
      <c r="N2690" s="116">
        <v>408</v>
      </c>
      <c r="O2690" s="116">
        <v>398.55</v>
      </c>
      <c r="P2690" s="116">
        <v>407.5</v>
      </c>
      <c r="Q2690" s="116">
        <v>400.6</v>
      </c>
      <c r="R2690">
        <v>6132035</v>
      </c>
    </row>
    <row r="2691" spans="1:18" x14ac:dyDescent="0.25">
      <c r="A2691" s="170">
        <v>45967</v>
      </c>
      <c r="B2691" s="116">
        <v>401.95</v>
      </c>
      <c r="C2691" s="116">
        <v>391.65</v>
      </c>
      <c r="D2691" s="116">
        <v>390.05</v>
      </c>
      <c r="E2691" s="116">
        <v>399.6</v>
      </c>
      <c r="F2691" s="116">
        <v>391.65</v>
      </c>
      <c r="G2691">
        <v>663216</v>
      </c>
      <c r="H2691" s="116"/>
      <c r="I2691" s="116"/>
      <c r="L2691" s="170">
        <v>45967</v>
      </c>
      <c r="M2691" s="116">
        <v>391.75</v>
      </c>
      <c r="N2691" s="116">
        <v>402.3</v>
      </c>
      <c r="O2691" s="116">
        <v>390.25</v>
      </c>
      <c r="P2691" s="116">
        <v>400.7</v>
      </c>
      <c r="Q2691" s="116">
        <v>391.75</v>
      </c>
      <c r="R2691">
        <v>5024909</v>
      </c>
    </row>
    <row r="2692" spans="1:18" x14ac:dyDescent="0.25">
      <c r="A2692" s="170">
        <v>45968</v>
      </c>
      <c r="B2692" s="116">
        <v>394.35</v>
      </c>
      <c r="C2692" s="116">
        <v>393.4</v>
      </c>
      <c r="D2692" s="116">
        <v>386.05</v>
      </c>
      <c r="E2692" s="116">
        <v>391.45</v>
      </c>
      <c r="F2692" s="116">
        <v>393.4</v>
      </c>
      <c r="G2692">
        <v>525506</v>
      </c>
      <c r="H2692" s="116"/>
      <c r="I2692" s="116"/>
      <c r="L2692" s="170">
        <v>45968</v>
      </c>
      <c r="M2692" s="116">
        <v>393.2</v>
      </c>
      <c r="N2692" s="116">
        <v>394.4</v>
      </c>
      <c r="O2692" s="116">
        <v>386</v>
      </c>
      <c r="P2692" s="116">
        <v>390.95</v>
      </c>
      <c r="Q2692" s="116">
        <v>393.2</v>
      </c>
      <c r="R2692">
        <v>4676601</v>
      </c>
    </row>
    <row r="2693" spans="1:18" x14ac:dyDescent="0.25">
      <c r="A2693" s="170">
        <v>45971</v>
      </c>
      <c r="B2693" s="116">
        <v>397.8</v>
      </c>
      <c r="C2693" s="116">
        <v>395.95</v>
      </c>
      <c r="D2693" s="116">
        <v>392</v>
      </c>
      <c r="E2693" s="116">
        <v>392</v>
      </c>
      <c r="F2693" s="116">
        <v>395.95</v>
      </c>
      <c r="G2693">
        <v>518454</v>
      </c>
      <c r="H2693" s="116"/>
      <c r="I2693" s="116"/>
      <c r="L2693" s="170">
        <v>45971</v>
      </c>
      <c r="M2693" s="116">
        <v>395.85</v>
      </c>
      <c r="N2693" s="116">
        <v>397.9</v>
      </c>
      <c r="O2693" s="116">
        <v>392.35</v>
      </c>
      <c r="P2693" s="116">
        <v>393.2</v>
      </c>
      <c r="Q2693" s="116">
        <v>395.85</v>
      </c>
      <c r="R2693">
        <v>2906630</v>
      </c>
    </row>
    <row r="2694" spans="1:18" x14ac:dyDescent="0.25">
      <c r="A2694" s="170">
        <v>45972</v>
      </c>
      <c r="B2694" s="116">
        <v>396</v>
      </c>
      <c r="C2694" s="116">
        <v>395.6</v>
      </c>
      <c r="D2694" s="116">
        <v>390.05</v>
      </c>
      <c r="E2694" s="116">
        <v>395.3</v>
      </c>
      <c r="F2694" s="116">
        <v>395.6</v>
      </c>
      <c r="G2694">
        <v>376729</v>
      </c>
      <c r="H2694" s="116"/>
      <c r="I2694" s="116"/>
      <c r="L2694" s="170">
        <v>45972</v>
      </c>
      <c r="M2694" s="116">
        <v>395.6</v>
      </c>
      <c r="N2694" s="116">
        <v>396.4</v>
      </c>
      <c r="O2694" s="116">
        <v>390.05</v>
      </c>
      <c r="P2694" s="116">
        <v>395.8</v>
      </c>
      <c r="Q2694" s="116">
        <v>395.6</v>
      </c>
      <c r="R2694">
        <v>3826554</v>
      </c>
    </row>
    <row r="2695" spans="1:18" x14ac:dyDescent="0.25">
      <c r="A2695" s="170">
        <v>45973</v>
      </c>
      <c r="B2695" s="116">
        <v>395.7</v>
      </c>
      <c r="C2695" s="116">
        <v>388.55</v>
      </c>
      <c r="D2695" s="116">
        <v>387.8</v>
      </c>
      <c r="E2695" s="116">
        <v>389.25</v>
      </c>
      <c r="F2695" s="116">
        <v>388.55</v>
      </c>
      <c r="G2695">
        <v>1258453</v>
      </c>
      <c r="H2695" s="116"/>
      <c r="I2695" s="116"/>
      <c r="L2695" s="170">
        <v>45973</v>
      </c>
      <c r="M2695" s="116">
        <v>388.65</v>
      </c>
      <c r="N2695" s="116">
        <v>395.9</v>
      </c>
      <c r="O2695" s="116">
        <v>387.5</v>
      </c>
      <c r="P2695" s="116">
        <v>390</v>
      </c>
      <c r="Q2695" s="116">
        <v>388.65</v>
      </c>
      <c r="R2695">
        <v>7856248</v>
      </c>
    </row>
    <row r="2696" spans="1:18" x14ac:dyDescent="0.25">
      <c r="A2696" s="170">
        <v>45974</v>
      </c>
      <c r="B2696" s="116">
        <v>392.7</v>
      </c>
      <c r="C2696" s="116">
        <v>388.95</v>
      </c>
      <c r="D2696" s="116">
        <v>384.8</v>
      </c>
      <c r="E2696" s="116">
        <v>388.95</v>
      </c>
      <c r="F2696" s="116">
        <v>388.95</v>
      </c>
      <c r="G2696">
        <v>470543</v>
      </c>
      <c r="H2696" s="116"/>
      <c r="I2696" s="116"/>
      <c r="L2696" s="170">
        <v>45974</v>
      </c>
      <c r="M2696" s="116">
        <v>388.8</v>
      </c>
      <c r="N2696" s="116">
        <v>392.7</v>
      </c>
      <c r="O2696" s="116">
        <v>385</v>
      </c>
      <c r="P2696" s="116">
        <v>389.4</v>
      </c>
      <c r="Q2696" s="116">
        <v>388.8</v>
      </c>
      <c r="R2696">
        <v>5052456</v>
      </c>
    </row>
    <row r="2697" spans="1:18" x14ac:dyDescent="0.25">
      <c r="A2697" s="170">
        <v>45975</v>
      </c>
      <c r="B2697" s="116">
        <v>389.95</v>
      </c>
      <c r="C2697" s="116">
        <v>388.2</v>
      </c>
      <c r="D2697" s="116">
        <v>385.2</v>
      </c>
      <c r="E2697" s="116">
        <v>388.8</v>
      </c>
      <c r="F2697" s="116">
        <v>388.2</v>
      </c>
      <c r="G2697">
        <v>447267</v>
      </c>
      <c r="H2697" s="116"/>
      <c r="I2697" s="116"/>
      <c r="L2697" s="170">
        <v>45975</v>
      </c>
      <c r="M2697" s="116">
        <v>388.4</v>
      </c>
      <c r="N2697" s="116">
        <v>390</v>
      </c>
      <c r="O2697" s="116">
        <v>385.15</v>
      </c>
      <c r="P2697" s="116">
        <v>388.8</v>
      </c>
      <c r="Q2697" s="116">
        <v>388.4</v>
      </c>
      <c r="R2697">
        <v>5263918</v>
      </c>
    </row>
    <row r="2698" spans="1:18" x14ac:dyDescent="0.25">
      <c r="A2698" s="170">
        <v>45978</v>
      </c>
      <c r="B2698" s="116">
        <v>393.25</v>
      </c>
      <c r="C2698" s="116">
        <v>392.35</v>
      </c>
      <c r="D2698" s="116">
        <v>385.75</v>
      </c>
      <c r="E2698" s="116">
        <v>385.75</v>
      </c>
      <c r="F2698" s="116">
        <v>392.35</v>
      </c>
      <c r="G2698">
        <v>361014</v>
      </c>
      <c r="H2698" s="116"/>
      <c r="I2698" s="116"/>
      <c r="L2698" s="170">
        <v>45978</v>
      </c>
      <c r="M2698" s="116">
        <v>392.75</v>
      </c>
      <c r="N2698" s="116">
        <v>393.4</v>
      </c>
      <c r="O2698" s="116">
        <v>388.5</v>
      </c>
      <c r="P2698" s="116">
        <v>388.5</v>
      </c>
      <c r="Q2698" s="116">
        <v>392.75</v>
      </c>
      <c r="R2698">
        <v>6120004</v>
      </c>
    </row>
    <row r="2699" spans="1:18" x14ac:dyDescent="0.25">
      <c r="A2699" s="170">
        <v>45979</v>
      </c>
      <c r="B2699" s="116">
        <v>394.05</v>
      </c>
      <c r="C2699" s="116">
        <v>386.3</v>
      </c>
      <c r="D2699" s="116">
        <v>385.55</v>
      </c>
      <c r="E2699" s="116">
        <v>393.55</v>
      </c>
      <c r="F2699" s="116">
        <v>386.3</v>
      </c>
      <c r="G2699">
        <v>557339</v>
      </c>
      <c r="H2699" s="116"/>
      <c r="I2699" s="116"/>
      <c r="L2699" s="170">
        <v>45979</v>
      </c>
      <c r="M2699" s="116">
        <v>386.25</v>
      </c>
      <c r="N2699" s="116">
        <v>394</v>
      </c>
      <c r="O2699" s="116">
        <v>385.5</v>
      </c>
      <c r="P2699" s="116">
        <v>394</v>
      </c>
      <c r="Q2699" s="116">
        <v>386.25</v>
      </c>
      <c r="R2699">
        <v>4583330</v>
      </c>
    </row>
    <row r="2700" spans="1:18" x14ac:dyDescent="0.25">
      <c r="A2700" s="170">
        <v>45980</v>
      </c>
      <c r="B2700" s="116">
        <v>389.7</v>
      </c>
      <c r="C2700" s="116">
        <v>389.1</v>
      </c>
      <c r="D2700" s="116">
        <v>384.15</v>
      </c>
      <c r="E2700" s="116">
        <v>386.5</v>
      </c>
      <c r="F2700" s="116">
        <v>389.1</v>
      </c>
      <c r="G2700">
        <v>611819</v>
      </c>
      <c r="H2700" s="116"/>
      <c r="I2700" s="116"/>
      <c r="L2700" s="170">
        <v>45980</v>
      </c>
      <c r="M2700" s="116">
        <v>389.1</v>
      </c>
      <c r="N2700" s="116">
        <v>389.75</v>
      </c>
      <c r="O2700" s="116">
        <v>384.2</v>
      </c>
      <c r="P2700" s="116">
        <v>386.95</v>
      </c>
      <c r="Q2700" s="116">
        <v>389.1</v>
      </c>
      <c r="R2700">
        <v>3747191</v>
      </c>
    </row>
    <row r="2701" spans="1:18" x14ac:dyDescent="0.25">
      <c r="A2701" s="170">
        <v>45981</v>
      </c>
      <c r="B2701" s="116">
        <v>392</v>
      </c>
      <c r="C2701" s="116">
        <v>388</v>
      </c>
      <c r="D2701" s="116">
        <v>387.05</v>
      </c>
      <c r="E2701" s="116">
        <v>389.1</v>
      </c>
      <c r="F2701" s="116">
        <v>388</v>
      </c>
      <c r="G2701">
        <v>932889</v>
      </c>
      <c r="H2701" s="116"/>
      <c r="I2701" s="116"/>
      <c r="L2701" s="170">
        <v>45981</v>
      </c>
      <c r="M2701" s="116">
        <v>388.1</v>
      </c>
      <c r="N2701" s="116">
        <v>392</v>
      </c>
      <c r="O2701" s="116">
        <v>387</v>
      </c>
      <c r="P2701" s="116">
        <v>389.25</v>
      </c>
      <c r="Q2701" s="116">
        <v>388.1</v>
      </c>
      <c r="R2701">
        <v>3477240</v>
      </c>
    </row>
    <row r="2702" spans="1:18" x14ac:dyDescent="0.25">
      <c r="A2702" s="170">
        <v>45982</v>
      </c>
      <c r="B2702" s="116">
        <v>390.25</v>
      </c>
      <c r="C2702" s="116">
        <v>386.95</v>
      </c>
      <c r="D2702" s="116">
        <v>385.7</v>
      </c>
      <c r="E2702" s="116">
        <v>388.1</v>
      </c>
      <c r="F2702" s="116">
        <v>386.95</v>
      </c>
      <c r="G2702">
        <v>358502</v>
      </c>
      <c r="H2702" s="116"/>
      <c r="I2702" s="116"/>
      <c r="L2702" s="170">
        <v>45982</v>
      </c>
      <c r="M2702" s="116">
        <v>387</v>
      </c>
      <c r="N2702" s="116">
        <v>390.2</v>
      </c>
      <c r="O2702" s="116">
        <v>385.7</v>
      </c>
      <c r="P2702" s="116">
        <v>388.05</v>
      </c>
      <c r="Q2702" s="116">
        <v>387</v>
      </c>
      <c r="R2702">
        <v>4036922</v>
      </c>
    </row>
    <row r="2703" spans="1:18" x14ac:dyDescent="0.25">
      <c r="A2703" s="170">
        <v>45985</v>
      </c>
      <c r="B2703" s="116">
        <v>391.4</v>
      </c>
      <c r="C2703" s="116">
        <v>382.25</v>
      </c>
      <c r="D2703" s="116">
        <v>381.1</v>
      </c>
      <c r="E2703" s="116">
        <v>390.95</v>
      </c>
      <c r="F2703" s="116">
        <v>382.25</v>
      </c>
      <c r="G2703">
        <v>485679</v>
      </c>
      <c r="H2703" s="116"/>
      <c r="I2703" s="116"/>
      <c r="L2703" s="170">
        <v>45985</v>
      </c>
      <c r="M2703" s="116">
        <v>382.55</v>
      </c>
      <c r="N2703" s="116">
        <v>391.5</v>
      </c>
      <c r="O2703" s="116">
        <v>381.2</v>
      </c>
      <c r="P2703" s="116">
        <v>390</v>
      </c>
      <c r="Q2703" s="116">
        <v>382.55</v>
      </c>
      <c r="R2703">
        <v>5819567</v>
      </c>
    </row>
    <row r="2704" spans="1:18" x14ac:dyDescent="0.25">
      <c r="A2704" s="170">
        <v>45986</v>
      </c>
      <c r="B2704" s="116">
        <v>383.65</v>
      </c>
      <c r="C2704" s="116">
        <v>379.8</v>
      </c>
      <c r="D2704" s="116">
        <v>379</v>
      </c>
      <c r="E2704" s="116">
        <v>382.45</v>
      </c>
      <c r="F2704" s="116">
        <v>379.8</v>
      </c>
      <c r="G2704">
        <v>289354</v>
      </c>
      <c r="H2704" s="116"/>
      <c r="I2704" s="116"/>
      <c r="L2704" s="170">
        <v>45986</v>
      </c>
      <c r="M2704" s="116">
        <v>380</v>
      </c>
      <c r="N2704" s="116">
        <v>383.65</v>
      </c>
      <c r="O2704" s="116">
        <v>379</v>
      </c>
      <c r="P2704" s="116">
        <v>383</v>
      </c>
      <c r="Q2704" s="116">
        <v>380</v>
      </c>
      <c r="R2704">
        <v>4238096</v>
      </c>
    </row>
    <row r="2705" spans="1:18" x14ac:dyDescent="0.25">
      <c r="A2705" s="170">
        <v>45987</v>
      </c>
      <c r="B2705" s="116">
        <v>391.95</v>
      </c>
      <c r="C2705" s="116">
        <v>391.5</v>
      </c>
      <c r="D2705" s="116">
        <v>380.1</v>
      </c>
      <c r="E2705" s="116">
        <v>380.1</v>
      </c>
      <c r="F2705" s="116">
        <v>391.5</v>
      </c>
      <c r="G2705">
        <v>180279</v>
      </c>
      <c r="H2705" s="116"/>
      <c r="I2705" s="116"/>
      <c r="L2705" s="170">
        <v>45987</v>
      </c>
      <c r="M2705" s="116">
        <v>391.5</v>
      </c>
      <c r="N2705" s="116">
        <v>392</v>
      </c>
      <c r="O2705" s="116">
        <v>380.3</v>
      </c>
      <c r="P2705" s="116">
        <v>380.5</v>
      </c>
      <c r="Q2705" s="116">
        <v>391.5</v>
      </c>
      <c r="R2705">
        <v>4917525</v>
      </c>
    </row>
    <row r="2706" spans="1:18" x14ac:dyDescent="0.25">
      <c r="A2706" s="170">
        <v>45988</v>
      </c>
      <c r="B2706" s="116">
        <v>399.9</v>
      </c>
      <c r="C2706" s="116">
        <v>392.05</v>
      </c>
      <c r="D2706" s="116">
        <v>391.5</v>
      </c>
      <c r="E2706" s="116">
        <v>392.05</v>
      </c>
      <c r="F2706" s="116">
        <v>392.05</v>
      </c>
      <c r="G2706">
        <v>814969</v>
      </c>
      <c r="H2706" s="116"/>
      <c r="I2706" s="116"/>
      <c r="L2706" s="170">
        <v>45988</v>
      </c>
      <c r="M2706" s="116">
        <v>392.05</v>
      </c>
      <c r="N2706" s="116">
        <v>399.95</v>
      </c>
      <c r="O2706" s="116">
        <v>391.5</v>
      </c>
      <c r="P2706" s="116">
        <v>392.4</v>
      </c>
      <c r="Q2706" s="116">
        <v>392.05</v>
      </c>
      <c r="R2706">
        <v>7412732</v>
      </c>
    </row>
    <row r="2707" spans="1:18" x14ac:dyDescent="0.25">
      <c r="A2707" s="170">
        <v>45989</v>
      </c>
      <c r="B2707" s="116">
        <v>393.8</v>
      </c>
      <c r="C2707" s="116">
        <v>390.2</v>
      </c>
      <c r="D2707" s="116">
        <v>389.5</v>
      </c>
      <c r="E2707" s="116">
        <v>392.05</v>
      </c>
      <c r="F2707" s="116">
        <v>390.2</v>
      </c>
      <c r="G2707">
        <v>1807893</v>
      </c>
      <c r="H2707" s="116"/>
      <c r="I2707" s="116"/>
      <c r="L2707" s="170">
        <v>45989</v>
      </c>
      <c r="M2707" s="116">
        <v>390.1</v>
      </c>
      <c r="N2707" s="116">
        <v>393.95</v>
      </c>
      <c r="O2707" s="116">
        <v>389.4</v>
      </c>
      <c r="P2707" s="116">
        <v>392.2</v>
      </c>
      <c r="Q2707" s="116">
        <v>390.1</v>
      </c>
      <c r="R2707">
        <v>3760769</v>
      </c>
    </row>
    <row r="2708" spans="1:18" x14ac:dyDescent="0.25">
      <c r="A2708" s="170">
        <v>45992</v>
      </c>
      <c r="B2708" s="116">
        <v>391.8</v>
      </c>
      <c r="C2708" s="116">
        <v>389.75</v>
      </c>
      <c r="D2708" s="116">
        <v>386.75</v>
      </c>
      <c r="E2708" s="116">
        <v>390.2</v>
      </c>
      <c r="F2708" s="116">
        <v>389.75</v>
      </c>
      <c r="G2708">
        <v>651594</v>
      </c>
      <c r="H2708" s="116"/>
      <c r="I2708" s="116"/>
      <c r="L2708" s="170">
        <v>45992</v>
      </c>
      <c r="M2708" s="116">
        <v>389.75</v>
      </c>
      <c r="N2708" s="116">
        <v>393</v>
      </c>
      <c r="O2708" s="116">
        <v>386.7</v>
      </c>
      <c r="P2708" s="116">
        <v>390.65</v>
      </c>
      <c r="Q2708" s="116">
        <v>389.75</v>
      </c>
      <c r="R2708">
        <v>3420680</v>
      </c>
    </row>
    <row r="2709" spans="1:18" x14ac:dyDescent="0.25">
      <c r="A2709" s="170">
        <v>45993</v>
      </c>
      <c r="B2709">
        <v>388.9</v>
      </c>
      <c r="C2709">
        <v>388.35</v>
      </c>
      <c r="D2709">
        <v>385.9</v>
      </c>
      <c r="E2709">
        <v>387</v>
      </c>
      <c r="F2709">
        <v>388.35</v>
      </c>
      <c r="G2709">
        <v>443490</v>
      </c>
      <c r="H2709" s="116"/>
      <c r="I2709" s="116"/>
      <c r="L2709" s="170">
        <v>45993</v>
      </c>
      <c r="M2709" s="116">
        <v>388.45</v>
      </c>
      <c r="N2709" s="116">
        <v>389.15</v>
      </c>
      <c r="O2709" s="116">
        <v>385.9</v>
      </c>
      <c r="P2709" s="116">
        <v>387.1</v>
      </c>
      <c r="Q2709" s="116">
        <v>388.45</v>
      </c>
      <c r="R2709">
        <v>3302460</v>
      </c>
    </row>
    <row r="2710" spans="1:18" x14ac:dyDescent="0.25">
      <c r="A2710" s="170">
        <v>45994</v>
      </c>
      <c r="B2710">
        <v>389</v>
      </c>
      <c r="C2710">
        <v>383.9</v>
      </c>
      <c r="D2710">
        <v>382.25</v>
      </c>
      <c r="E2710">
        <v>384.35</v>
      </c>
      <c r="F2710">
        <v>383.9</v>
      </c>
      <c r="G2710">
        <v>144766</v>
      </c>
      <c r="H2710" s="116"/>
      <c r="I2710" s="116"/>
      <c r="L2710" s="170">
        <v>45994</v>
      </c>
      <c r="M2710" s="116">
        <v>383.65</v>
      </c>
      <c r="N2710" s="116">
        <v>389.1</v>
      </c>
      <c r="O2710" s="116">
        <v>382.3</v>
      </c>
      <c r="P2710" s="116">
        <v>387.2</v>
      </c>
      <c r="Q2710" s="116">
        <v>383.65</v>
      </c>
      <c r="R2710">
        <v>3885600</v>
      </c>
    </row>
    <row r="2711" spans="1:18" x14ac:dyDescent="0.25">
      <c r="A2711" s="170">
        <v>45995</v>
      </c>
      <c r="B2711">
        <v>386.85</v>
      </c>
      <c r="C2711">
        <v>384.45</v>
      </c>
      <c r="D2711">
        <v>382.05</v>
      </c>
      <c r="E2711">
        <v>382.8</v>
      </c>
      <c r="F2711">
        <v>384.45</v>
      </c>
      <c r="G2711">
        <v>471534</v>
      </c>
      <c r="H2711" s="116"/>
      <c r="I2711" s="116"/>
      <c r="L2711" s="170">
        <v>45995</v>
      </c>
      <c r="M2711" s="116">
        <v>384.45</v>
      </c>
      <c r="N2711" s="116">
        <v>386.85</v>
      </c>
      <c r="O2711" s="116">
        <v>382</v>
      </c>
      <c r="P2711" s="116">
        <v>383.6</v>
      </c>
      <c r="Q2711" s="116">
        <v>384.45</v>
      </c>
      <c r="R2711">
        <v>3786100</v>
      </c>
    </row>
    <row r="2712" spans="1:18" x14ac:dyDescent="0.25">
      <c r="A2712" s="170">
        <v>45996</v>
      </c>
      <c r="B2712">
        <v>386</v>
      </c>
      <c r="C2712">
        <v>384.3</v>
      </c>
      <c r="D2712">
        <v>380.55</v>
      </c>
      <c r="E2712">
        <v>384.55</v>
      </c>
      <c r="F2712">
        <v>384.3</v>
      </c>
      <c r="G2712">
        <v>797236</v>
      </c>
      <c r="H2712" s="116"/>
      <c r="I2712" s="116"/>
      <c r="L2712" s="170">
        <v>45996</v>
      </c>
      <c r="M2712" s="116">
        <v>384.5</v>
      </c>
      <c r="N2712" s="116">
        <v>386</v>
      </c>
      <c r="O2712" s="116">
        <v>380.55</v>
      </c>
      <c r="P2712" s="116">
        <v>385</v>
      </c>
      <c r="Q2712" s="116">
        <v>384.5</v>
      </c>
      <c r="R2712">
        <v>5332479</v>
      </c>
    </row>
    <row r="2713" spans="1:18" x14ac:dyDescent="0.25">
      <c r="A2713" s="170">
        <v>45999</v>
      </c>
      <c r="B2713">
        <v>384.9</v>
      </c>
      <c r="C2713">
        <v>374.3</v>
      </c>
      <c r="D2713">
        <v>372.3</v>
      </c>
      <c r="E2713">
        <v>382.65</v>
      </c>
      <c r="F2713">
        <v>374.3</v>
      </c>
      <c r="G2713">
        <v>483087</v>
      </c>
      <c r="H2713" s="116"/>
      <c r="I2713" s="116"/>
      <c r="L2713" s="170">
        <v>45999</v>
      </c>
      <c r="M2713" s="116">
        <v>374.15</v>
      </c>
      <c r="N2713" s="116">
        <v>385.25</v>
      </c>
      <c r="O2713" s="116">
        <v>372.3</v>
      </c>
      <c r="P2713" s="116">
        <v>383.2</v>
      </c>
      <c r="Q2713" s="116">
        <v>374.15</v>
      </c>
      <c r="R2713">
        <v>7008862</v>
      </c>
    </row>
    <row r="2714" spans="1:18" x14ac:dyDescent="0.25">
      <c r="A2714" s="170">
        <v>46000</v>
      </c>
      <c r="B2714">
        <v>378.2</v>
      </c>
      <c r="C2714">
        <v>376.35</v>
      </c>
      <c r="D2714">
        <v>369.75</v>
      </c>
      <c r="E2714">
        <v>373</v>
      </c>
      <c r="F2714">
        <v>376.35</v>
      </c>
      <c r="G2714">
        <v>403940</v>
      </c>
      <c r="H2714" s="116"/>
      <c r="I2714" s="116"/>
      <c r="L2714" s="170">
        <v>46000</v>
      </c>
      <c r="M2714" s="116">
        <v>376.25</v>
      </c>
      <c r="N2714" s="116">
        <v>378.35</v>
      </c>
      <c r="O2714" s="116">
        <v>369.8</v>
      </c>
      <c r="P2714" s="116">
        <v>373.5</v>
      </c>
      <c r="Q2714" s="116">
        <v>376.25</v>
      </c>
      <c r="R2714">
        <v>2822828</v>
      </c>
    </row>
    <row r="2715" spans="1:18" x14ac:dyDescent="0.25">
      <c r="A2715" s="170">
        <v>46001</v>
      </c>
      <c r="B2715">
        <v>382.35</v>
      </c>
      <c r="C2715">
        <v>379.6</v>
      </c>
      <c r="D2715">
        <v>376.45</v>
      </c>
      <c r="E2715">
        <v>376.45</v>
      </c>
      <c r="F2715">
        <v>379.6</v>
      </c>
      <c r="G2715">
        <v>502308</v>
      </c>
      <c r="H2715" s="116"/>
      <c r="I2715" s="116"/>
      <c r="L2715" s="170">
        <v>46001</v>
      </c>
      <c r="M2715" s="116">
        <v>379.85</v>
      </c>
      <c r="N2715" s="116">
        <v>382.4</v>
      </c>
      <c r="O2715" s="116">
        <v>376.5</v>
      </c>
      <c r="P2715" s="116">
        <v>376.75</v>
      </c>
      <c r="Q2715" s="116">
        <v>379.85</v>
      </c>
      <c r="R2715">
        <v>4914788</v>
      </c>
    </row>
    <row r="2716" spans="1:18" x14ac:dyDescent="0.25">
      <c r="A2716" s="170">
        <v>46002</v>
      </c>
      <c r="B2716">
        <v>382.25</v>
      </c>
      <c r="C2716">
        <v>380.1</v>
      </c>
      <c r="D2716">
        <v>376.4</v>
      </c>
      <c r="E2716">
        <v>379.45</v>
      </c>
      <c r="F2716">
        <v>380.1</v>
      </c>
      <c r="G2716">
        <v>2591377</v>
      </c>
      <c r="H2716" s="116"/>
      <c r="I2716" s="116"/>
      <c r="L2716" s="170">
        <v>46002</v>
      </c>
      <c r="M2716" s="116">
        <v>380.15</v>
      </c>
      <c r="N2716" s="116">
        <v>382.25</v>
      </c>
      <c r="O2716" s="116">
        <v>376.2</v>
      </c>
      <c r="P2716" s="116">
        <v>379.85</v>
      </c>
      <c r="Q2716" s="116">
        <v>380.15</v>
      </c>
      <c r="R2716">
        <v>3985013</v>
      </c>
    </row>
    <row r="2717" spans="1:18" x14ac:dyDescent="0.25">
      <c r="A2717" s="170">
        <v>46003</v>
      </c>
      <c r="B2717">
        <v>383.45</v>
      </c>
      <c r="C2717">
        <v>381.9</v>
      </c>
      <c r="D2717">
        <v>379.95</v>
      </c>
      <c r="E2717">
        <v>382.1</v>
      </c>
      <c r="F2717">
        <v>381.9</v>
      </c>
      <c r="G2717">
        <v>577563</v>
      </c>
      <c r="H2717" s="116"/>
      <c r="I2717" s="116"/>
      <c r="L2717" s="170">
        <v>46003</v>
      </c>
      <c r="M2717" s="116">
        <v>381.95</v>
      </c>
      <c r="N2717" s="116">
        <v>383.6</v>
      </c>
      <c r="O2717" s="116">
        <v>379.8</v>
      </c>
      <c r="P2717" s="116">
        <v>382.1</v>
      </c>
      <c r="Q2717" s="116">
        <v>381.95</v>
      </c>
      <c r="R2717">
        <v>6778054</v>
      </c>
    </row>
    <row r="2718" spans="1:18" x14ac:dyDescent="0.25">
      <c r="A2718" s="170">
        <v>46006</v>
      </c>
      <c r="B2718">
        <v>382.2</v>
      </c>
      <c r="C2718">
        <v>381.6</v>
      </c>
      <c r="D2718">
        <v>378</v>
      </c>
      <c r="E2718">
        <v>379.25</v>
      </c>
      <c r="F2718">
        <v>381.6</v>
      </c>
      <c r="G2718">
        <v>72101</v>
      </c>
      <c r="H2718" s="116"/>
      <c r="I2718" s="116"/>
      <c r="L2718" s="170">
        <v>46006</v>
      </c>
      <c r="M2718" s="116">
        <v>381.65</v>
      </c>
      <c r="N2718" s="116">
        <v>382.4</v>
      </c>
      <c r="O2718" s="116">
        <v>378</v>
      </c>
      <c r="P2718" s="116">
        <v>380</v>
      </c>
      <c r="Q2718" s="116">
        <v>381.65</v>
      </c>
      <c r="R2718">
        <v>3359948</v>
      </c>
    </row>
    <row r="2719" spans="1:18" x14ac:dyDescent="0.25">
      <c r="A2719" s="170">
        <v>46007</v>
      </c>
      <c r="B2719">
        <v>382.55</v>
      </c>
      <c r="C2719">
        <v>379.95</v>
      </c>
      <c r="D2719">
        <v>378.3</v>
      </c>
      <c r="E2719">
        <v>382.55</v>
      </c>
      <c r="F2719">
        <v>379.95</v>
      </c>
      <c r="G2719">
        <v>163816</v>
      </c>
      <c r="H2719" s="116"/>
      <c r="I2719" s="116"/>
      <c r="L2719" s="170">
        <v>46007</v>
      </c>
      <c r="M2719" s="116">
        <v>379.85</v>
      </c>
      <c r="N2719" s="116">
        <v>381.9</v>
      </c>
      <c r="O2719" s="116">
        <v>378.2</v>
      </c>
      <c r="P2719" s="116">
        <v>381.65</v>
      </c>
      <c r="Q2719" s="116">
        <v>379.85</v>
      </c>
      <c r="R2719">
        <v>2682924</v>
      </c>
    </row>
    <row r="2720" spans="1:18" x14ac:dyDescent="0.25">
      <c r="A2720" s="170">
        <v>46008</v>
      </c>
      <c r="B2720">
        <v>383.25</v>
      </c>
      <c r="C2720">
        <v>378.35</v>
      </c>
      <c r="D2720">
        <v>377.45</v>
      </c>
      <c r="E2720">
        <v>379.2</v>
      </c>
      <c r="F2720">
        <v>378.35</v>
      </c>
      <c r="G2720">
        <v>181202</v>
      </c>
      <c r="H2720" s="116"/>
      <c r="I2720" s="116"/>
      <c r="L2720" s="170">
        <v>46008</v>
      </c>
      <c r="M2720" s="116">
        <v>378.55</v>
      </c>
      <c r="N2720" s="116">
        <v>383.3</v>
      </c>
      <c r="O2720" s="116">
        <v>377.3</v>
      </c>
      <c r="P2720" s="116">
        <v>379.85</v>
      </c>
      <c r="Q2720" s="116">
        <v>378.55</v>
      </c>
      <c r="R2720">
        <v>2168123</v>
      </c>
    </row>
    <row r="2721" spans="1:18" x14ac:dyDescent="0.25">
      <c r="A2721" s="170">
        <v>46009</v>
      </c>
      <c r="B2721">
        <v>377.95</v>
      </c>
      <c r="C2721">
        <v>374.85</v>
      </c>
      <c r="D2721">
        <v>373</v>
      </c>
      <c r="E2721">
        <v>377.65</v>
      </c>
      <c r="F2721">
        <v>374.85</v>
      </c>
      <c r="G2721">
        <v>357657</v>
      </c>
      <c r="H2721" s="116"/>
      <c r="I2721" s="116"/>
      <c r="L2721" s="170">
        <v>46009</v>
      </c>
      <c r="M2721" s="116">
        <v>374.95</v>
      </c>
      <c r="N2721" s="116">
        <v>377.65</v>
      </c>
      <c r="O2721" s="116">
        <v>373</v>
      </c>
      <c r="P2721" s="116">
        <v>377.5</v>
      </c>
      <c r="Q2721" s="116">
        <v>374.95</v>
      </c>
      <c r="R2721">
        <v>3323975</v>
      </c>
    </row>
    <row r="2722" spans="1:18" x14ac:dyDescent="0.25">
      <c r="A2722" s="170">
        <v>46010</v>
      </c>
      <c r="B2722">
        <v>381.4</v>
      </c>
      <c r="C2722">
        <v>380.5</v>
      </c>
      <c r="D2722">
        <v>373.55</v>
      </c>
      <c r="E2722">
        <v>375.45</v>
      </c>
      <c r="F2722">
        <v>380.5</v>
      </c>
      <c r="G2722">
        <v>232702</v>
      </c>
      <c r="H2722" s="116"/>
      <c r="I2722" s="116"/>
      <c r="L2722" s="170">
        <v>46010</v>
      </c>
      <c r="M2722" s="116">
        <v>380.55</v>
      </c>
      <c r="N2722" s="116">
        <v>381.45</v>
      </c>
      <c r="O2722" s="116">
        <v>373.5</v>
      </c>
      <c r="P2722" s="116">
        <v>375.05</v>
      </c>
      <c r="Q2722" s="116">
        <v>380.55</v>
      </c>
      <c r="R2722">
        <v>3882916</v>
      </c>
    </row>
    <row r="2723" spans="1:18" x14ac:dyDescent="0.25">
      <c r="A2723" s="170">
        <v>46013</v>
      </c>
      <c r="B2723">
        <v>382.7</v>
      </c>
      <c r="C2723">
        <v>381.05</v>
      </c>
      <c r="D2723">
        <v>380.25</v>
      </c>
      <c r="E2723">
        <v>380.55</v>
      </c>
      <c r="F2723">
        <v>381.05</v>
      </c>
      <c r="G2723">
        <v>452253</v>
      </c>
      <c r="H2723" s="116"/>
      <c r="I2723" s="116"/>
      <c r="L2723" s="170">
        <v>46013</v>
      </c>
      <c r="M2723" s="116">
        <v>380.8</v>
      </c>
      <c r="N2723" s="116">
        <v>382.7</v>
      </c>
      <c r="O2723" s="116">
        <v>380</v>
      </c>
      <c r="P2723" s="116">
        <v>381</v>
      </c>
      <c r="Q2723" s="116">
        <v>380.8</v>
      </c>
      <c r="R2723">
        <v>3280837</v>
      </c>
    </row>
    <row r="2724" spans="1:18" x14ac:dyDescent="0.25">
      <c r="A2724" s="170">
        <v>46014</v>
      </c>
      <c r="B2724">
        <v>383.3</v>
      </c>
      <c r="C2724">
        <v>382.1</v>
      </c>
      <c r="D2724">
        <v>380.3</v>
      </c>
      <c r="E2724">
        <v>380.3</v>
      </c>
      <c r="F2724">
        <v>382.1</v>
      </c>
      <c r="G2724">
        <v>275564</v>
      </c>
      <c r="H2724" s="116"/>
      <c r="I2724" s="116"/>
      <c r="L2724" s="170">
        <v>46014</v>
      </c>
      <c r="M2724" s="116">
        <v>382.2</v>
      </c>
      <c r="N2724" s="116">
        <v>383.5</v>
      </c>
      <c r="O2724" s="116">
        <v>380.5</v>
      </c>
      <c r="P2724" s="116">
        <v>380.8</v>
      </c>
      <c r="Q2724" s="116">
        <v>382.2</v>
      </c>
      <c r="R2724">
        <v>2330687</v>
      </c>
    </row>
    <row r="2725" spans="1:18" x14ac:dyDescent="0.25">
      <c r="A2725" s="170">
        <v>46015</v>
      </c>
      <c r="B2725">
        <v>383.7</v>
      </c>
      <c r="C2725">
        <v>379.75</v>
      </c>
      <c r="D2725">
        <v>379</v>
      </c>
      <c r="E2725">
        <v>381.5</v>
      </c>
      <c r="F2725">
        <v>379.75</v>
      </c>
      <c r="G2725">
        <v>526331</v>
      </c>
      <c r="H2725" s="116"/>
      <c r="I2725" s="116"/>
      <c r="L2725" s="170">
        <v>46015</v>
      </c>
      <c r="M2725" s="116">
        <v>379.7</v>
      </c>
      <c r="N2725" s="116">
        <v>383.7</v>
      </c>
      <c r="O2725" s="116">
        <v>379</v>
      </c>
      <c r="P2725" s="116">
        <v>382.2</v>
      </c>
      <c r="Q2725" s="116">
        <v>379.7</v>
      </c>
      <c r="R2725">
        <v>5215726</v>
      </c>
    </row>
    <row r="2726" spans="1:18" x14ac:dyDescent="0.25">
      <c r="A2726" s="170">
        <v>46017</v>
      </c>
      <c r="B2726">
        <v>381.75</v>
      </c>
      <c r="C2726">
        <v>379.35</v>
      </c>
      <c r="D2726">
        <v>377.9</v>
      </c>
      <c r="E2726">
        <v>377.9</v>
      </c>
      <c r="F2726">
        <v>379.35</v>
      </c>
      <c r="G2726">
        <v>284393</v>
      </c>
      <c r="H2726" s="116"/>
      <c r="I2726" s="116"/>
      <c r="L2726" s="170">
        <v>46017</v>
      </c>
      <c r="M2726" s="116">
        <v>379.55</v>
      </c>
      <c r="N2726" s="116">
        <v>381.9</v>
      </c>
      <c r="O2726" s="116">
        <v>378.1</v>
      </c>
      <c r="P2726" s="116">
        <v>378.9</v>
      </c>
      <c r="Q2726" s="116">
        <v>379.55</v>
      </c>
      <c r="R2726">
        <v>2459099</v>
      </c>
    </row>
    <row r="2727" spans="1:18" x14ac:dyDescent="0.25">
      <c r="A2727" s="170">
        <v>46020</v>
      </c>
      <c r="B2727">
        <v>380.15</v>
      </c>
      <c r="C2727">
        <v>376.3</v>
      </c>
      <c r="D2727">
        <v>375.15</v>
      </c>
      <c r="E2727">
        <v>378.3</v>
      </c>
      <c r="F2727">
        <v>376.3</v>
      </c>
      <c r="G2727">
        <v>108256</v>
      </c>
      <c r="H2727" s="116"/>
      <c r="I2727" s="116"/>
      <c r="L2727" s="170">
        <v>46020</v>
      </c>
      <c r="M2727" s="116">
        <v>376.2</v>
      </c>
      <c r="N2727" s="116">
        <v>380.3</v>
      </c>
      <c r="O2727" s="116">
        <v>375.15</v>
      </c>
      <c r="P2727" s="116">
        <v>379</v>
      </c>
      <c r="Q2727" s="116">
        <v>376.2</v>
      </c>
      <c r="R2727">
        <v>2379612</v>
      </c>
    </row>
    <row r="2728" spans="1:18" x14ac:dyDescent="0.25">
      <c r="A2728" s="170">
        <v>46021</v>
      </c>
      <c r="B2728">
        <v>376.3</v>
      </c>
      <c r="C2728">
        <v>374.35</v>
      </c>
      <c r="D2728">
        <v>372.65</v>
      </c>
      <c r="E2728">
        <v>375.95</v>
      </c>
      <c r="F2728">
        <v>374.35</v>
      </c>
      <c r="G2728">
        <v>300113</v>
      </c>
      <c r="H2728" s="116"/>
      <c r="I2728" s="116"/>
      <c r="L2728" s="170">
        <v>46021</v>
      </c>
      <c r="M2728" s="116">
        <v>374.35</v>
      </c>
      <c r="N2728" s="116">
        <v>376.9</v>
      </c>
      <c r="O2728" s="116">
        <v>372.7</v>
      </c>
      <c r="P2728" s="116">
        <v>376.05</v>
      </c>
      <c r="Q2728" s="116">
        <v>374.35</v>
      </c>
      <c r="R2728">
        <v>1675136</v>
      </c>
    </row>
    <row r="2729" spans="1:18" x14ac:dyDescent="0.25">
      <c r="A2729" s="170">
        <v>46022</v>
      </c>
      <c r="B2729">
        <v>380.7</v>
      </c>
      <c r="C2729">
        <v>379.55</v>
      </c>
      <c r="D2729">
        <v>374.4</v>
      </c>
      <c r="E2729">
        <v>374.4</v>
      </c>
      <c r="F2729">
        <v>379.55</v>
      </c>
      <c r="G2729">
        <v>292228</v>
      </c>
      <c r="H2729" s="116"/>
      <c r="I2729" s="116"/>
      <c r="L2729" s="170">
        <v>46022</v>
      </c>
      <c r="M2729" s="116">
        <v>379.6</v>
      </c>
      <c r="N2729" s="116">
        <v>380.75</v>
      </c>
      <c r="O2729" s="116">
        <v>374.8</v>
      </c>
      <c r="P2729" s="116">
        <v>375</v>
      </c>
      <c r="Q2729" s="116">
        <v>379.6</v>
      </c>
      <c r="R2729">
        <v>2075846</v>
      </c>
    </row>
    <row r="2730" spans="1:18" x14ac:dyDescent="0.25">
      <c r="A2730" s="170">
        <v>46023</v>
      </c>
      <c r="B2730">
        <v>382.25</v>
      </c>
      <c r="C2730">
        <v>381.8</v>
      </c>
      <c r="D2730">
        <v>379.05</v>
      </c>
      <c r="E2730">
        <v>379.6</v>
      </c>
      <c r="F2730">
        <v>381.8</v>
      </c>
      <c r="G2730">
        <v>103275</v>
      </c>
      <c r="H2730" s="116"/>
      <c r="I2730" s="116"/>
      <c r="L2730" s="170">
        <v>46023</v>
      </c>
      <c r="M2730" s="116">
        <v>381.85</v>
      </c>
      <c r="N2730" s="116">
        <v>382.25</v>
      </c>
      <c r="O2730" s="116">
        <v>379</v>
      </c>
      <c r="P2730" s="116">
        <v>380</v>
      </c>
      <c r="Q2730" s="116">
        <v>381.85</v>
      </c>
      <c r="R2730">
        <v>1798707</v>
      </c>
    </row>
    <row r="2731" spans="1:18" x14ac:dyDescent="0.25">
      <c r="A2731" s="170">
        <v>46024</v>
      </c>
      <c r="B2731">
        <v>393.45</v>
      </c>
      <c r="C2731">
        <v>393</v>
      </c>
      <c r="D2731">
        <v>381.6</v>
      </c>
      <c r="E2731">
        <v>382.25</v>
      </c>
      <c r="F2731">
        <v>393</v>
      </c>
      <c r="G2731">
        <v>265969</v>
      </c>
      <c r="H2731" s="116"/>
      <c r="I2731" s="116"/>
      <c r="L2731" s="170">
        <v>46024</v>
      </c>
      <c r="M2731" s="116">
        <v>393.1</v>
      </c>
      <c r="N2731" s="116">
        <v>393.65</v>
      </c>
      <c r="O2731" s="116">
        <v>381.25</v>
      </c>
      <c r="P2731" s="116">
        <v>381.85</v>
      </c>
      <c r="Q2731" s="116">
        <v>393.1</v>
      </c>
      <c r="R2731">
        <v>13045325</v>
      </c>
    </row>
    <row r="2732" spans="1:18" x14ac:dyDescent="0.25">
      <c r="A2732" s="170">
        <v>46027</v>
      </c>
      <c r="B2732">
        <v>393</v>
      </c>
      <c r="C2732">
        <v>388.85</v>
      </c>
      <c r="D2732">
        <v>387.3</v>
      </c>
      <c r="E2732">
        <v>390.6</v>
      </c>
      <c r="F2732">
        <v>388.85</v>
      </c>
      <c r="G2732">
        <v>144884</v>
      </c>
      <c r="H2732" s="116"/>
      <c r="I2732" s="116"/>
      <c r="L2732" s="170">
        <v>46027</v>
      </c>
      <c r="M2732" s="116">
        <v>388.85</v>
      </c>
      <c r="N2732" s="116">
        <v>393</v>
      </c>
      <c r="O2732" s="116">
        <v>387.3</v>
      </c>
      <c r="P2732" s="116">
        <v>392.5</v>
      </c>
      <c r="Q2732" s="116">
        <v>388.85</v>
      </c>
      <c r="R2732">
        <v>3966735</v>
      </c>
    </row>
    <row r="2733" spans="1:18" x14ac:dyDescent="0.25">
      <c r="A2733" s="170">
        <v>46028</v>
      </c>
      <c r="B2733">
        <v>390.6</v>
      </c>
      <c r="C2733">
        <v>386.25</v>
      </c>
      <c r="D2733">
        <v>384.6</v>
      </c>
      <c r="E2733">
        <v>386.3</v>
      </c>
      <c r="F2733">
        <v>386.25</v>
      </c>
      <c r="G2733">
        <v>292553</v>
      </c>
      <c r="H2733" s="116"/>
      <c r="I2733" s="116"/>
      <c r="L2733" s="170">
        <v>46028</v>
      </c>
      <c r="M2733" s="116">
        <v>386.5</v>
      </c>
      <c r="N2733" s="116">
        <v>390.45</v>
      </c>
      <c r="O2733" s="116">
        <v>384.75</v>
      </c>
      <c r="P2733" s="116">
        <v>388.85</v>
      </c>
      <c r="Q2733" s="116">
        <v>386.5</v>
      </c>
      <c r="R2733">
        <v>3689482</v>
      </c>
    </row>
    <row r="2734" spans="1:18" x14ac:dyDescent="0.25">
      <c r="A2734" s="170">
        <v>46029</v>
      </c>
      <c r="B2734">
        <v>387</v>
      </c>
      <c r="C2734">
        <v>380.85</v>
      </c>
      <c r="D2734">
        <v>379</v>
      </c>
      <c r="E2734">
        <v>386.5</v>
      </c>
      <c r="F2734">
        <v>380.85</v>
      </c>
      <c r="G2734">
        <v>147872</v>
      </c>
      <c r="H2734" s="116"/>
      <c r="I2734" s="116"/>
      <c r="L2734" s="170">
        <v>46029</v>
      </c>
      <c r="M2734" s="116">
        <v>380.75</v>
      </c>
      <c r="N2734" s="116">
        <v>387.9</v>
      </c>
      <c r="O2734" s="116">
        <v>379</v>
      </c>
      <c r="P2734" s="116">
        <v>386.6</v>
      </c>
      <c r="Q2734" s="116">
        <v>380.75</v>
      </c>
      <c r="R2734">
        <v>4136188</v>
      </c>
    </row>
    <row r="2735" spans="1:18" x14ac:dyDescent="0.25">
      <c r="A2735" s="170">
        <v>46030</v>
      </c>
      <c r="B2735">
        <v>381.85</v>
      </c>
      <c r="C2735">
        <v>374.2</v>
      </c>
      <c r="D2735">
        <v>373.2</v>
      </c>
      <c r="E2735">
        <v>379.7</v>
      </c>
      <c r="F2735">
        <v>374.2</v>
      </c>
      <c r="G2735">
        <v>410257</v>
      </c>
      <c r="H2735" s="116"/>
      <c r="I2735" s="116"/>
      <c r="L2735" s="170">
        <v>46030</v>
      </c>
      <c r="M2735" s="116">
        <v>374.2</v>
      </c>
      <c r="N2735" s="116">
        <v>381.85</v>
      </c>
      <c r="O2735" s="116">
        <v>373.05</v>
      </c>
      <c r="P2735" s="116">
        <v>380.15</v>
      </c>
      <c r="Q2735" s="116">
        <v>374.2</v>
      </c>
      <c r="R2735">
        <v>3791372</v>
      </c>
    </row>
    <row r="2736" spans="1:18" x14ac:dyDescent="0.25">
      <c r="A2736" s="170">
        <v>46031</v>
      </c>
      <c r="B2736">
        <v>374</v>
      </c>
      <c r="C2736">
        <v>364.85</v>
      </c>
      <c r="D2736">
        <v>363.5</v>
      </c>
      <c r="E2736">
        <v>372.6</v>
      </c>
      <c r="F2736">
        <v>364.85</v>
      </c>
      <c r="G2736">
        <v>572432</v>
      </c>
      <c r="H2736" s="116"/>
      <c r="I2736" s="116"/>
      <c r="L2736" s="170">
        <v>46031</v>
      </c>
      <c r="M2736" s="116">
        <v>364.8</v>
      </c>
      <c r="N2736" s="116">
        <v>374</v>
      </c>
      <c r="O2736" s="116">
        <v>362.95</v>
      </c>
      <c r="P2736" s="116">
        <v>373</v>
      </c>
      <c r="Q2736" s="116">
        <v>364.8</v>
      </c>
      <c r="R2736">
        <v>5875179</v>
      </c>
    </row>
    <row r="2737" spans="1:18" x14ac:dyDescent="0.25">
      <c r="A2737" s="170">
        <v>46034</v>
      </c>
      <c r="B2737">
        <v>371.35</v>
      </c>
      <c r="C2737">
        <v>370.4</v>
      </c>
      <c r="D2737">
        <v>360</v>
      </c>
      <c r="E2737">
        <v>363.4</v>
      </c>
      <c r="F2737">
        <v>370.4</v>
      </c>
      <c r="G2737">
        <v>591017</v>
      </c>
      <c r="H2737" s="116"/>
      <c r="I2737" s="116"/>
      <c r="L2737" s="170">
        <v>46034</v>
      </c>
      <c r="M2737" s="116">
        <v>370.6</v>
      </c>
      <c r="N2737" s="116">
        <v>371.35</v>
      </c>
      <c r="O2737" s="116">
        <v>360.1</v>
      </c>
      <c r="P2737" s="116">
        <v>364.8</v>
      </c>
      <c r="Q2737" s="116">
        <v>370.6</v>
      </c>
      <c r="R2737">
        <v>5589564</v>
      </c>
    </row>
    <row r="2738" spans="1:18" x14ac:dyDescent="0.25">
      <c r="A2738" s="170">
        <v>46035</v>
      </c>
      <c r="B2738">
        <v>372.2</v>
      </c>
      <c r="C2738">
        <v>368.4</v>
      </c>
      <c r="D2738">
        <v>365.2</v>
      </c>
      <c r="E2738">
        <v>370.15</v>
      </c>
      <c r="F2738">
        <v>368.4</v>
      </c>
      <c r="G2738">
        <v>205738</v>
      </c>
      <c r="H2738" s="116"/>
      <c r="I2738" s="116"/>
      <c r="L2738" s="170">
        <v>46035</v>
      </c>
      <c r="M2738" s="116">
        <v>368.45</v>
      </c>
      <c r="N2738" s="116">
        <v>372.2</v>
      </c>
      <c r="O2738" s="116">
        <v>365.15</v>
      </c>
      <c r="P2738" s="116">
        <v>370.6</v>
      </c>
      <c r="Q2738" s="116">
        <v>368.45</v>
      </c>
      <c r="R2738">
        <v>3242292</v>
      </c>
    </row>
    <row r="2739" spans="1:18" x14ac:dyDescent="0.25">
      <c r="A2739" s="170">
        <v>46036</v>
      </c>
      <c r="B2739">
        <v>370.1</v>
      </c>
      <c r="C2739">
        <v>367.45</v>
      </c>
      <c r="D2739">
        <v>366</v>
      </c>
      <c r="E2739">
        <v>366</v>
      </c>
      <c r="F2739">
        <v>367.45</v>
      </c>
      <c r="G2739">
        <v>111622</v>
      </c>
      <c r="H2739" s="116"/>
      <c r="I2739" s="116"/>
      <c r="L2739" s="170">
        <v>46036</v>
      </c>
      <c r="M2739" s="116">
        <v>367.4</v>
      </c>
      <c r="N2739" s="116">
        <v>370</v>
      </c>
      <c r="O2739" s="116">
        <v>366.3</v>
      </c>
      <c r="P2739" s="116">
        <v>366.4</v>
      </c>
      <c r="Q2739" s="116">
        <v>367.4</v>
      </c>
      <c r="R2739">
        <v>3084937</v>
      </c>
    </row>
    <row r="2740" spans="1:18" x14ac:dyDescent="0.25">
      <c r="A2740" s="170">
        <v>46038</v>
      </c>
      <c r="B2740">
        <v>372.4</v>
      </c>
      <c r="C2740">
        <v>366.1</v>
      </c>
      <c r="D2740">
        <v>364.2</v>
      </c>
      <c r="E2740">
        <v>366.5</v>
      </c>
      <c r="F2740">
        <v>366.1</v>
      </c>
      <c r="G2740">
        <v>410126</v>
      </c>
      <c r="H2740" s="116"/>
      <c r="I2740" s="116"/>
      <c r="L2740" s="170">
        <v>46038</v>
      </c>
      <c r="M2740" s="116">
        <v>366.1</v>
      </c>
      <c r="N2740" s="116">
        <v>372.35</v>
      </c>
      <c r="O2740" s="116">
        <v>364.2</v>
      </c>
      <c r="P2740" s="116">
        <v>368</v>
      </c>
      <c r="Q2740" s="116">
        <v>366.1</v>
      </c>
      <c r="R2740">
        <v>3726735</v>
      </c>
    </row>
    <row r="2741" spans="1:18" x14ac:dyDescent="0.25">
      <c r="A2741" s="170">
        <v>46041</v>
      </c>
      <c r="B2741">
        <v>368.75</v>
      </c>
      <c r="C2741">
        <v>363.5</v>
      </c>
      <c r="D2741">
        <v>362</v>
      </c>
      <c r="E2741">
        <v>365.35</v>
      </c>
      <c r="F2741">
        <v>363.5</v>
      </c>
      <c r="G2741">
        <v>418956</v>
      </c>
      <c r="H2741" s="116"/>
      <c r="I2741" s="116"/>
      <c r="L2741" s="170">
        <v>46041</v>
      </c>
      <c r="M2741" s="116">
        <v>363.2</v>
      </c>
      <c r="N2741" s="116">
        <v>368.7</v>
      </c>
      <c r="O2741" s="116">
        <v>362</v>
      </c>
      <c r="P2741" s="116">
        <v>366.1</v>
      </c>
      <c r="Q2741" s="116">
        <v>363.2</v>
      </c>
      <c r="R2741">
        <v>2283012</v>
      </c>
    </row>
    <row r="2742" spans="1:18" x14ac:dyDescent="0.25">
      <c r="A2742" s="170">
        <v>46042</v>
      </c>
      <c r="B2742">
        <v>364.1</v>
      </c>
      <c r="C2742">
        <v>353.3</v>
      </c>
      <c r="D2742">
        <v>351.25</v>
      </c>
      <c r="E2742">
        <v>361.8</v>
      </c>
      <c r="F2742">
        <v>353.3</v>
      </c>
      <c r="G2742">
        <v>588433</v>
      </c>
      <c r="H2742" s="116"/>
      <c r="I2742" s="116"/>
      <c r="L2742" s="170">
        <v>46042</v>
      </c>
      <c r="M2742" s="116">
        <v>352.95</v>
      </c>
      <c r="N2742" s="116">
        <v>364.15</v>
      </c>
      <c r="O2742" s="116">
        <v>351.1</v>
      </c>
      <c r="P2742" s="116">
        <v>362.45</v>
      </c>
      <c r="Q2742" s="116">
        <v>352.95</v>
      </c>
      <c r="R2742">
        <v>3143726</v>
      </c>
    </row>
    <row r="2743" spans="1:18" x14ac:dyDescent="0.25">
      <c r="A2743" s="170">
        <v>46043</v>
      </c>
      <c r="B2743">
        <v>353.5</v>
      </c>
      <c r="C2743">
        <v>349.35</v>
      </c>
      <c r="D2743">
        <v>346.4</v>
      </c>
      <c r="E2743">
        <v>351.25</v>
      </c>
      <c r="F2743">
        <v>349.35</v>
      </c>
      <c r="G2743">
        <v>660674</v>
      </c>
      <c r="H2743" s="116"/>
      <c r="I2743" s="116"/>
      <c r="L2743" s="170">
        <v>46043</v>
      </c>
      <c r="M2743" s="116">
        <v>349.35</v>
      </c>
      <c r="N2743" s="116">
        <v>353.6</v>
      </c>
      <c r="O2743" s="116">
        <v>346.5</v>
      </c>
      <c r="P2743" s="116">
        <v>351.95</v>
      </c>
      <c r="Q2743" s="116">
        <v>349.35</v>
      </c>
      <c r="R2743">
        <v>4066338</v>
      </c>
    </row>
    <row r="2744" spans="1:18" x14ac:dyDescent="0.25">
      <c r="A2744" s="170">
        <v>46044</v>
      </c>
      <c r="B2744">
        <v>354.8</v>
      </c>
      <c r="C2744">
        <v>352.15</v>
      </c>
      <c r="D2744">
        <v>349.9</v>
      </c>
      <c r="E2744">
        <v>350.4</v>
      </c>
      <c r="F2744">
        <v>352.15</v>
      </c>
      <c r="G2744">
        <v>669091</v>
      </c>
      <c r="H2744" s="116"/>
      <c r="I2744" s="116"/>
      <c r="L2744" s="170">
        <v>46044</v>
      </c>
      <c r="M2744" s="116">
        <v>353.3</v>
      </c>
      <c r="N2744" s="116">
        <v>354.95</v>
      </c>
      <c r="O2744" s="116">
        <v>349.8</v>
      </c>
      <c r="P2744" s="116">
        <v>351</v>
      </c>
      <c r="Q2744" s="116">
        <v>353.3</v>
      </c>
      <c r="R2744">
        <v>3432952</v>
      </c>
    </row>
    <row r="2745" spans="1:18" x14ac:dyDescent="0.25">
      <c r="A2745" s="170">
        <v>46045</v>
      </c>
      <c r="B2745">
        <v>354.75</v>
      </c>
      <c r="C2745">
        <v>345.3</v>
      </c>
      <c r="D2745">
        <v>344.3</v>
      </c>
      <c r="E2745">
        <v>354.1</v>
      </c>
      <c r="F2745">
        <v>345.3</v>
      </c>
      <c r="G2745">
        <v>201512</v>
      </c>
      <c r="H2745" s="116"/>
      <c r="I2745" s="116"/>
      <c r="L2745" s="170">
        <v>46045</v>
      </c>
      <c r="M2745" s="116">
        <v>345.25</v>
      </c>
      <c r="N2745" s="116">
        <v>355</v>
      </c>
      <c r="O2745" s="116">
        <v>344.1</v>
      </c>
      <c r="P2745" s="116">
        <v>355</v>
      </c>
      <c r="Q2745" s="116">
        <v>345.25</v>
      </c>
      <c r="R2745">
        <v>3122016</v>
      </c>
    </row>
    <row r="2746" spans="1:18" x14ac:dyDescent="0.25">
      <c r="A2746" s="170">
        <v>46049</v>
      </c>
      <c r="B2746">
        <v>349.9</v>
      </c>
      <c r="C2746">
        <v>348.05</v>
      </c>
      <c r="D2746">
        <v>342.35</v>
      </c>
      <c r="E2746">
        <v>345.3</v>
      </c>
      <c r="F2746">
        <v>348.05</v>
      </c>
      <c r="G2746">
        <v>464660</v>
      </c>
      <c r="H2746" s="116"/>
      <c r="I2746" s="116"/>
      <c r="L2746" s="170">
        <v>46049</v>
      </c>
      <c r="M2746" s="116">
        <v>347.75</v>
      </c>
      <c r="N2746" s="116">
        <v>349.95</v>
      </c>
      <c r="O2746" s="116">
        <v>342.5</v>
      </c>
      <c r="P2746" s="116">
        <v>345.7</v>
      </c>
      <c r="Q2746" s="116">
        <v>347.75</v>
      </c>
      <c r="R2746">
        <v>3960617</v>
      </c>
    </row>
    <row r="2747" spans="1:18" x14ac:dyDescent="0.25">
      <c r="A2747" s="170">
        <v>46050</v>
      </c>
      <c r="B2747">
        <v>356</v>
      </c>
      <c r="C2747">
        <v>355.05</v>
      </c>
      <c r="D2747">
        <v>349</v>
      </c>
      <c r="E2747">
        <v>349</v>
      </c>
      <c r="F2747">
        <v>355.05</v>
      </c>
      <c r="G2747">
        <v>442376</v>
      </c>
      <c r="H2747" s="116"/>
      <c r="I2747" s="116"/>
      <c r="L2747" s="170">
        <v>46050</v>
      </c>
      <c r="M2747" s="116">
        <v>355.05</v>
      </c>
      <c r="N2747" s="116">
        <v>355.9</v>
      </c>
      <c r="O2747" s="116">
        <v>348.7</v>
      </c>
      <c r="P2747" s="116">
        <v>349</v>
      </c>
      <c r="Q2747" s="116">
        <v>355.05</v>
      </c>
      <c r="R2747">
        <v>6892969</v>
      </c>
    </row>
    <row r="2748" spans="1:18" x14ac:dyDescent="0.25">
      <c r="A2748" s="170">
        <v>46051</v>
      </c>
      <c r="B2748">
        <v>367.5</v>
      </c>
      <c r="C2748">
        <v>366.4</v>
      </c>
      <c r="D2748">
        <v>356.65</v>
      </c>
      <c r="E2748">
        <v>357.45</v>
      </c>
      <c r="F2748">
        <v>366.4</v>
      </c>
      <c r="G2748">
        <v>635653</v>
      </c>
      <c r="H2748" s="116"/>
      <c r="I2748" s="116"/>
      <c r="L2748" s="170">
        <v>46051</v>
      </c>
      <c r="M2748" s="116">
        <v>366.45</v>
      </c>
      <c r="N2748" s="116">
        <v>367.5</v>
      </c>
      <c r="O2748" s="116">
        <v>356.5</v>
      </c>
      <c r="P2748" s="116">
        <v>357.4</v>
      </c>
      <c r="Q2748" s="116">
        <v>366.45</v>
      </c>
      <c r="R2748">
        <v>4356054</v>
      </c>
    </row>
    <row r="2749" spans="1:18" x14ac:dyDescent="0.25">
      <c r="A2749" s="170">
        <v>46052</v>
      </c>
      <c r="B2749">
        <v>367.5</v>
      </c>
      <c r="C2749">
        <v>366.6</v>
      </c>
      <c r="D2749">
        <v>360.2</v>
      </c>
      <c r="E2749">
        <v>366.5</v>
      </c>
      <c r="F2749">
        <v>366.6</v>
      </c>
      <c r="G2749">
        <v>281484</v>
      </c>
      <c r="H2749" s="116"/>
      <c r="I2749" s="116"/>
      <c r="L2749" s="170">
        <v>46052</v>
      </c>
      <c r="M2749" s="116">
        <v>366.3</v>
      </c>
      <c r="N2749" s="116">
        <v>367</v>
      </c>
      <c r="O2749" s="116">
        <v>360.1</v>
      </c>
      <c r="P2749" s="116">
        <v>366</v>
      </c>
      <c r="Q2749" s="116">
        <v>366.3</v>
      </c>
      <c r="R2749">
        <v>5917250</v>
      </c>
    </row>
    <row r="2750" spans="1:18" x14ac:dyDescent="0.25">
      <c r="A2750" s="170">
        <v>46054</v>
      </c>
      <c r="B2750">
        <v>371.9</v>
      </c>
      <c r="C2750">
        <v>354.15</v>
      </c>
      <c r="D2750">
        <v>351.7</v>
      </c>
      <c r="E2750">
        <v>367.25</v>
      </c>
      <c r="F2750">
        <v>354.15</v>
      </c>
      <c r="G2750">
        <v>637627</v>
      </c>
      <c r="H2750" s="116"/>
      <c r="I2750" s="116"/>
      <c r="L2750" s="170">
        <v>46054</v>
      </c>
      <c r="M2750" s="116">
        <v>354.35</v>
      </c>
      <c r="N2750" s="116">
        <v>372</v>
      </c>
      <c r="O2750" s="116">
        <v>351.65</v>
      </c>
      <c r="P2750" s="116">
        <v>367.7</v>
      </c>
      <c r="Q2750" s="116">
        <v>354.35</v>
      </c>
      <c r="R2750">
        <v>3806616</v>
      </c>
    </row>
    <row r="2751" spans="1:18" x14ac:dyDescent="0.25">
      <c r="A2751" s="170">
        <v>46055</v>
      </c>
      <c r="B2751">
        <v>360.7</v>
      </c>
      <c r="C2751">
        <v>358.75</v>
      </c>
      <c r="D2751">
        <v>348.45</v>
      </c>
      <c r="E2751">
        <v>354.7</v>
      </c>
      <c r="F2751">
        <v>358.75</v>
      </c>
      <c r="G2751">
        <v>218525</v>
      </c>
      <c r="H2751" s="116"/>
      <c r="I2751" s="116"/>
      <c r="L2751" s="170">
        <v>46055</v>
      </c>
      <c r="M2751" s="116">
        <v>358.8</v>
      </c>
      <c r="N2751" s="116">
        <v>360.55</v>
      </c>
      <c r="O2751" s="116">
        <v>348.4</v>
      </c>
      <c r="P2751" s="116">
        <v>355</v>
      </c>
      <c r="Q2751" s="116">
        <v>358.8</v>
      </c>
      <c r="R2751">
        <v>3274185</v>
      </c>
    </row>
    <row r="2752" spans="1:18" x14ac:dyDescent="0.25">
      <c r="A2752" s="170">
        <v>46056</v>
      </c>
      <c r="B2752">
        <v>372.1</v>
      </c>
      <c r="C2752">
        <v>365.05</v>
      </c>
      <c r="D2752">
        <v>364</v>
      </c>
      <c r="E2752">
        <v>366.2</v>
      </c>
      <c r="F2752">
        <v>365.05</v>
      </c>
      <c r="G2752">
        <v>225911</v>
      </c>
      <c r="H2752" s="116"/>
      <c r="I2752" s="116"/>
      <c r="L2752" s="170">
        <v>46056</v>
      </c>
      <c r="M2752" s="116">
        <v>365.1</v>
      </c>
      <c r="N2752" s="116">
        <v>371.6</v>
      </c>
      <c r="O2752" s="116">
        <v>364</v>
      </c>
      <c r="P2752" s="116">
        <v>367.3</v>
      </c>
      <c r="Q2752" s="116">
        <v>365.1</v>
      </c>
      <c r="R2752">
        <v>3756665</v>
      </c>
    </row>
    <row r="2753" spans="1:18" x14ac:dyDescent="0.25">
      <c r="A2753" s="170">
        <v>46057</v>
      </c>
      <c r="B2753">
        <v>372.2</v>
      </c>
      <c r="C2753">
        <v>371.3</v>
      </c>
      <c r="D2753">
        <v>363.35</v>
      </c>
      <c r="E2753">
        <v>365.65</v>
      </c>
      <c r="F2753">
        <v>371.3</v>
      </c>
      <c r="G2753">
        <v>370533</v>
      </c>
      <c r="H2753" s="116"/>
      <c r="I2753" s="116"/>
      <c r="L2753" s="170">
        <v>46057</v>
      </c>
      <c r="M2753" s="116">
        <v>371.55</v>
      </c>
      <c r="N2753" s="116">
        <v>372.25</v>
      </c>
      <c r="O2753" s="116">
        <v>363.6</v>
      </c>
      <c r="P2753" s="116">
        <v>365.1</v>
      </c>
      <c r="Q2753" s="116">
        <v>371.55</v>
      </c>
      <c r="R2753">
        <v>4215317</v>
      </c>
    </row>
    <row r="2754" spans="1:18" x14ac:dyDescent="0.25">
      <c r="A2754" s="170">
        <v>46058</v>
      </c>
      <c r="B2754">
        <v>366.6</v>
      </c>
      <c r="C2754">
        <v>364.3</v>
      </c>
      <c r="D2754">
        <v>360.85</v>
      </c>
      <c r="E2754">
        <v>363.2</v>
      </c>
      <c r="F2754">
        <v>364.3</v>
      </c>
      <c r="G2754">
        <v>292481</v>
      </c>
      <c r="H2754" s="116"/>
      <c r="I2754" s="116"/>
      <c r="L2754" s="170">
        <v>46058</v>
      </c>
      <c r="M2754" s="116">
        <v>364.5</v>
      </c>
      <c r="N2754" s="116">
        <v>366.75</v>
      </c>
      <c r="O2754" s="116">
        <v>360.7</v>
      </c>
      <c r="P2754" s="116">
        <v>363</v>
      </c>
      <c r="Q2754" s="116">
        <v>364.5</v>
      </c>
      <c r="R2754">
        <v>5457078</v>
      </c>
    </row>
    <row r="2755" spans="1:18" x14ac:dyDescent="0.25">
      <c r="A2755" s="170">
        <v>46059</v>
      </c>
      <c r="B2755">
        <v>366.6</v>
      </c>
      <c r="C2755">
        <v>365.75</v>
      </c>
      <c r="D2755">
        <v>361</v>
      </c>
      <c r="E2755">
        <v>364.5</v>
      </c>
      <c r="F2755">
        <v>365.75</v>
      </c>
      <c r="G2755">
        <v>146520</v>
      </c>
      <c r="H2755" s="116"/>
      <c r="I2755" s="116"/>
      <c r="L2755" s="170">
        <v>46059</v>
      </c>
      <c r="M2755" s="116">
        <v>365.95</v>
      </c>
      <c r="N2755" s="116">
        <v>366.55</v>
      </c>
      <c r="O2755" s="116">
        <v>361</v>
      </c>
      <c r="P2755" s="116">
        <v>364.4</v>
      </c>
      <c r="Q2755" s="116">
        <v>365.95</v>
      </c>
      <c r="R2755">
        <v>2245318</v>
      </c>
    </row>
    <row r="2756" spans="1:18" x14ac:dyDescent="0.25">
      <c r="A2756" s="170">
        <v>46062</v>
      </c>
      <c r="B2756">
        <v>369.15</v>
      </c>
      <c r="C2756">
        <v>368.75</v>
      </c>
      <c r="D2756">
        <v>365.1</v>
      </c>
      <c r="E2756">
        <v>366.95</v>
      </c>
      <c r="F2756">
        <v>368.75</v>
      </c>
      <c r="G2756">
        <v>138470</v>
      </c>
      <c r="H2756" s="116"/>
      <c r="I2756" s="116"/>
      <c r="L2756" s="170">
        <v>46062</v>
      </c>
      <c r="M2756" s="116">
        <v>368.7</v>
      </c>
      <c r="N2756" s="116">
        <v>369.1</v>
      </c>
      <c r="O2756" s="116">
        <v>365.1</v>
      </c>
      <c r="P2756" s="116">
        <v>367</v>
      </c>
      <c r="Q2756" s="116">
        <v>368.7</v>
      </c>
      <c r="R2756">
        <v>2824091</v>
      </c>
    </row>
    <row r="2757" spans="1:18" x14ac:dyDescent="0.25">
      <c r="A2757" s="170">
        <v>46063</v>
      </c>
      <c r="B2757">
        <v>370.3</v>
      </c>
      <c r="C2757">
        <v>369.9</v>
      </c>
      <c r="D2757">
        <v>367.5</v>
      </c>
      <c r="E2757">
        <v>368.75</v>
      </c>
      <c r="F2757">
        <v>369.9</v>
      </c>
      <c r="G2757">
        <v>260316</v>
      </c>
      <c r="H2757" s="116"/>
      <c r="I2757" s="116"/>
      <c r="L2757" s="170">
        <v>46063</v>
      </c>
      <c r="M2757" s="116">
        <v>369.95</v>
      </c>
      <c r="N2757" s="116">
        <v>370.4</v>
      </c>
      <c r="O2757" s="116">
        <v>367.65</v>
      </c>
      <c r="P2757" s="116">
        <v>369</v>
      </c>
      <c r="Q2757" s="116">
        <v>369.95</v>
      </c>
      <c r="R2757">
        <v>1910161</v>
      </c>
    </row>
    <row r="2758" spans="1:18" x14ac:dyDescent="0.25">
      <c r="A2758" s="170">
        <v>46064</v>
      </c>
      <c r="B2758">
        <v>377.5</v>
      </c>
      <c r="C2758">
        <v>375.3</v>
      </c>
      <c r="D2758">
        <v>366.75</v>
      </c>
      <c r="E2758">
        <v>371.1</v>
      </c>
      <c r="F2758">
        <v>375.3</v>
      </c>
      <c r="G2758">
        <v>202480</v>
      </c>
      <c r="H2758" s="116"/>
      <c r="I2758" s="116"/>
      <c r="L2758" s="170">
        <v>46064</v>
      </c>
      <c r="M2758" s="116">
        <v>375.65</v>
      </c>
      <c r="N2758" s="116">
        <v>377.4</v>
      </c>
      <c r="O2758" s="116">
        <v>366.65</v>
      </c>
      <c r="P2758" s="116">
        <v>370.15</v>
      </c>
      <c r="Q2758" s="116">
        <v>375.65</v>
      </c>
      <c r="R2758">
        <v>3457996</v>
      </c>
    </row>
    <row r="2759" spans="1:18" x14ac:dyDescent="0.25">
      <c r="A2759" s="170">
        <v>46065</v>
      </c>
      <c r="B2759">
        <v>381.55</v>
      </c>
      <c r="C2759">
        <v>380.4</v>
      </c>
      <c r="D2759">
        <v>371.5</v>
      </c>
      <c r="E2759">
        <v>375.75</v>
      </c>
      <c r="F2759">
        <v>380.4</v>
      </c>
      <c r="G2759">
        <v>256907</v>
      </c>
      <c r="H2759" s="116"/>
      <c r="I2759" s="116"/>
      <c r="L2759" s="170">
        <v>46065</v>
      </c>
      <c r="M2759" s="116">
        <v>380.55</v>
      </c>
      <c r="N2759" s="116">
        <v>381.5</v>
      </c>
      <c r="O2759" s="116">
        <v>371.5</v>
      </c>
      <c r="P2759" s="116">
        <v>376.2</v>
      </c>
      <c r="Q2759" s="116">
        <v>380.55</v>
      </c>
      <c r="R2759">
        <v>6063960</v>
      </c>
    </row>
    <row r="2760" spans="1:18" x14ac:dyDescent="0.25">
      <c r="A2760" s="170">
        <v>46066</v>
      </c>
      <c r="B2760">
        <v>378.85</v>
      </c>
      <c r="C2760">
        <v>374.15</v>
      </c>
      <c r="D2760">
        <v>370.7</v>
      </c>
      <c r="E2760">
        <v>378.85</v>
      </c>
      <c r="F2760">
        <v>374.15</v>
      </c>
      <c r="G2760">
        <v>235541</v>
      </c>
      <c r="H2760" s="116"/>
      <c r="I2760" s="116"/>
      <c r="L2760" s="170">
        <v>46066</v>
      </c>
      <c r="M2760" s="116">
        <v>374.1</v>
      </c>
      <c r="N2760" s="116">
        <v>377.8</v>
      </c>
      <c r="O2760" s="116">
        <v>370.65</v>
      </c>
      <c r="P2760" s="116">
        <v>377</v>
      </c>
      <c r="Q2760" s="116">
        <v>374.1</v>
      </c>
      <c r="R2760">
        <v>4441440</v>
      </c>
    </row>
    <row r="2761" spans="1:18" x14ac:dyDescent="0.25">
      <c r="A2761" s="170">
        <v>46069</v>
      </c>
      <c r="B2761">
        <v>384.2</v>
      </c>
      <c r="C2761">
        <v>381.95</v>
      </c>
      <c r="D2761">
        <v>371</v>
      </c>
      <c r="E2761">
        <v>371.55</v>
      </c>
      <c r="F2761">
        <v>381.95</v>
      </c>
      <c r="G2761">
        <v>742445</v>
      </c>
      <c r="H2761" s="116"/>
      <c r="I2761" s="116"/>
      <c r="L2761" s="170">
        <v>46069</v>
      </c>
      <c r="M2761" s="116">
        <v>382.1</v>
      </c>
      <c r="N2761" s="116">
        <v>384.25</v>
      </c>
      <c r="O2761" s="116">
        <v>370.9</v>
      </c>
      <c r="P2761" s="116">
        <v>372</v>
      </c>
      <c r="Q2761" s="116">
        <v>382.1</v>
      </c>
      <c r="R2761">
        <v>3884952</v>
      </c>
    </row>
    <row r="2762" spans="1:18" x14ac:dyDescent="0.25">
      <c r="A2762" s="170">
        <v>46070</v>
      </c>
      <c r="B2762">
        <v>384</v>
      </c>
      <c r="C2762">
        <v>378.15</v>
      </c>
      <c r="D2762">
        <v>377</v>
      </c>
      <c r="E2762">
        <v>381.85</v>
      </c>
      <c r="F2762">
        <v>378.15</v>
      </c>
      <c r="G2762">
        <v>180391</v>
      </c>
      <c r="H2762" s="116"/>
      <c r="I2762" s="116"/>
      <c r="L2762" s="170">
        <v>46070</v>
      </c>
      <c r="M2762" s="116">
        <v>378.4</v>
      </c>
      <c r="N2762" s="116">
        <v>384.1</v>
      </c>
      <c r="O2762" s="116">
        <v>377</v>
      </c>
      <c r="P2762" s="116">
        <v>381.4</v>
      </c>
      <c r="Q2762" s="116">
        <v>378.4</v>
      </c>
      <c r="R2762">
        <v>3799013</v>
      </c>
    </row>
    <row r="2763" spans="1:18" x14ac:dyDescent="0.25">
      <c r="A2763" s="170">
        <v>46071</v>
      </c>
      <c r="B2763">
        <v>382.05</v>
      </c>
      <c r="C2763">
        <v>379.25</v>
      </c>
      <c r="D2763">
        <v>377.85</v>
      </c>
      <c r="E2763">
        <v>378</v>
      </c>
      <c r="F2763">
        <v>379.25</v>
      </c>
      <c r="G2763">
        <v>218575</v>
      </c>
      <c r="H2763" s="116"/>
      <c r="I2763" s="116"/>
      <c r="L2763" s="170">
        <v>46071</v>
      </c>
      <c r="M2763" s="116">
        <v>379.6</v>
      </c>
      <c r="N2763" s="116">
        <v>382.15</v>
      </c>
      <c r="O2763" s="116">
        <v>377.95</v>
      </c>
      <c r="P2763" s="116">
        <v>378.4</v>
      </c>
      <c r="Q2763" s="116">
        <v>379.6</v>
      </c>
      <c r="R2763">
        <v>2150233</v>
      </c>
    </row>
    <row r="2764" spans="1:18" x14ac:dyDescent="0.25">
      <c r="A2764" s="170">
        <v>46072</v>
      </c>
      <c r="B2764">
        <v>381.75</v>
      </c>
      <c r="C2764">
        <v>369.5</v>
      </c>
      <c r="D2764">
        <v>368.25</v>
      </c>
      <c r="E2764">
        <v>379.55</v>
      </c>
      <c r="F2764">
        <v>369.5</v>
      </c>
      <c r="G2764">
        <v>112734</v>
      </c>
      <c r="H2764" s="116"/>
      <c r="I2764" s="116"/>
      <c r="L2764" s="170">
        <v>46072</v>
      </c>
      <c r="M2764" s="116">
        <v>369.3</v>
      </c>
      <c r="N2764" s="116">
        <v>381.75</v>
      </c>
      <c r="O2764" s="116">
        <v>368.3</v>
      </c>
      <c r="P2764" s="116">
        <v>379.5</v>
      </c>
      <c r="Q2764" s="116">
        <v>369.3</v>
      </c>
      <c r="R2764">
        <v>3203557</v>
      </c>
    </row>
    <row r="2765" spans="1:18" x14ac:dyDescent="0.25">
      <c r="A2765" s="170">
        <v>46073</v>
      </c>
      <c r="B2765">
        <v>378.95</v>
      </c>
      <c r="C2765">
        <v>377.95</v>
      </c>
      <c r="D2765">
        <v>369.35</v>
      </c>
      <c r="E2765">
        <v>369.4</v>
      </c>
      <c r="F2765">
        <v>377.95</v>
      </c>
      <c r="G2765">
        <v>306749</v>
      </c>
      <c r="H2765" s="116"/>
      <c r="I2765" s="116"/>
      <c r="L2765" s="170">
        <v>46073</v>
      </c>
      <c r="M2765" s="116">
        <v>378</v>
      </c>
      <c r="N2765" s="116">
        <v>379.2</v>
      </c>
      <c r="O2765" s="116">
        <v>369.25</v>
      </c>
      <c r="P2765" s="116">
        <v>369.3</v>
      </c>
      <c r="Q2765" s="116">
        <v>378</v>
      </c>
      <c r="R2765">
        <v>2844023</v>
      </c>
    </row>
    <row r="2766" spans="1:18" x14ac:dyDescent="0.25">
      <c r="A2766" s="170">
        <v>46076</v>
      </c>
      <c r="B2766">
        <v>381.55</v>
      </c>
      <c r="C2766">
        <v>378.95</v>
      </c>
      <c r="D2766">
        <v>377</v>
      </c>
      <c r="E2766">
        <v>379.5</v>
      </c>
      <c r="F2766">
        <v>378.95</v>
      </c>
      <c r="G2766">
        <v>230878</v>
      </c>
      <c r="H2766" s="116"/>
      <c r="I2766" s="116"/>
      <c r="L2766" s="170">
        <v>46076</v>
      </c>
      <c r="M2766" s="116">
        <v>379.25</v>
      </c>
      <c r="N2766" s="116">
        <v>381.55</v>
      </c>
      <c r="O2766" s="116">
        <v>376.8</v>
      </c>
      <c r="P2766" s="116">
        <v>379</v>
      </c>
      <c r="Q2766" s="116">
        <v>379.25</v>
      </c>
      <c r="R2766">
        <v>3229333</v>
      </c>
    </row>
    <row r="2767" spans="1:18" x14ac:dyDescent="0.25">
      <c r="A2767" s="170">
        <v>46077</v>
      </c>
      <c r="B2767">
        <v>380.4</v>
      </c>
      <c r="C2767">
        <v>379.75</v>
      </c>
      <c r="D2767">
        <v>372.5</v>
      </c>
      <c r="E2767">
        <v>377.7</v>
      </c>
      <c r="F2767">
        <v>379.75</v>
      </c>
      <c r="G2767">
        <v>193497</v>
      </c>
      <c r="H2767" s="116"/>
      <c r="I2767" s="116"/>
      <c r="L2767" s="170">
        <v>46077</v>
      </c>
      <c r="M2767" s="116">
        <v>379.75</v>
      </c>
      <c r="N2767" s="116">
        <v>380.45</v>
      </c>
      <c r="O2767" s="116">
        <v>372.5</v>
      </c>
      <c r="P2767" s="116">
        <v>377</v>
      </c>
      <c r="Q2767" s="116">
        <v>379.75</v>
      </c>
      <c r="R2767">
        <v>3005896</v>
      </c>
    </row>
    <row r="2768" spans="1:18" x14ac:dyDescent="0.25">
      <c r="A2768" s="170">
        <v>46078</v>
      </c>
      <c r="B2768">
        <v>383.6</v>
      </c>
      <c r="C2768">
        <v>381.2</v>
      </c>
      <c r="D2768">
        <v>376.4</v>
      </c>
      <c r="E2768">
        <v>379.8</v>
      </c>
      <c r="F2768">
        <v>381.2</v>
      </c>
      <c r="G2768">
        <v>1184105</v>
      </c>
      <c r="H2768" s="116"/>
      <c r="I2768" s="116"/>
      <c r="L2768" s="170">
        <v>46078</v>
      </c>
      <c r="M2768" s="116">
        <v>381.25</v>
      </c>
      <c r="N2768" s="116">
        <v>383.65</v>
      </c>
      <c r="O2768" s="116">
        <v>376.5</v>
      </c>
      <c r="P2768" s="116">
        <v>380</v>
      </c>
      <c r="Q2768" s="116">
        <v>381.25</v>
      </c>
      <c r="R2768">
        <v>3122278</v>
      </c>
    </row>
    <row r="2769" spans="1:18" x14ac:dyDescent="0.25">
      <c r="A2769" s="170">
        <v>46079</v>
      </c>
      <c r="B2769">
        <v>385.25</v>
      </c>
      <c r="C2769">
        <v>380.05</v>
      </c>
      <c r="D2769">
        <v>373.7</v>
      </c>
      <c r="E2769">
        <v>373.7</v>
      </c>
      <c r="F2769">
        <v>380.05</v>
      </c>
      <c r="G2769">
        <v>302743</v>
      </c>
      <c r="H2769" s="116"/>
      <c r="I2769" s="116"/>
      <c r="L2769" s="170">
        <v>46079</v>
      </c>
      <c r="M2769" s="116">
        <v>380.4</v>
      </c>
      <c r="N2769" s="116">
        <v>385.4</v>
      </c>
      <c r="O2769" s="116">
        <v>378.25</v>
      </c>
      <c r="P2769" s="116">
        <v>380.8</v>
      </c>
      <c r="Q2769" s="116">
        <v>380.4</v>
      </c>
      <c r="R2769">
        <v>3190045</v>
      </c>
    </row>
    <row r="2770" spans="1:18" x14ac:dyDescent="0.25">
      <c r="A2770" s="170">
        <v>46080</v>
      </c>
      <c r="B2770">
        <v>381.3</v>
      </c>
      <c r="C2770">
        <v>377.35</v>
      </c>
      <c r="D2770">
        <v>376.45</v>
      </c>
      <c r="E2770">
        <v>380</v>
      </c>
      <c r="F2770">
        <v>377.35</v>
      </c>
      <c r="G2770">
        <v>215789</v>
      </c>
      <c r="H2770" s="116"/>
      <c r="I2770" s="116"/>
      <c r="L2770" s="170">
        <v>46080</v>
      </c>
      <c r="M2770" s="116">
        <v>377.55</v>
      </c>
      <c r="N2770" s="116">
        <v>381.5</v>
      </c>
      <c r="O2770" s="116">
        <v>376.25</v>
      </c>
      <c r="P2770" s="116">
        <v>380.4</v>
      </c>
      <c r="Q2770" s="116">
        <v>377.55</v>
      </c>
      <c r="R2770">
        <v>3197689</v>
      </c>
    </row>
    <row r="2771" spans="1:18" x14ac:dyDescent="0.25">
      <c r="A2771" s="170">
        <v>46083</v>
      </c>
      <c r="B2771">
        <v>373.85</v>
      </c>
      <c r="C2771">
        <v>368</v>
      </c>
      <c r="D2771">
        <v>345.25</v>
      </c>
      <c r="E2771">
        <v>345.25</v>
      </c>
      <c r="F2771">
        <v>368</v>
      </c>
      <c r="G2771">
        <v>346776</v>
      </c>
      <c r="H2771" s="116"/>
      <c r="I2771" s="116"/>
      <c r="L2771" s="170">
        <v>46083</v>
      </c>
      <c r="M2771" s="116">
        <v>368.35</v>
      </c>
      <c r="N2771" s="116">
        <v>373.95</v>
      </c>
      <c r="O2771" s="116">
        <v>356</v>
      </c>
      <c r="P2771" s="116">
        <v>356</v>
      </c>
      <c r="Q2771" s="116">
        <v>368.35</v>
      </c>
      <c r="R2771">
        <v>5645823</v>
      </c>
    </row>
    <row r="2772" spans="1:18" x14ac:dyDescent="0.25">
      <c r="A2772" s="170">
        <v>46085</v>
      </c>
      <c r="B2772">
        <v>369.75</v>
      </c>
      <c r="C2772">
        <v>365.8</v>
      </c>
      <c r="D2772">
        <v>361.15</v>
      </c>
      <c r="E2772">
        <v>361.15</v>
      </c>
      <c r="F2772">
        <v>365.8</v>
      </c>
      <c r="G2772">
        <v>256484</v>
      </c>
      <c r="H2772" s="116"/>
      <c r="I2772" s="116"/>
      <c r="L2772" s="170">
        <v>46085</v>
      </c>
      <c r="M2772" s="116">
        <v>365.85</v>
      </c>
      <c r="N2772" s="116">
        <v>369.9</v>
      </c>
      <c r="O2772" s="116">
        <v>362.1</v>
      </c>
      <c r="P2772" s="116">
        <v>362.3</v>
      </c>
      <c r="Q2772" s="116">
        <v>365.85</v>
      </c>
      <c r="R2772">
        <v>5707031</v>
      </c>
    </row>
    <row r="2773" spans="1:18" x14ac:dyDescent="0.25">
      <c r="A2773" s="170">
        <v>46086</v>
      </c>
      <c r="B2773">
        <v>378.45</v>
      </c>
      <c r="C2773">
        <v>376.85</v>
      </c>
      <c r="D2773">
        <v>365.15</v>
      </c>
      <c r="E2773">
        <v>365.15</v>
      </c>
      <c r="F2773">
        <v>376.85</v>
      </c>
      <c r="G2773">
        <v>348630</v>
      </c>
      <c r="H2773" s="116"/>
      <c r="I2773" s="116"/>
      <c r="L2773" s="170">
        <v>46086</v>
      </c>
      <c r="M2773" s="116">
        <v>376.85</v>
      </c>
      <c r="N2773" s="116">
        <v>378.5</v>
      </c>
      <c r="O2773" s="116">
        <v>366.25</v>
      </c>
      <c r="P2773" s="116">
        <v>366.25</v>
      </c>
      <c r="Q2773" s="116">
        <v>376.85</v>
      </c>
      <c r="R2773">
        <v>5981063</v>
      </c>
    </row>
    <row r="2774" spans="1:18" x14ac:dyDescent="0.25">
      <c r="A2774" s="170">
        <v>46087</v>
      </c>
      <c r="B2774">
        <v>385.05</v>
      </c>
      <c r="C2774">
        <v>375.45</v>
      </c>
      <c r="D2774">
        <v>373</v>
      </c>
      <c r="E2774">
        <v>375.85</v>
      </c>
      <c r="F2774">
        <v>375.45</v>
      </c>
      <c r="G2774">
        <v>416415</v>
      </c>
      <c r="H2774" s="116"/>
      <c r="I2774" s="116"/>
      <c r="L2774" s="170">
        <v>46087</v>
      </c>
      <c r="M2774" s="116">
        <v>375.5</v>
      </c>
      <c r="N2774" s="116">
        <v>385.25</v>
      </c>
      <c r="O2774" s="116">
        <v>373.1</v>
      </c>
      <c r="P2774" s="116">
        <v>375</v>
      </c>
      <c r="Q2774" s="116">
        <v>375.5</v>
      </c>
      <c r="R2774">
        <v>3748549</v>
      </c>
    </row>
    <row r="2775" spans="1:18" x14ac:dyDescent="0.25">
      <c r="A2775" s="170">
        <v>46090</v>
      </c>
      <c r="B2775">
        <v>374</v>
      </c>
      <c r="C2775">
        <v>372.9</v>
      </c>
      <c r="D2775">
        <v>365.65</v>
      </c>
      <c r="E2775">
        <v>371.85</v>
      </c>
      <c r="F2775">
        <v>372.9</v>
      </c>
      <c r="G2775">
        <v>259886</v>
      </c>
      <c r="H2775" s="116"/>
      <c r="I2775" s="116"/>
      <c r="L2775" s="170">
        <v>46090</v>
      </c>
      <c r="M2775" s="116">
        <v>372.9</v>
      </c>
      <c r="N2775" s="116">
        <v>374.2</v>
      </c>
      <c r="O2775" s="116">
        <v>365.15</v>
      </c>
      <c r="P2775" s="116">
        <v>366.5</v>
      </c>
      <c r="Q2775" s="116">
        <v>372.9</v>
      </c>
      <c r="R2775">
        <v>5063475</v>
      </c>
    </row>
    <row r="2776" spans="1:18" x14ac:dyDescent="0.25">
      <c r="A2776" s="170">
        <v>46091</v>
      </c>
      <c r="B2776">
        <v>384.15</v>
      </c>
      <c r="C2776">
        <v>381.25</v>
      </c>
      <c r="D2776">
        <v>375.25</v>
      </c>
      <c r="E2776">
        <v>375.25</v>
      </c>
      <c r="F2776">
        <v>381.25</v>
      </c>
      <c r="G2776">
        <v>625073</v>
      </c>
      <c r="H2776" s="116"/>
      <c r="I2776" s="116"/>
      <c r="L2776" s="170">
        <v>46091</v>
      </c>
      <c r="M2776" s="116">
        <v>381.3</v>
      </c>
      <c r="N2776" s="116">
        <v>384.15</v>
      </c>
      <c r="O2776" s="116">
        <v>375.9</v>
      </c>
      <c r="P2776" s="116">
        <v>375.9</v>
      </c>
      <c r="Q2776" s="116">
        <v>381.3</v>
      </c>
      <c r="R2776">
        <v>7675259</v>
      </c>
    </row>
    <row r="2777" spans="1:18" x14ac:dyDescent="0.25">
      <c r="A2777" s="170">
        <v>46092</v>
      </c>
      <c r="B2777">
        <v>392.7</v>
      </c>
      <c r="C2777">
        <v>385.2</v>
      </c>
      <c r="D2777">
        <v>382.3</v>
      </c>
      <c r="E2777">
        <v>382.6</v>
      </c>
      <c r="F2777">
        <v>385.2</v>
      </c>
      <c r="G2777">
        <v>1083570</v>
      </c>
      <c r="H2777" s="116"/>
      <c r="I2777" s="116"/>
      <c r="L2777" s="170">
        <v>46092</v>
      </c>
      <c r="M2777" s="116">
        <v>385.75</v>
      </c>
      <c r="N2777" s="116">
        <v>392.5</v>
      </c>
      <c r="O2777" s="116">
        <v>382.35</v>
      </c>
      <c r="P2777" s="116">
        <v>383</v>
      </c>
      <c r="Q2777" s="116">
        <v>385.75</v>
      </c>
      <c r="R2777">
        <v>9679700</v>
      </c>
    </row>
    <row r="2778" spans="1:18" x14ac:dyDescent="0.25">
      <c r="A2778" s="170">
        <v>46093</v>
      </c>
      <c r="B2778">
        <v>407.2</v>
      </c>
      <c r="C2778">
        <v>402.3</v>
      </c>
      <c r="D2778">
        <v>383.4</v>
      </c>
      <c r="E2778">
        <v>384.6</v>
      </c>
      <c r="F2778">
        <v>402.3</v>
      </c>
      <c r="G2778">
        <v>2790856</v>
      </c>
      <c r="H2778" s="116"/>
      <c r="I2778" s="116"/>
      <c r="L2778" s="170">
        <v>46093</v>
      </c>
      <c r="M2778" s="116">
        <v>402.15</v>
      </c>
      <c r="N2778" s="116">
        <v>407.35</v>
      </c>
      <c r="O2778" s="116">
        <v>383.45</v>
      </c>
      <c r="P2778" s="116">
        <v>384</v>
      </c>
      <c r="Q2778" s="116">
        <v>402.15</v>
      </c>
      <c r="R2778">
        <v>25007929</v>
      </c>
    </row>
    <row r="2779" spans="1:18" x14ac:dyDescent="0.25">
      <c r="A2779" s="170">
        <v>46094</v>
      </c>
      <c r="B2779">
        <v>405.95</v>
      </c>
      <c r="C2779">
        <v>394.95</v>
      </c>
      <c r="D2779">
        <v>393.45</v>
      </c>
      <c r="E2779">
        <v>401.6</v>
      </c>
      <c r="F2779">
        <v>394.95</v>
      </c>
      <c r="G2779">
        <v>961099</v>
      </c>
      <c r="H2779" s="116"/>
      <c r="I2779" s="116"/>
      <c r="L2779" s="170">
        <v>46094</v>
      </c>
      <c r="M2779" s="116">
        <v>394.95</v>
      </c>
      <c r="N2779" s="116">
        <v>406.05</v>
      </c>
      <c r="O2779" s="116">
        <v>393.45</v>
      </c>
      <c r="P2779" s="116">
        <v>402.15</v>
      </c>
      <c r="Q2779" s="116">
        <v>394.95</v>
      </c>
      <c r="R2779">
        <v>9072187</v>
      </c>
    </row>
    <row r="2780" spans="1:18" x14ac:dyDescent="0.25">
      <c r="A2780" s="170">
        <v>46097</v>
      </c>
      <c r="B2780">
        <v>398.8</v>
      </c>
      <c r="C2780">
        <v>390.4</v>
      </c>
      <c r="D2780">
        <v>384.8</v>
      </c>
      <c r="E2780">
        <v>395</v>
      </c>
      <c r="F2780">
        <v>390.4</v>
      </c>
      <c r="G2780">
        <v>634468</v>
      </c>
      <c r="H2780" s="116"/>
      <c r="I2780" s="116"/>
      <c r="L2780" s="170">
        <v>46097</v>
      </c>
      <c r="M2780" s="116">
        <v>390.55</v>
      </c>
      <c r="N2780" s="116">
        <v>398.9</v>
      </c>
      <c r="O2780" s="116">
        <v>385</v>
      </c>
      <c r="P2780" s="116">
        <v>395.55</v>
      </c>
      <c r="Q2780" s="116">
        <v>390.55</v>
      </c>
      <c r="R2780">
        <v>8028549</v>
      </c>
    </row>
    <row r="2781" spans="1:18" x14ac:dyDescent="0.25">
      <c r="A2781" s="170">
        <v>46098</v>
      </c>
      <c r="B2781">
        <v>402.25</v>
      </c>
      <c r="C2781">
        <v>400.8</v>
      </c>
      <c r="D2781">
        <v>390.55</v>
      </c>
      <c r="E2781">
        <v>390.55</v>
      </c>
      <c r="F2781">
        <v>400.8</v>
      </c>
      <c r="G2781">
        <v>555877</v>
      </c>
      <c r="H2781" s="116"/>
      <c r="I2781" s="116"/>
      <c r="L2781" s="170">
        <v>46098</v>
      </c>
      <c r="M2781" s="116">
        <v>400.85</v>
      </c>
      <c r="N2781" s="116">
        <v>402.3</v>
      </c>
      <c r="O2781" s="116">
        <v>391</v>
      </c>
      <c r="P2781" s="116">
        <v>391</v>
      </c>
      <c r="Q2781" s="116">
        <v>400.85</v>
      </c>
      <c r="R2781">
        <v>12085084</v>
      </c>
    </row>
    <row r="2782" spans="1:18" x14ac:dyDescent="0.25">
      <c r="A2782" s="170">
        <v>46099</v>
      </c>
      <c r="B2782">
        <v>406.3</v>
      </c>
      <c r="C2782">
        <v>400.6</v>
      </c>
      <c r="D2782">
        <v>398.4</v>
      </c>
      <c r="E2782">
        <v>401.65</v>
      </c>
      <c r="F2782">
        <v>400.6</v>
      </c>
      <c r="G2782">
        <v>292990</v>
      </c>
      <c r="H2782" s="116"/>
      <c r="I2782" s="116"/>
      <c r="L2782" s="170">
        <v>46099</v>
      </c>
      <c r="M2782" s="116">
        <v>400.35</v>
      </c>
      <c r="N2782" s="116">
        <v>405.5</v>
      </c>
      <c r="O2782" s="116">
        <v>398.25</v>
      </c>
      <c r="P2782" s="116">
        <v>402.5</v>
      </c>
      <c r="Q2782" s="116">
        <v>400.35</v>
      </c>
      <c r="R2782">
        <v>7348301</v>
      </c>
    </row>
    <row r="2783" spans="1:18" x14ac:dyDescent="0.25">
      <c r="A2783" s="170">
        <v>46100</v>
      </c>
      <c r="B2783">
        <v>404.4</v>
      </c>
      <c r="C2783">
        <v>398.5</v>
      </c>
      <c r="D2783">
        <v>393.95</v>
      </c>
      <c r="E2783">
        <v>398</v>
      </c>
      <c r="F2783">
        <v>398.5</v>
      </c>
      <c r="G2783">
        <v>756888</v>
      </c>
      <c r="H2783" s="116"/>
      <c r="I2783" s="116"/>
      <c r="L2783" s="170">
        <v>46100</v>
      </c>
      <c r="M2783" s="116">
        <v>398.5</v>
      </c>
      <c r="N2783" s="116">
        <v>404.4</v>
      </c>
      <c r="O2783" s="116">
        <v>393.05</v>
      </c>
      <c r="P2783" s="116">
        <v>397.5</v>
      </c>
      <c r="Q2783" s="116">
        <v>398.5</v>
      </c>
      <c r="R2783">
        <v>8123743</v>
      </c>
    </row>
    <row r="2784" spans="1:18" x14ac:dyDescent="0.25">
      <c r="A2784" s="170">
        <v>46101</v>
      </c>
      <c r="B2784">
        <v>418.4</v>
      </c>
      <c r="C2784">
        <v>402.75</v>
      </c>
      <c r="D2784">
        <v>401</v>
      </c>
      <c r="E2784">
        <v>402</v>
      </c>
      <c r="F2784">
        <v>402.75</v>
      </c>
      <c r="G2784">
        <v>2707629</v>
      </c>
      <c r="H2784" s="116"/>
      <c r="I2784" s="116"/>
      <c r="L2784" s="170">
        <v>46101</v>
      </c>
      <c r="M2784" s="116">
        <v>402.4</v>
      </c>
      <c r="N2784" s="116">
        <v>418.45</v>
      </c>
      <c r="O2784" s="116">
        <v>401</v>
      </c>
      <c r="P2784" s="116">
        <v>402</v>
      </c>
      <c r="Q2784" s="116">
        <v>402.4</v>
      </c>
      <c r="R2784">
        <v>25154921</v>
      </c>
    </row>
    <row r="2785" spans="1:18" x14ac:dyDescent="0.25">
      <c r="A2785" s="170">
        <v>46104</v>
      </c>
      <c r="B2785">
        <v>403.2</v>
      </c>
      <c r="C2785">
        <v>386.95</v>
      </c>
      <c r="D2785">
        <v>381.4</v>
      </c>
      <c r="E2785">
        <v>402.05</v>
      </c>
      <c r="F2785">
        <v>386.95</v>
      </c>
      <c r="G2785">
        <v>970147</v>
      </c>
      <c r="H2785" s="116"/>
      <c r="I2785" s="116"/>
      <c r="L2785" s="170">
        <v>46104</v>
      </c>
      <c r="M2785" s="116">
        <v>386.95</v>
      </c>
      <c r="N2785" s="116">
        <v>403.3</v>
      </c>
      <c r="O2785" s="116">
        <v>373</v>
      </c>
      <c r="P2785" s="116">
        <v>402.7</v>
      </c>
      <c r="Q2785" s="116">
        <v>386.95</v>
      </c>
      <c r="R2785">
        <v>15173788</v>
      </c>
    </row>
    <row r="2786" spans="1:18" x14ac:dyDescent="0.25">
      <c r="A2786" s="170">
        <v>46105</v>
      </c>
      <c r="B2786">
        <v>395.95</v>
      </c>
      <c r="C2786">
        <v>384.75</v>
      </c>
      <c r="D2786">
        <v>383.9</v>
      </c>
      <c r="E2786">
        <v>394.7</v>
      </c>
      <c r="F2786">
        <v>384.75</v>
      </c>
      <c r="G2786">
        <v>582579</v>
      </c>
      <c r="H2786" s="116"/>
      <c r="I2786" s="116"/>
      <c r="L2786" s="170">
        <v>46105</v>
      </c>
      <c r="M2786" s="116">
        <v>384.75</v>
      </c>
      <c r="N2786" s="116">
        <v>395</v>
      </c>
      <c r="O2786" s="116">
        <v>383.8</v>
      </c>
      <c r="P2786" s="116">
        <v>395</v>
      </c>
      <c r="Q2786" s="116">
        <v>384.75</v>
      </c>
      <c r="R2786">
        <v>9726871</v>
      </c>
    </row>
    <row r="2787" spans="1:18" x14ac:dyDescent="0.25">
      <c r="A2787" s="170">
        <v>46106</v>
      </c>
      <c r="B2787">
        <v>394.9</v>
      </c>
      <c r="C2787">
        <v>390.5</v>
      </c>
      <c r="D2787">
        <v>386.95</v>
      </c>
      <c r="E2787">
        <v>386.95</v>
      </c>
      <c r="F2787">
        <v>390.5</v>
      </c>
      <c r="G2787">
        <v>661635</v>
      </c>
      <c r="H2787" s="116"/>
      <c r="I2787" s="116"/>
      <c r="L2787" s="170">
        <v>46106</v>
      </c>
      <c r="M2787" s="116">
        <v>390.7</v>
      </c>
      <c r="N2787" s="116">
        <v>395</v>
      </c>
      <c r="O2787" s="116">
        <v>387.05</v>
      </c>
      <c r="P2787" s="116">
        <v>388</v>
      </c>
      <c r="Q2787" s="116">
        <v>390.7</v>
      </c>
      <c r="R2787">
        <v>6900597</v>
      </c>
    </row>
    <row r="2788" spans="1:18" x14ac:dyDescent="0.25">
      <c r="A2788" s="170">
        <v>46108</v>
      </c>
      <c r="B2788">
        <v>391.55</v>
      </c>
      <c r="C2788">
        <v>385.7</v>
      </c>
      <c r="D2788">
        <v>384.5</v>
      </c>
      <c r="E2788">
        <v>390.35</v>
      </c>
      <c r="F2788">
        <v>385.7</v>
      </c>
      <c r="G2788">
        <v>323371</v>
      </c>
      <c r="H2788" s="116"/>
      <c r="I2788" s="116"/>
      <c r="L2788" s="170">
        <v>46108</v>
      </c>
      <c r="M2788" s="116">
        <v>385.7</v>
      </c>
      <c r="N2788" s="116">
        <v>391.55</v>
      </c>
      <c r="O2788" s="116">
        <v>384.6</v>
      </c>
      <c r="P2788" s="116">
        <v>390</v>
      </c>
      <c r="Q2788" s="116">
        <v>385.7</v>
      </c>
      <c r="R2788">
        <v>9994317</v>
      </c>
    </row>
    <row r="2789" spans="1:18" x14ac:dyDescent="0.25">
      <c r="A2789" s="170">
        <v>46111</v>
      </c>
      <c r="B2789">
        <v>388.75</v>
      </c>
      <c r="C2789">
        <v>378.7</v>
      </c>
      <c r="D2789">
        <v>378</v>
      </c>
      <c r="E2789">
        <v>380.1</v>
      </c>
      <c r="F2789">
        <v>378.7</v>
      </c>
      <c r="G2789">
        <v>627661</v>
      </c>
      <c r="H2789" s="116"/>
      <c r="I2789" s="116"/>
      <c r="L2789" s="170">
        <v>46111</v>
      </c>
      <c r="M2789" s="116">
        <v>378.75</v>
      </c>
      <c r="N2789" s="116">
        <v>388.75</v>
      </c>
      <c r="O2789" s="116">
        <v>377.95</v>
      </c>
      <c r="P2789" s="116">
        <v>381</v>
      </c>
      <c r="Q2789" s="116">
        <v>378.75</v>
      </c>
      <c r="R2789">
        <v>9446563</v>
      </c>
    </row>
    <row r="2790" spans="1:18" x14ac:dyDescent="0.25">
      <c r="A2790" s="170">
        <v>46113</v>
      </c>
      <c r="B2790">
        <v>390</v>
      </c>
      <c r="C2790">
        <v>380.2</v>
      </c>
      <c r="D2790">
        <v>378.45</v>
      </c>
      <c r="E2790">
        <v>386.25</v>
      </c>
      <c r="F2790">
        <v>380.2</v>
      </c>
      <c r="G2790">
        <v>343960</v>
      </c>
      <c r="H2790" s="116"/>
      <c r="I2790" s="116"/>
      <c r="L2790" s="170">
        <v>46113</v>
      </c>
      <c r="M2790" s="116">
        <v>380.2</v>
      </c>
      <c r="N2790" s="116">
        <v>390.9</v>
      </c>
      <c r="O2790" s="116">
        <v>378.55</v>
      </c>
      <c r="P2790" s="116">
        <v>390.7</v>
      </c>
      <c r="Q2790" s="116">
        <v>380.2</v>
      </c>
      <c r="R2790">
        <v>6063436</v>
      </c>
    </row>
    <row r="2791" spans="1:18" x14ac:dyDescent="0.25">
      <c r="A2791" s="170">
        <v>46114</v>
      </c>
      <c r="B2791">
        <v>386.35</v>
      </c>
      <c r="C2791">
        <v>384.9</v>
      </c>
      <c r="D2791">
        <v>367.85</v>
      </c>
      <c r="E2791">
        <v>379</v>
      </c>
      <c r="F2791">
        <v>384.9</v>
      </c>
      <c r="G2791">
        <v>594172</v>
      </c>
      <c r="H2791" s="116"/>
      <c r="I2791" s="116"/>
      <c r="L2791" s="170">
        <v>46114</v>
      </c>
      <c r="M2791" s="116">
        <v>385</v>
      </c>
      <c r="N2791" s="116">
        <v>386.65</v>
      </c>
      <c r="O2791" s="116">
        <v>368</v>
      </c>
      <c r="P2791" s="116">
        <v>378.85</v>
      </c>
      <c r="Q2791" s="116">
        <v>385</v>
      </c>
      <c r="R2791">
        <v>9543544</v>
      </c>
    </row>
    <row r="2792" spans="1:18" x14ac:dyDescent="0.25">
      <c r="A2792" s="170">
        <v>46118</v>
      </c>
      <c r="B2792">
        <v>387</v>
      </c>
      <c r="C2792">
        <v>384.2</v>
      </c>
      <c r="D2792">
        <v>378.55</v>
      </c>
      <c r="E2792">
        <v>385.1</v>
      </c>
      <c r="F2792">
        <v>384.2</v>
      </c>
      <c r="G2792">
        <v>248561</v>
      </c>
      <c r="H2792" s="116"/>
      <c r="I2792" s="116"/>
      <c r="L2792" s="170">
        <v>46118</v>
      </c>
      <c r="M2792" s="116">
        <v>383.85</v>
      </c>
      <c r="N2792" s="116">
        <v>387</v>
      </c>
      <c r="O2792" s="116">
        <v>378.45</v>
      </c>
      <c r="P2792" s="116">
        <v>385.05</v>
      </c>
      <c r="Q2792" s="116">
        <v>383.85</v>
      </c>
      <c r="R2792">
        <v>6691437</v>
      </c>
    </row>
    <row r="2793" spans="1:18" x14ac:dyDescent="0.25">
      <c r="A2793" s="170">
        <v>46119</v>
      </c>
      <c r="B2793">
        <v>388.5</v>
      </c>
      <c r="C2793">
        <v>387.65</v>
      </c>
      <c r="D2793">
        <v>378.8</v>
      </c>
      <c r="E2793">
        <v>381.55</v>
      </c>
      <c r="F2793">
        <v>387.65</v>
      </c>
      <c r="G2793">
        <v>411764</v>
      </c>
      <c r="H2793" s="116"/>
      <c r="I2793" s="116"/>
      <c r="L2793" s="170">
        <v>46119</v>
      </c>
      <c r="M2793" s="116">
        <v>387.7</v>
      </c>
      <c r="N2793" s="116">
        <v>388.7</v>
      </c>
      <c r="O2793" s="116">
        <v>378.45</v>
      </c>
      <c r="P2793" s="116">
        <v>381.95</v>
      </c>
      <c r="Q2793" s="116">
        <v>387.7</v>
      </c>
      <c r="R2793">
        <v>4381799</v>
      </c>
    </row>
    <row r="2794" spans="1:18" x14ac:dyDescent="0.25">
      <c r="A2794" s="170">
        <v>46120</v>
      </c>
      <c r="B2794">
        <v>398.6</v>
      </c>
      <c r="C2794">
        <v>394.9</v>
      </c>
      <c r="D2794">
        <v>392.15</v>
      </c>
      <c r="E2794">
        <v>398.6</v>
      </c>
      <c r="F2794">
        <v>394.9</v>
      </c>
      <c r="G2794">
        <v>298381</v>
      </c>
      <c r="H2794" s="116"/>
      <c r="I2794" s="116"/>
      <c r="L2794" s="170">
        <v>46120</v>
      </c>
      <c r="M2794" s="116">
        <v>394.95</v>
      </c>
      <c r="N2794" s="116">
        <v>397.45</v>
      </c>
      <c r="O2794" s="116">
        <v>392.05</v>
      </c>
      <c r="P2794" s="116">
        <v>395</v>
      </c>
      <c r="Q2794" s="116">
        <v>394.95</v>
      </c>
      <c r="R2794">
        <v>7324411</v>
      </c>
    </row>
    <row r="2795" spans="1:18" x14ac:dyDescent="0.25">
      <c r="A2795" s="170">
        <v>46121</v>
      </c>
      <c r="B2795">
        <v>398.85</v>
      </c>
      <c r="C2795">
        <v>394.55</v>
      </c>
      <c r="D2795">
        <v>392</v>
      </c>
      <c r="E2795">
        <v>395.85</v>
      </c>
      <c r="F2795">
        <v>394.55</v>
      </c>
      <c r="G2795">
        <v>309356</v>
      </c>
      <c r="H2795" s="116"/>
      <c r="I2795" s="116"/>
      <c r="L2795" s="170">
        <v>46121</v>
      </c>
      <c r="M2795" s="116">
        <v>394.7</v>
      </c>
      <c r="N2795" s="116">
        <v>398.85</v>
      </c>
      <c r="O2795" s="116">
        <v>392</v>
      </c>
      <c r="P2795" s="116">
        <v>395</v>
      </c>
      <c r="Q2795" s="116">
        <v>394.7</v>
      </c>
      <c r="R2795">
        <v>8546666</v>
      </c>
    </row>
    <row r="2796" spans="1:18" x14ac:dyDescent="0.25">
      <c r="A2796" s="170">
        <v>46122</v>
      </c>
      <c r="B2796">
        <v>401.2</v>
      </c>
      <c r="C2796">
        <v>399.5</v>
      </c>
      <c r="D2796">
        <v>395</v>
      </c>
      <c r="E2796">
        <v>396.9</v>
      </c>
      <c r="F2796">
        <v>399.5</v>
      </c>
      <c r="G2796">
        <v>171733</v>
      </c>
      <c r="H2796" s="116"/>
      <c r="I2796" s="116"/>
      <c r="L2796" s="170">
        <v>46122</v>
      </c>
      <c r="M2796" s="116">
        <v>399.35</v>
      </c>
      <c r="N2796" s="116">
        <v>401.35</v>
      </c>
      <c r="O2796" s="116">
        <v>394.9</v>
      </c>
      <c r="P2796" s="116">
        <v>396.5</v>
      </c>
      <c r="Q2796" s="116">
        <v>399.35</v>
      </c>
      <c r="R2796">
        <v>6096752</v>
      </c>
    </row>
    <row r="2797" spans="1:18" x14ac:dyDescent="0.25">
      <c r="A2797" s="170">
        <v>46125</v>
      </c>
      <c r="B2797">
        <v>417</v>
      </c>
      <c r="C2797">
        <v>409.45</v>
      </c>
      <c r="D2797">
        <v>390.35</v>
      </c>
      <c r="E2797">
        <v>393.35</v>
      </c>
      <c r="F2797">
        <v>409.45</v>
      </c>
      <c r="G2797">
        <v>1994335</v>
      </c>
      <c r="H2797" s="116"/>
      <c r="I2797" s="116"/>
      <c r="L2797" s="170">
        <v>46125</v>
      </c>
      <c r="M2797" s="116">
        <v>409.55</v>
      </c>
      <c r="N2797" s="116">
        <v>417</v>
      </c>
      <c r="O2797" s="116">
        <v>390.25</v>
      </c>
      <c r="P2797" s="116">
        <v>394.95</v>
      </c>
      <c r="Q2797" s="116">
        <v>409.55</v>
      </c>
      <c r="R2797">
        <v>20611836</v>
      </c>
    </row>
    <row r="2798" spans="1:18" x14ac:dyDescent="0.25">
      <c r="A2798" s="170">
        <v>46127</v>
      </c>
      <c r="B2798">
        <v>423.9</v>
      </c>
      <c r="C2798">
        <v>421.8</v>
      </c>
      <c r="D2798">
        <v>410.1</v>
      </c>
      <c r="E2798">
        <v>412.85</v>
      </c>
      <c r="F2798">
        <v>421.8</v>
      </c>
      <c r="G2798">
        <v>802590</v>
      </c>
      <c r="H2798" s="116"/>
      <c r="I2798" s="116"/>
      <c r="L2798" s="170">
        <v>46127</v>
      </c>
      <c r="M2798" s="116">
        <v>421.85</v>
      </c>
      <c r="N2798" s="116">
        <v>423.9</v>
      </c>
      <c r="O2798" s="116">
        <v>410</v>
      </c>
      <c r="P2798" s="116">
        <v>415</v>
      </c>
      <c r="Q2798" s="116">
        <v>421.85</v>
      </c>
      <c r="R2798">
        <v>17610989</v>
      </c>
    </row>
    <row r="2799" spans="1:18" x14ac:dyDescent="0.25">
      <c r="A2799" s="170">
        <v>46128</v>
      </c>
      <c r="B2799">
        <v>429.4</v>
      </c>
      <c r="C2799">
        <v>427.25</v>
      </c>
      <c r="D2799">
        <v>416.3</v>
      </c>
      <c r="E2799">
        <v>428.9</v>
      </c>
      <c r="F2799">
        <v>427.25</v>
      </c>
      <c r="G2799">
        <v>496975</v>
      </c>
      <c r="H2799" s="116"/>
      <c r="I2799" s="116"/>
      <c r="L2799" s="170">
        <v>46128</v>
      </c>
      <c r="M2799" s="116">
        <v>426.6</v>
      </c>
      <c r="N2799" s="116">
        <v>429.65</v>
      </c>
      <c r="O2799" s="116">
        <v>416.2</v>
      </c>
      <c r="P2799" s="116">
        <v>427.4</v>
      </c>
      <c r="Q2799" s="116">
        <v>426.6</v>
      </c>
      <c r="R2799">
        <v>14102437</v>
      </c>
    </row>
    <row r="2800" spans="1:18" x14ac:dyDescent="0.25">
      <c r="A2800" s="170">
        <v>46129</v>
      </c>
      <c r="B2800">
        <v>432</v>
      </c>
      <c r="C2800">
        <v>427.45</v>
      </c>
      <c r="D2800">
        <v>424.7</v>
      </c>
      <c r="E2800">
        <v>428.05</v>
      </c>
      <c r="F2800">
        <v>427.45</v>
      </c>
      <c r="G2800">
        <v>861948</v>
      </c>
      <c r="H2800" s="116"/>
      <c r="I2800" s="116"/>
      <c r="L2800" s="170">
        <v>46129</v>
      </c>
      <c r="M2800" s="116">
        <v>427.6</v>
      </c>
      <c r="N2800" s="116">
        <v>432</v>
      </c>
      <c r="O2800" s="116">
        <v>424.6</v>
      </c>
      <c r="P2800" s="116">
        <v>429</v>
      </c>
      <c r="Q2800" s="116">
        <v>427.6</v>
      </c>
      <c r="R2800">
        <v>7377006</v>
      </c>
    </row>
    <row r="2801" spans="1:18" x14ac:dyDescent="0.25">
      <c r="A2801" s="170">
        <v>46132</v>
      </c>
      <c r="B2801">
        <v>438.3</v>
      </c>
      <c r="C2801">
        <v>433.65</v>
      </c>
      <c r="D2801">
        <v>424.55</v>
      </c>
      <c r="E2801">
        <v>428.8</v>
      </c>
      <c r="F2801">
        <v>433.65</v>
      </c>
      <c r="G2801">
        <v>601066</v>
      </c>
      <c r="H2801" s="116"/>
      <c r="I2801" s="116"/>
      <c r="L2801" s="170">
        <v>46132</v>
      </c>
      <c r="M2801" s="116">
        <v>433.6</v>
      </c>
      <c r="N2801" s="116">
        <v>438.5</v>
      </c>
      <c r="O2801" s="116">
        <v>424.45</v>
      </c>
      <c r="P2801" s="116">
        <v>427.5</v>
      </c>
      <c r="Q2801" s="116">
        <v>433.6</v>
      </c>
      <c r="R2801">
        <v>13081794</v>
      </c>
    </row>
    <row r="2802" spans="1:18" x14ac:dyDescent="0.25">
      <c r="A2802" s="170">
        <v>46133</v>
      </c>
      <c r="B2802">
        <v>438.7</v>
      </c>
      <c r="C2802">
        <v>435.7</v>
      </c>
      <c r="D2802">
        <v>431.6</v>
      </c>
      <c r="E2802">
        <v>434.1</v>
      </c>
      <c r="F2802">
        <v>435.7</v>
      </c>
      <c r="G2802">
        <v>779377</v>
      </c>
      <c r="H2802" s="116"/>
      <c r="I2802" s="116"/>
      <c r="L2802" s="170">
        <v>46133</v>
      </c>
      <c r="M2802" s="116">
        <v>436.05</v>
      </c>
      <c r="N2802" s="116">
        <v>439.05</v>
      </c>
      <c r="O2802" s="116">
        <v>431.65</v>
      </c>
      <c r="P2802" s="116">
        <v>435</v>
      </c>
      <c r="Q2802" s="116">
        <v>436.05</v>
      </c>
      <c r="R2802">
        <v>9014937</v>
      </c>
    </row>
    <row r="2803" spans="1:18" x14ac:dyDescent="0.25">
      <c r="A2803" s="170">
        <v>46134</v>
      </c>
      <c r="B2803">
        <v>440.8</v>
      </c>
      <c r="C2803">
        <v>436.05</v>
      </c>
      <c r="D2803">
        <v>435</v>
      </c>
      <c r="E2803">
        <v>436.05</v>
      </c>
      <c r="F2803">
        <v>436.05</v>
      </c>
      <c r="G2803">
        <v>387240</v>
      </c>
      <c r="H2803" s="116"/>
      <c r="I2803" s="116"/>
      <c r="L2803" s="170">
        <v>46134</v>
      </c>
      <c r="M2803" s="116">
        <v>436.05</v>
      </c>
      <c r="N2803" s="116">
        <v>440.8</v>
      </c>
      <c r="O2803" s="116">
        <v>434.8</v>
      </c>
      <c r="P2803" s="116">
        <v>436</v>
      </c>
      <c r="Q2803" s="116">
        <v>436.05</v>
      </c>
      <c r="R2803">
        <v>5945688</v>
      </c>
    </row>
    <row r="2804" spans="1:18" x14ac:dyDescent="0.25">
      <c r="A2804" s="170">
        <v>46135</v>
      </c>
      <c r="B2804">
        <v>437.65</v>
      </c>
      <c r="C2804">
        <v>430.15</v>
      </c>
      <c r="D2804">
        <v>427.45</v>
      </c>
      <c r="E2804">
        <v>436</v>
      </c>
      <c r="F2804">
        <v>430.15</v>
      </c>
      <c r="G2804">
        <v>463103</v>
      </c>
      <c r="H2804" s="116"/>
      <c r="I2804" s="116"/>
      <c r="L2804" s="170">
        <v>46135</v>
      </c>
      <c r="M2804" s="116">
        <v>430.3</v>
      </c>
      <c r="N2804" s="116">
        <v>437.8</v>
      </c>
      <c r="O2804" s="116">
        <v>427.55</v>
      </c>
      <c r="P2804" s="116">
        <v>435.5</v>
      </c>
      <c r="Q2804" s="116">
        <v>430.3</v>
      </c>
      <c r="R2804">
        <v>7927709</v>
      </c>
    </row>
    <row r="2805" spans="1:18" x14ac:dyDescent="0.25">
      <c r="A2805" s="170">
        <v>46136</v>
      </c>
      <c r="B2805">
        <v>436.35</v>
      </c>
      <c r="C2805">
        <v>434.65</v>
      </c>
      <c r="D2805">
        <v>426</v>
      </c>
      <c r="E2805">
        <v>431.75</v>
      </c>
      <c r="F2805">
        <v>434.65</v>
      </c>
      <c r="G2805">
        <v>274864</v>
      </c>
      <c r="H2805" s="116"/>
      <c r="I2805" s="116"/>
      <c r="L2805" s="170">
        <v>46136</v>
      </c>
      <c r="M2805" s="116">
        <v>435</v>
      </c>
      <c r="N2805" s="116">
        <v>436.7</v>
      </c>
      <c r="O2805" s="116">
        <v>426</v>
      </c>
      <c r="P2805" s="116">
        <v>431</v>
      </c>
      <c r="Q2805" s="116">
        <v>435</v>
      </c>
      <c r="R2805">
        <v>6780544</v>
      </c>
    </row>
    <row r="2806" spans="1:18" x14ac:dyDescent="0.25">
      <c r="A2806" s="170">
        <v>46139</v>
      </c>
      <c r="B2806">
        <v>455.9</v>
      </c>
      <c r="C2806">
        <v>453.4</v>
      </c>
      <c r="D2806">
        <v>435.4</v>
      </c>
      <c r="E2806">
        <v>437.9</v>
      </c>
      <c r="F2806">
        <v>453.4</v>
      </c>
      <c r="G2806">
        <v>704266</v>
      </c>
      <c r="H2806" s="116"/>
      <c r="I2806" s="116"/>
      <c r="L2806" s="170">
        <v>46139</v>
      </c>
      <c r="M2806" s="116">
        <v>453.2</v>
      </c>
      <c r="N2806" s="116">
        <v>455.95</v>
      </c>
      <c r="O2806" s="116">
        <v>435.2</v>
      </c>
      <c r="P2806" s="116">
        <v>436.6</v>
      </c>
      <c r="Q2806" s="116">
        <v>453.2</v>
      </c>
      <c r="R2806">
        <v>16399806</v>
      </c>
    </row>
    <row r="2807" spans="1:18" x14ac:dyDescent="0.25">
      <c r="A2807" s="170">
        <v>46140</v>
      </c>
      <c r="B2807">
        <v>464.8</v>
      </c>
      <c r="C2807">
        <v>461.55</v>
      </c>
      <c r="D2807">
        <v>450.8</v>
      </c>
      <c r="E2807">
        <v>450.8</v>
      </c>
      <c r="F2807">
        <v>461.55</v>
      </c>
      <c r="G2807">
        <v>1236767</v>
      </c>
      <c r="H2807" s="116"/>
      <c r="I2807" s="116"/>
      <c r="L2807" s="170">
        <v>46140</v>
      </c>
      <c r="M2807" s="116">
        <v>461.8</v>
      </c>
      <c r="N2807" s="116">
        <v>464.9</v>
      </c>
      <c r="O2807" s="116">
        <v>454</v>
      </c>
      <c r="P2807" s="116">
        <v>454</v>
      </c>
      <c r="Q2807" s="116">
        <v>461.8</v>
      </c>
      <c r="R2807">
        <v>16158141</v>
      </c>
    </row>
    <row r="2808" spans="1:18" x14ac:dyDescent="0.25">
      <c r="A2808" s="170">
        <v>46141</v>
      </c>
      <c r="B2808">
        <v>464.65</v>
      </c>
      <c r="C2808">
        <v>451.8</v>
      </c>
      <c r="D2808">
        <v>449.25</v>
      </c>
      <c r="E2808">
        <v>463.65</v>
      </c>
      <c r="F2808">
        <v>451.8</v>
      </c>
      <c r="G2808">
        <v>431335</v>
      </c>
      <c r="H2808" s="116"/>
      <c r="I2808" s="116"/>
      <c r="L2808" s="170">
        <v>46141</v>
      </c>
      <c r="M2808" s="116">
        <v>451.5</v>
      </c>
      <c r="N2808" s="116">
        <v>464.4</v>
      </c>
      <c r="O2808" s="116">
        <v>449.4</v>
      </c>
      <c r="P2808" s="116">
        <v>464.3</v>
      </c>
      <c r="Q2808" s="116">
        <v>451.5</v>
      </c>
      <c r="R2808">
        <v>7412182</v>
      </c>
    </row>
    <row r="2809" spans="1:18" x14ac:dyDescent="0.25">
      <c r="A2809" s="170">
        <v>46142</v>
      </c>
      <c r="B2809">
        <v>450</v>
      </c>
      <c r="C2809">
        <v>444.55</v>
      </c>
      <c r="D2809">
        <v>439.1</v>
      </c>
      <c r="E2809">
        <v>448.65</v>
      </c>
      <c r="F2809">
        <v>444.55</v>
      </c>
      <c r="G2809">
        <v>772525</v>
      </c>
      <c r="H2809" s="116"/>
      <c r="I2809" s="116"/>
      <c r="L2809" s="170">
        <v>46142</v>
      </c>
      <c r="M2809" s="116">
        <v>444.55</v>
      </c>
      <c r="N2809" s="116">
        <v>450</v>
      </c>
      <c r="O2809" s="116">
        <v>439.3</v>
      </c>
      <c r="P2809" s="116">
        <v>450</v>
      </c>
      <c r="Q2809" s="116">
        <v>444.55</v>
      </c>
      <c r="R2809">
        <v>6116311</v>
      </c>
    </row>
    <row r="2810" spans="1:18" x14ac:dyDescent="0.25">
      <c r="A2810" s="170">
        <v>46146</v>
      </c>
      <c r="B2810">
        <v>448</v>
      </c>
      <c r="C2810">
        <v>441.35</v>
      </c>
      <c r="D2810">
        <v>438.35</v>
      </c>
      <c r="E2810">
        <v>444.6</v>
      </c>
      <c r="F2810">
        <v>441.35</v>
      </c>
      <c r="G2810">
        <v>431468</v>
      </c>
      <c r="H2810" s="116"/>
      <c r="I2810" s="116"/>
      <c r="L2810" s="170">
        <v>46146</v>
      </c>
      <c r="M2810" s="116">
        <v>441.4</v>
      </c>
      <c r="N2810" s="116">
        <v>448</v>
      </c>
      <c r="O2810" s="116">
        <v>438.5</v>
      </c>
      <c r="P2810" s="116">
        <v>445.5</v>
      </c>
      <c r="Q2810" s="116">
        <v>441.4</v>
      </c>
      <c r="R2810">
        <v>4920694</v>
      </c>
    </row>
    <row r="2811" spans="1:18" x14ac:dyDescent="0.25">
      <c r="A2811" s="170">
        <v>46147</v>
      </c>
      <c r="B2811">
        <v>445.8</v>
      </c>
      <c r="C2811">
        <v>442.8</v>
      </c>
      <c r="D2811">
        <v>436.6</v>
      </c>
      <c r="E2811">
        <v>441.35</v>
      </c>
      <c r="F2811">
        <v>442.8</v>
      </c>
      <c r="G2811">
        <v>260435</v>
      </c>
      <c r="H2811" s="116"/>
      <c r="I2811" s="116"/>
      <c r="L2811" s="170">
        <v>46147</v>
      </c>
      <c r="M2811" s="116">
        <v>442.65</v>
      </c>
      <c r="N2811" s="116">
        <v>445.75</v>
      </c>
      <c r="O2811" s="116">
        <v>436.65</v>
      </c>
      <c r="P2811" s="116">
        <v>441.05</v>
      </c>
      <c r="Q2811" s="116">
        <v>442.65</v>
      </c>
      <c r="R2811">
        <v>6785881</v>
      </c>
    </row>
    <row r="2812" spans="1:18" x14ac:dyDescent="0.25">
      <c r="A2812" s="170">
        <v>46148</v>
      </c>
      <c r="B2812">
        <v>446.65</v>
      </c>
      <c r="C2812">
        <v>443</v>
      </c>
      <c r="D2812">
        <v>439.45</v>
      </c>
      <c r="E2812">
        <v>444.1</v>
      </c>
      <c r="F2812">
        <v>443</v>
      </c>
      <c r="G2812">
        <v>591154</v>
      </c>
      <c r="H2812" s="116"/>
      <c r="I2812" s="116"/>
      <c r="L2812" s="170">
        <v>46148</v>
      </c>
      <c r="M2812" s="116">
        <v>443.25</v>
      </c>
      <c r="N2812" s="116">
        <v>446.3</v>
      </c>
      <c r="O2812" s="116">
        <v>439.5</v>
      </c>
      <c r="P2812" s="116">
        <v>444.5</v>
      </c>
      <c r="Q2812" s="116">
        <v>443.25</v>
      </c>
      <c r="R2812">
        <v>4255437</v>
      </c>
    </row>
    <row r="2813" spans="1:18" x14ac:dyDescent="0.25">
      <c r="A2813" s="170">
        <v>46149</v>
      </c>
      <c r="B2813">
        <v>446.4</v>
      </c>
      <c r="C2813">
        <v>439.2</v>
      </c>
      <c r="D2813">
        <v>438.25</v>
      </c>
      <c r="E2813">
        <v>446.4</v>
      </c>
      <c r="F2813">
        <v>439.2</v>
      </c>
      <c r="G2813">
        <v>256275</v>
      </c>
      <c r="H2813" s="116"/>
      <c r="I2813" s="116"/>
      <c r="L2813" s="170">
        <v>46149</v>
      </c>
      <c r="M2813" s="116">
        <v>439.25</v>
      </c>
      <c r="N2813" s="116">
        <v>446</v>
      </c>
      <c r="O2813" s="116">
        <v>438.2</v>
      </c>
      <c r="P2813" s="116">
        <v>445.15</v>
      </c>
      <c r="Q2813" s="116">
        <v>439.25</v>
      </c>
      <c r="R2813">
        <v>5471848</v>
      </c>
    </row>
    <row r="2814" spans="1:18" x14ac:dyDescent="0.25">
      <c r="A2814" s="170">
        <v>46150</v>
      </c>
      <c r="B2814">
        <v>440.2</v>
      </c>
      <c r="C2814">
        <v>436</v>
      </c>
      <c r="D2814">
        <v>434.8</v>
      </c>
      <c r="E2814">
        <v>438.65</v>
      </c>
      <c r="F2814">
        <v>436</v>
      </c>
      <c r="G2814">
        <v>221172</v>
      </c>
      <c r="H2814" s="116"/>
      <c r="I2814" s="116"/>
      <c r="L2814" s="170">
        <v>46150</v>
      </c>
      <c r="M2814" s="116">
        <v>436</v>
      </c>
      <c r="N2814" s="116">
        <v>440.6</v>
      </c>
      <c r="O2814" s="116">
        <v>434.7</v>
      </c>
      <c r="P2814" s="116">
        <v>438.1</v>
      </c>
      <c r="Q2814" s="116">
        <v>436</v>
      </c>
      <c r="R2814">
        <v>4061354</v>
      </c>
    </row>
    <row r="2815" spans="1:18" x14ac:dyDescent="0.25">
      <c r="A2815" s="170">
        <v>46153</v>
      </c>
      <c r="B2815">
        <v>437.85</v>
      </c>
      <c r="C2815">
        <v>433.05</v>
      </c>
      <c r="D2815">
        <v>428.55</v>
      </c>
      <c r="E2815">
        <v>431.05</v>
      </c>
      <c r="F2815">
        <v>433.05</v>
      </c>
      <c r="G2815">
        <v>377827</v>
      </c>
      <c r="H2815" s="116"/>
      <c r="I2815" s="116"/>
      <c r="L2815" s="170">
        <v>46153</v>
      </c>
      <c r="M2815" s="116">
        <v>433.2</v>
      </c>
      <c r="N2815" s="116">
        <v>437.95</v>
      </c>
      <c r="O2815" s="116">
        <v>428.7</v>
      </c>
      <c r="P2815" s="116">
        <v>434</v>
      </c>
      <c r="Q2815" s="116">
        <v>433.2</v>
      </c>
      <c r="R2815">
        <v>4156495</v>
      </c>
    </row>
    <row r="2816" spans="1:18" x14ac:dyDescent="0.25">
      <c r="A2816" s="170">
        <v>46154</v>
      </c>
      <c r="B2816">
        <v>433.05</v>
      </c>
      <c r="C2816">
        <v>418.4</v>
      </c>
      <c r="D2816">
        <v>417.4</v>
      </c>
      <c r="E2816">
        <v>432</v>
      </c>
      <c r="F2816">
        <v>418.4</v>
      </c>
      <c r="G2816">
        <v>327510</v>
      </c>
      <c r="H2816" s="116"/>
      <c r="I2816" s="116"/>
      <c r="L2816" s="170">
        <v>46154</v>
      </c>
      <c r="M2816" s="116">
        <v>418.4</v>
      </c>
      <c r="N2816" s="116">
        <v>433.4</v>
      </c>
      <c r="O2816" s="116">
        <v>417.25</v>
      </c>
      <c r="P2816" s="116">
        <v>431.2</v>
      </c>
      <c r="Q2816" s="116">
        <v>418.4</v>
      </c>
      <c r="R2816">
        <v>6821438</v>
      </c>
    </row>
    <row r="2817" spans="1:18" x14ac:dyDescent="0.25">
      <c r="A2817" s="170">
        <v>46155</v>
      </c>
      <c r="B2817">
        <v>413.6</v>
      </c>
      <c r="C2817">
        <v>404.35</v>
      </c>
      <c r="D2817">
        <v>390.95</v>
      </c>
      <c r="E2817">
        <v>401.2</v>
      </c>
      <c r="F2817">
        <v>404.35</v>
      </c>
      <c r="G2817">
        <v>1311676</v>
      </c>
      <c r="H2817" s="116"/>
      <c r="I2817" s="116"/>
      <c r="L2817" s="170">
        <v>46155</v>
      </c>
      <c r="M2817" s="116">
        <v>404.45</v>
      </c>
      <c r="N2817" s="116">
        <v>413.75</v>
      </c>
      <c r="O2817" s="116">
        <v>390.8</v>
      </c>
      <c r="P2817" s="116">
        <v>391</v>
      </c>
      <c r="Q2817" s="116">
        <v>404.45</v>
      </c>
      <c r="R2817">
        <v>20958608</v>
      </c>
    </row>
    <row r="2818" spans="1:18" x14ac:dyDescent="0.25">
      <c r="A2818" s="170">
        <v>46156</v>
      </c>
      <c r="B2818">
        <v>411.25</v>
      </c>
      <c r="C2818">
        <v>407.8</v>
      </c>
      <c r="D2818">
        <v>402.25</v>
      </c>
      <c r="E2818">
        <v>407</v>
      </c>
      <c r="F2818">
        <v>407.8</v>
      </c>
      <c r="G2818">
        <v>285347</v>
      </c>
      <c r="H2818" s="116"/>
      <c r="I2818" s="116"/>
      <c r="L2818" s="170">
        <v>46156</v>
      </c>
      <c r="M2818" s="116">
        <v>407.85</v>
      </c>
      <c r="N2818" s="116">
        <v>411.3</v>
      </c>
      <c r="O2818" s="116">
        <v>402.2</v>
      </c>
      <c r="P2818" s="116">
        <v>405.85</v>
      </c>
      <c r="Q2818" s="116">
        <v>407.85</v>
      </c>
      <c r="R2818">
        <v>5795421</v>
      </c>
    </row>
    <row r="2819" spans="1:18" x14ac:dyDescent="0.25">
      <c r="A2819" s="170">
        <v>46157</v>
      </c>
      <c r="B2819">
        <v>412.3</v>
      </c>
      <c r="C2819">
        <v>407.15</v>
      </c>
      <c r="D2819">
        <v>405.25</v>
      </c>
      <c r="E2819">
        <v>409.45</v>
      </c>
      <c r="F2819">
        <v>407.15</v>
      </c>
      <c r="G2819">
        <v>226125</v>
      </c>
      <c r="H2819" s="116"/>
      <c r="I2819" s="116"/>
      <c r="L2819" s="170">
        <v>46157</v>
      </c>
      <c r="M2819" s="116">
        <v>407</v>
      </c>
      <c r="N2819" s="116">
        <v>412.25</v>
      </c>
      <c r="O2819" s="116">
        <v>405</v>
      </c>
      <c r="P2819" s="116">
        <v>409.4</v>
      </c>
      <c r="Q2819" s="116">
        <v>407</v>
      </c>
      <c r="R2819">
        <v>4344049</v>
      </c>
    </row>
    <row r="2820" spans="1:18" x14ac:dyDescent="0.25">
      <c r="A2820" s="170">
        <v>46160</v>
      </c>
      <c r="B2820">
        <v>405.8</v>
      </c>
      <c r="C2820">
        <v>404.4</v>
      </c>
      <c r="D2820">
        <v>396</v>
      </c>
      <c r="E2820">
        <v>404.3</v>
      </c>
      <c r="F2820">
        <v>404.4</v>
      </c>
      <c r="G2820">
        <v>558248</v>
      </c>
      <c r="H2820" s="116"/>
      <c r="I2820" s="116"/>
      <c r="L2820" s="170">
        <v>46160</v>
      </c>
      <c r="M2820" s="116">
        <v>404.35</v>
      </c>
      <c r="N2820" s="116">
        <v>405.7</v>
      </c>
      <c r="O2820" s="116">
        <v>395.95</v>
      </c>
      <c r="P2820" s="116">
        <v>404.6</v>
      </c>
      <c r="Q2820" s="116">
        <v>404.35</v>
      </c>
      <c r="R2820">
        <v>6007649</v>
      </c>
    </row>
    <row r="2821" spans="1:18" x14ac:dyDescent="0.25">
      <c r="A2821" s="170">
        <v>46161</v>
      </c>
      <c r="B2821">
        <v>418.35</v>
      </c>
      <c r="C2821">
        <v>414.9</v>
      </c>
      <c r="D2821">
        <v>402.55</v>
      </c>
      <c r="E2821">
        <v>402.55</v>
      </c>
      <c r="F2821">
        <v>414.9</v>
      </c>
      <c r="G2821">
        <v>652006</v>
      </c>
      <c r="H2821" s="116"/>
      <c r="I2821" s="116"/>
      <c r="L2821" s="170">
        <v>46161</v>
      </c>
      <c r="M2821" s="116">
        <v>415</v>
      </c>
      <c r="N2821" s="116">
        <v>418.5</v>
      </c>
      <c r="O2821" s="116">
        <v>403.4</v>
      </c>
      <c r="P2821" s="116">
        <v>404.3</v>
      </c>
      <c r="Q2821" s="116">
        <v>415</v>
      </c>
      <c r="R2821">
        <v>7454213</v>
      </c>
    </row>
    <row r="2822" spans="1:18" x14ac:dyDescent="0.25">
      <c r="A2822" s="170">
        <v>46162</v>
      </c>
      <c r="B2822">
        <v>415.8</v>
      </c>
      <c r="C2822">
        <v>413.4</v>
      </c>
      <c r="D2822">
        <v>410</v>
      </c>
      <c r="E2822">
        <v>411.1</v>
      </c>
      <c r="F2822">
        <v>413.4</v>
      </c>
      <c r="G2822">
        <v>237181</v>
      </c>
      <c r="H2822" s="116"/>
      <c r="I2822" s="116"/>
      <c r="L2822" s="170">
        <v>46162</v>
      </c>
      <c r="M2822" s="116">
        <v>413.5</v>
      </c>
      <c r="N2822" s="116">
        <v>415.95</v>
      </c>
      <c r="O2822" s="116">
        <v>409.75</v>
      </c>
      <c r="P2822" s="116">
        <v>411.8</v>
      </c>
      <c r="Q2822" s="116">
        <v>413.5</v>
      </c>
      <c r="R2822">
        <v>4390666</v>
      </c>
    </row>
    <row r="2823" spans="1:18" x14ac:dyDescent="0.25">
      <c r="A2823" s="170">
        <v>46163</v>
      </c>
      <c r="B2823">
        <v>418.75</v>
      </c>
      <c r="C2823">
        <v>410.45</v>
      </c>
      <c r="D2823">
        <v>409</v>
      </c>
      <c r="E2823">
        <v>418.75</v>
      </c>
      <c r="F2823">
        <v>410.45</v>
      </c>
      <c r="G2823">
        <v>182503</v>
      </c>
      <c r="H2823" s="116"/>
      <c r="I2823" s="116"/>
      <c r="L2823" s="170">
        <v>46163</v>
      </c>
      <c r="M2823" s="116">
        <v>410.5</v>
      </c>
      <c r="N2823" s="116">
        <v>417</v>
      </c>
      <c r="O2823" s="116">
        <v>409</v>
      </c>
      <c r="P2823" s="116">
        <v>416</v>
      </c>
      <c r="Q2823" s="116">
        <v>410.5</v>
      </c>
      <c r="R2823">
        <v>5013888</v>
      </c>
    </row>
    <row r="2824" spans="1:18" x14ac:dyDescent="0.25">
      <c r="A2824" s="170">
        <v>46164</v>
      </c>
      <c r="B2824">
        <v>412.95</v>
      </c>
      <c r="C2824">
        <v>408.8</v>
      </c>
      <c r="D2824">
        <v>406.25</v>
      </c>
      <c r="E2824">
        <v>411.85</v>
      </c>
      <c r="F2824">
        <v>408.8</v>
      </c>
      <c r="G2824">
        <v>156047</v>
      </c>
      <c r="H2824" s="116"/>
      <c r="I2824" s="116"/>
      <c r="L2824" s="170">
        <v>46164</v>
      </c>
      <c r="M2824" s="116">
        <v>408.9</v>
      </c>
      <c r="N2824" s="116">
        <v>412.95</v>
      </c>
      <c r="O2824" s="116">
        <v>406.15</v>
      </c>
      <c r="P2824" s="116">
        <v>411</v>
      </c>
      <c r="Q2824" s="116">
        <v>408.9</v>
      </c>
      <c r="R2824">
        <v>4398760</v>
      </c>
    </row>
    <row r="2825" spans="1:18" x14ac:dyDescent="0.25">
      <c r="A2825" s="170">
        <v>46167</v>
      </c>
      <c r="B2825">
        <v>415.1</v>
      </c>
      <c r="C2825">
        <v>413.5</v>
      </c>
      <c r="D2825">
        <v>409.4</v>
      </c>
      <c r="E2825">
        <v>410.7</v>
      </c>
      <c r="F2825">
        <v>413.5</v>
      </c>
      <c r="G2825">
        <v>189148</v>
      </c>
      <c r="H2825" s="116"/>
      <c r="I2825" s="116"/>
      <c r="L2825" s="170">
        <v>46167</v>
      </c>
      <c r="M2825" s="116">
        <v>413.55</v>
      </c>
      <c r="N2825" s="116">
        <v>415.1</v>
      </c>
      <c r="O2825" s="116">
        <v>409.4</v>
      </c>
      <c r="P2825" s="116">
        <v>411.25</v>
      </c>
      <c r="Q2825" s="116">
        <v>413.55</v>
      </c>
      <c r="R2825">
        <v>3635798</v>
      </c>
    </row>
    <row r="2826" spans="1:18" x14ac:dyDescent="0.25">
      <c r="A2826" s="170">
        <v>46168</v>
      </c>
      <c r="B2826">
        <v>426.8</v>
      </c>
      <c r="C2826">
        <v>421.05</v>
      </c>
      <c r="D2826">
        <v>414</v>
      </c>
      <c r="E2826">
        <v>415.65</v>
      </c>
      <c r="F2826">
        <v>421.05</v>
      </c>
      <c r="G2826">
        <v>957593</v>
      </c>
      <c r="H2826" s="116"/>
      <c r="I2826" s="116"/>
      <c r="L2826" s="170">
        <v>46168</v>
      </c>
      <c r="M2826" s="116">
        <v>420.95</v>
      </c>
      <c r="N2826" s="116">
        <v>426.8</v>
      </c>
      <c r="O2826" s="116">
        <v>414</v>
      </c>
      <c r="P2826" s="116">
        <v>415.25</v>
      </c>
      <c r="Q2826" s="116">
        <v>420.95</v>
      </c>
      <c r="R2826">
        <v>9332347</v>
      </c>
    </row>
    <row r="2827" spans="1:18" x14ac:dyDescent="0.25">
      <c r="A2827" s="170">
        <v>46169</v>
      </c>
      <c r="B2827">
        <v>430.35</v>
      </c>
      <c r="C2827">
        <v>426.1</v>
      </c>
      <c r="D2827">
        <v>419.7</v>
      </c>
      <c r="E2827">
        <v>420.5</v>
      </c>
      <c r="F2827">
        <v>426.1</v>
      </c>
      <c r="G2827">
        <v>511859</v>
      </c>
      <c r="H2827" s="116"/>
      <c r="I2827" s="116"/>
      <c r="L2827" s="170">
        <v>46169</v>
      </c>
      <c r="M2827" s="116">
        <v>425.8</v>
      </c>
      <c r="N2827" s="116">
        <v>430.4</v>
      </c>
      <c r="O2827" s="116">
        <v>419.5</v>
      </c>
      <c r="P2827" s="116">
        <v>420.8</v>
      </c>
      <c r="Q2827" s="116">
        <v>425.8</v>
      </c>
      <c r="R2827">
        <v>6171033</v>
      </c>
    </row>
    <row r="2828" spans="1:18" x14ac:dyDescent="0.25">
      <c r="A2828" s="170">
        <v>46171</v>
      </c>
      <c r="B2828">
        <v>434</v>
      </c>
      <c r="C2828">
        <v>420.65</v>
      </c>
      <c r="D2828">
        <v>419.7</v>
      </c>
      <c r="E2828">
        <v>428.85</v>
      </c>
      <c r="F2828">
        <v>420.65</v>
      </c>
      <c r="G2828">
        <v>460798</v>
      </c>
      <c r="H2828" s="116"/>
      <c r="I2828" s="116"/>
      <c r="L2828" s="170">
        <v>46171</v>
      </c>
      <c r="M2828" s="116">
        <v>420.75</v>
      </c>
      <c r="N2828" s="116">
        <v>434</v>
      </c>
      <c r="O2828" s="116">
        <v>419.65</v>
      </c>
      <c r="P2828" s="116">
        <v>429.9</v>
      </c>
      <c r="Q2828" s="116">
        <v>420.75</v>
      </c>
      <c r="R2828">
        <v>8197538</v>
      </c>
    </row>
    <row r="2829" spans="1:18" x14ac:dyDescent="0.25">
      <c r="A2829" s="170">
        <v>46174</v>
      </c>
      <c r="B2829">
        <v>424.05</v>
      </c>
      <c r="C2829">
        <v>419.5</v>
      </c>
      <c r="D2829">
        <v>416.4</v>
      </c>
      <c r="E2829">
        <v>421.85</v>
      </c>
      <c r="F2829">
        <v>419.5</v>
      </c>
      <c r="G2829">
        <v>288972</v>
      </c>
      <c r="H2829" s="116"/>
      <c r="I2829" s="116"/>
      <c r="L2829" s="170">
        <v>46174</v>
      </c>
      <c r="M2829" s="116">
        <v>419.5</v>
      </c>
      <c r="N2829" s="116">
        <v>423.75</v>
      </c>
      <c r="O2829" s="116">
        <v>416.6</v>
      </c>
      <c r="P2829" s="116">
        <v>421.7</v>
      </c>
      <c r="Q2829" s="116">
        <v>419.5</v>
      </c>
      <c r="R2829">
        <v>6503865</v>
      </c>
    </row>
    <row r="2830" spans="1:18" x14ac:dyDescent="0.25">
      <c r="A2830" s="170">
        <v>46175</v>
      </c>
      <c r="B2830">
        <v>417</v>
      </c>
      <c r="C2830">
        <v>414.6</v>
      </c>
      <c r="D2830">
        <v>408.7</v>
      </c>
      <c r="E2830">
        <v>415.05</v>
      </c>
      <c r="F2830">
        <v>414.6</v>
      </c>
      <c r="G2830">
        <v>303962</v>
      </c>
      <c r="H2830" s="116"/>
      <c r="I2830" s="116"/>
      <c r="L2830" s="170">
        <v>46175</v>
      </c>
      <c r="M2830" s="116">
        <v>414.9</v>
      </c>
      <c r="N2830" s="116">
        <v>417.25</v>
      </c>
      <c r="O2830" s="116">
        <v>408.65</v>
      </c>
      <c r="P2830" s="116">
        <v>415.5</v>
      </c>
      <c r="Q2830" s="116">
        <v>414.9</v>
      </c>
      <c r="R2830">
        <v>5616307</v>
      </c>
    </row>
    <row r="2831" spans="1:18" x14ac:dyDescent="0.25">
      <c r="A2831" s="170">
        <v>46176</v>
      </c>
      <c r="B2831">
        <v>414.9</v>
      </c>
      <c r="C2831">
        <v>411.75</v>
      </c>
      <c r="D2831">
        <v>407.5</v>
      </c>
      <c r="E2831">
        <v>414.9</v>
      </c>
      <c r="F2831">
        <v>411.75</v>
      </c>
      <c r="G2831">
        <v>186115</v>
      </c>
      <c r="H2831" s="116"/>
      <c r="I2831" s="116"/>
      <c r="L2831" s="170">
        <v>46176</v>
      </c>
      <c r="M2831" s="116">
        <v>411.75</v>
      </c>
      <c r="N2831" s="116">
        <v>414.95</v>
      </c>
      <c r="O2831" s="116">
        <v>407.25</v>
      </c>
      <c r="P2831" s="116">
        <v>414.45</v>
      </c>
      <c r="Q2831" s="116">
        <v>411.75</v>
      </c>
      <c r="R2831">
        <v>3650477</v>
      </c>
    </row>
    <row r="2832" spans="1:18" x14ac:dyDescent="0.25">
      <c r="A2832" s="170">
        <v>46177</v>
      </c>
      <c r="B2832">
        <v>414.55</v>
      </c>
      <c r="C2832">
        <v>410.8</v>
      </c>
      <c r="D2832">
        <v>408.8</v>
      </c>
      <c r="E2832">
        <v>409.55</v>
      </c>
      <c r="F2832">
        <v>410.8</v>
      </c>
      <c r="G2832">
        <v>197636</v>
      </c>
      <c r="H2832" s="116"/>
      <c r="I2832" s="116"/>
      <c r="L2832" s="170">
        <v>46177</v>
      </c>
      <c r="M2832" s="116">
        <v>410.8</v>
      </c>
      <c r="N2832" s="116">
        <v>414.6</v>
      </c>
      <c r="O2832" s="116">
        <v>409</v>
      </c>
      <c r="P2832" s="116">
        <v>410</v>
      </c>
      <c r="Q2832" s="116">
        <v>410.8</v>
      </c>
      <c r="R2832">
        <v>2512081</v>
      </c>
    </row>
    <row r="2833" spans="1:18" x14ac:dyDescent="0.25">
      <c r="A2833" s="170">
        <v>46178</v>
      </c>
      <c r="B2833">
        <v>413.5</v>
      </c>
      <c r="C2833">
        <v>409.05</v>
      </c>
      <c r="D2833">
        <v>406.5</v>
      </c>
      <c r="E2833">
        <v>410.25</v>
      </c>
      <c r="F2833">
        <v>409.05</v>
      </c>
      <c r="G2833">
        <v>171998</v>
      </c>
      <c r="H2833" s="116"/>
      <c r="I2833" s="116"/>
      <c r="L2833" s="170">
        <v>46178</v>
      </c>
      <c r="M2833" s="116">
        <v>409.2</v>
      </c>
      <c r="N2833" s="116">
        <v>413.75</v>
      </c>
      <c r="O2833" s="116">
        <v>406.55</v>
      </c>
      <c r="P2833" s="116">
        <v>411.45</v>
      </c>
      <c r="Q2833" s="116">
        <v>409.2</v>
      </c>
      <c r="R2833">
        <v>2616616</v>
      </c>
    </row>
    <row r="2834" spans="1:18" x14ac:dyDescent="0.25">
      <c r="A2834" s="170">
        <v>46181</v>
      </c>
      <c r="B2834">
        <v>409</v>
      </c>
      <c r="C2834">
        <v>404.3</v>
      </c>
      <c r="D2834">
        <v>402.1</v>
      </c>
      <c r="E2834">
        <v>404.9</v>
      </c>
      <c r="F2834">
        <v>404.3</v>
      </c>
      <c r="G2834">
        <v>159194</v>
      </c>
      <c r="H2834" s="116"/>
      <c r="I2834" s="116"/>
      <c r="L2834" s="170">
        <v>46181</v>
      </c>
      <c r="M2834" s="116">
        <v>404.2</v>
      </c>
      <c r="N2834" s="116">
        <v>409.1</v>
      </c>
      <c r="O2834" s="116">
        <v>402.3</v>
      </c>
      <c r="P2834" s="116">
        <v>404.05</v>
      </c>
      <c r="Q2834" s="116">
        <v>404.2</v>
      </c>
      <c r="R2834">
        <v>2751940</v>
      </c>
    </row>
    <row r="2835" spans="1:18" x14ac:dyDescent="0.25">
      <c r="A2835" s="170">
        <v>46182</v>
      </c>
      <c r="B2835">
        <v>406.85</v>
      </c>
      <c r="C2835">
        <v>398.6</v>
      </c>
      <c r="D2835">
        <v>396.6</v>
      </c>
      <c r="E2835">
        <v>401.75</v>
      </c>
      <c r="F2835">
        <v>398.6</v>
      </c>
      <c r="G2835">
        <v>297084</v>
      </c>
      <c r="H2835" s="116"/>
      <c r="I2835" s="116"/>
      <c r="L2835" s="170">
        <v>46182</v>
      </c>
      <c r="M2835" s="116">
        <v>398.65</v>
      </c>
      <c r="N2835" s="116">
        <v>406.6</v>
      </c>
      <c r="O2835" s="116">
        <v>396.55</v>
      </c>
      <c r="P2835" s="116">
        <v>404.35</v>
      </c>
      <c r="Q2835" s="116">
        <v>398.65</v>
      </c>
      <c r="R2835">
        <v>5796055</v>
      </c>
    </row>
    <row r="2836" spans="1:18" x14ac:dyDescent="0.25">
      <c r="A2836" s="170">
        <v>46183</v>
      </c>
      <c r="B2836">
        <v>403.05</v>
      </c>
      <c r="C2836">
        <v>394.85</v>
      </c>
      <c r="D2836">
        <v>393.5</v>
      </c>
      <c r="E2836">
        <v>398.65</v>
      </c>
      <c r="F2836">
        <v>394.85</v>
      </c>
      <c r="G2836">
        <v>195029</v>
      </c>
      <c r="H2836" s="116"/>
      <c r="I2836" s="116"/>
      <c r="L2836" s="170">
        <v>46183</v>
      </c>
      <c r="M2836" s="116">
        <v>394.75</v>
      </c>
      <c r="N2836" s="116">
        <v>402.95</v>
      </c>
      <c r="O2836" s="116">
        <v>393.35</v>
      </c>
      <c r="P2836" s="116">
        <v>398.65</v>
      </c>
      <c r="Q2836" s="116">
        <v>394.75</v>
      </c>
      <c r="R2836">
        <v>3489888</v>
      </c>
    </row>
    <row r="2837" spans="1:18" x14ac:dyDescent="0.25">
      <c r="A2837" s="170">
        <v>46184</v>
      </c>
      <c r="B2837">
        <v>396.4</v>
      </c>
      <c r="C2837">
        <v>390.25</v>
      </c>
      <c r="D2837">
        <v>388.25</v>
      </c>
      <c r="E2837">
        <v>391.25</v>
      </c>
      <c r="F2837">
        <v>390.25</v>
      </c>
      <c r="G2837">
        <v>337194</v>
      </c>
      <c r="H2837" s="116"/>
      <c r="I2837" s="116"/>
      <c r="L2837" s="170">
        <v>46184</v>
      </c>
      <c r="M2837" s="116">
        <v>390.25</v>
      </c>
      <c r="N2837" s="116">
        <v>396.5</v>
      </c>
      <c r="O2837" s="116">
        <v>388.3</v>
      </c>
      <c r="P2837" s="116">
        <v>391.95</v>
      </c>
      <c r="Q2837" s="116">
        <v>390.25</v>
      </c>
      <c r="R2837">
        <v>5580234</v>
      </c>
    </row>
    <row r="2838" spans="1:18" x14ac:dyDescent="0.25">
      <c r="A2838" s="170">
        <v>46185</v>
      </c>
      <c r="B2838">
        <v>396.95</v>
      </c>
      <c r="C2838">
        <v>393.6</v>
      </c>
      <c r="D2838">
        <v>388.05</v>
      </c>
      <c r="E2838">
        <v>396.95</v>
      </c>
      <c r="F2838">
        <v>393.6</v>
      </c>
      <c r="G2838">
        <v>345559</v>
      </c>
      <c r="H2838" s="116"/>
      <c r="I2838" s="116"/>
      <c r="L2838" s="170">
        <v>46185</v>
      </c>
      <c r="M2838" s="116">
        <v>393.55</v>
      </c>
      <c r="N2838" s="116">
        <v>395.8</v>
      </c>
      <c r="O2838" s="116">
        <v>388</v>
      </c>
      <c r="P2838" s="116">
        <v>395.8</v>
      </c>
      <c r="Q2838" s="116">
        <v>393.55</v>
      </c>
      <c r="R2838">
        <v>6317321</v>
      </c>
    </row>
    <row r="2839" spans="1:18" x14ac:dyDescent="0.25">
      <c r="A2839" s="170">
        <v>46188</v>
      </c>
      <c r="B2839">
        <v>405.25</v>
      </c>
      <c r="C2839">
        <v>403.9</v>
      </c>
      <c r="D2839">
        <v>395.3</v>
      </c>
      <c r="E2839">
        <v>395.3</v>
      </c>
      <c r="F2839">
        <v>403.9</v>
      </c>
      <c r="G2839">
        <v>933526</v>
      </c>
      <c r="H2839" s="116"/>
      <c r="I2839" s="116"/>
      <c r="L2839" s="170">
        <v>46188</v>
      </c>
      <c r="M2839" s="116">
        <v>404.1</v>
      </c>
      <c r="N2839" s="116">
        <v>405.4</v>
      </c>
      <c r="O2839" s="116">
        <v>395.55</v>
      </c>
      <c r="P2839" s="116">
        <v>397.75</v>
      </c>
      <c r="Q2839" s="116">
        <v>404.1</v>
      </c>
      <c r="R2839">
        <v>9202415</v>
      </c>
    </row>
    <row r="2840" spans="1:18" x14ac:dyDescent="0.25">
      <c r="A2840" s="170">
        <v>46189</v>
      </c>
      <c r="B2840">
        <v>405.45</v>
      </c>
      <c r="C2840">
        <v>402.1</v>
      </c>
      <c r="D2840">
        <v>400.25</v>
      </c>
      <c r="E2840">
        <v>405.45</v>
      </c>
      <c r="F2840">
        <v>402.1</v>
      </c>
      <c r="G2840">
        <v>452180</v>
      </c>
      <c r="H2840" s="116"/>
      <c r="I2840" s="116"/>
      <c r="L2840" s="170">
        <v>46189</v>
      </c>
      <c r="M2840" s="116">
        <v>402.25</v>
      </c>
      <c r="N2840" s="116">
        <v>405.6</v>
      </c>
      <c r="O2840" s="116">
        <v>400.25</v>
      </c>
      <c r="P2840" s="116">
        <v>405</v>
      </c>
      <c r="Q2840" s="116">
        <v>402.25</v>
      </c>
      <c r="R2840">
        <v>7499735</v>
      </c>
    </row>
    <row r="2841" spans="1:18" x14ac:dyDescent="0.25">
      <c r="A2841" s="170">
        <v>46190</v>
      </c>
      <c r="B2841">
        <v>403.15</v>
      </c>
      <c r="C2841">
        <v>401.15</v>
      </c>
      <c r="D2841">
        <v>399.6</v>
      </c>
      <c r="E2841">
        <v>402.25</v>
      </c>
      <c r="F2841">
        <v>401.15</v>
      </c>
      <c r="G2841">
        <v>239661</v>
      </c>
      <c r="H2841" s="116"/>
      <c r="I2841" s="116"/>
      <c r="L2841" s="170">
        <v>46190</v>
      </c>
      <c r="M2841" s="116">
        <v>401.5</v>
      </c>
      <c r="N2841" s="116">
        <v>403.45</v>
      </c>
      <c r="O2841" s="116">
        <v>399.35</v>
      </c>
      <c r="P2841" s="116">
        <v>402.25</v>
      </c>
      <c r="Q2841" s="116">
        <v>401.5</v>
      </c>
      <c r="R2841">
        <v>5958070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2026-06-17T16:51:38Z</dcterms:modified>
  <cp:category/>
  <cp:contentStatus/>
</cp:coreProperties>
</file>